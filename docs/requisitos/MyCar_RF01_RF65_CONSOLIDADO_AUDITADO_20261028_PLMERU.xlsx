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c5c974be044721" /></Relationships>
</file>

<file path=xl/workbook.xml><?xml version="1.0" encoding="utf-8"?>
<x:workbook xmlns:x="http://schemas.openxmlformats.org/spreadsheetml/2006/main">
  <x:sheets>
    <x:sheet xmlns:r="http://schemas.openxmlformats.org/officeDocument/2006/relationships" name="RF003-E1" sheetId="89" r:id="Re03ab36b5cd74a2a"/>
    <x:sheet xmlns:r="http://schemas.openxmlformats.org/officeDocument/2006/relationships" name="RF004-E1" sheetId="90" r:id="R68afe1381edb4858"/>
    <x:sheet xmlns:r="http://schemas.openxmlformats.org/officeDocument/2006/relationships" name="RF005-E1" sheetId="91" r:id="R3584c456ea60419e"/>
    <x:sheet xmlns:r="http://schemas.openxmlformats.org/officeDocument/2006/relationships" name="RF007-E1" sheetId="93" r:id="Rb85b10e2b3eb4778"/>
    <x:sheet xmlns:r="http://schemas.openxmlformats.org/officeDocument/2006/relationships" name="RF008-EF1" sheetId="8" r:id="Rb9ae6e2ad0ea44e4"/>
    <x:sheet xmlns:r="http://schemas.openxmlformats.org/officeDocument/2006/relationships" name="RF009-EF1" sheetId="9" r:id="R3b27afe4198446ce"/>
    <x:sheet xmlns:r="http://schemas.openxmlformats.org/officeDocument/2006/relationships" name="RF010-EF1" sheetId="10" r:id="Rf215970068974f39"/>
    <x:sheet xmlns:r="http://schemas.openxmlformats.org/officeDocument/2006/relationships" name="RF011-EF1" sheetId="11" r:id="R1884a12676d845fa"/>
    <x:sheet xmlns:r="http://schemas.openxmlformats.org/officeDocument/2006/relationships" name="RF012-EF1" sheetId="12" r:id="Re907bbe9016146d9"/>
    <x:sheet xmlns:r="http://schemas.openxmlformats.org/officeDocument/2006/relationships" name="RF013-EF1" sheetId="13" r:id="Rd7d4485b1b114b65"/>
    <x:sheet xmlns:r="http://schemas.openxmlformats.org/officeDocument/2006/relationships" name="RF014-EF1" sheetId="14" r:id="R7ae69a95173f4f79"/>
    <x:sheet xmlns:r="http://schemas.openxmlformats.org/officeDocument/2006/relationships" name="RF015-EF1" sheetId="15" r:id="Rc2ac4b582ecc4ff0"/>
    <x:sheet xmlns:r="http://schemas.openxmlformats.org/officeDocument/2006/relationships" name="RF016-EF1" sheetId="16" r:id="Rfe7b093e826f40be"/>
    <x:sheet xmlns:r="http://schemas.openxmlformats.org/officeDocument/2006/relationships" name="RF17" sheetId="95" r:id="R1a34df9229954a1b"/>
    <x:sheet xmlns:r="http://schemas.openxmlformats.org/officeDocument/2006/relationships" name="RF18" sheetId="96" r:id="Rca89838172584fda"/>
    <x:sheet xmlns:r="http://schemas.openxmlformats.org/officeDocument/2006/relationships" name="RF19" sheetId="97" r:id="Rb88e62cf7c3e4cdf"/>
    <x:sheet xmlns:r="http://schemas.openxmlformats.org/officeDocument/2006/relationships" name="RF20" sheetId="98" r:id="Rf91689fd9cc54abe"/>
    <x:sheet xmlns:r="http://schemas.openxmlformats.org/officeDocument/2006/relationships" name="RF21" sheetId="99" r:id="R0dd47f78baf44cca"/>
    <x:sheet xmlns:r="http://schemas.openxmlformats.org/officeDocument/2006/relationships" name="RF22" sheetId="100" r:id="R8a6ab0bdcad9495b"/>
    <x:sheet xmlns:r="http://schemas.openxmlformats.org/officeDocument/2006/relationships" name="RF23" sheetId="101" r:id="R8a0eeec2f12246f7"/>
    <x:sheet xmlns:r="http://schemas.openxmlformats.org/officeDocument/2006/relationships" name="RF24" sheetId="102" r:id="R39c4dfe54e624f21"/>
    <x:sheet xmlns:r="http://schemas.openxmlformats.org/officeDocument/2006/relationships" name="RF25" sheetId="103" r:id="Rc75e6842e3b04587"/>
    <x:sheet xmlns:r="http://schemas.openxmlformats.org/officeDocument/2006/relationships" name="RF26" sheetId="104" r:id="R416093190e6e46c9"/>
    <x:sheet xmlns:r="http://schemas.openxmlformats.org/officeDocument/2006/relationships" name="RF27" sheetId="105" r:id="R82209665b2524316"/>
    <x:sheet xmlns:r="http://schemas.openxmlformats.org/officeDocument/2006/relationships" name="RF028-E1" sheetId="28" r:id="R4a301b24eed1495c"/>
    <x:sheet xmlns:r="http://schemas.openxmlformats.org/officeDocument/2006/relationships" name="RF029-E1" sheetId="29" r:id="R24538aa58d5842a9"/>
    <x:sheet xmlns:r="http://schemas.openxmlformats.org/officeDocument/2006/relationships" name="RF030-E1" sheetId="30" r:id="Rabeb3dc523ec44d9"/>
    <x:sheet xmlns:r="http://schemas.openxmlformats.org/officeDocument/2006/relationships" name="RF031-EF1" sheetId="31" r:id="Rb5fb1bc972614e31"/>
    <x:sheet xmlns:r="http://schemas.openxmlformats.org/officeDocument/2006/relationships" name="RF032-EF1" sheetId="32" r:id="R25316c75ac124b71"/>
    <x:sheet xmlns:r="http://schemas.openxmlformats.org/officeDocument/2006/relationships" name="RF033-EF1" sheetId="33" r:id="Ra5762ccd57ef4bdc"/>
    <x:sheet xmlns:r="http://schemas.openxmlformats.org/officeDocument/2006/relationships" name="RF034-EF1" sheetId="34" r:id="R3cf3eb5843074b91"/>
    <x:sheet xmlns:r="http://schemas.openxmlformats.org/officeDocument/2006/relationships" name="RF035-EF1" sheetId="35" r:id="Rc9f9ed6de63542b7"/>
    <x:sheet xmlns:r="http://schemas.openxmlformats.org/officeDocument/2006/relationships" name="RF036-EF1" sheetId="36" r:id="Rb8d78bbe5f184d43"/>
    <x:sheet xmlns:r="http://schemas.openxmlformats.org/officeDocument/2006/relationships" name="RF037-EF1" sheetId="37" r:id="R054c50b1219a4b9b"/>
    <x:sheet xmlns:r="http://schemas.openxmlformats.org/officeDocument/2006/relationships" name="RF038-E1" sheetId="38" r:id="R79e55434cccc459d"/>
    <x:sheet xmlns:r="http://schemas.openxmlformats.org/officeDocument/2006/relationships" name="RF039-E1" sheetId="39" r:id="R9f1b83daee9349ab"/>
    <x:sheet xmlns:r="http://schemas.openxmlformats.org/officeDocument/2006/relationships" name="RF040-E1" sheetId="40" r:id="R3975d8868faa4ec7"/>
    <x:sheet xmlns:r="http://schemas.openxmlformats.org/officeDocument/2006/relationships" name="RF041-EF1" sheetId="41" r:id="R1f0d0ce2865142f5"/>
    <x:sheet xmlns:r="http://schemas.openxmlformats.org/officeDocument/2006/relationships" name="RF042-EF1" sheetId="42" r:id="R94be78e02aba441d"/>
    <x:sheet xmlns:r="http://schemas.openxmlformats.org/officeDocument/2006/relationships" name="RF043-EF1" sheetId="43" r:id="R92049dd50eaf4e6b"/>
    <x:sheet xmlns:r="http://schemas.openxmlformats.org/officeDocument/2006/relationships" name="RF044-EF1" sheetId="44" r:id="R28072da3a06d4c18"/>
    <x:sheet xmlns:r="http://schemas.openxmlformats.org/officeDocument/2006/relationships" name="RF045-EF1" sheetId="45" r:id="R9a56f3dd234d46a6"/>
    <x:sheet xmlns:r="http://schemas.openxmlformats.org/officeDocument/2006/relationships" name="RF046-EF1" sheetId="46" r:id="R7ce2f6f91c104709"/>
    <x:sheet xmlns:r="http://schemas.openxmlformats.org/officeDocument/2006/relationships" name="RF047-EF1" sheetId="47" r:id="R4639769ea31e471c"/>
    <x:sheet xmlns:r="http://schemas.openxmlformats.org/officeDocument/2006/relationships" name="RF048-EF1" sheetId="48" r:id="R935198999ef5441c"/>
    <x:sheet xmlns:r="http://schemas.openxmlformats.org/officeDocument/2006/relationships" name="RF049-EF1" sheetId="49" r:id="R81f71d69b99e4a2c"/>
    <x:sheet xmlns:r="http://schemas.openxmlformats.org/officeDocument/2006/relationships" name="RF050-EF1" sheetId="50" r:id="R574fa1dc85964c5e"/>
    <x:sheet xmlns:r="http://schemas.openxmlformats.org/officeDocument/2006/relationships" name="RF051-EF1" sheetId="117" r:id="Re41b44bf42f74086"/>
    <x:sheet xmlns:r="http://schemas.openxmlformats.org/officeDocument/2006/relationships" name="RF052-EF1" sheetId="118" r:id="R5161e6262391477d"/>
    <x:sheet xmlns:r="http://schemas.openxmlformats.org/officeDocument/2006/relationships" name="RF053-EF1" sheetId="53" r:id="Ra32c35e6f695487d"/>
    <x:sheet xmlns:r="http://schemas.openxmlformats.org/officeDocument/2006/relationships" name="RF054-EF1" sheetId="54" r:id="R0e18aeeff42a403a"/>
    <x:sheet xmlns:r="http://schemas.openxmlformats.org/officeDocument/2006/relationships" name="RF055-EF1" sheetId="55" r:id="Raacb7ea8a8cd4965"/>
    <x:sheet xmlns:r="http://schemas.openxmlformats.org/officeDocument/2006/relationships" name="RF056-EF1" sheetId="56" r:id="R22d90a9fa7c24f00"/>
    <x:sheet xmlns:r="http://schemas.openxmlformats.org/officeDocument/2006/relationships" name="RF057_EXITOSO" sheetId="119" r:id="R907d01b6525f4b88"/>
    <x:sheet xmlns:r="http://schemas.openxmlformats.org/officeDocument/2006/relationships" name="RF057_ALT_ROL" sheetId="120" r:id="Rfe3ef89e1130458b"/>
    <x:sheet xmlns:r="http://schemas.openxmlformats.org/officeDocument/2006/relationships" name="RF058_EXITOSO" sheetId="121" r:id="Raf2a29fd647d499d"/>
    <x:sheet xmlns:r="http://schemas.openxmlformats.org/officeDocument/2006/relationships" name="RF058_ALT_CONSULTA" sheetId="122" r:id="Reafd74db21bb4cdd"/>
    <x:sheet xmlns:r="http://schemas.openxmlformats.org/officeDocument/2006/relationships" name="RF059_EXITOSO" sheetId="123" r:id="Rc8ce69f438064781"/>
    <x:sheet xmlns:r="http://schemas.openxmlformats.org/officeDocument/2006/relationships" name="RF059_ALT_REACTIVAR" sheetId="124" r:id="R1050d08d44344f61"/>
    <x:sheet xmlns:r="http://schemas.openxmlformats.org/officeDocument/2006/relationships" name="RF059_ALT_RECUPERAR" sheetId="125" r:id="Ra640471b1fb44c24"/>
    <x:sheet xmlns:r="http://schemas.openxmlformats.org/officeDocument/2006/relationships" name="RF059_ALT_BLOQUEOS" sheetId="126" r:id="R656b735b29de4b81"/>
    <x:sheet xmlns:r="http://schemas.openxmlformats.org/officeDocument/2006/relationships" name="RF060_EXITOSO" sheetId="127" r:id="R287d4b24da5a4ca7"/>
    <x:sheet xmlns:r="http://schemas.openxmlformats.org/officeDocument/2006/relationships" name="RF060_ALT_DIFERENCIA" sheetId="128" r:id="R91221d677af84223"/>
    <x:sheet xmlns:r="http://schemas.openxmlformats.org/officeDocument/2006/relationships" name="RF060_ALT_FINALIZADA" sheetId="129" r:id="Ra76f3e036bff4f6e"/>
    <x:sheet xmlns:r="http://schemas.openxmlformats.org/officeDocument/2006/relationships" name="RF061_EXITOSO" sheetId="130" r:id="R6df77a7646ff40bc"/>
    <x:sheet xmlns:r="http://schemas.openxmlformats.org/officeDocument/2006/relationships" name="RF061_ALT_NUEVA_ADMIN" sheetId="131" r:id="Reacd928d6c7e468c"/>
    <x:sheet xmlns:r="http://schemas.openxmlformats.org/officeDocument/2006/relationships" name="RF061_ALT_ERRORES" sheetId="132" r:id="R97601d1206ef45a7"/>
    <x:sheet xmlns:r="http://schemas.openxmlformats.org/officeDocument/2006/relationships" name="RF062_EXITOSO" sheetId="133" r:id="Rdb654939a70546a0"/>
    <x:sheet xmlns:r="http://schemas.openxmlformats.org/officeDocument/2006/relationships" name="RF062_ALT_EDITAR" sheetId="134" r:id="Rc245679f46074eaf"/>
    <x:sheet xmlns:r="http://schemas.openxmlformats.org/officeDocument/2006/relationships" name="RF062_ALT_DESACTIVAR" sheetId="135" r:id="R29d61cc18e0d4fe7"/>
    <x:sheet xmlns:r="http://schemas.openxmlformats.org/officeDocument/2006/relationships" name="RF062_ALT_REACTIVAR" sheetId="136" r:id="R275bcdd8a9064f3b"/>
    <x:sheet xmlns:r="http://schemas.openxmlformats.org/officeDocument/2006/relationships" name="RF062_ALT_VALIDAR" sheetId="137" r:id="R3660c3cb643e4e62"/>
    <x:sheet xmlns:r="http://schemas.openxmlformats.org/officeDocument/2006/relationships" name="RF063_EXITOSO" sheetId="138" r:id="R276c433b46d94375"/>
    <x:sheet xmlns:r="http://schemas.openxmlformats.org/officeDocument/2006/relationships" name="RF063_ALT_EVIDENCIA" sheetId="139" r:id="R70b0cf72ab2a42e1"/>
    <x:sheet xmlns:r="http://schemas.openxmlformats.org/officeDocument/2006/relationships" name="RF063_ALT_CAMPOS" sheetId="140" r:id="Rf2e15d59ecf6498b"/>
    <x:sheet xmlns:r="http://schemas.openxmlformats.org/officeDocument/2006/relationships" name="RF064_EXITOSO" sheetId="141" r:id="R1e307909ab7d468d"/>
    <x:sheet xmlns:r="http://schemas.openxmlformats.org/officeDocument/2006/relationships" name="RF064_ALT_RESUELTA" sheetId="142" r:id="R2f632feda8ba4e3e"/>
    <x:sheet xmlns:r="http://schemas.openxmlformats.org/officeDocument/2006/relationships" name="RF064_ALT_ACCESO" sheetId="143" r:id="R11ce60360b3c43b3"/>
    <x:sheet xmlns:r="http://schemas.openxmlformats.org/officeDocument/2006/relationships" name="RF014_ALT_PREVIA" sheetId="144" r:id="Re2d18d9048cc4650"/>
    <x:sheet xmlns:r="http://schemas.openxmlformats.org/officeDocument/2006/relationships" name="RF016_ALT_PREVIA" sheetId="145" r:id="R0816f6f66311440b"/>
    <x:sheet xmlns:r="http://schemas.openxmlformats.org/officeDocument/2006/relationships" name="RF047_ALT_LICENCIA" sheetId="146" r:id="R25fe07eb8bec429f"/>
    <x:sheet xmlns:r="http://schemas.openxmlformats.org/officeDocument/2006/relationships" name="RF030_ALT_FIN_PREMIUM" sheetId="147" r:id="R72b7af5de4c74e12"/>
    <x:sheet xmlns:r="http://schemas.openxmlformats.org/officeDocument/2006/relationships" name="SUBFLUJO_ELIMINACION_30D" sheetId="148" r:id="Rd9fcd9fc97c64f14"/>
    <x:sheet xmlns:r="http://schemas.openxmlformats.org/officeDocument/2006/relationships" name="BCE_TIVE" sheetId="149" r:id="R9f1aea77784049c8"/>
    <x:sheet xmlns:r="http://schemas.openxmlformats.org/officeDocument/2006/relationships" name="REGLAS_TRANSVERSALES" sheetId="150" r:id="R103978e38eae4214"/>
    <x:sheet xmlns:r="http://schemas.openxmlformats.org/officeDocument/2006/relationships" name="PENDIENTES_VERIFICACION" sheetId="151" r:id="R91d827a988b244b2"/>
    <x:sheet xmlns:r="http://schemas.openxmlformats.org/officeDocument/2006/relationships" name="CONTROL_RF01_RF64" sheetId="152" r:id="Rcaf65d25d73949b0"/>
    <x:sheet xmlns:r="http://schemas.openxmlformats.org/officeDocument/2006/relationships" name="CAMBIOS_APLICADOS" sheetId="153" r:id="R06fa7d9009b14a95"/>
    <x:sheet xmlns:r="http://schemas.openxmlformats.org/officeDocument/2006/relationships" name="VALIDACION_FINAL" sheetId="154" r:id="R3d1981853f354b2f"/>
    <x:sheet xmlns:r="http://schemas.openxmlformats.org/officeDocument/2006/relationships" name="AJUSTES_EXITOSOS_2026" sheetId="155" r:id="R6013056f33584891"/>
    <x:sheet xmlns:r="http://schemas.openxmlformats.org/officeDocument/2006/relationships" name="REVISION_CRUZADA_EXITOSOS" sheetId="156" r:id="R78e6e99bd51e4820"/>
    <x:sheet xmlns:r="http://schemas.openxmlformats.org/officeDocument/2006/relationships" name="AUDITORIA_EXITOSOS_FINAL" sheetId="157" r:id="R3bacdc015efd432f"/>
    <x:sheet xmlns:r="http://schemas.openxmlformats.org/officeDocument/2006/relationships" name="REGISTRO_CORRECCIONES_FINAL" sheetId="158" r:id="R3e66fc6e83764569"/>
    <x:sheet xmlns:r="http://schemas.openxmlformats.org/officeDocument/2006/relationships" name="CAMBIOS_RF53_RF07" sheetId="159" r:id="R4b9cacbce9de41f5"/>
    <x:sheet xmlns:r="http://schemas.openxmlformats.org/officeDocument/2006/relationships" name="AUD_RESUMEN" sheetId="160" r:id="R5d517867472946bf"/>
    <x:sheet xmlns:r="http://schemas.openxmlformats.org/officeDocument/2006/relationships" name="AUD_HALLAZGOS" sheetId="161" r:id="R51b79376753c4d35"/>
    <x:sheet xmlns:r="http://schemas.openxmlformats.org/officeDocument/2006/relationships" name="AUD_RF64" sheetId="162" r:id="Rd89f284065154e24"/>
    <x:sheet xmlns:r="http://schemas.openxmlformats.org/officeDocument/2006/relationships" name="AUD_DEPENDENCIAS" sheetId="163" r:id="Ref0d358708a94d93"/>
    <x:sheet xmlns:r="http://schemas.openxmlformats.org/officeDocument/2006/relationships" name="AUD_CONTRATOS" sheetId="164" r:id="R193ae66eacf94005"/>
    <x:sheet xmlns:r="http://schemas.openxmlformats.org/officeDocument/2006/relationships" name="AUD_OBJETOS" sheetId="165" r:id="R16f936f71a634d09"/>
    <x:sheet xmlns:r="http://schemas.openxmlformats.org/officeDocument/2006/relationships" name="AUD_METODOS" sheetId="166" r:id="Rcdb38a782a2b45c3"/>
    <x:sheet xmlns:r="http://schemas.openxmlformats.org/officeDocument/2006/relationships" name="AUD_REGLAS" sheetId="167" r:id="R399950c54b1248ec"/>
    <x:sheet xmlns:r="http://schemas.openxmlformats.org/officeDocument/2006/relationships" name="AUD_PRUEBAS" sheetId="168" r:id="Rc50a3ace243a4482"/>
    <x:sheet xmlns:r="http://schemas.openxmlformats.org/officeDocument/2006/relationships" name="AUD_CAMBIOS_2110" sheetId="169" r:id="R0726eeae56fa44fa"/>
    <x:sheet xmlns:r="http://schemas.openxmlformats.org/officeDocument/2006/relationships" name="EF_CONTROL_64" sheetId="170" r:id="Rb9cf7b443a984fce"/>
    <x:sheet xmlns:r="http://schemas.openxmlformats.org/officeDocument/2006/relationships" name="EF_CAMBIOS_2110" sheetId="171" r:id="Rc72b4694cc2445c6"/>
    <x:sheet xmlns:r="http://schemas.openxmlformats.org/officeDocument/2006/relationships" name="EF_PENDIENTES_TEC" sheetId="172" r:id="R72752cf0b28e4238"/>
    <x:sheet xmlns:r="http://schemas.openxmlformats.org/officeDocument/2006/relationships" name="EF_VEREDICTO_2110" sheetId="173" r:id="R6ab1390b0d314c57"/>
    <x:sheet xmlns:r="http://schemas.openxmlformats.org/officeDocument/2006/relationships" name="DECISIONES_CIERRE_20261021" sheetId="174" r:id="Rd8fd5c9ab3d24403"/>
    <x:sheet xmlns:r="http://schemas.openxmlformats.org/officeDocument/2006/relationships" name="CONTRATOS_PROG_VEH_TIVE" sheetId="175" r:id="R4ac31b4b27104a66"/>
    <x:sheet xmlns:r="http://schemas.openxmlformats.org/officeDocument/2006/relationships" name="MAPA_IMPACTO_CIERRE" sheetId="176" r:id="R9fb6a9e2b03841f0"/>
    <x:sheet xmlns:r="http://schemas.openxmlformats.org/officeDocument/2006/relationships" name="CASOS_PRUEBA_CIERRE" sheetId="177" r:id="R0743e82e4b0f4c5a"/>
    <x:sheet xmlns:r="http://schemas.openxmlformats.org/officeDocument/2006/relationships" name="CAMBIOS_DECISIONES_20261021" sheetId="178" r:id="Rca3243d1375a47a2"/>
    <x:sheet xmlns:r="http://schemas.openxmlformats.org/officeDocument/2006/relationships" name="CIERRE_EF_20261021" sheetId="179" r:id="Rad0f5c34b6024f4b"/>
    <x:sheet xmlns:r="http://schemas.openxmlformats.org/officeDocument/2006/relationships" name="DECISIONES_D14_D19" sheetId="180" r:id="Rceb69ef6aa7a48c3"/>
    <x:sheet xmlns:r="http://schemas.openxmlformats.org/officeDocument/2006/relationships" name="RF01_RF64_ESTADO_CIERRE" sheetId="181" r:id="Rf87543ab9e3b47a6"/>
    <x:sheet xmlns:r="http://schemas.openxmlformats.org/officeDocument/2006/relationships" name="PRUEBAS_CONGELACION_EF" sheetId="182" r:id="R7c3a67dc4d034fe7"/>
    <x:sheet xmlns:r="http://schemas.openxmlformats.org/officeDocument/2006/relationships" name="CAMBIOS_CIERRE_EF" sheetId="183" r:id="R383e4c1951ff41d9"/>
    <x:sheet xmlns:r="http://schemas.openxmlformats.org/officeDocument/2006/relationships" name="AUDITORIA_CONSOLIDACION" sheetId="184" r:id="R3483ed9fc2cd45d5"/>
    <x:sheet xmlns:r="http://schemas.openxmlformats.org/officeDocument/2006/relationships" name="E_OBSERVACIONES_TECNICAS" sheetId="185" r:id="R6609aa17a35c4dfd"/>
    <x:sheet xmlns:r="http://schemas.openxmlformats.org/officeDocument/2006/relationships" name="E_CONCORDANCIA_MVP" sheetId="186" r:id="R6f850d72aceb4943"/>
    <x:sheet xmlns:r="http://schemas.openxmlformats.org/officeDocument/2006/relationships" name="F_GUIA_MVP_Y_FUTURO" sheetId="187" r:id="R1e5cb89f15914c8c"/>
    <x:sheet xmlns:r="http://schemas.openxmlformats.org/officeDocument/2006/relationships" name="F_ACUERDOS_ANTES_BD" sheetId="188" r:id="R0bdcf76c21b947de"/>
    <x:sheet xmlns:r="http://schemas.openxmlformats.org/officeDocument/2006/relationships" name="F_CAMBIOS_APLICADOS" sheetId="189" r:id="R2cc3075628584ac0"/>
    <x:sheet xmlns:r="http://schemas.openxmlformats.org/officeDocument/2006/relationships" name="F_ALINEACION_NAYU_MVP" sheetId="190" r:id="Rba0d7d89fe0d40c6"/>
    <x:sheet xmlns:r="http://schemas.openxmlformats.org/officeDocument/2006/relationships" name="F_INTEGRACION_RF17_RF14" sheetId="191" r:id="R63e58c02ac6f40c6"/>
    <x:sheet xmlns:r="http://schemas.openxmlformats.org/officeDocument/2006/relationships" name="F_ACUERDOS_FINALES_20261025" sheetId="192" r:id="R79259fbe6af84341"/>
    <x:sheet xmlns:r="http://schemas.openxmlformats.org/officeDocument/2006/relationships" name="F_ORDEN_POST_RF08_SEBASTIAN" sheetId="193" r:id="R2cea856131304c6c"/>
    <x:sheet xmlns:r="http://schemas.openxmlformats.org/officeDocument/2006/relationships" name="N_MVP_LEEME" sheetId="194" r:id="Redaf95f2802a4d04"/>
    <x:sheet xmlns:r="http://schemas.openxmlformats.org/officeDocument/2006/relationships" name="N_ACUERDOS_PENDIENTES" sheetId="195" r:id="Rb6bf1766e9904f04"/>
    <x:sheet xmlns:r="http://schemas.openxmlformats.org/officeDocument/2006/relationships" name="N_REVISION_BCE" sheetId="196" r:id="R07544ee1f7e348b7"/>
    <x:sheet xmlns:r="http://schemas.openxmlformats.org/officeDocument/2006/relationships" name="N_CONCORDANCIA_RF14_RF17" sheetId="197" r:id="Rad803f3a2d724faa"/>
    <x:sheet xmlns:r="http://schemas.openxmlformats.org/officeDocument/2006/relationships" name="N_INTEGRACION_ELSA_MVP" sheetId="198" r:id="R6ecb2fd8f5e045a1"/>
    <x:sheet xmlns:r="http://schemas.openxmlformats.org/officeDocument/2006/relationships" name="00_INDICE" sheetId="199" r:id="R98f7e5d1367245af"/>
    <x:sheet xmlns:r="http://schemas.openxmlformats.org/officeDocument/2006/relationships" name="01_RF065_EF1" sheetId="200" r:id="Rf303307991b141a7"/>
    <x:sheet xmlns:r="http://schemas.openxmlformats.org/officeDocument/2006/relationships" name="02_REGLAS_NEGOCIO" sheetId="201" r:id="Rebc2e1a774c94b7c"/>
    <x:sheet xmlns:r="http://schemas.openxmlformats.org/officeDocument/2006/relationships" name="03_MATRIZ_EA" sheetId="202" r:id="R98888b4dbb794a4a"/>
    <x:sheet xmlns:r="http://schemas.openxmlformats.org/officeDocument/2006/relationships" name="RF065_EA01" sheetId="203" r:id="R6184f7d7beff40b3"/>
    <x:sheet xmlns:r="http://schemas.openxmlformats.org/officeDocument/2006/relationships" name="RF065_EA02" sheetId="204" r:id="R94b254ceacad4baf"/>
    <x:sheet xmlns:r="http://schemas.openxmlformats.org/officeDocument/2006/relationships" name="RF065_EA03" sheetId="205" r:id="R5a63016649be4ec8"/>
    <x:sheet xmlns:r="http://schemas.openxmlformats.org/officeDocument/2006/relationships" name="RF065_EA04" sheetId="206" r:id="R4c70ed92ccbc46d6"/>
    <x:sheet xmlns:r="http://schemas.openxmlformats.org/officeDocument/2006/relationships" name="RF065_EA05" sheetId="207" r:id="R6edf134e95da4cc4"/>
    <x:sheet xmlns:r="http://schemas.openxmlformats.org/officeDocument/2006/relationships" name="RF065_EA06" sheetId="208" r:id="R266c41b8b25b420b"/>
    <x:sheet xmlns:r="http://schemas.openxmlformats.org/officeDocument/2006/relationships" name="RF065_EA07" sheetId="209" r:id="R6f4ba124e86c4622"/>
    <x:sheet xmlns:r="http://schemas.openxmlformats.org/officeDocument/2006/relationships" name="RF065_EA08" sheetId="210" r:id="R62abb42108074dc1"/>
    <x:sheet xmlns:r="http://schemas.openxmlformats.org/officeDocument/2006/relationships" name="RF065_EA09" sheetId="211" r:id="R38b02b50dc574481"/>
    <x:sheet xmlns:r="http://schemas.openxmlformats.org/officeDocument/2006/relationships" name="RF065_EA10" sheetId="212" r:id="Rc69d6107d4424017"/>
    <x:sheet xmlns:r="http://schemas.openxmlformats.org/officeDocument/2006/relationships" name="RF065_EA11" sheetId="213" r:id="R7845ffa74dbc4559"/>
    <x:sheet xmlns:r="http://schemas.openxmlformats.org/officeDocument/2006/relationships" name="RF065_EA12" sheetId="214" r:id="R1f314e0fc2b54b1a"/>
    <x:sheet xmlns:r="http://schemas.openxmlformats.org/officeDocument/2006/relationships" name="RF065_EA13" sheetId="215" r:id="Rb98d68c3615b4691"/>
    <x:sheet xmlns:r="http://schemas.openxmlformats.org/officeDocument/2006/relationships" name="04_MERMAID_UML" sheetId="216" r:id="R5314873005da42e9"/>
    <x:sheet xmlns:r="http://schemas.openxmlformats.org/officeDocument/2006/relationships" name="05_IMPACTO_BD" sheetId="217" r:id="Rd9cddca05a9247ec"/>
    <x:sheet xmlns:r="http://schemas.openxmlformats.org/officeDocument/2006/relationships" name="06_INTEGRACION_RF" sheetId="218" r:id="R6cc3c42d4c044933"/>
    <x:sheet xmlns:r="http://schemas.openxmlformats.org/officeDocument/2006/relationships" name="07_PRUEBAS_TDD" sheetId="219" r:id="Rb15776347c2c4d2e"/>
    <x:sheet xmlns:r="http://schemas.openxmlformats.org/officeDocument/2006/relationships" name="08_TRAZABILIDAD" sheetId="220" r:id="R2c1e82443e6d4d62"/>
    <x:sheet xmlns:r="http://schemas.openxmlformats.org/officeDocument/2006/relationships" name="09_VISTA_FLUJO_BCE" sheetId="221" r:id="R441cb10a4d6c4831"/>
    <x:sheet xmlns:r="http://schemas.openxmlformats.org/officeDocument/2006/relationships" name="MAPA_FUENTES_2810" sheetId="222" r:id="R17c3fd896ecd467c"/>
    <x:sheet xmlns:r="http://schemas.openxmlformats.org/officeDocument/2006/relationships" name="BITACORA_CELDAS_2810" sheetId="223" r:id="Ra1d2ddcf195448bd"/>
    <x:sheet xmlns:r="http://schemas.openxmlformats.org/officeDocument/2006/relationships" name="PENDIENTES_2810" sheetId="224" r:id="R7c0f3350370e417a"/>
    <x:sheet xmlns:r="http://schemas.openxmlformats.org/officeDocument/2006/relationships" name="COMPAT_RF65_2810" sheetId="225" r:id="R050a080d9d0f4dd6"/>
    <x:sheet xmlns:r="http://schemas.openxmlformats.org/officeDocument/2006/relationships" name="00_LEEME_20261028" sheetId="226" r:id="R08d8d2f8fc0d4b88"/>
    <x:sheet xmlns:r="http://schemas.openxmlformats.org/officeDocument/2006/relationships" name="CHECKS_20261028" sheetId="227" r:id="R3fea9a3afcaf402a"/>
    <x:sheet xmlns:r="http://schemas.openxmlformats.org/officeDocument/2006/relationships" name="RF001-E1" sheetId="228" r:id="Rdae01cdcdc814ac7"/>
    <x:sheet xmlns:r="http://schemas.openxmlformats.org/officeDocument/2006/relationships" name="RF002-E1" sheetId="229" r:id="R782b16eae4044bf0"/>
    <x:sheet xmlns:r="http://schemas.openxmlformats.org/officeDocument/2006/relationships" name="RF006-E1" sheetId="230" r:id="Rac73ce604ad04c0b"/>
  </x:sheets>
</x:workbook>
</file>

<file path=xl/sharedStrings.xml><?xml version="1.0" encoding="utf-8"?>
<x:sst xmlns:x="http://schemas.openxmlformats.org/spreadsheetml/2006/main">
  <x:si>
    <x:t xml:space="preserve">DIAGRAMA DE SECUENCIAS — RF-003-Recuperar acceso a la cuenta  |  EVENTO EXITOSO</x:t>
  </x:si>
  <x:si>
    <x:t xml:space="preserve">Patrón: Actor → Interfaz → Control → Entidad  |  61 pasos  |  7 bloques</x:t>
  </x:si>
  <x:si>
    <x:t xml:space="preserve">#</x:t>
  </x:si>
  <x:si>
    <x:t xml:space="preserve">Bloque</x:t>
  </x:si>
  <x:si>
    <x:t xml:space="preserve">Objeto Origen</x:t>
  </x:si>
  <x:si>
    <x:t xml:space="preserve">Flecha</x:t>
  </x:si>
  <x:si>
    <x:t xml:space="preserve">Objeto Destino</x:t>
  </x:si>
  <x:si>
    <x:t xml:space="preserve">Método / Mensaje</x:t>
  </x:si>
  <x:si>
    <x:t xml:space="preserve">Descripción / Nota</x:t>
  </x:si>
  <x:si>
    <x:t xml:space="preserve">  BLOQUE 1 · Acceso a la opción de recuperación de contraseña  (Pasos 1–7)</x:t>
  </x:si>
  <x:si>
    <x:t xml:space="preserve">B1</x:t>
  </x:si>
  <x:si>
    <x:t xml:space="preserve">AS_Usuario</x:t>
  </x:si>
  <x:si>
    <x:t xml:space="preserve">───►  (llamada)</x:t>
  </x:si>
  <x:si>
    <x:t xml:space="preserve">I_Bienvenida</x:t>
  </x:si>
  <x:si>
    <x:t xml:space="preserve">seleccionarInicioSesion()</x:t>
  </x:si>
  <x:si>
    <x:t xml:space="preserve">El usuario selecciona la opción iniciar sesión.</x:t>
  </x:si>
  <x:si>
    <x:t xml:space="preserve">C_InicioSesion</x:t>
  </x:si>
  <x:si>
    <x:t xml:space="preserve">solicitarInicioSesion()</x:t>
  </x:si>
  <x:si>
    <x:t xml:space="preserve">La interfaz comunica al controlador la solicitud de acceso.</x:t>
  </x:si>
  <x:si>
    <x:t xml:space="preserve">↩  (auto-msg)</x:t>
  </x:si>
  <x:si>
    <x:t xml:space="preserve">inicializarCampoContrasena(OCULTA)</x:t>
  </x:si>
  <x:si>
    <x:t xml:space="preserve">El controlador establece que el campo Contraseña del login inicia en estado visual OCULTA, manteniendo la misma regla de RF02.</x:t>
  </x:si>
  <x:si>
    <x:t xml:space="preserve">I_InicioSesion</x:t>
  </x:si>
  <x:si>
    <x:t xml:space="preserve">mostrarFormularioLogin(OCULTA)</x:t>
  </x:si>
  <x:si>
    <x:t xml:space="preserve">El controlador solicita mostrar correo, contraseña, Mostrar/Ocultar y “Olvidé mi contraseña”.</x:t>
  </x:si>
  <x:si>
    <x:t xml:space="preserve">visualizarFormularioLogin()</x:t>
  </x:si>
  <x:si>
    <x:t xml:space="preserve">El usuario visualiza la pantalla de Inicio de sesión.</x:t>
  </x:si>
  <x:si>
    <x:t xml:space="preserve">seleccionarRecuperarContrasena()</x:t>
  </x:si>
  <x:si>
    <x:t xml:space="preserve">El usuario selecciona “Olvidé mi contraseña”.</x:t>
  </x:si>
  <x:si>
    <x:t xml:space="preserve">C_RecuperacionCuenta</x:t>
  </x:si>
  <x:si>
    <x:t xml:space="preserve">solicitarRecuperacionCuenta()</x:t>
  </x:si>
  <x:si>
    <x:t xml:space="preserve">La interfaz solicita iniciar el proceso de recuperación.</x:t>
  </x:si>
  <x:si>
    <x:t xml:space="preserve">  BLOQUE 2 · Ingreso y validación del correo de recuperación  (Pasos 8–19)</x:t>
  </x:si>
  <x:si>
    <x:t xml:space="preserve">B2</x:t>
  </x:si>
  <x:si>
    <x:t xml:space="preserve">I_RecuperacionContrasena</x:t>
  </x:si>
  <x:si>
    <x:t xml:space="preserve">mostrarFormularioRecuperacion()</x:t>
  </x:si>
  <x:si>
    <x:t xml:space="preserve">El controlador solicita mostrar el formulario para ingresar el correo asociado a la cuenta.</x:t>
  </x:si>
  <x:si>
    <x:t xml:space="preserve">mostrarCampoCorreo()</x:t>
  </x:si>
  <x:si>
    <x:t xml:space="preserve">La interfaz muestra el campo Correo electrónico.</x:t>
  </x:si>
  <x:si>
    <x:t xml:space="preserve">ingresarCorreo(correo)</x:t>
  </x:si>
  <x:si>
    <x:t xml:space="preserve">El usuario ingresa el correo asociado a su cuenta.</x:t>
  </x:si>
  <x:si>
    <x:t xml:space="preserve">enviarCorreoRecuperacion(correo)</x:t>
  </x:si>
  <x:si>
    <x:t xml:space="preserve">La interfaz envía el correo al controlador.</x:t>
  </x:si>
  <x:si>
    <x:t xml:space="preserve">C_ValidacionRecuperacion</x:t>
  </x:si>
  <x:si>
    <x:t xml:space="preserve">validarCorreoRecuperacion(correo)</x:t>
  </x:si>
  <x:si>
    <x:t xml:space="preserve">El controlador solicita validar el correo ingresado.</x:t>
  </x:si>
  <x:si>
    <x:t xml:space="preserve">validarCampoCorreoObligatorio(correo)</x:t>
  </x:si>
  <x:si>
    <x:t xml:space="preserve">Comprueba que el correo no esté vacío.</x:t>
  </x:si>
  <x:si>
    <x:t xml:space="preserve">validarFormatoCorreo(correo)</x:t>
  </x:si>
  <x:si>
    <x:t xml:space="preserve">Verifica que el correo tenga una estructura válida.</x:t>
  </x:si>
  <x:si>
    <x:t xml:space="preserve">E_Usuario</x:t>
  </x:si>
  <x:si>
    <x:t xml:space="preserve">consultarUsuarioPorCorreo(correo)</x:t>
  </x:si>
  <x:si>
    <x:t xml:space="preserve">Busca correo sin filtrar el estado; puede ser ACTIVA, SUSPENDIDA, PENDIENTE_ELIMINACION y ELIMINADA_DEFINITIVA. Solo ACTIVA está habilitada para recuperar contraseña mediante este RF. Recuperar una cuenta PENDIENTE_ELIMINACION corresponde a RF59.</x:t>
  </x:si>
  <x:si>
    <x:t xml:space="preserve">◄ ─ ─  (return)</x:t>
  </x:si>
  <x:si>
    <x:t xml:space="preserve">retornarDatosUsuario(existeUsuario,idUsuario,correo,estadoUsuario)</x:t>
  </x:si>
  <x:si>
    <x:t xml:space="preserve">La entidad devuelve si existe la cuenta, su identificador, correo y estado.</x:t>
  </x:si>
  <x:si>
    <x:t xml:space="preserve">validarExistenciaUsuario(existeUsuario)</x:t>
  </x:si>
  <x:si>
    <x:t xml:space="preserve">Comprueba que exista una cuenta asociada al correo.</x:t>
  </x:si>
  <x:si>
    <x:t xml:space="preserve">validarEstadoUsuario(estadoUsuario)</x:t>
  </x:si>
  <x:si>
    <x:t xml:space="preserve">Comprueba que el estado sea exclusivamente ACTIVA. No emite código de recuperación de contraseña para cuentas SUSPENDIDAS, PENDIENTE_ELIMINACION ni ELIMINADA_DEFINITIVA; la recuperación de cuenta pendiente se gestiona en RF59.</x:t>
  </x:si>
  <x:si>
    <x:t xml:space="preserve">retornarResultadoValidacion(idUsuario,correo)</x:t>
  </x:si>
  <x:si>
    <x:t xml:space="preserve">En el evento exitoso devuelve que el correo pertenece a una cuenta existente y ACTIVA.</x:t>
  </x:si>
  <x:si>
    <x:t xml:space="preserve">  BLOQUE 3 · Generación y envío del código de recuperación  (Pasos 20–26)</x:t>
  </x:si>
  <x:si>
    <x:t xml:space="preserve">B3</x:t>
  </x:si>
  <x:si>
    <x:t xml:space="preserve">C_EnvioCodigoRecuperacion</x:t>
  </x:si>
  <x:si>
    <x:t xml:space="preserve">generarEnviarCodigoRecuperacion(idUsuario)</x:t>
  </x:si>
  <x:si>
    <x:t xml:space="preserve">El controlador solicita generar y enviar un código temporal al usuario validado.</x:t>
  </x:si>
  <x:si>
    <x:t xml:space="preserve">generarCodigoRecuperacion()</x:t>
  </x:si>
  <x:si>
    <x:t xml:space="preserve">Genera un código temporal de recuperación.</x:t>
  </x:si>
  <x:si>
    <x:t xml:space="preserve">establecerVigenciaCodigo(fechaActual)</x:t>
  </x:si>
  <x:si>
    <x:t xml:space="preserve">Determina la fecha de expiración del código según el tiempo de vigencia establecido.</x:t>
  </x:si>
  <x:si>
    <x:t xml:space="preserve">E_CodigoRecuperacion</x:t>
  </x:si>
  <x:si>
    <x:t xml:space="preserve">registrarCodigoRecuperacion(idUsuario,codigo,fechaExpiracion,ACTIVO)</x:t>
  </x:si>
  <x:si>
    <x:t xml:space="preserve">Almacena el código asociado al usuario con estado ACTIVO y su fecha de expiración.</x:t>
  </x:si>
  <x:si>
    <x:t xml:space="preserve">confirmarRegistroCodigo()</x:t>
  </x:si>
  <x:si>
    <x:t xml:space="preserve">La entidad confirma que el código temporal fue almacenado.</x:t>
  </x:si>
  <x:si>
    <x:t xml:space="preserve">enviarCodigoCorreo(correo,codigo)</x:t>
  </x:si>
  <x:si>
    <x:t xml:space="preserve">Gestiona el envío del código al correo registrado.</x:t>
  </x:si>
  <x:si>
    <x:t xml:space="preserve">confirmarEnvioCodigo()</x:t>
  </x:si>
  <x:si>
    <x:t xml:space="preserve">Informa que el código fue generado, registrado y enviado correctamente.</x:t>
  </x:si>
  <x:si>
    <x:t xml:space="preserve">  BLOQUE 4 · Verificación del código de recuperación  (Pasos 27–39)</x:t>
  </x:si>
  <x:si>
    <x:t xml:space="preserve">B4</x:t>
  </x:si>
  <x:si>
    <x:t xml:space="preserve">I_VerificarCodigo</x:t>
  </x:si>
  <x:si>
    <x:t xml:space="preserve">mostrarFormularioCodigo()</x:t>
  </x:si>
  <x:si>
    <x:t xml:space="preserve">El controlador solicita mostrar la interfaz para ingresar el código recibido.</x:t>
  </x:si>
  <x:si>
    <x:t xml:space="preserve">mostrarCampoCodigo()</x:t>
  </x:si>
  <x:si>
    <x:t xml:space="preserve">La interfaz muestra el campo Código de recuperación.</x:t>
  </x:si>
  <x:si>
    <x:t xml:space="preserve">ingresarCodigo(codigo)</x:t>
  </x:si>
  <x:si>
    <x:t xml:space="preserve">El usuario ingresa el código recibido por correo y selecciona la opción Verificar.</x:t>
  </x:si>
  <x:si>
    <x:t xml:space="preserve">enviarCodigoIngresado(codigo)</x:t>
  </x:si>
  <x:si>
    <x:t xml:space="preserve">La interfaz envía el código al controlador.</x:t>
  </x:si>
  <x:si>
    <x:t xml:space="preserve">validarCodigoRecuperacion(codigo,idUsuario)</x:t>
  </x:si>
  <x:si>
    <x:t xml:space="preserve">Solicita validar el código ingresado.</x:t>
  </x:si>
  <x:si>
    <x:t xml:space="preserve">validarCampoCodigoObligatorio(codigo)</x:t>
  </x:si>
  <x:si>
    <x:t xml:space="preserve">Comprueba que el código no esté vacío.</x:t>
  </x:si>
  <x:si>
    <x:t xml:space="preserve">consultarCodigoRecuperacion(codigo,idUsuario)</x:t>
  </x:si>
  <x:si>
    <x:t xml:space="preserve">Consulta el código asociado al usuario.</x:t>
  </x:si>
  <x:si>
    <x:t xml:space="preserve">retornarDatosCodigo(existeCodigo,codigoRegistrado,fechaExpiracion,estado)</x:t>
  </x:si>
  <x:si>
    <x:t xml:space="preserve">La entidad devuelve los datos almacenados del código.</x:t>
  </x:si>
  <x:si>
    <x:t xml:space="preserve">validarExistenciaCodigo(existeCodigo)</x:t>
  </x:si>
  <x:si>
    <x:t xml:space="preserve">Comprueba que el código exista para el usuario.</x:t>
  </x:si>
  <x:si>
    <x:t xml:space="preserve">validarCoincidenciaCodigo(codigoIngresado,codigoRegistrado)</x:t>
  </x:si>
  <x:si>
    <x:t xml:space="preserve">Comprueba que el código ingresado coincida con el almacenado.</x:t>
  </x:si>
  <x:si>
    <x:t xml:space="preserve">validarEstadoCodigo(estado)</x:t>
  </x:si>
  <x:si>
    <x:t xml:space="preserve">Verifica que el código se encuentre ACTIVO y no haya sido utilizado previamente.</x:t>
  </x:si>
  <x:si>
    <x:t xml:space="preserve">validarVigenciaCodigo(fechaActual,fechaExpiracion)</x:t>
  </x:si>
  <x:si>
    <x:t xml:space="preserve">Comprueba que el código todavía se encuentre dentro de su periodo válido.</x:t>
  </x:si>
  <x:si>
    <x:t xml:space="preserve">retornarResultadoCodigo(resultadoValidacion)</x:t>
  </x:si>
  <x:si>
    <x:t xml:space="preserve">Devuelve que el código fue validado correctamente.</x:t>
  </x:si>
  <x:si>
    <x:t xml:space="preserve">  BLOQUE 5 · Ingreso, visibilidad y validación de nueva contraseña (Pasos 40–54)</x:t>
  </x:si>
  <x:si>
    <x:t xml:space="preserve">B5</x:t>
  </x:si>
  <x:si>
    <x:t xml:space="preserve">inicializarCamposNuevaContrasena(OCULTA)</x:t>
  </x:si>
  <x:si>
    <x:t xml:space="preserve">Inicializa Nueva contraseña y Confirmar contraseña en estado visual OCULTA.</x:t>
  </x:si>
  <x:si>
    <x:t xml:space="preserve">I_NuevaContrasena</x:t>
  </x:si>
  <x:si>
    <x:t xml:space="preserve">mostrarFormularioNuevaContrasena(OCULTA)</x:t>
  </x:si>
  <x:si>
    <x:t xml:space="preserve">Solicita mostrar los campos Nueva contraseña y Confirmar contraseña con opción Mostrar/Ocultar.</x:t>
  </x:si>
  <x:si>
    <x:t xml:space="preserve">visualizarFormularioNuevaContrasena()</x:t>
  </x:si>
  <x:si>
    <x:t xml:space="preserve">El usuario visualiza el formulario para establecer la nueva contraseña.</x:t>
  </x:si>
  <x:si>
    <x:t xml:space="preserve">completarFormularioNuevaContrasena(nuevaContrasena,confirmarContrasena)</x:t>
  </x:si>
  <x:si>
    <x:t xml:space="preserve">El usuario ingresa la nueva contraseña y su confirmación. Ambas permanecen inicialmente ocultas y, opcionalmente, puede Mostrar/Ocultar el campo seleccionado.</x:t>
  </x:si>
  <x:si>
    <x:t xml:space="preserve">solicitarCambioVisibilidad(campo)</x:t>
  </x:si>
  <x:si>
    <x:t xml:space="preserve">Si seleccionó Mostrar/Ocultar, la interfaz comunica la acción al controlador. (opcional)</x:t>
  </x:si>
  <x:si>
    <x:t xml:space="preserve">alternarVisibilidadContrasena(campo)</x:t>
  </x:si>
  <x:si>
    <x:t xml:space="preserve">Alterna el estado OCULTA ↔ VISIBLE. (opcional)</x:t>
  </x:si>
  <x:si>
    <x:t xml:space="preserve">actualizarVisibilidadContrasena(campo,estadoVisual)</x:t>
  </x:si>
  <x:si>
    <x:t xml:space="preserve">Indica a la interfaz cómo debe presentar el campo seleccionado. (opcional)</x:t>
  </x:si>
  <x:si>
    <x:t xml:space="preserve">visualizarContrasena(estadoVisual)</x:t>
  </x:si>
  <x:si>
    <x:t xml:space="preserve">El usuario visualiza puntos o texto según el estado seleccionado. (opcional)</x:t>
  </x:si>
  <x:si>
    <x:t xml:space="preserve">seleccionarActualizarContrasena()</x:t>
  </x:si>
  <x:si>
    <x:t xml:space="preserve">El usuario solicita Guardar contraseña.</x:t>
  </x:si>
  <x:si>
    <x:t xml:space="preserve">enviarNuevaContrasena(datosContrasena)</x:t>
  </x:si>
  <x:si>
    <x:t xml:space="preserve">La interfaz envía Nueva contraseña y Confirmar contraseña al controlador.</x:t>
  </x:si>
  <x:si>
    <x:t xml:space="preserve">validarNuevaContrasena(datosContrasena)</x:t>
  </x:si>
  <x:si>
    <x:t xml:space="preserve">Solicita validar la nueva contraseña.</x:t>
  </x:si>
  <x:si>
    <x:t xml:space="preserve">validarCamposObligatoriosNuevaContrasena(datosContrasena)</x:t>
  </x:si>
  <x:si>
    <x:t xml:space="preserve">Comprueba que Nueva contraseña y Confirmar contraseña tengan información.</x:t>
  </x:si>
  <x:si>
    <x:t xml:space="preserve">validarComplejidadContrasena(nuevaContrasena)</x:t>
  </x:si>
  <x:si>
    <x:t xml:space="preserve">Comprueba longitud, letras, números y caracteres especiales según la política definida.</x:t>
  </x:si>
  <x:si>
    <x:t xml:space="preserve">validarCoincidenciaContrasenas(nuevaContrasena,confirmarContrasena)</x:t>
  </x:si>
  <x:si>
    <x:t xml:space="preserve">Comprueba que ambos campos coincidan.</x:t>
  </x:si>
  <x:si>
    <x:t xml:space="preserve">retornarResultadoValidacionContrasena()</x:t>
  </x:si>
  <x:si>
    <x:t xml:space="preserve">Devuelve que la nueva contraseña cumple las validaciones.</x:t>
  </x:si>
  <x:si>
    <x:t xml:space="preserve">  BLOQUE 6 · Actualización segura e invalidación del código  (Pasos 55–59)</x:t>
  </x:si>
  <x:si>
    <x:t xml:space="preserve">B6</x:t>
  </x:si>
  <x:si>
    <x:t xml:space="preserve">generarHashContrasena(nuevaContrasena)</x:t>
  </x:si>
  <x:si>
    <x:t xml:space="preserve">Transforma la nueva contraseña mediante el mecanismo seguro definido. La contraseña en texto legible no se almacena.</x:t>
  </x:si>
  <x:si>
    <x:t xml:space="preserve">actualizarContrasena(idUsuario,hashNuevaContrasena)</x:t>
  </x:si>
  <x:si>
    <x:t xml:space="preserve">Solicita reemplazar la credencial protegida del usuario.</x:t>
  </x:si>
  <x:si>
    <x:t xml:space="preserve">confirmarActualizacionContrasena()</x:t>
  </x:si>
  <x:si>
    <x:t xml:space="preserve">La entidad confirma que la nueva contraseña fue almacenada correctamente.</x:t>
  </x:si>
  <x:si>
    <x:t xml:space="preserve">invalidarCodigosRecuperacion(idUsuario,codigoUtilizado)</x:t>
  </x:si>
  <x:si>
    <x:t xml:space="preserve">Solicita invalidar el código utilizado y los códigos de recuperación anteriores que permanezcan activos para evitar reutilización.</x:t>
  </x:si>
  <x:si>
    <x:t xml:space="preserve">confirmarInvalidacionCodigos()</x:t>
  </x:si>
  <x:si>
    <x:t xml:space="preserve">La entidad confirma que los códigos correspondientes quedaron inutilizables.</x:t>
  </x:si>
  <x:si>
    <x:t xml:space="preserve">  BLOQUE 7 · Confirmación del cambio de contraseña  (Pasos 60–61)</x:t>
  </x:si>
  <x:si>
    <x:t xml:space="preserve">B7</x:t>
  </x:si>
  <x:si>
    <x:t xml:space="preserve">I_ConfirmacionOperacion</x:t>
  </x:si>
  <x:si>
    <x:t xml:space="preserve">mostrarCambioContrasenaExitoso()</x:t>
  </x:si>
  <x:si>
    <x:t xml:space="preserve">El controlador solicita mostrar la confirmación general de la operación.</x:t>
  </x:si>
  <x:si>
    <x:t xml:space="preserve">visualizarCambioExitoso()</x:t>
  </x:si>
  <x:si>
    <x:t xml:space="preserve">El usuario visualiza que su contraseña fue actualizada correctamente.</x:t>
  </x:si>
  <x:si>
    <x:t xml:space="preserve">DIAGRAMA DE SECUENCIAS — RF-004-Consultar y modificar datos personales  |  EVENTO EXITOSO</x:t>
  </x:si>
  <x:si>
    <x:t xml:space="preserve">Patrón: Actor → Interfaz → Control → Entidad  |  35 pasos  |  5 bloques</x:t>
  </x:si>
  <x:si>
    <x:t xml:space="preserve">  BLOQUE 1 · Navegación hacia la sección perfil  (Pasos 1–8)</x:t>
  </x:si>
  <x:si>
    <x:t xml:space="preserve">I_Inicio</x:t>
  </x:si>
  <x:si>
    <x:t xml:space="preserve">ingresarSeccionPerfil()</x:t>
  </x:si>
  <x:si>
    <x:t xml:space="preserve">El usuario selecciona la sección Perfil desde la pantalla Inicio.</x:t>
  </x:si>
  <x:si>
    <x:t xml:space="preserve">C_Navegacion</x:t>
  </x:si>
  <x:si>
    <x:t xml:space="preserve">solicitarVistaPerfil()</x:t>
  </x:si>
  <x:si>
    <x:t xml:space="preserve">La interfaz solicita al controlador navegar hacia la sección Perfil.</x:t>
  </x:si>
  <x:si>
    <x:t xml:space="preserve">C_PerfilUsuario</x:t>
  </x:si>
  <x:si>
    <x:t xml:space="preserve">solicitarDatosPresentacionPerfil(idUsuario)</x:t>
  </x:si>
  <x:si>
    <x:t xml:space="preserve">El controlador de navegación solicita obtener los datos necesarios para presentar el Perfil del usuario autenticado.</x:t>
  </x:si>
  <x:si>
    <x:t xml:space="preserve">consultarDatosPresentacionPerfil(idUsuario)</x:t>
  </x:si>
  <x:si>
    <x:t xml:space="preserve">Solicita consultar el nombre, correo electrónico y foto personalizada del usuario.</x:t>
  </x:si>
  <x:si>
    <x:t xml:space="preserve">retornarDatosPresentacionPerfil(nombre,correo,fotoPerfil)</x:t>
  </x:si>
  <x:si>
    <x:t xml:space="preserve">La entidad devuelve el nombre, correo electrónico y la foto personalizada, si existe.</x:t>
  </x:si>
  <x:si>
    <x:t xml:space="preserve">determinarAvatarUsuario(nombre,fotoPerfil)</x:t>
  </x:si>
  <x:si>
    <x:t xml:space="preserve">Si existe una foto personalizada, se utiliza como avatar; si no existe, se genera automáticamente el avatar con las iniciales del nombre.</x:t>
  </x:si>
  <x:si>
    <x:t xml:space="preserve">I_Perfil</x:t>
  </x:si>
  <x:si>
    <x:t xml:space="preserve">mostrarVistaPerfil(nombre,correo,avatarUsuario)</x:t>
  </x:si>
  <x:si>
    <x:t xml:space="preserve">El controlador solicita cargar la interfaz Perfil con los datos de presentación del usuario y las opciones propias de la sección.</x:t>
  </x:si>
  <x:si>
    <x:t xml:space="preserve">visualizarVistaPerfil()</x:t>
  </x:si>
  <x:si>
    <x:t xml:space="preserve">El usuario visualiza su Perfil con su avatar, nombre y correo electrónico, además de las opciones disponibles (Datos personales, Cambiar contraseña, Licencia de conducir, Planes y suscripción, Notificaciones externas, Recordatorios de km, Modo claro, Cerrar sesión y Eliminar cuenta).</x:t>
  </x:si>
  <x:si>
    <x:t xml:space="preserve">  BLOQUE 2 · Consulta de información personal  (Pasos 9–14)</x:t>
  </x:si>
  <x:si>
    <x:t xml:space="preserve">seleccionarDatosPersonales()</x:t>
  </x:si>
  <x:si>
    <x:t xml:space="preserve">El usuario accede a la visualización de sus datos personales.</x:t>
  </x:si>
  <x:si>
    <x:t xml:space="preserve">solicitarDatosPerfil(idUsuario)</x:t>
  </x:si>
  <x:si>
    <x:t xml:space="preserve">La interfaz solicita obtener la información personal registrada del usuario.</x:t>
  </x:si>
  <x:si>
    <x:t xml:space="preserve">consultarDatosUsuario(idUsuario)</x:t>
  </x:si>
  <x:si>
    <x:t xml:space="preserve">El controlador solicita consultar los datos personales almacenados.</x:t>
  </x:si>
  <x:si>
    <x:t xml:space="preserve">visualizarDatosPersonales()</x:t>
  </x:si>
  <x:si>
    <x:t xml:space="preserve">  BLOQUE 3 · Solicitud de edición de datos personales  (Pasos 15–19)</x:t>
  </x:si>
  <x:si>
    <x:t xml:space="preserve">seleccionarEditarDatos()</x:t>
  </x:si>
  <x:si>
    <x:t xml:space="preserve">El usuario selecciona la opción editar.</x:t>
  </x:si>
  <x:si>
    <x:t xml:space="preserve">solicitarEdicionPerfil()</x:t>
  </x:si>
  <x:si>
    <x:t xml:space="preserve">La interfaz comunica la solicitud de edición al controlador.</x:t>
  </x:si>
  <x:si>
    <x:t xml:space="preserve">I_EditarPerfil</x:t>
  </x:si>
  <x:si>
    <x:t xml:space="preserve">mostrarCamposEditables()</x:t>
  </x:si>
  <x:si>
    <x:t xml:space="preserve">  BLOQUE 4 · Validación de datos modificados  (Pasos 20–28)</x:t>
  </x:si>
  <x:si>
    <x:t xml:space="preserve">C_ValidacionUsuario</x:t>
  </x:si>
  <x:si>
    <x:t xml:space="preserve">validarFormatoNombre(nombre)</x:t>
  </x:si>
  <x:si>
    <x:t xml:space="preserve">validarFechaNacimiento(fechaNacimiento)</x:t>
  </x:si>
  <x:si>
    <x:t xml:space="preserve">Comprueba que la fecha sea válida y no futura.</x:t>
  </x:si>
  <x:si>
    <x:t xml:space="preserve">calcularEdad(fechaNacimiento,fechaActual)</x:t>
  </x:si>
  <x:si>
    <x:t xml:space="preserve">Calcula la edad actual del usuario.</x:t>
  </x:si>
  <x:si>
    <x:t xml:space="preserve">retornarResultadoValidacion(datosValidados)</x:t>
  </x:si>
  <x:si>
    <x:t xml:space="preserve">  BLOQUE 5 · Actualización, resolución del avatar y confirmación  (Pasos 29–35)</x:t>
  </x:si>
  <x:si>
    <x:t xml:space="preserve">solicitarConfirmacionActualizacion()</x:t>
  </x:si>
  <x:si>
    <x:t xml:space="preserve">La interfaz solicita mostrar la confirmación del resultado exitoso.</x:t>
  </x:si>
  <x:si>
    <x:t xml:space="preserve">mostrarActualizacionExitosa()</x:t>
  </x:si>
  <x:si>
    <x:t xml:space="preserve">visualizarConfirmacionActualizacion()</x:t>
  </x:si>
  <x:si>
    <x:t xml:space="preserve">El usuario visualiza que sus datos personales fueron actualizados correctamente.</x:t>
  </x:si>
  <x:si>
    <x:t xml:space="preserve">DIAGRAMA DE SECUENCIAS — RF-005-Cambiar contraseña  |  EVENTO EXITOSO</x:t>
  </x:si>
  <x:si>
    <x:t xml:space="preserve">Patrón: Actor → Interfaz → Control → Entidad  |  35 pasos  |  6 bloques</x:t>
  </x:si>
  <x:si>
    <x:t xml:space="preserve">  BLOQUE 1 · Navegación hacia perfil  (Pasos 1–8)</x:t>
  </x:si>
  <x:si>
    <x:t xml:space="preserve">  BLOQUE 2 · Selección de cambio de contraseña  (Pasos 9–14)</x:t>
  </x:si>
  <x:si>
    <x:t xml:space="preserve">seleccionarCambiarContrasena()</x:t>
  </x:si>
  <x:si>
    <x:t xml:space="preserve">El usuario selecciona la opción cambiar contraseña dentro del perfil.</x:t>
  </x:si>
  <x:si>
    <x:t xml:space="preserve">solicitarCambioContrasena()</x:t>
  </x:si>
  <x:si>
    <x:t xml:space="preserve">La interfaz comunica la solicitud al controlador de Perfil.</x:t>
  </x:si>
  <x:si>
    <x:t xml:space="preserve">C_CambioContrasena</x:t>
  </x:si>
  <x:si>
    <x:t xml:space="preserve">iniciarCambioContrasena()</x:t>
  </x:si>
  <x:si>
    <x:t xml:space="preserve">El controlador de Perfil inicia el proceso específico de cambio de contraseña.</x:t>
  </x:si>
  <x:si>
    <x:t xml:space="preserve">inicializarCamposContrasena(OCULTA)</x:t>
  </x:si>
  <x:si>
    <x:t xml:space="preserve">Inicializa Contraseña actual, Nueva contraseña y Confirmar nueva contraseña en estado visual OCULTA.</x:t>
  </x:si>
  <x:si>
    <x:t xml:space="preserve">I_CambiarContrasena</x:t>
  </x:si>
  <x:si>
    <x:t xml:space="preserve">mostrarFormularioCambioContrasena(OCULTA)</x:t>
  </x:si>
  <x:si>
    <x:t xml:space="preserve">Solicita mostrar los tres campos de contraseña con opción Mostrar/Ocultar.</x:t>
  </x:si>
  <x:si>
    <x:t xml:space="preserve">visualizarFormularioCambioContrasena()</x:t>
  </x:si>
  <x:si>
    <x:t xml:space="preserve">El usuario visualiza el formulario con los tres campos inicialmente ocultos.</x:t>
  </x:si>
  <x:si>
    <x:t xml:space="preserve">  BLOQUE 3 · Ingreso y visibilidad de contraseñas  (Pasos 15–21)</x:t>
  </x:si>
  <x:si>
    <x:t xml:space="preserve">completarFormularioCambioContrasena(contrasenaActual,nuevaContrasena,confirmacion)</x:t>
  </x:si>
  <x:si>
    <x:t xml:space="preserve">El usuario completa los tres campos. Permanecen inicialmente ocultos y, opcionalmente, puede seleccionar Mostrar/Ocultar en el campo correspondiente.</x:t>
  </x:si>
  <x:si>
    <x:t xml:space="preserve">Si el usuario seleccionó Mostrar/Ocultar, la interfaz comunica la acción al controlador. Opcional.</x:t>
  </x:si>
  <x:si>
    <x:t xml:space="preserve">Alterna el estado visual OCULTA ↔ VISIBLE. Opcional.</x:t>
  </x:si>
  <x:si>
    <x:t xml:space="preserve">El controlador indica cómo presentar el campo seleccionado. Opcional.</x:t>
  </x:si>
  <x:si>
    <x:t xml:space="preserve">El usuario visualiza puntos o texto según el estado elegido. Opcional.</x:t>
  </x:si>
  <x:si>
    <x:t xml:space="preserve">El usuario solicita efectuar el cambio de contraseña.</x:t>
  </x:si>
  <x:si>
    <x:t xml:space="preserve">enviarDatosCambioContrasena(datosContrasena)</x:t>
  </x:si>
  <x:si>
    <x:t xml:space="preserve">La interfaz envía contraseña actual, nueva contraseña y confirmación al controlador.</x:t>
  </x:si>
  <x:si>
    <x:t xml:space="preserve">  BLOQUE 4 · Validación de contraseña actual y nueva contraseña (Pasos 22–30)</x:t>
  </x:si>
  <x:si>
    <x:t xml:space="preserve">C_ValidacionContrasena</x:t>
  </x:si>
  <x:si>
    <x:t xml:space="preserve">validarCambioContrasena(datosContrasena)</x:t>
  </x:si>
  <x:si>
    <x:t xml:space="preserve">Solicita ejecutar las validaciones requeridas antes de modificar la contraseña.</x:t>
  </x:si>
  <x:si>
    <x:t xml:space="preserve">validarCamposObligatorios(contrasenaActual,nuevaContrasena,confirmacion)</x:t>
  </x:si>
  <x:si>
    <x:t xml:space="preserve">Comprueba que los tres campos tengan información.</x:t>
  </x:si>
  <x:si>
    <x:t xml:space="preserve">consultarCredencialUsuario(idUsuario)</x:t>
  </x:si>
  <x:si>
    <x:t xml:space="preserve">Solicita obtener la credencial protegida almacenada del usuario.</x:t>
  </x:si>
  <x:si>
    <x:t xml:space="preserve">retornarCredencialUsuario(hashContrasena)</x:t>
  </x:si>
  <x:si>
    <x:t xml:space="preserve">La entidad devuelve el hash almacenado, no la contraseña original.</x:t>
  </x:si>
  <x:si>
    <x:t xml:space="preserve">verificarContrasenaActual(contrasenaActual,hashContrasena)</x:t>
  </x:si>
  <x:si>
    <x:t xml:space="preserve">Comprueba que la contraseña actual ingresada corresponda con la credencial protegida almacenada.</x:t>
  </x:si>
  <x:si>
    <x:t xml:space="preserve">Verifica que la nueva contraseña cumpla la política establecida de longitud y caracteres.</x:t>
  </x:si>
  <x:si>
    <x:t xml:space="preserve">validarCoincidenciaContrasena(nuevaContrasena,confirmacion)</x:t>
  </x:si>
  <x:si>
    <x:t xml:space="preserve">Comprueba que Nueva contraseña y Confirmar nueva contraseña coincidan.</x:t>
  </x:si>
  <x:si>
    <x:t xml:space="preserve">validarNuevaContrasenaDiferente(contrasenaActual,nuevaContrasena)</x:t>
  </x:si>
  <x:si>
    <x:t xml:space="preserve">Comprueba que la nueva contraseña sea diferente de la contraseña actual.</x:t>
  </x:si>
  <x:si>
    <x:t xml:space="preserve">Devuelve que todas las validaciones fueron satisfactorias.</x:t>
  </x:si>
  <x:si>
    <x:t xml:space="preserve">  BLOQUE 5 · Actualización segura de contraseña  (Pasos 31–33)</x:t>
  </x:si>
  <x:si>
    <x:t xml:space="preserve">El controlador genera la representación segura de la nueva contraseña. La contraseña original no se almacena en texto legible.</x:t>
  </x:si>
  <x:si>
    <x:t xml:space="preserve">Solicita sustituir la credencial anterior por el nuevo hash.</x:t>
  </x:si>
  <x:si>
    <x:t xml:space="preserve">La entidad confirma que la credencial fue actualizada correctamente.</x:t>
  </x:si>
  <x:si>
    <x:t xml:space="preserve">  BLOQUE 6 · Confirmación del cambio de contraseña  (Pasos 34–35)</x:t>
  </x:si>
  <x:si>
    <x:t xml:space="preserve">El controlador solicita mostrar la confirmación general del cambio realizado.</x:t>
  </x:si>
  <x:si>
    <x:t xml:space="preserve">El usuario visualiza la confirmación de que se actualizó la contraseña correctamente.</x:t>
  </x:si>
  <x:si>
    <x:t xml:space="preserve">DIAGRAMA DE SECUENCIAS — RF-007 — Solicitar eliminación de cuenta (30 días) | EVENTO EXITOSO</x:t>
  </x:si>
  <x:si>
    <x:t xml:space="preserve">Patrón BCE sin interacción interfaz–interfaz ni entidad–entidad | 71 pasos | 8 bloques | Requiere migración futura de estado de cuenta | Eliminación diferida 30 días calendario; tras recuperación debe CANCELARSE E_SolicitudEliminacion en transacción.</x:t>
  </x:si>
  <x:si>
    <x:t xml:space="preserve">BLOQUE 1 · Navegación hacia Perfil  (Pasos 1–8)</x:t>
  </x:si>
  <x:si>
    <x:t xml:space="preserve">BLOQUE 2 · Información legal y consecuencias  (Pasos 9–15)</x:t>
  </x:si>
  <x:si>
    <x:t xml:space="preserve">seleccionarEliminarCuenta()</x:t>
  </x:si>
  <x:si>
    <x:t xml:space="preserve">Selecciona Eliminar cuenta en Perfil.</x:t>
  </x:si>
  <x:si>
    <x:t xml:space="preserve">solicitarEliminacionCuenta(idUsuario)</x:t>
  </x:si>
  <x:si>
    <x:t xml:space="preserve">Comunica la solicitud del usuario autenticado al controlador.</x:t>
  </x:si>
  <x:si>
    <x:t xml:space="preserve">C_EliminarCuenta</x:t>
  </x:si>
  <x:si>
    <x:t xml:space="preserve">iniciarSolicitudEliminacion(idUsuario)</x:t>
  </x:si>
  <x:si>
    <x:t xml:space="preserve">Deriva al controlador responsable de eliminación programada.</x:t>
  </x:si>
  <x:si>
    <x:t xml:space="preserve">I_InformacionEliminacionCuenta</x:t>
  </x:si>
  <x:si>
    <x:t xml:space="preserve">mostrarAvisoLegalYConsecuencias()</x:t>
  </x:si>
  <x:si>
    <x:t xml:space="preserve">visualizarAvisoLegalEliminacion()</x:t>
  </x:si>
  <x:si>
    <x:t xml:space="preserve">aceptarInformacionYContinuar()</x:t>
  </x:si>
  <x:si>
    <x:t xml:space="preserve">Selecciona Continuar luego de revisar las consecuencias; no supone renuncia a derechos de protección de datos.</x:t>
  </x:si>
  <x:si>
    <x:t xml:space="preserve">solicitarContinuarEliminacion()</x:t>
  </x:si>
  <x:si>
    <x:t xml:space="preserve">Notifica al controlador la intención de continuar.</x:t>
  </x:si>
  <x:si>
    <x:t xml:space="preserve">BLOQUE 3 · Motivo opcional de salida  (Pasos 16–19)</x:t>
  </x:si>
  <x:si>
    <x:t xml:space="preserve">I_MotivoEliminacionCuenta</x:t>
  </x:si>
  <x:si>
    <x:t xml:space="preserve">mostrarMotivoOpcional()</x:t>
  </x:si>
  <x:si>
    <x:t xml:space="preserve">Presenta motivos opcionales: no necesito MyCar, problemas de uso, privacidad u otro; ofrece Omitir y acceso a Soporte.</x:t>
  </x:si>
  <x:si>
    <x:t xml:space="preserve">visualizarMotivosOpcionales()</x:t>
  </x:si>
  <x:si>
    <x:t xml:space="preserve">Muestra motivos y opciones Continuar u Omitir, sin impedir eliminar la cuenta.</x:t>
  </x:si>
  <x:si>
    <x:t xml:space="preserve">seleccionarMotivoOmitirYContinuar(motivoOpcional)</x:t>
  </x:si>
  <x:si>
    <x:t xml:space="preserve">Selecciona un motivo opcional o lo omite y continúa.</x:t>
  </x:si>
  <x:si>
    <x:t xml:space="preserve">enviarMotivoOpcional(motivoOpcional)</x:t>
  </x:si>
  <x:si>
    <x:t xml:space="preserve">Transmite el motivo solo si fue informado; no condiciona la eliminación.</x:t>
  </x:si>
  <x:si>
    <x:t xml:space="preserve">BLOQUE 4 · Confirmación previa y validación de cuenta  (Pasos 20–28)</x:t>
  </x:si>
  <x:si>
    <x:t xml:space="preserve">mostrarConfirmacionPreviaEliminacion(30dias)</x:t>
  </x:si>
  <x:si>
    <x:t xml:space="preserve">Reutiliza confirmación para preguntar si desea solicitar eliminación con ventana de recuperación de 30 días, sin eliminar todavía.</x:t>
  </x:si>
  <x:si>
    <x:t xml:space="preserve">visualizarConfirmacionPrevia()</x:t>
  </x:si>
  <x:si>
    <x:t xml:space="preserve">Muestra Cancelar y Confirmar. Advierte que se enviará un código al correo registrado, que la solicitud es recuperable durante 30 días y que las actividades habituales quedarán bloqueadas mientras dure el plazo.</x:t>
  </x:si>
  <x:si>
    <x:t xml:space="preserve">confirmarSolicitudEliminacion()</x:t>
  </x:si>
  <x:si>
    <x:t xml:space="preserve">Confirma que desea continuar con la verificación de identidad mediante su correo registrado.</x:t>
  </x:si>
  <x:si>
    <x:t xml:space="preserve">enviarConfirmacionPrevia(idUsuario)</x:t>
  </x:si>
  <x:si>
    <x:t xml:space="preserve">Comunica la confirmación expresa.</x:t>
  </x:si>
  <x:si>
    <x:t xml:space="preserve">C_ValidacionCuenta</x:t>
  </x:si>
  <x:si>
    <x:t xml:space="preserve">validarCuentaAntesDeEliminar(idUsuario)</x:t>
  </x:si>
  <x:si>
    <x:t xml:space="preserve">Solicita validar que la cuenta existe, es ACTIVA y corresponde a la sesión autenticada.</x:t>
  </x:si>
  <x:si>
    <x:t xml:space="preserve">consultarCuentaActivaYCorreo(idUsuario)</x:t>
  </x:si>
  <x:si>
    <x:t xml:space="preserve">Consulta estado de cuenta y correo registrado para verificar la solicitud.</x:t>
  </x:si>
  <x:si>
    <x:t xml:space="preserve">retornarCuentaYCorreo(ACTIVA,correo)</x:t>
  </x:si>
  <x:si>
    <x:t xml:space="preserve">La entidad devuelve el estado actual de la cuenta y el correo registrado del titular.</x:t>
  </x:si>
  <x:si>
    <x:t xml:space="preserve">validarCuentaActivaYCorreo()</x:t>
  </x:si>
  <x:si>
    <x:t xml:space="preserve">Valida la titularidad de la sesión y el estado ACTIVA mediante E_Usuario. La unicidad de solicitud_eliminacion.id_usuario impide duplicar solicitudes; si existe solicitud previa, su reutilización o rechazo se resuelve de forma transaccional en el bloque de programación. No se afirma haber consultado E_SolicitudEliminacion en este paso.</x:t>
  </x:si>
  <x:si>
    <x:t xml:space="preserve">retornarCuentaHabilitada(correo)</x:t>
  </x:si>
  <x:si>
    <x:t xml:space="preserve">Entrega al controlador de eliminación la validación favorable y el correo verificado de la cuenta.</x:t>
  </x:si>
  <x:si>
    <x:t xml:space="preserve">BLOQUE 5 · Verificación segura mediante correo  (Pasos 29–41)</x:t>
  </x:si>
  <x:si>
    <x:t xml:space="preserve">crearCodigoTemporalEliminacion(idUsuario,verificadorProtegido,fechaExpiracionUTC,finalidad)</x:t>
  </x:si>
  <x:si>
    <x:t xml:space="preserve">C_EliminarCuenta crea un OTP aleatorio de 6 cifras, finalidad ELIMINAR_CUENTA, 10 minutos y máximo 5 intentos; guarda solo verificador protegido mediante E_CodigoRecuperacion. Mensaje emitido desde el controlador principal tras validación de cuenta.</x:t>
  </x:si>
  <x:si>
    <x:t xml:space="preserve">retornarCodigoRegistrado(idCodigo)</x:t>
  </x:si>
  <x:si>
    <x:t xml:space="preserve">E_CodigoRecuperacion devuelve a C_EliminarCuenta el identificador del código creado.</x:t>
  </x:si>
  <x:si>
    <x:t xml:space="preserve">───► (llamada)</x:t>
  </x:si>
  <x:si>
    <x:t xml:space="preserve">E_CorreoPendiente</x:t>
  </x:si>
  <x:si>
    <x:t xml:space="preserve">registrarCorreoCodigoEliminacion(idUsuario,correo,contenidoOTP)</x:t>
  </x:si>
  <x:si>
    <x:t xml:space="preserve">C_EliminarCuenta registra en E_CorreoPendiente el correo con OTP de forma coherente dentro de la misma transacción; se despacha después del COMMIT.</x:t>
  </x:si>
  <x:si>
    <x:t xml:space="preserve">◄ ─ ─ (return)</x:t>
  </x:si>
  <x:si>
    <x:t xml:space="preserve">retornarCorreoCodigoEncolado(idCorreo)</x:t>
  </x:si>
  <x:si>
    <x:t xml:space="preserve">E_CorreoPendiente confirma al controlador principal el encolado del correo de verificación.</x:t>
  </x:si>
  <x:si>
    <x:t xml:space="preserve">I_VerificarEliminacionCuenta</x:t>
  </x:si>
  <x:si>
    <x:t xml:space="preserve">confirmarOTPEncoladoYMostrarFormulario(correoEnmascarado)</x:t>
  </x:si>
  <x:si>
    <x:t xml:space="preserve">Antes de presentar I_VerificarEliminacionCuenta, C_EliminarCuenta confirma COMMIT de la transacción que registra E_CodigoRecuperacion y E_CorreoPendiente. El trabajador independiente solo puede leer y enviar el OTP ya confirmado; si falla el COMMIT, se realiza ROLLBACK y no se presenta el código como enviado. El formulario permite esperar y solicitar reenvío controlado en escenario alternativo.</x:t>
  </x:si>
  <x:si>
    <x:t xml:space="preserve">visualizarSolicitudCodigo()</x:t>
  </x:si>
  <x:si>
    <x:t xml:space="preserve">El usuario visualiza el campo de verificación y la explicación de que esta acción protege la cuenta.</x:t>
  </x:si>
  <x:si>
    <x:t xml:space="preserve">ingresarCodigoYVerificar(codigo)</x:t>
  </x:si>
  <x:si>
    <x:t xml:space="preserve">Introduce el código recibido y selecciona Verificar.</x:t>
  </x:si>
  <x:si>
    <x:t xml:space="preserve">solicitarValidacionCodigo(codigo)</x:t>
  </x:si>
  <x:si>
    <x:t xml:space="preserve">Envía código asociado a usuario, operación de eliminación y solicitud activa.</x:t>
  </x:si>
  <x:si>
    <x:t xml:space="preserve">bloquearCodigoVigenteEliminacion(idUsuario,finalidad)</x:t>
  </x:si>
  <x:si>
    <x:t xml:space="preserve">Inicia transacción corta y SELECT ... FOR UPDATE del OTP de finalidad ELIMINAR_CUENTA del usuario autenticado, comprobando que existe, está ACTIVO, no expiró y no superó 5 intentos. Mantiene bloqueo hasta actualizar el intento/consumo y confirmar COMMIT.</x:t>
  </x:si>
  <x:si>
    <x:t xml:space="preserve">retornarCodigoBloqueado(datosCodigo)</x:t>
  </x:si>
  <x:si>
    <x:t xml:space="preserve">Devuelve a C_EliminarCuenta el registro protegido y sus fechas/contadores bajo bloqueo transaccional vigente. No devuelve el código en claro; solo verificador seguro y metadatos.</x:t>
  </x:si>
  <x:si>
    <x:t xml:space="preserve">validarOTPProtegidoConIntentos(codigoIngresado,datosCodigo)</x:t>
  </x:si>
  <x:si>
    <x:t xml:space="preserve">Verifica formato de seis cifras, usuario, finalidad, vigencia y verificador en operación protegida. Si no coincide, aumenta intentos_fallidos y guarda INVALIDO al alcanzar 5, confirma ese contador y utiliza escenario alternativo; en EF01 continúa para consumo único.</x:t>
  </x:si>
  <x:si>
    <x:t xml:space="preserve">consumirCodigoEliminacionAtomicamente(idCodigo)</x:t>
  </x:si>
  <x:si>
    <x:t xml:space="preserve">En la MISMA transacción con SELECT ... FOR UPDATE, cambia a UTILIZADO con fecha_uso solo si sigue ACTIVO y vigente. Verifica exactamente una fila afectada para impedir reutilización o carreras entre solicitudes.</x:t>
  </x:si>
  <x:si>
    <x:t xml:space="preserve">retornarOTPConsumidoYConfirmado()</x:t>
  </x:si>
  <x:si>
    <x:t xml:space="preserve">Confirma actualización de un único código y COMMIT de la transacción corta del OTP; el controlador solo continúa a la confirmación final cuando el consumo está persistido. En fallo transaccional, ROLLBACK y escenario de excepción.</x:t>
  </x:si>
  <x:si>
    <x:t xml:space="preserve">BLOQUE 6 · Confirmación final y solicitud programada  (Pasos 42–47)</x:t>
  </x:si>
  <x:si>
    <x:t xml:space="preserve">mostrarConfirmacionFinalEliminacion()</x:t>
  </x:si>
  <x:si>
    <x:t xml:space="preserve">Tras verificar el correo, muestra confirmación final y recuerda el plazo de 30 días y la posterior supresión, con botón Confirmar eliminación o Cancelar.</x:t>
  </x:si>
  <x:si>
    <x:t xml:space="preserve">visualizarConfirmacionFinal()</x:t>
  </x:si>
  <x:si>
    <x:t xml:space="preserve">Visualiza la última advertencia antes de programar la eliminación.</x:t>
  </x:si>
  <x:si>
    <x:t xml:space="preserve">confirmarEliminacionDefinitivaProgramada()</x:t>
  </x:si>
  <x:si>
    <x:t xml:space="preserve">Acepta programar la eliminación después del plazo de recuperación.</x:t>
  </x:si>
  <x:si>
    <x:t xml:space="preserve">solicitarProgramacionEliminacion(idUsuario)</x:t>
  </x:si>
  <x:si>
    <x:t xml:space="preserve">Envía confirmación final ya verificada al controlador.</x:t>
  </x:si>
  <x:si>
    <x:t xml:space="preserve">iniciarTransaccionYCalcularPlazo30Dias()</x:t>
  </x:si>
  <x:si>
    <x:t xml:space="preserve">Calcula fechaSolicitudUTC y fechaLimiteUTC = fechaSolicitudUTC + 30 días e inicia NUEVA transacción InnoDB (separada de la del OTP). Prepara actualización condicional sobre el usuario autenticado para evitar concurrencia: el cambio de ACTIVA a PENDIENTE_ELIMINACION debe afectar exactamente una fila. Se comprueba antes de continuar; ante conflicto, ROLLBACK y escenario alternativo.</x:t>
  </x:si>
  <x:si>
    <x:t xml:space="preserve">marcarCuentaPendienteEliminacion(idUsuario,PENDIENTE_ELIMINACION)</x:t>
  </x:si>
  <x:si>
    <x:t xml:space="preserve">En E_Usuario ejecuta actualización atómica condicionada a idUsuario y estado ACTIVA; establece exclusivamente usuario.estado=PENDIENTE_ELIMINACION y exige exactamente una fila afectada. La fila queda bloqueada por InnoDB hasta COMMIT. Las fechas y el motivo se guardan posteriormente en E_SolicitudEliminacion; no se eliminan datos durante los 30 días.</x:t>
  </x:si>
  <x:si>
    <x:t xml:space="preserve">BLOQUE 7 · Bloqueo de emisiones sin modificar preferencias y cierre de sesión  (Pasos 48–63)</x:t>
  </x:si>
  <x:si>
    <x:t xml:space="preserve">retornarCuentaPendiente()</x:t>
  </x:si>
  <x:si>
    <x:t xml:space="preserve">E_Usuario devuelve el resultado de la actualización condicional (exactamente una fila afectada) y confirma usuario.estado=PENDIENTE_ELIMINACION. Si no cambia una fila, C_EliminarCuenta debe ejecutar ROLLBACK y el escenario alternativo; aquí no se atribuyen fechas a E_Usuario.</x:t>
  </x:si>
  <x:si>
    <x:t xml:space="preserve">E_SolicitudEliminacion</x:t>
  </x:si>
  <x:si>
    <x:t xml:space="preserve">registrarSolicitudEliminacion(idUsuario,motivo,fechaSolicitudUTC,fechaLimiteUTC)</x:t>
  </x:si>
  <x:si>
    <x:t xml:space="preserve">Inserta/actualiza la solicitud PENDIENTE en solicitud_eliminacion con motivo opcional y plazo exacto de 30 días, dentro de la misma transacción InnoDB.</x:t>
  </x:si>
  <x:si>
    <x:t xml:space="preserve">retornarSolicitudRegistrada(idSolicitud,fechaLimiteUTC)</x:t>
  </x:si>
  <x:si>
    <x:t xml:space="preserve">Confirma almacenamiento de estado PENDIENTE y fechas en la entidad correcta.</x:t>
  </x:si>
  <x:si>
    <x:t xml:space="preserve">C_RecordatorioKm</x:t>
  </x:si>
  <x:si>
    <x:t xml:space="preserve">bloquearEmisionKmPorEstadoCuenta(idUsuario)</x:t>
  </x:si>
  <x:si>
    <x:t xml:space="preserve">Solicita omitir emisiones KM para cuentas PENDIENTE_ELIMINACION mediante comprobación del estado en el programador. No cambia estado_global ni estado_ciclo ni preferencias de usuario, preservando una recuperación posterior.</x:t>
  </x:si>
  <x:si>
    <x:t xml:space="preserve">validarBloqueoCuentaEnProgramadorKm(idUsuario)</x:t>
  </x:si>
  <x:si>
    <x:t xml:space="preserve">Automensaje del controlador: define que el programador de KM consulte el estado ACTIVA antes de emitir. No altera preferencias ni pausa ciclos; al recuperar cuenta se conserva configuración anterior.</x:t>
  </x:si>
  <x:si>
    <x:t xml:space="preserve">retornarFiltroKmAplicado()</x:t>
  </x:si>
  <x:si>
    <x:t xml:space="preserve">Confirma que la emisión automática de KM respetará el estado de cuenta; no pausa ni sobrescribe los ciclos del usuario.</x:t>
  </x:si>
  <x:si>
    <x:t xml:space="preserve">C_ControlAlerta</x:t>
  </x:si>
  <x:si>
    <x:t xml:space="preserve">bloquearSeguimientoOperativoCuenta(idUsuario)</x:t>
  </x:si>
  <x:si>
    <x:t xml:space="preserve">Aplica filtro de cuenta ACTIVA a la ejecución de procesos automáticos de alerta y licencias. NO modifica estado de alerta, fechas objetivo ni historial; tampoco consulta JSON.pe durante el periodo de eliminación pendiente.</x:t>
  </x:si>
  <x:si>
    <x:t xml:space="preserve">validarBloqueoAlertasPorEstadoCuenta(idUsuario)</x:t>
  </x:si>
  <x:si>
    <x:t xml:space="preserve">Automensaje de C_ControlAlerta: valida bloqueo de nuevas ejecuciones o reemisiones para cuentas no ACTIVAS sin alterar los estados ni registros de alerta o licencia.</x:t>
  </x:si>
  <x:si>
    <x:t xml:space="preserve">retornarFiltroAlertasAplicado()</x:t>
  </x:si>
  <x:si>
    <x:t xml:space="preserve">Confirma que las alertas se preservan y las emisiones se omiten durante la eliminación pendiente.</x:t>
  </x:si>
  <x:si>
    <x:t xml:space="preserve">C_ControlNotificacion</x:t>
  </x:si>
  <x:si>
    <x:t xml:space="preserve">bloquearEmisionNotificacionesCuenta(idUsuario)</x:t>
  </x:si>
  <x:si>
    <x:t xml:space="preserve">Solicita filtro de estado de cuenta para futuras emisiones y reemisiones, incluyendo mantenimiento, SOAT, KM y licencia; no cierra ni borra mensajes históricos ni altera leida, estado_gestion o preferencias.</x:t>
  </x:si>
  <x:si>
    <x:t xml:space="preserve">validarBloqueoNotificacionesPorEstadoCuenta(idUsuario)</x:t>
  </x:si>
  <x:si>
    <x:t xml:space="preserve">Automensaje de C_ControlNotificacion: comprueba estado ACTIVA antes de remitir avisos, respetando plan y preferencias. No altera configuraciones persistidas del usuario.</x:t>
  </x:si>
  <x:si>
    <x:t xml:space="preserve">retornarFiltroNotificacionesAplicado()</x:t>
  </x:si>
  <x:si>
    <x:t xml:space="preserve">Confirma que no se enviarán avisos mientras la cuenta esté pendiente, sin alterar configuraciones previas.</x:t>
  </x:si>
  <x:si>
    <x:t xml:space="preserve">E_Sesion</x:t>
  </x:si>
  <x:si>
    <x:t xml:space="preserve">consultarSesionesActivas(idUsuario)</x:t>
  </x:si>
  <x:si>
    <x:t xml:space="preserve">El controlador solicita a E_Sesion todas las sesiones activas del usuario para revocación efectiva al aprobarse la eliminación programada.</x:t>
  </x:si>
  <x:si>
    <x:t xml:space="preserve">retornarSesionesActivas(idsSesiones)</x:t>
  </x:si>
  <x:si>
    <x:t xml:space="preserve">Devuelve las sesiones activas asociadas a ese usuario.</x:t>
  </x:si>
  <x:si>
    <x:t xml:space="preserve">finalizarTodasSesiones(idsSesiones)</x:t>
  </x:si>
  <x:si>
    <x:t xml:space="preserve">El controlador ordena a E_Sesion finalizar TODAS las sesiones activas del usuario, con fecha de cierre, dentro de la transacción de la solicitud.</x:t>
  </x:si>
  <x:si>
    <x:t xml:space="preserve">retornarSesionesFinalizadas()</x:t>
  </x:si>
  <x:si>
    <x:t xml:space="preserve">Confirma el cierre de todas las sesiones activas del usuario, incluida la que inició la solicitud.</x:t>
  </x:si>
  <x:si>
    <x:t xml:space="preserve">BLOQUE 8 · Finalización de transacción, correo y salida  (Pasos 64–71)</x:t>
  </x:si>
  <x:si>
    <x:t xml:space="preserve">B8</x:t>
  </x:si>
  <x:si>
    <x:t xml:space="preserve">prepararInvalidacionCredencialesPostCommit(idUsuario)</x:t>
  </x:si>
  <x:si>
    <x:t xml:space="preserve">Automensaje del controlador: marca la revocación de tokens externos/refresh tokens como tarea posterior al COMMIT; NO ejecuta efectos externos irreversibles durante la transacción. E_Sesion ya finaliza todas las sesiones SQL dentro de ella. El backend debe rechazar siempre cuentas no ACTIVA.</x:t>
  </x:si>
  <x:si>
    <x:t xml:space="preserve">registrarCorreoEliminacionProgramada(idUsuario,fechaLimiteUTC)</x:t>
  </x:si>
  <x:si>
    <x:t xml:space="preserve">Persiste en correo_pendiente el correo ELIMINACION_PROGRAMADA con fecha límite, destinatario, estado PENDIENTE y reintentos; forma parte de la misma transacción que el cambio de estado, la solicitud y la revocación de sesiones.</x:t>
  </x:si>
  <x:si>
    <x:t xml:space="preserve">retornarCorreoConfirmacionEncolado(idCorreo)</x:t>
  </x:si>
  <x:si>
    <x:t xml:space="preserve">Confirma persistencia del correo informativo sin enviarlo dentro de la transacción.</x:t>
  </x:si>
  <x:si>
    <x:t xml:space="preserve">↩ (auto-msg)</x:t>
  </x:si>
  <x:si>
    <x:t xml:space="preserve">confirmarTransaccionEliminacion()</x:t>
  </x:si>
  <x:si>
    <x:t xml:space="preserve">COMMIT de usuario.estado=PENDIENTE_ELIMINACION, solicitud_eliminacion con sus fechas, sesiones finalizadas y correo_pendiente de confirmación. Ante cualquier fallo SQL, ROLLBACK; NO se ha revocado aún nada en sistemas externos ni enviado el correo.</x:t>
  </x:si>
  <x:si>
    <x:t xml:space="preserve">activarRevocacionYEnvioPosterioresAlCommit()</x:t>
  </x:si>
  <x:si>
    <x:t xml:space="preserve">Solo tras COMMIT se inicia la revocación de tokens externos y un trabajador independiente procesa los correos registrados en correo_pendiente, con sus propios reintentos. La revocación externa también debe reintentarse en backend cuando falle; en todo caso cada petición protegida verifica usuario.estado=ACTIVA, por lo que las credenciales anteriores no dan acceso normal. No esperar al correo para mostrar la confirmación.</x:t>
  </x:si>
  <x:si>
    <x:t xml:space="preserve">limpiarContextoSesion()</x:t>
  </x:si>
  <x:si>
    <x:t xml:space="preserve">Retira el contexto local y credenciales locales. Las sesiones SQL están cerradas, los accesos ordinarios están bloqueados por estado de cuenta y la revocación externa se ejecuta tras el COMMIT con reintentos si falla.</x:t>
  </x:si>
  <x:si>
    <x:t xml:space="preserve">mostrarSolicitudEliminacionRegistrada(fechaLimiteUTC)</x:t>
  </x:si>
  <x:si>
    <x:t xml:space="preserve">Muestra la solicitud registrada y la fecha límite exacta de recuperación. Informa «Te enviaremos un correo de confirmación» porque el registro en correo_pendiente no prueba que el mensaje ya se entregó; no presenta un estado de envío no consultado. La cuenta ya no permite acceso normal y su recuperación corresponde a otro flujo.</x:t>
  </x:si>
  <x:si>
    <x:t xml:space="preserve">visualizarEliminacionProgramada()</x:t>
  </x:si>
  <x:si>
    <x:t xml:space="preserve">El usuario ve la fecha y hora límite de recuperación y la confirmación de que la solicitud se registró; se informa que el correo será enviado, sin afirmar recepción ni estado de envío desconocido. Los datos todavía se conservan durante la ventana de recuperación de 30 días y no están suprimidos.</x:t>
  </x:si>
  <x:si>
    <x:t xml:space="preserve">DIAGRAMA DE SECUENCIAS — RF-008-Registrar vehículo  |  EVENTO EXITOSO</x:t>
  </x:si>
  <x:si>
    <x:t xml:space="preserve">Patrón: Actor → Interfaz → Control → Entidad → Control → Interfaz → Actor | 54 pasos | 6 bloques</x:t>
  </x:si>
  <x:si>
    <x:t xml:space="preserve">ALCANCE</x:t>
  </x:si>
  <x:si>
    <x:t xml:space="preserve">BLOQUE 1 · INGRESO Y VALIDACIÓN INICIAL (Pasos 1–15)</x:t>
  </x:si>
  <x:si>
    <x:t xml:space="preserve">ingresarModuloAutos()</x:t>
  </x:si>
  <x:si>
    <x:t xml:space="preserve">El usuario accede al módulo Autos.</x:t>
  </x:si>
  <x:si>
    <x:t xml:space="preserve">MVP</x:t>
  </x:si>
  <x:si>
    <x:t xml:space="preserve">solicitarVistaAutos()</x:t>
  </x:si>
  <x:si>
    <x:t xml:space="preserve">La interfaz solicita cargar la sección vehículos.</x:t>
  </x:si>
  <x:si>
    <x:t xml:space="preserve">I_Autos</x:t>
  </x:si>
  <x:si>
    <x:t xml:space="preserve">mostrarVistaAutos()</x:t>
  </x:si>
  <x:si>
    <x:t xml:space="preserve">El controlador solicita mostrar la vista de vehículos.</x:t>
  </x:si>
  <x:si>
    <x:t xml:space="preserve">visualizarVistaAutos()</x:t>
  </x:si>
  <x:si>
    <x:t xml:space="preserve">La interfaz muestra al usuario la vista de vehículos.</x:t>
  </x:si>
  <x:si>
    <x:t xml:space="preserve">seleccionarAgregarVehiculo()</x:t>
  </x:si>
  <x:si>
    <x:t xml:space="preserve">El usuario selecciona el botón “+ Agregar” desde la vista Mis vehículos.</x:t>
  </x:si>
  <x:si>
    <x:t xml:space="preserve">C_ControlRegistroVehiculo</x:t>
  </x:si>
  <x:si>
    <x:t xml:space="preserve">validarDisponibilidadRegistro()</x:t>
  </x:si>
  <x:si>
    <x:t xml:space="preserve">La interfaz envía la solicitud al controlador.</x:t>
  </x:si>
  <x:si>
    <x:t xml:space="preserve">C_ControlPlan</x:t>
  </x:si>
  <x:si>
    <x:t xml:space="preserve">consultarPlanAplicable(idUsuario)</x:t>
  </x:si>
  <x:si>
    <x:t xml:space="preserve">E_AsignacionPlan</x:t>
  </x:si>
  <x:si>
    <x:t xml:space="preserve">consultarPlanAsignado(idUsuario)</x:t>
  </x:si>
  <x:si>
    <x:t xml:space="preserve">retornarPlanAsignado(FREE)</x:t>
  </x:si>
  <x:si>
    <x:t xml:space="preserve">retornarPermisoPlanRegistro(tipoPlan)</x:t>
  </x:si>
  <x:si>
    <x:t xml:space="preserve">E_Vehiculo</x:t>
  </x:si>
  <x:si>
    <x:t xml:space="preserve">consultarCantidadVehiculosRegistrados(idUsuario)</x:t>
  </x:si>
  <x:si>
    <x:t xml:space="preserve">Cuenta TODOS los vehículos aún registrados del usuario (ACTIVOS e INACTIVOS). Los vehículos conservados tras perder Premium también cuentan para el límite Free. Regla ratificada: se cuentan los vehículos que siguen registrados, aunque estén INACTIVOS y provengan de Premium; se identifican internamente por idVehiculo, no por VIN.</x:t>
  </x:si>
  <x:si>
    <x:t xml:space="preserve">retornarCantidadVehiculosRegistrados(cantidadRegistrados)</x:t>
  </x:si>
  <x:si>
    <x:t xml:space="preserve">Devuelve el total de vehículos registrados, incluidos los inactivos y los conservados tras una baja de Premium.</x:t>
  </x:si>
  <x:si>
    <x:t xml:space="preserve">evaluarPermisoRegistro(tipoPlan,cantidadRegistrados)</x:t>
  </x:si>
  <x:si>
    <x:t xml:space="preserve">I_RegistroVehiculo</x:t>
  </x:si>
  <x:si>
    <x:t xml:space="preserve">mostrarFormularioRegistro()</x:t>
  </x:si>
  <x:si>
    <x:t xml:space="preserve">El controlador abre la vista “Agregar vehículo” con campos obligatorios y opcionales.</x:t>
  </x:si>
  <x:si>
    <x:t xml:space="preserve">formularioDesplegado()</x:t>
  </x:si>
  <x:si>
    <x:t xml:space="preserve">La interfaz muestra el formulario de registro de vehículo, permitiendo ingresar información general, identificación adicional, datos de motor y kilometraje inicial.</x:t>
  </x:si>
  <x:si>
    <x:t xml:space="preserve">BLOQUE 2 · INGRESO Y VALIDACIÓN DE DATOS (Pasos 16–24)</x:t>
  </x:si>
  <x:si>
    <x:t xml:space="preserve">ingresarDatosVehiculo()</x:t>
  </x:si>
  <x:si>
    <x:t xml:space="preserve">El usuario ingresa la información del vehículo: marca, modelo, uso del vehículo, placa, año, color, tipo de motor, combustible y kilometraje inicial. Opcionalmente puede registrar imagen, VIN, número de serie, número de motor y tipo de aceite. Si selecciona “Otro” en tipo de motor, combustible o tipo de aceite, el sistema habilita un campo de texto para especificar. Si selecciona tipo de motor “Eléctrico”, el sistema deshabilita número de motor, combustible y tipo de aceite. el botón Guardar vehículo se habilita al completar los campos obligatorios válidos y los condicionales aplicables.  |  AJUSTE 2026-10-24: MVP usa imagen predeterminada. VIN opcional y editable en RF11 futuro, pero idVehiculo es PK inmutable.</x:t>
  </x:si>
  <x:si>
    <x:t xml:space="preserve">enviarDatosVehiculo(
marca,
modelo,
usoVehiculo,
placa,
anioFabricacion,
color,
tipoMotor,
combustible?,
kilometrajeInicial,
numeroVin?,
numeroSerie?,
numeroMotor?,
tipoAceite?,
especificacionTipoMotor?,
especificacionCombustible?,
especificacionTipoAceite?,
imagen?,
idOperacion
)</x:t>
  </x:si>
  <x:si>
    <x:t xml:space="preserve">La interfaz envía los datos generales del vehículo, los campos opcionales y las especificaciones adicionales cuando el usuario haya seleccionado la opción “Otro”. Si el tipo de motor es eléctrico, combustible, tipo de aceite y número de motor se envían como no aplicables o nulos según corresponda.  |  AJUSTE 2026-10-24: En MVP no enviar imagen personalizada; el flujo completo conserva su rama opcional. El servidor vuelve a validar todos los campos.  |  ACUERDO 24/10: El cliente genera idOperacion para el intento de registro y reenvía la MISMA clave en reintentos; no envía idUsuario como propietario confiable.</x:t>
  </x:si>
  <x:si>
    <x:t xml:space="preserve">C_ValidacionVehiculo</x:t>
  </x:si>
  <x:si>
    <x:t xml:space="preserve">validarDatosVehiculo(datosVehiculo)</x:t>
  </x:si>
  <x:si>
    <x:t xml:space="preserve">El controlador solicita validar la información ingresada.</x:t>
  </x:si>
  <x:si>
    <x:t xml:space="preserve">validarCamposObligatorios(datos)</x:t>
  </x:si>
  <x:si>
    <x:t xml:space="preserve">El controlador de validación verifica que marca, modelo, uso del vehículo, placa, año, color, tipo de motor y kilometraje inicial estén completos. Además, valida combustible cuando el tipo de motor no es eléctrico.</x:t>
  </x:si>
  <x:si>
    <x:t xml:space="preserve">validarFormatoPlaca(placa)</x:t>
  </x:si>
  <x:si>
    <x:t xml:space="preserve">La placa debe cumplir exactamente ^[A-Z][0-9][A-Z][0-9]{3}$ (ejemplo A1B234), sin espacios ni guiones. Comprobar en backend y garantizar unicidad GLOBAL mediante UNIQUE en PostgreSQL.  |  ACUERDO 24/10: Placa sin guion NI espacios: patrón exacto ^[A-Z][0-9][A-Z][0-9]{3}$; A1B234 válido; A1B-234 NO VÁLIDO.</x:t>
  </x:si>
  <x:si>
    <x:t xml:space="preserve">validarAnioFabricacion(anioFabricacion)</x:t>
  </x:si>
  <x:si>
    <x:t xml:space="preserve">El controlador valida que el año sea numérico, válido y que no corresponda a un año futuro.</x:t>
  </x:si>
  <x:si>
    <x:t xml:space="preserve">validarKilometrajeInicial(km)</x:t>
  </x:si>
  <x:si>
    <x:t xml:space="preserve">El controlador verifica que el kilometraje sea mayor a 0.</x:t>
  </x:si>
  <x:si>
    <x:t xml:space="preserve">validarReglasCondicionalesVehiculo(datos)</x:t>
  </x:si>
  <x:si>
    <x:t xml:space="preserve">retornarResultadoValidacion(resultado)</x:t>
  </x:si>
  <x:si>
    <x:t xml:space="preserve">BLOQUE 3 · VALIDACIONES FINALES (Pasos 25–31)</x:t>
  </x:si>
  <x:si>
    <x:t xml:space="preserve">C_ValidacionImagenVehiculo</x:t>
  </x:si>
  <x:si>
    <x:t xml:space="preserve">validarImagenOpcional(imagen)</x:t>
  </x:si>
  <x:si>
    <x:t xml:space="preserve">Si el usuario seleccionó una imagen, el sistema valida formato JPG, PNG o HEIC y tamaño máximo de 5 MB. Si no seleccionó imagen, se continúa con la imagen predeterminada.  |  AJUSTE 2026-10-24: SOLO VERSIÓN COMPLETA: validar imagen personalizada local; no requisito para guardar vehículo en MVP.</x:t>
  </x:si>
  <x:si>
    <x:t xml:space="preserve">COMPLETA</x:t>
  </x:si>
  <x:si>
    <x:t xml:space="preserve">retornarValidacionImagen(resultadoImagen)</x:t>
  </x:si>
  <x:si>
    <x:t xml:space="preserve">El controlador devuelve el resultado de la validación. Si no existe una imagen seleccionada, el resultado permite continuar con la imagen predeterminada.  |  AJUSTE 2026-10-24: SOLO VERSIÓN COMPLETA: resultado de imagen; MVP usa recurso predeterminado del APK.</x:t>
  </x:si>
  <x:si>
    <x:t xml:space="preserve">consultarPlacaExistente(placa)</x:t>
  </x:si>
  <x:si>
    <x:t xml:space="preserve">Verifica que la placa no esté registrada.  |  AJUSTE 2026-10-24: La placa se busca globalmente entre usuarios y vehículos inactivos; se refuerza con UNIQUE real.</x:t>
  </x:si>
  <x:si>
    <x:t xml:space="preserve">retornarDisponibilidadPlaca()</x:t>
  </x:si>
  <x:si>
    <x:t xml:space="preserve">Devuelve resultado de la consulta.</x:t>
  </x:si>
  <x:si>
    <x:t xml:space="preserve">consultarVINExistenteSiInformado(numeroVin)</x:t>
  </x:si>
  <x:si>
    <x:t xml:space="preserve">Si se informó número VIN, verifica que no esté asociado a otro vehículo. Si no se informó, esta consulta se omite. La consulta compara valores informados contra numeroVin único de VEHICULO; al omitir VIN se guarda NULL, sin generar VIN ficticio. El VIN NO es la PK.  |  AJUSTE 2026-10-24: VIN UNIQUE opcional si informado; nunca PK ni FK entre módulos. Corregir VIN en RF11 no modifica idVehiculo.</x:t>
  </x:si>
  <x:si>
    <x:t xml:space="preserve">retornarDisponibilidadVIN(disponible)</x:t>
  </x:si>
  <x:si>
    <x:t xml:space="preserve">La entidad devuelve la disponibilidad del VIN cuando corresponde.</x:t>
  </x:si>
  <x:si>
    <x:t xml:space="preserve">compararResultadosValidacion()</x:t>
  </x:si>
  <x:si>
    <x:t xml:space="preserve">BLOQUE 4 · REGISTRO DEL VEHÍCULO, IMAGEN Y PRINCIPAL (Pasos 32–38)</x:t>
  </x:si>
  <x:si>
    <x:t xml:space="preserve">guardarVehiculo(datosVehiculo,estado,idOperacion)</x:t>
  </x:si>
  <x:si>
    <x:t xml:space="preserve">retornarIdVehiculo(idVehiculo)</x:t>
  </x:si>
  <x:si>
    <x:t xml:space="preserve">C_ControlImagenVehiculo</x:t>
  </x:si>
  <x:si>
    <x:t xml:space="preserve">registrarImagenInicial(idVehiculo,imagen)</x:t>
  </x:si>
  <x:si>
    <x:t xml:space="preserve">El controlador de registro delega la imagen al controlador responsable. C_ControlImagenVehiculo gestiona E_ImagenVehiculo: si existe imagen válida la registra como principal personalizada; si no, mantiene el estado PREDETERMINADA.  |  AJUSTE 2026-10-24: SOLO VERSIÓN COMPLETA: imagen personalizada se gestiona en almacenamiento privado Android + Room, no como BYTEA de PostgreSQL; definir compensación si falla archivo.</x:t>
  </x:si>
  <x:si>
    <x:t xml:space="preserve">retornarEstadoImagenInicial(estadoImagen)</x:t>
  </x:si>
  <x:si>
    <x:t xml:space="preserve">El controlador de imagen devuelve el estado inicial resultante sin exponer E_ImagenVehiculo al controlador de registro.  |  AJUSTE 2026-10-24: SOLO VERSIÓN COMPLETA: resultado de imagen opcional. El MVP no depende de esta rama.</x:t>
  </x:si>
  <x:si>
    <x:t xml:space="preserve">determinarAsignacionPrincipal(cantidad)</x:t>
  </x:si>
  <x:si>
    <x:t xml:space="preserve">El controlador determina si el vehículo recién registrado debe establecerse como principal. Si cantidad = 0 antes del registro, corresponde al primer vehículo y se asigna como principal; de lo contrario conserva es_principal = false. Cuando ya existen vehículos registrados pero el plan es PREMIUM, el nuevo NO sustituye al principal salvo que se ejecute RF13.</x:t>
  </x:si>
  <x:si>
    <x:t xml:space="preserve">actualizarEstadoPrincipalSiCorresponde(idVehiculo,esPrincipal)</x:t>
  </x:si>
  <x:si>
    <x:t xml:space="preserve">El controlador solicita establecer el atributo es_principal según el resultado anterior. Solo el primer vehículo registrado se establece automáticamente como principal. El backend debe garantizar como invariante que no queden dos vehículos principales del mismo usuario, especialmente ante altas concurrentes.</x:t>
  </x:si>
  <x:si>
    <x:t xml:space="preserve">retornarActualizacionPrincipal()</x:t>
  </x:si>
  <x:si>
    <x:t xml:space="preserve">La entidad devuelve la confirmación de actualización del atributo es_principal.</x:t>
  </x:si>
  <x:si>
    <x:t xml:space="preserve">BLOQUE 5 · REGISTRO DEL KILOMETRAJE INICIAL Y PROCESOS AUTOMÁTICOS (Pasos 39–46)</x:t>
  </x:si>
  <x:si>
    <x:t xml:space="preserve">C_ControlKilometraje</x:t>
  </x:si>
  <x:si>
    <x:t xml:space="preserve">registrarKilometrajeInicial(idVehiculo,kilometrajeInicial)</x:t>
  </x:si>
  <x:si>
    <x:t xml:space="preserve">Registrar la PRIMERA lectura efectiva del vehículo (origen INICIAL) en la misma transacción de VEHICULO + config_recordatorio_km. No crear alertas automáticas en RF08: en el MVP Nayu las crea manualmente mediante RF22; RF22 y RF23 deben consumir esta lectura inicial si es la última vigente.</x:t>
  </x:si>
  <x:si>
    <x:t xml:space="preserve">E_Kilometraje</x:t>
  </x:si>
  <x:si>
    <x:t xml:space="preserve">crearRegistroKilometraje(idVehiculo,kilometrajeInicial,origen=INICIAL)</x:t>
  </x:si>
  <x:si>
    <x:t xml:space="preserve">Persistir exactamente UNA lectura inicial por vehículo con fecha del servidor, kmInicial &gt; 0 y FK idVehiculo estable. La transacción de RF08 también incluye VEHICULO y config_recordatorio_km (INTERDIARIO/PAUSADO). Ninguna alerta se crea por efecto de esta inserción.</x:t>
  </x:si>
  <x:si>
    <x:t xml:space="preserve">retornarKilometrajeInicial(idKilometraje,fechaGuardado)</x:t>
  </x:si>
  <x:si>
    <x:t xml:space="preserve">La entidad confirma la lectura inicial y devuelve su identificador y la fecha real de guardado.</x:t>
  </x:si>
  <x:si>
    <x:t xml:space="preserve">retornarKilometrajeInicialRegistrado(idKilometraje,fechaGuardado)</x:t>
  </x:si>
  <x:si>
    <x:t xml:space="preserve">ControlKilometraje devuelve el resultado al controlador de registro antes de inicializar el ciclo de recordatorio.</x:t>
  </x:si>
  <x:si>
    <x:t xml:space="preserve">inicializarRecordatorioKilometraje(idUsuario,idVehiculo,fechaGuardado,frecuencia=INTERDIARIO)</x:t>
  </x:si>
  <x:si>
    <x:t xml:space="preserve">Solicita crear la configuración inicial por vehículo tomando como fecha base la fecha real de guardado del kilometraje inicial. No activa ni modifica el switch global de RF44.  |  AJUSTE 2026-10-24: Crear exactamente una configuración de recordatorio por vehículo, sin activar avisos.</x:t>
  </x:si>
  <x:si>
    <x:t xml:space="preserve">E_RecordatorioKilometraje</x:t>
  </x:si>
  <x:si>
    <x:t xml:space="preserve">crearConfiguracionInicial(idVehiculo,INTERDIARIO,PAUSADO,fechaBaseUTC,NULL,NULL)</x:t>
  </x:si>
  <x:si>
    <x:t xml:space="preserve">En la MISMA transacción del registro: frecuencia=INTERDIARIO, estado=PAUSADO, fecha_base_utc=fecha de lectura inicial, proximo_envio_utc=NULL y ultimo_envio_utc=NULL. No calcular un envío pendiente antes de que se active la configuración. No modificar la preferencia global del usuario (RF01).</x:t>
  </x:si>
  <x:si>
    <x:t xml:space="preserve">retornarConfiguracionInicial(INTERDIARIO,PAUSADO,fechaBaseUTC)</x:t>
  </x:si>
  <x:si>
    <x:t xml:space="preserve">Confirma configuración individual del vehículo sin generar un segundo registro por reintento. Todavía no se confirma éxito hasta COMMIT conjunto.</x:t>
  </x:si>
  <x:si>
    <x:t xml:space="preserve">retornarRecordatorioKilometrajeInicializado()</x:t>
  </x:si>
  <x:si>
    <x:t xml:space="preserve">BLOQUE 6 · CONFIRMACIÓN DEL REGISTRO (Pasos 47–54)</x:t>
  </x:si>
  <x:si>
    <x:t xml:space="preserve">I_ConfirmacionRegistroVehiculo</x:t>
  </x:si>
  <x:si>
    <x:t xml:space="preserve">mostrarResultadoRegistroExitoso(mensaje)</x:t>
  </x:si>
  <x:si>
    <x:t xml:space="preserve">visualizarMensajeExito()</x:t>
  </x:si>
  <x:si>
    <x:t xml:space="preserve">La interfaz muestra al usuario el mensaje “¡Vehículo agregado!” y presenta las acciones disponibles posteriores al registro. Siendo los botones de "Mis vehiculos" o "Volver al inicio"</x:t>
  </x:si>
  <x:si>
    <x:t xml:space="preserve">seleccionarVerMisVehiculos()</x:t>
  </x:si>
  <x:si>
    <x:t xml:space="preserve">El usuario selecciona el botón Ver mis vehículos en la pantalla de confirmación del registro exitoso.</x:t>
  </x:si>
  <x:si>
    <x:t xml:space="preserve">La interfaz solicita al controlador de navegación mostrar la lista de vehículos registrados.</x:t>
  </x:si>
  <x:si>
    <x:t xml:space="preserve">mostrarVistaAutosActualizada()</x:t>
  </x:si>
  <x:si>
    <x:t xml:space="preserve">El sistema muestra la pantalla Mis vehículos con el nuevo vehículo registrado y su información actualizada.</x:t>
  </x:si>
  <x:si>
    <x:t xml:space="preserve">ALTERNATIVO</x:t>
  </x:si>
  <x:si>
    <x:t xml:space="preserve">seleccionarIrInicio()</x:t>
  </x:si>
  <x:si>
    <x:t xml:space="preserve">Como alternativa, el usuario selecciona Ir al inicio en la pantalla de confirmación del registro exitoso.</x:t>
  </x:si>
  <x:si>
    <x:t xml:space="preserve">solicitarVistaInicio()</x:t>
  </x:si>
  <x:si>
    <x:t xml:space="preserve">La interfaz solicita al controlador de navegación regresar a la pantalla principal de la aplicación.</x:t>
  </x:si>
  <x:si>
    <x:t xml:space="preserve">mostrarVistaInicio()</x:t>
  </x:si>
  <x:si>
    <x:t xml:space="preserve">La pantalla Inicio muestra datos disponibles del MVP; otros módulos se activarán por etapas.</x:t>
  </x:si>
  <x:si>
    <x:t xml:space="preserve">DIAGRAMA DE SECUENCIAS — RF-009 Consultar vehículos registrados | EVENTO EXITOSO</x:t>
  </x:si>
  <x:si>
    <x:t xml:space="preserve">Patrón: Actor → Interfaz → Control → Entidad → Control → Interfaz → Actor | 49 pasos | 4 bloques</x:t>
  </x:si>
  <x:si>
    <x:t xml:space="preserve">BLOQUE 1 · INGRESO AL MÓDULO AUTOS (Pasos 1–3)</x:t>
  </x:si>
  <x:si>
    <x:t xml:space="preserve">seleccionarModuloAutos()</x:t>
  </x:si>
  <x:si>
    <x:t xml:space="preserve">El usuario presiona el ícono Autos desde la barra de navegación.</x:t>
  </x:si>
  <x:si>
    <x:t xml:space="preserve">La interfaz solicita cambiar a la vista Autos.</x:t>
  </x:si>
  <x:si>
    <x:t xml:space="preserve">El controlador solicita cargar la interfaz Mis vehículos.</x:t>
  </x:si>
  <x:si>
    <x:t xml:space="preserve">BLOQUE 2 · CARGA INICIAL DEL LISTADO (Pasos 4–26)</x:t>
  </x:si>
  <x:si>
    <x:t xml:space="preserve">C_ControlListadoVehiculos</x:t>
  </x:si>
  <x:si>
    <x:t xml:space="preserve">consultarVehiculosPorUsuario(idUsuario)</x:t>
  </x:si>
  <x:si>
    <x:t xml:space="preserve">Se consultan únicamente los vehículos pertenecientes al usuario.</x:t>
  </x:si>
  <x:si>
    <x:t xml:space="preserve">retornarDatosVehiculos(listaVehiculos)</x:t>
  </x:si>
  <x:si>
    <x:t xml:space="preserve">La entidad devuelve idVehiculo, marca, modelo, placa, anioFabricacion, usoVehiculo, color, tipoMotor, combustible cuando corresponda, estado y es_principal. Para eléctricos, combustible no aplica; imágenes, kilometraje y documentos se consultan por sus respectivos controladores. Clave de consulta del vehículo: idVehiculo; VIN se presenta como dato opcional y nunca como identificador del listado.</x:t>
  </x:si>
  <x:si>
    <x:t xml:space="preserve">solicitarImagenesPrincipales(idsVehiculos)</x:t>
  </x:si>
  <x:si>
    <x:t xml:space="preserve">C_ControlListadoVehiculos delega la consulta de imágenes al controlador responsable, que encapsula el acceso a E_ImagenVehiculo.  |  AJUSTE 2026-10-24: VERSIÓN COMPLETA: imágenes personalizadas, almacenadas de acuerdo con política local Android/Room; MVP muestra foto predeterminada sin llamar al módulo de imágenes.</x:t>
  </x:si>
  <x:si>
    <x:t xml:space="preserve">retornarImagenesPrincipales(mapaImagenes)</x:t>
  </x:si>
  <x:si>
    <x:t xml:space="preserve">C_ControlImagenVehiculo devuelve las imágenes principales personalizadas o el estado PREDETERMINADA de los vehículos solicitados.  |  AJUSTE 2026-10-24: VERSIÓN COMPLETA: imágenes personalizadas, almacenadas de acuerdo con política local Android/Room; MVP muestra foto predeterminada sin llamar al módulo de imágenes.</x:t>
  </x:si>
  <x:si>
    <x:t xml:space="preserve">solicitarUltimosKilometrajes(idsVehiculos)</x:t>
  </x:si>
  <x:si>
    <x:t xml:space="preserve">El controlador solicita obtener el kilometraje actual de los vehículos que serán mostrados.</x:t>
  </x:si>
  <x:si>
    <x:t xml:space="preserve">consultarUltimasLecturasPorVehiculos(idsVehiculos)</x:t>
  </x:si>
  <x:si>
    <x:t xml:space="preserve">El controlador consulta la última lectura efectiva registrada para cada vehículo.</x:t>
  </x:si>
  <x:si>
    <x:t xml:space="preserve">retornarUltimasLecturas(mapaKilometrajes)</x:t>
  </x:si>
  <x:si>
    <x:t xml:space="preserve">La entidad devuelve el kilometraje actual correspondiente a cada vehículo.</x:t>
  </x:si>
  <x:si>
    <x:t xml:space="preserve">retornarUltimosKilometrajes(mapaKilometrajes)</x:t>
  </x:si>
  <x:si>
    <x:t xml:space="preserve">El controlador de kilometraje devuelve los valores actuales obtenidos.</x:t>
  </x:si>
  <x:si>
    <x:t xml:space="preserve">C_ControlSOAT</x:t>
  </x:si>
  <x:si>
    <x:t xml:space="preserve">solicitarEstadosSOAT(idsVehiculos)</x:t>
  </x:si>
  <x:si>
    <x:t xml:space="preserve">Solicita al controlador de SOAT el estado documental de los vehículos del usuario para mostrar el indicador correspondiente.  |  AJUSTE 2026-10-24: VERSIÓN COMPLETA: consulta SOAT es necesaria para insignia Vigente/Vencido/No registrado por tarjeta. No llamar a un servicio SOAT inexistente en MVP.</x:t>
  </x:si>
  <x:si>
    <x:t xml:space="preserve">E_SOAT</x:t>
  </x:si>
  <x:si>
    <x:t xml:space="preserve">consultarEstadosSOATPorVehiculos(idsVehiculos)</x:t>
  </x:si>
  <x:si>
    <x:t xml:space="preserve">Consulta por cada vehículo si tiene un SOAT vigente, vencido o no registrado. La consulta devuelve por separado SOAT esActual y cobertura temporal calculada; anteriores quedan históricos.  |  AJUSTE 2026-10-24: VERSIÓN COMPLETA: consulta SOAT es necesaria para insignia Vigente/Vencido/No registrado por tarjeta. No llamar a un servicio SOAT inexistente en MVP.</x:t>
  </x:si>
  <x:si>
    <x:t xml:space="preserve">retornarEstadosSOAT(mapaSOAT)</x:t>
  </x:si>
  <x:si>
    <x:t xml:space="preserve">Devuelve el estado del SOAT asociado a cada idVehiculo.  |  AJUSTE 2026-10-24: VERSIÓN COMPLETA: consulta SOAT es necesaria para insignia Vigente/Vencido/No registrado por tarjeta. No llamar a un servicio SOAT inexistente en MVP.</x:t>
  </x:si>
  <x:si>
    <x:t xml:space="preserve">Entrega al listado los estados de SOAT que se mostrarán en las tarjetas.  |  AJUSTE 2026-10-24: VERSIÓN COMPLETA: consulta SOAT es necesaria para insignia Vigente/Vencido/No registrado por tarjeta. No llamar a un servicio SOAT inexistente en MVP.</x:t>
  </x:si>
  <x:si>
    <x:t xml:space="preserve">C_ControlTIVE</x:t>
  </x:si>
  <x:si>
    <x:t xml:space="preserve">solicitarEstadosTIVE(idsVehiculos)</x:t>
  </x:si>
  <x:si>
    <x:t xml:space="preserve">Solicita comprobar si cada vehículo tiene una TIVE registrada.  |  AJUSTE 2026-10-24: VERSIÓN COMPLETA: consulta presencia TIVE es necesaria para insignia TIVE/Sin TIVE en cada tarjeta; TIVE se enlaza por idVehiculo y no expira.</x:t>
  </x:si>
  <x:si>
    <x:t xml:space="preserve">E_TIVE</x:t>
  </x:si>
  <x:si>
    <x:t xml:space="preserve">consultarPresenciaTIVEPorVehiculos(idsVehiculos)</x:t>
  </x:si>
  <x:si>
    <x:t xml:space="preserve">Consulta la existencia de una TIVE vinculada a cada vehículo; no trata el documento como sujeto a vencimiento. La relación TIVE → VEHICULO se resuelve por TIVE.idVehiculo = VEHICULO.idVehiculo (PK/FK única), sin buscar por VIN.  |  AJUSTE 2026-10-24: VERSIÓN COMPLETA: consulta presencia TIVE es necesaria para insignia TIVE/Sin TIVE en cada tarjeta; TIVE se enlaza por idVehiculo y no expira.</x:t>
  </x:si>
  <x:si>
    <x:t xml:space="preserve">retornarEstadosTIVE(mapaTIVE)</x:t>
  </x:si>
  <x:si>
    <x:t xml:space="preserve">Devuelve para cada vehículo el estado REGISTRADA o NO_REGISTRADA.  |  AJUSTE 2026-10-24: VERSIÓN COMPLETA: consulta presencia TIVE es necesaria para insignia TIVE/Sin TIVE en cada tarjeta; TIVE se enlaza por idVehiculo y no expira.</x:t>
  </x:si>
  <x:si>
    <x:t xml:space="preserve">Entrega al listado los indicadores TIVE o Sin TIVE de cada vehículo.  |  AJUSTE 2026-10-24: VERSIÓN COMPLETA: consulta presencia TIVE es necesaria para insignia TIVE/Sin TIVE en cada tarjeta; TIVE se enlaza por idVehiculo y no expira.</x:t>
  </x:si>
  <x:si>
    <x:t xml:space="preserve">integrarDatosListado(listaVehiculos,mapaImagenes?,mapaKilometrajes,mapaSOAT?,mapaTIVE?)</x:t>
  </x:si>
  <x:si>
    <x:t xml:space="preserve">MVP: mapaKilometrajes se obtiene de lectura vigente; foto siempre de recurso predeterminado Android si no hay foto local. mapaImagenes, mapaSOAT y mapaTIVE son opcionales/ausentes mientras esos módulos no existan. Cada tarjeta muestra idVehiculo, marca, modelo, placa, año, uso, estado, principal, kmActual (y combustible si aplica); SOAT/TIVE se presentan 'Próximamente' (o se ocultan), NUNCA como 'NO_REGISTRADO' por no implementar. VERSIÓN COMPLETA: mapas reales por idVehiculo con estado SOAT VIGENTE/VENCIDO/NO_REGISTRADO y TIVE REGISTRADA/NO_REGISTRADA y foto personalizada (desde Room local o servicio de medios futuro).</x:t>
  </x:si>
  <x:si>
    <x:t xml:space="preserve">ordenarVehiculosPrincipalPrimero(listaVehiculos)</x:t>
  </x:si>
  <x:si>
    <x:t xml:space="preserve">Si existe un vehículo principal, se coloca primero en el listado inicial.</x:t>
  </x:si>
  <x:si>
    <x:t xml:space="preserve">calcularResumenEstados(listaVehiculos)</x:t>
  </x:si>
  <x:si>
    <x:t xml:space="preserve">Calcula la cantidad total, activos e inactivos que se mostrará en los filtros.</x:t>
  </x:si>
  <x:si>
    <x:t xml:space="preserve">establecerFiltroInicial(TODOS)</x:t>
  </x:si>
  <x:si>
    <x:t xml:space="preserve">El filtro Todos queda seleccionado de forma predeterminada.</x:t>
  </x:si>
  <x:si>
    <x:t xml:space="preserve">mostrarListadoVehiculos(listaOrdenada,resumenEstados,TODOS)</x:t>
  </x:si>
  <x:si>
    <x:t xml:space="preserve">Solicita a I_Autos mostrar el listado ordenado, sus contadores Todos/Activos/Inactivos y las tarjetas con año, uso, kilometraje, indicadores SOAT y TIVE. La vista presenta + Agregar,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</x:si>
  <x:si>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visualizarListadoVehiculos()</x:t>
  </x:si>
  <x:si>
    <x:t xml:space="preserve">El usuario visualiza tarjetas con imagen, marca/modelo, placa, año, uso Particular/Taxi, kilometraje vigente, combustible cuando aplique, Principal, Activo/Inactivo, SOAT y TIVE/Sin TIVE. También visualiza el buscador, filtros, + Agregar,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</x:si>
  <x:si>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BLOQUE 3 · BÚSQUEDA Y FILTRO DEL LISTADO (Pasos 27–47)</x:t>
  </x:si>
  <x:si>
    <x:t xml:space="preserve">definirCriteriosConsulta(textoBusqueda,estadoFiltro)</x:t>
  </x:si>
  <x:si>
    <x:t xml:space="preserve">El usuario escribe un texto y/o selecciona Todos, Activos o Inactivos.</x:t>
  </x:si>
  <x:si>
    <x:t xml:space="preserve">validarCriteriosConsulta(textoBusqueda,estadoFiltro)</x:t>
  </x:si>
  <x:si>
    <x:t xml:space="preserve">Se valida que el filtro sea TODOS, ACTIVO o INACTIVO y se prepara el texto de búsqueda.</x:t>
  </x:si>
  <x:si>
    <x:t xml:space="preserve">consultarVehiculosPorCriterio(idUsuario,textoBusqueda,estadoFiltro)</x:t>
  </x:si>
  <x:si>
    <x:t xml:space="preserve">Consulta solo vehículos del usuario cuyo texto coincida con placa, marca, modelo o la combinación marca y modelo, y que cumplan el filtro TODOS, ACTIVO o INACTIVO.</x:t>
  </x:si>
  <x:si>
    <x:t xml:space="preserve">retornarVehiculosFiltrados(listaVehiculos)</x:t>
  </x:si>
  <x:si>
    <x:t xml:space="preserve">La entidad devuelve los vehículos que cumplen los criterios.</x:t>
  </x:si>
  <x:si>
    <x:t xml:space="preserve">solicitarImagenesPrincipales(idsVehiculosFiltrados)</x:t>
  </x:si>
  <x:si>
    <x:t xml:space="preserve">solicitarUltimosKilometrajes(idsVehiculosFiltrados)</x:t>
  </x:si>
  <x:si>
    <x:t xml:space="preserve">Se solicita el kilometraje actual únicamente de los vehículos obtenidos como resultado.</x:t>
  </x:si>
  <x:si>
    <x:t xml:space="preserve">consultarUltimasLecturasPorVehiculos(idsVehiculosFiltrados)</x:t>
  </x:si>
  <x:si>
    <x:t xml:space="preserve">Se consultan las últimas lecturas efectivas de los resultados.</x:t>
  </x:si>
  <x:si>
    <x:t xml:space="preserve">La entidad devuelve los kilometrajes correspondientes.</x:t>
  </x:si>
  <x:si>
    <x:t xml:space="preserve">El controlador devuelve los kilometrajes del conjunto filtrado.</x:t>
  </x:si>
  <x:si>
    <x:t xml:space="preserve">solicitarEstadosSOAT(idsVehiculosFiltrados)</x:t>
  </x:si>
  <x:si>
    <x:t xml:space="preserve">Solicita los estados de SOAT únicamente de los vehículos que cumplen la búsqueda y el filtro.  |  AJUSTE 2026-10-24: VERSIÓN COMPLETA: consulta SOAT es necesaria para insignia Vigente/Vencido/No registrado por tarjeta. No llamar a un servicio SOAT inexistente en MVP.</x:t>
  </x:si>
  <x:si>
    <x:t xml:space="preserve">consultarEstadosSOATPorVehiculos(idsVehiculosFiltrados)</x:t>
  </x:si>
  <x:si>
    <x:t xml:space="preserve">Consulta el estado del SOAT de cada vehículo incluido en los resultados filtrados. La consulta devuelve por separado SOAT esActual y cobertura temporal calculada; anteriores quedan históricos.  |  AJUSTE 2026-10-24: VERSIÓN COMPLETA: consulta SOAT es necesaria para insignia Vigente/Vencido/No registrado por tarjeta. No llamar a un servicio SOAT inexistente en MVP.</x:t>
  </x:si>
  <x:si>
    <x:t xml:space="preserve">Devuelve el mapa de estados SOAT para los resultados filtrados.  |  AJUSTE 2026-10-24: VERSIÓN COMPLETA: consulta SOAT es necesaria para insignia Vigente/Vencido/No registrado por tarjeta. No llamar a un servicio SOAT inexistente en MVP.</x:t>
  </x:si>
  <x:si>
    <x:t xml:space="preserve">Entrega los estados SOAT al controlador del listado filtrado.  |  AJUSTE 2026-10-24: VERSIÓN COMPLETA: consulta SOAT es necesaria para insignia Vigente/Vencido/No registrado por tarjeta. No llamar a un servicio SOAT inexistente en MVP.</x:t>
  </x:si>
  <x:si>
    <x:t xml:space="preserve">solicitarEstadosTIVE(idsVehiculosFiltrados)</x:t>
  </x:si>
  <x:si>
    <x:t xml:space="preserve">Solicita la presencia o ausencia de TIVE solo para los vehículos filtrados.  |  AJUSTE 2026-10-24: VERSIÓN COMPLETA: consulta presencia TIVE es necesaria para insignia TIVE/Sin TIVE en cada tarjeta; TIVE se enlaza por idVehiculo y no expira.</x:t>
  </x:si>
  <x:si>
    <x:t xml:space="preserve">consultarPresenciaTIVEPorVehiculos(idsVehiculosFiltrados)</x:t>
  </x:si>
  <x:si>
    <x:t xml:space="preserve">Consulta las TIVE vinculadas a los vehículos filtrados, sin calcular fecha de vencimiento. Mantener idVehiculo como clave para consultar el estado TIVE también en los resultados filtrados.  |  AJUSTE 2026-10-24: VERSIÓN COMPLETA: consulta presencia TIVE es necesaria para insignia TIVE/Sin TIVE en cada tarjeta; TIVE se enlaza por idVehiculo y no expira.</x:t>
  </x:si>
  <x:si>
    <x:t xml:space="preserve">Devuelve el mapa de existencia de TIVE para los resultados.  |  AJUSTE 2026-10-24: VERSIÓN COMPLETA: consulta presencia TIVE es necesaria para insignia TIVE/Sin TIVE en cada tarjeta; TIVE se enlaza por idVehiculo y no expira.</x:t>
  </x:si>
  <x:si>
    <x:t xml:space="preserve">Entrega los indicadores TIVE o Sin TIVE al controlador del listado filtrado.  |  AJUSTE 2026-10-24: VERSIÓN COMPLETA: consulta presencia TIVE es necesaria para insignia TIVE/Sin TIVE en cada tarjeta; TIVE se enlaza por idVehiculo y no expira.</x:t>
  </x:si>
  <x:si>
    <x:t xml:space="preserve">Si el principal pertenece a los resultados, se muestra primero; si no cumple los criterios, no aparece.</x:t>
  </x:si>
  <x:si>
    <x:t xml:space="preserve">BLOQUE 4 · PRESENTACIÓN DEL RESULTADO (Pasos 48–49)</x:t>
  </x:si>
  <x:si>
    <x:t xml:space="preserve">mostrarVehiculosFiltrados(listaOrdenada,textoBusqueda,estadoFiltro,resumenEstados)</x:t>
  </x:si>
  <x:si>
    <x:t xml:space="preserve">La interfaz presenta los resultados ordenados y conserva el texto de búsqueda, el filtro aplicado y los contadores. Las tarjetas contienen año, uso, kilometraje, indicadores documentales y los botones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</x:si>
  <x:si>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visualizarVehiculosFiltrados()</x:t>
  </x:si>
  <x:si>
    <x:t xml:space="preserve">El usuario visualiza los vehículos filtrados con imagen, marca/modelo, placa, año, uso, kilometraje vigente, combustible cuando corresponda, estado, Principal, SOAT y TIVE/Sin TIVE, con los botones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</x:si>
  <x:si>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DIAGRAMA DE SECUENCIAS — RF-010 Consultar detalle del vehículo | EVENTO EXITOSO</x:t>
  </x:si>
  <x:si>
    <x:t xml:space="preserve">Patrón: Actor → Interfaz → Control → Entidad → Control → Interfaz → Actor | 24 pasos | 6 bloques</x:t>
  </x:si>
  <x:si>
    <x:t xml:space="preserve">BLOQUE 1 · SELECCIÓN Y VALIDACIÓN DEL VEHÍCULO (Pasos 1–5)</x:t>
  </x:si>
  <x:si>
    <x:t xml:space="preserve">seleccionarVerDetalle(idVehiculo)</x:t>
  </x:si>
  <x:si>
    <x:t xml:space="preserve">El usuario selecciona Ver detalles en la tarjeta de un vehículo mostrado por RF09.</x:t>
  </x:si>
  <x:si>
    <x:t xml:space="preserve">C_ControlDetalleVehiculo</x:t>
  </x:si>
  <x:si>
    <x:t xml:space="preserve">consultarVehiculoUsuario(idUsuario,idVehiculo)</x:t>
  </x:si>
  <x:si>
    <x:t xml:space="preserve">El controlador solicita el vehículo seleccionado asegurando que corresponda al usuario autenticado.</x:t>
  </x:si>
  <x:si>
    <x:t xml:space="preserve">retornarDatosVehiculo(datosVehiculo)</x:t>
  </x:si>
  <x:si>
    <x:t xml:space="preserve">La entidad devuelve únicamente el vehículo que pertenece al usuario: marca, modelo, placa, usoVehiculo, anioFabricacion, color, tipoMotor, combustible cuando aplique, tipoAceite, numeroVin, numeroSerie, numeroMotor, especificaciones de «Otro», estado y es_principal. La imagen, el kilometraje y los documentos SOAT/TIVE se consultan mediante sus controladores.  |  AJUSTE 2026-10-24: VEHICULO usa PK idVehiculo inmutable. VIN es atributo opcional y editable luego por RF11; el cambio no altera FK de otros RF.</x:t>
  </x:si>
  <x:si>
    <x:t xml:space="preserve">validarAccesoDetalle(datosVehiculo)</x:t>
  </x:si>
  <x:si>
    <x:t xml:space="preserve">El controlador verifica que el vehículo exista y pueda ser consultado. Tanto los vehículos Activos como Inactivos pueden visualizar su detalle.</x:t>
  </x:si>
  <x:si>
    <x:t xml:space="preserve">BLOQUE 2 · OBTENCIÓN DEL KILOMETRAJE ACTUAL (Pasos 6–9)</x:t>
  </x:si>
  <x:si>
    <x:t xml:space="preserve">consultarUltimoKilometraje(idVehiculo)</x:t>
  </x:si>
  <x:si>
    <x:t xml:space="preserve">El controlador de detalle solicita el kilometraje actual del vehículo.</x:t>
  </x:si>
  <x:si>
    <x:t xml:space="preserve">obtenerUltimoKilometraje(idVehiculo)</x:t>
  </x:si>
  <x:si>
    <x:t xml:space="preserve">Se consulta la última lectura efectiva registrada para el vehículo.</x:t>
  </x:si>
  <x:si>
    <x:t xml:space="preserve">retornarUltimaLectura(kilometraje,fechaLectura)</x:t>
  </x:si>
  <x:si>
    <x:t xml:space="preserve">La entidad devuelve el kilometraje actual y la fecha de la última lectura.</x:t>
  </x:si>
  <x:si>
    <x:t xml:space="preserve">El controlador de kilometraje devuelve la información actual al controlador de detalle.</x:t>
  </x:si>
  <x:si>
    <x:t xml:space="preserve">BLOQUE 3 · INFORMACIÓN Y ESTADO SOAT (Pasos 10–13)</x:t>
  </x:si>
  <x:si>
    <x:t xml:space="preserve">consultarInformacionSOAT(idVehiculo)</x:t>
  </x:si>
  <x:si>
    <x:t xml:space="preserve">El controlador de detalle solicita los datos del SOAT asociado al vehículo, esté vigente, vencido o no registrado, para mostrar la sección del documento.  |  AJUSTE 2026-10-24: VERSIÓN COMPLETA: SOAT se consulta para la tarjeta documental de Detalle; MVP puede reservar esa sección sin afirmar que el documento no existe.</x:t>
  </x:si>
  <x:si>
    <x:t xml:space="preserve">consultarSOATPorVehiculo(idVehiculo)</x:t>
  </x:si>
  <x:si>
    <x:t xml:space="preserve">El controlador de SOAT consulta el registro asociado y sus fechas de inicio y vencimiento. No limita la consulta a seguros vigentes, porque el detalle también debe poder mostrar un SOAT vencido.  |  AJUSTE 2026-10-24: VERSIÓN COMPLETA: SOAT se consulta para la tarjeta documental de Detalle; MVP puede reservar esa sección sin afirmar que el documento no existe.</x:t>
  </x:si>
  <x:si>
    <x:t xml:space="preserve">retornarDatosSOAT(datosSOAT)</x:t>
  </x:si>
  <x:si>
    <x:t xml:space="preserve">La entidad devuelve los datos del SOAT disponible, incluyendo fechaInicio y fechaVencimiento; si no existe un registro, devuelve ausencia de SOAT.  |  AJUSTE 2026-10-24: VERSIÓN COMPLETA: SOAT se consulta para la tarjeta documental de Detalle; MVP puede reservar esa sección sin afirmar que el documento no existe.</x:t>
  </x:si>
  <x:si>
    <x:t xml:space="preserve">retornarInformacionSOAT(datosSOAT,estadoSOAT)</x:t>
  </x:si>
  <x:si>
    <x:t xml:space="preserve">El controlador de SOAT determina el estado VIGENTE, VENCIDO o NO_REGISTRADO a partir de la fecha actual y las fechas del documento; devuelve datosSOAT y estadoSOAT al detalle.  |  AJUSTE 2026-10-24: VERSIÓN COMPLETA: SOAT se consulta para la tarjeta documental de Detalle; MVP puede reservar esa sección sin afirmar que el documento no existe.</x:t>
  </x:si>
  <x:si>
    <x:t xml:space="preserve">BLOQUE 4 · REGISTRO TIVE (Pasos 14–17)</x:t>
  </x:si>
  <x:si>
    <x:t xml:space="preserve">consultarTIVERegistrada(idVehiculo)</x:t>
  </x:si>
  <x:si>
    <x:t xml:space="preserve">El controlador de detalle solicita comprobar si existe TIVE registrada para el vehículo. La TIVE no se evalúa por vencimiento.  |  AJUSTE 2026-10-24: VERSIÓN COMPLETA: TIVE necesaria en Detalle; relación por idVehiculo (1 a 0..1). VIN NO es clave foránea, aunque se exige para registrar TIVE en RF54.</x:t>
  </x:si>
  <x:si>
    <x:t xml:space="preserve">consultarTIVEPorVehiculo(idVehiculo)</x:t>
  </x:si>
  <x:si>
    <x:t xml:space="preserve">Consulta la TIVE vinculada al vehículo y, si existe, obtiene el número de título y la fecha de título. Si no está registrada, devuelve NO_REGISTRADA. Localiza la TIVE por idVehiculo (PK/FK estable); el VIN no es FK y no debe emplearse como clave de enlace.  |  AJUSTE 2026-10-24: VERSIÓN COMPLETA: TIVE necesaria en Detalle; relación por idVehiculo (1 a 0..1). VIN NO es clave foránea, aunque se exige para registrar TIVE en RF54.</x:t>
  </x:si>
  <x:si>
    <x:t xml:space="preserve">retornarEstadoTIVE(estadoTIVE,datosTIVE)</x:t>
  </x:si>
  <x:si>
    <x:t xml:space="preserve">La entidad devuelve estadoTIVE = REGISTRADA o NO_REGISTRADA y, cuando existe, los datos de identificación de la TIVE: numeroTitulo y fechaTitulo, sin fecha de vencimiento.  |  AJUSTE 2026-10-24: VERSIÓN COMPLETA: TIVE necesaria en Detalle; relación por idVehiculo (1 a 0..1). VIN NO es clave foránea, aunque se exige para registrar TIVE en RF54.</x:t>
  </x:si>
  <x:si>
    <x:t xml:space="preserve">retornarInformacionTIVE(estadoTIVE,datosTIVE)</x:t>
  </x:si>
  <x:si>
    <x:t xml:space="preserve">El controlador de TIVE entrega el estado de registro y el número y fecha del título para su visualización. Consultar TIVE o Editar TIVE son acciones que continúan en requerimientos propios.  |  AJUSTE 2026-10-24: VERSIÓN COMPLETA: TIVE necesaria en Detalle; relación por idVehiculo (1 a 0..1). VIN NO es clave foránea, aunque se exige para registrar TIVE en RF54.</x:t>
  </x:si>
  <x:si>
    <x:t xml:space="preserve">BLOQUE 5 · IMAGEN Y ACCIONES DISPONIBLES (Pasos 18–22)</x:t>
  </x:si>
  <x:si>
    <x:t xml:space="preserve">solicitarEstadoImagen(idVehiculo)</x:t>
  </x:si>
  <x:si>
    <x:t xml:space="preserve">El controlador de detalle solicita la imagen principal o su estado PREDETERMINADA para representar la foto del vehículo en la cabecera.  |  AJUSTE 2026-10-24: VERSIÓN COMPLETA: foto personalizada; MVP usa imagen predeterminada local sin módulo de foto.</x:t>
  </x:si>
  <x:si>
    <x:t xml:space="preserve">E_ImagenVehiculo</x:t>
  </x:si>
  <x:si>
    <x:t xml:space="preserve">consultarImagenPrincipal(idVehiculo)</x:t>
  </x:si>
  <x:si>
    <x:t xml:space="preserve">El controlador de imagen consulta la imagen principal del vehículo. La imagen personalizada se maneja separada de los datos generales.  |  AJUSTE 2026-10-24: VERSIÓN COMPLETA: foto personalizada; MVP usa imagen predeterminada local sin módulo de foto.</x:t>
  </x:si>
  <x:si>
    <x:t xml:space="preserve">retornarEstadoImagen(estadoImagen,datosImagen)</x:t>
  </x:si>
  <x:si>
    <x:t xml:space="preserve">La entidad devuelve estadoImagen = PERSONALIZADA o PREDETERMINADA y los datos de la foto principal cuando exista.  |  AJUSTE 2026-10-24: VERSIÓN COMPLETA: foto personalizada; MVP usa imagen predeterminada local sin módulo de foto.</x:t>
  </x:si>
  <x:si>
    <x:t xml:space="preserve">El controlador devuelve la foto principal o imagen predeterminada. Si es personalizada se presenta Gestionar foto; si es predeterminada, la opción de registrar una imagen.  |  AJUSTE 2026-10-24: VERSIÓN COMPLETA: foto personalizada; MVP usa imagen predeterminada local sin módulo de foto.</x:t>
  </x:si>
  <x:si>
    <x:t xml:space="preserve">prepararDetalleYAcciones(datosVehiculo,kilometraje,fechaLectura,datosSOAT?,estadoSOAT?,estadoTIVE?,datosTIVE?,estadoImagen?,datosImagen?)</x:t>
  </x:si>
  <x:si>
    <x:t xml:space="preserve">MVP obligatorios: idVehiculo, marca, modelo, placa, año, color, uso, tipoMotor, combustible solo cuando aplique, estado activo/inactivo, esPrincipal, kilometrajeVigente y fechaLectura; imagen predeterminada Android. OPCIONALES NO SOLICITADOS al backend del MVP: datosSOAT, estadoSOAT, estadoTIVE, datosTIVE, estadoImagen personalizada y datosImagen (se omiten o NULL). UI muestra áreas documentales como 'Próximamente' y acceso a I_DetalleKilometraje; NO tratar falta de implementación como NO_REGISTRADO. VERSIÓN COMPLETA: si no hay TIVE y vehículo ACTIVO, solo 'Registrar TIVE'; si existe, 'Consultar TIVE' y 'Editar TIVE' únicamente ACTIVO; inactivo solo consulta. La tarjeta SOAT muestra su estado real, y foto personalizada viene de la fuente de medios acordada.</x:t>
  </x:si>
  <x:si>
    <x:t xml:space="preserve">BLOQUE 6 · PRESENTACIÓN DEL DETALLE (Pasos 23–24)</x:t>
  </x:si>
  <x:si>
    <x:t xml:space="preserve">I_DetalleVehiculo</x:t>
  </x:si>
  <x:si>
    <x:t xml:space="preserve">mostrarDetalleVehiculo(datosDetalle,accionesDisponibles)</x:t>
  </x:si>
  <x:si>
    <x:t xml:space="preserve">El controlador solicita mostrar Detalle del vehículo con foto, nombre, placa, indicador Activo/Inactivo, tarjetas informativas, datos adicionales, documentos SOAT/TIVE y los botones correspondientes. RF10 solo muestra los accesos, no ejecuta sus procesos.  |  AJUSTE 2026-10-24: Conservar las tarjetas SOAT/TIVE del diseño total, pero activarlas cuando existan los servicios; para el MVP mostrar datos de vehículo y kilometraje y acceso a I_DetalleKilometraje. No tratar como 'NO_REGISTRADO' la falta de implementación.  |  ACUERDO 24/10: MVP: renderiza los campos obligatorios y sección Kilometraje con acceso a I_DetalleKilometraje; tarjetas SOAT/TIVE no disponibles se ocultan o rotulan 'Próximamente'; no se invocan servicios no implementados. VERSIÓN COMPLETA: mismas tarjetas y acciones reciben estados reales.</x:t>
  </x:si>
  <x:si>
    <x:t xml:space="preserve">visualizarDetalleCompleto()</x:t>
  </x:si>
  <x:si>
    <x:t xml:space="preserve">El usuario visualiza el detalle general del vehículo y sus documentos. En la sección TIVE SIN REGISTRO solo aparece el mensaje informativo y «Registrar TIVE» si el vehículo está ACTIVO; no se muestran «Consultar» ni «Editar». Si la TIVE está REGISTRADA y el vehículo está ACTIVO, aparecen «Consultar TIVE» y «Editar TIVE»; si está INACTIVO, únicamente «Consultar TIVE» en modo lectura. No existe menú de tres puntos.  |  AJUSTE 2026-10-24: Conservar las tarjetas SOAT/TIVE del diseño total, pero activarlas cuando existan los servicios; para el MVP mostrar datos de vehículo y kilometraje y acceso a I_DetalleKilometraje. No tratar como 'NO_REGISTRADO' la falta de implementación.  |  ACUERDO 24/10: MVP: renderiza los campos obligatorios y sección Kilometraje con acceso a I_DetalleKilometraje; tarjetas SOAT/TIVE no disponibles se ocultan o rotulan 'Próximamente'; no se invocan servicios no implementados. VERSIÓN COMPLETA: mismas tarjetas y acciones reciben estados reales.</x:t>
  </x:si>
  <x:si>
    <x:t xml:space="preserve">DIAGRAMA DE SECUENCIAS — RF-011 Modificar datos del vehículo | EVENTO EXITOSO</x:t>
  </x:si>
  <x:si>
    <x:t xml:space="preserve">Patrón: Actor → Interfaz → Control → Entidad → Control → Interfaz → Actor | 32 pasos | 5 bloques | Retorno directo al detalle</x:t>
  </x:si>
  <x:si>
    <x:t xml:space="preserve">BLOQUE 1 · INGRESO, PERTENENCIA Y ESTADO DEL VEHÍCULO (Pasos 1–7)</x:t>
  </x:si>
  <x:si>
    <x:t xml:space="preserve">Desde el detalle del vehículo, el usuario selecciona la opción Editar datos.</x:t>
  </x:si>
  <x:si>
    <x:t xml:space="preserve">C_ControlEdicionVehiculo</x:t>
  </x:si>
  <x:si>
    <x:t xml:space="preserve">solicitarEdicionVehiculo(idUsuario,idVehiculo)</x:t>
  </x:si>
  <x:si>
    <x:t xml:space="preserve">La interfaz solicita iniciar la edición del vehículo seleccionado para el usuario autenticado.</x:t>
  </x:si>
  <x:si>
    <x:t xml:space="preserve">consultarDatosEditablesVehiculo(idUsuario,idVehiculo)</x:t>
  </x:si>
  <x:si>
    <x:t xml:space="preserve">El controlador consulta el vehículo asegurando que exista y pertenezca al usuario.</x:t>
  </x:si>
  <x:si>
    <x:t xml:space="preserve">solicitarImagenPrincipal(idVehiculo)</x:t>
  </x:si>
  <x:si>
    <x:t xml:space="preserve">El controlador solicita la fotografía principal para mostrarla en el formulario. Su carga, sustitución o eliminación no se ejecuta en RF11; el acceso «Gestionar foto» dirige al requerimiento de imágenes correspondiente.</x:t>
  </x:si>
  <x:si>
    <x:t xml:space="preserve">retornarImagenPrincipal(estadoImagen,datosImagen)</x:t>
  </x:si>
  <x:si>
    <x:t xml:space="preserve">El controlador de imagen devuelve la imagen personalizada principal o el estado PREDETERMINADA.</x:t>
  </x:si>
  <x:si>
    <x:t xml:space="preserve">validarVehiculoEditable(estadoVehiculo)</x:t>
  </x:si>
  <x:si>
    <x:t xml:space="preserve">El controlador verifica que el vehículo esté Activo. Los vehículos Inactivos permanecen en modo consulta y no pueden modificar sus datos.</x:t>
  </x:si>
  <x:si>
    <x:t xml:space="preserve">BLOQUE 2 · CARGA DEL KILOMETRAJE Y FORMULARIO DE EDICIÓN (Pasos 8–13)</x:t>
  </x:si>
  <x:si>
    <x:t xml:space="preserve">solicitarUltimoKilometraje(idVehiculo)</x:t>
  </x:si>
  <x:si>
    <x:t xml:space="preserve">El controlador solicita el kilometraje vigente para mostrarlo en el formulario en modo de solo lectura.</x:t>
  </x:si>
  <x:si>
    <x:t xml:space="preserve">consultarUltimaLectura(idVehiculo)</x:t>
  </x:si>
  <x:si>
    <x:t xml:space="preserve">El controlador consulta la última lectura efectiva registrada para el vehículo.</x:t>
  </x:si>
  <x:si>
    <x:t xml:space="preserve">retornarUltimoKilometraje(kilometraje,fechaLectura)</x:t>
  </x:si>
  <x:si>
    <x:t xml:space="preserve">El controlador de kilometraje entrega la lectura vigente al controlador de edición.</x:t>
  </x:si>
  <x:si>
    <x:t xml:space="preserve">I_EdicionVehiculo</x:t>
  </x:si>
  <x:si>
    <x:t xml:space="preserve">mostrarFormularioEdicion(datosVehiculo,datosImagen,kilometraje,fechaLectura)</x:t>
  </x:si>
  <x:si>
    <x:t xml:space="preserve">mostrarCamposEdicion()</x:t>
  </x:si>
  <x:si>
    <x:t xml:space="preserve">BLOQUE 3 · MODIFICACIÓN Y VALIDACIÓN DE LOS DATOS (Pasos 14–25)</x:t>
  </x:si>
  <x:si>
    <x:t xml:space="preserve">ingresarCambiosVehiculo(datosModificados)</x:t>
  </x:si>
  <x:si>
    <x:t xml:space="preserve">habilitarGuardarCambios()</x:t>
  </x:si>
  <x:si>
    <x:t xml:space="preserve">La interfaz habilita «Guardar cambios» cuando existe una modificación real y todos los campos obligatorios y condicionales aplicables tienen valores válidos. Para tipoMotor=ELÉCTRICO no exige combustible, numeroMotor ni tipoAceite. En los selectores «Otro» exige su texto de especificación.</x:t>
  </x:si>
  <x:si>
    <x:t xml:space="preserve">seleccionarGuardarCambios()</x:t>
  </x:si>
  <x:si>
    <x:t xml:space="preserve">El usuario selecciona Guardar cambios una vez que la interfaz ha habilitado la acción.</x:t>
  </x:si>
  <x:si>
    <x:t xml:space="preserve">enviarCambiosVehiculo(idVehiculo,datosModificados)</x:t>
  </x:si>
  <x:si>
    <x:t xml:space="preserve">consolidarYVerificarCambios(datosActuales,datosModificados,estadoVehiculo)</x:t>
  </x:si>
  <x:si>
    <x:t xml:space="preserve">validarDatosModificados(datosConsolidados)</x:t>
  </x:si>
  <x:si>
    <x:t xml:space="preserve">El controlador solicita validar el conjunto de valores resultantes de combinar datos existentes y modificados. Aplica las reglas RF08 a los campos editables: marca/modelo/color en texto, uso, año y tipoMotor obligatorios, combustible obligatorio salvo motor eléctrico y «Otro» con especificación cuando corresponda. No edita placa, foto ni kilometraje.</x:t>
  </x:si>
  <x:si>
    <x:t xml:space="preserve">validarCamposObligatorios(datosConsolidados)</x:t>
  </x:si>
  <x:si>
    <x:t xml:space="preserve">Valida marca, modelo, usoVehiculo, anioFabricacion, color y tipoMotor sobre el formulario consolidado. Exige combustible únicamente cuando tipoMotor no sea ELÉCTRICO. Placa y kilometraje no se validan como campos editables.</x:t>
  </x:si>
  <x:si>
    <x:t xml:space="preserve">Valida que anioFabricacion corresponda a un año permitido, numérico y no futuro. Se aplica al dato consolidado aunque el usuario no haya modificado el año.</x:t>
  </x:si>
  <x:si>
    <x:t xml:space="preserve">validarReglasCondicionalesVehiculo(datosConsolidados)</x:t>
  </x:si>
  <x:si>
    <x:t xml:space="preserve">Valida los valores textuales de marca, modelo y color; VIN, numeroSerie y numeroMotor solo si se informaron; si «Otro» se seleccionó en tipoMotor, combustible o tipoAceite, exige el texto correspondiente. Si tipoMotor=ELÉCTRICO deshabilita y limpia numeroMotor, combustible, tipoAceite y sus especificaciones; en motores no eléctricos, exige combustible pero deja numeroMotor y tipoAceite opcionales.</x:t>
  </x:si>
  <x:si>
    <x:t xml:space="preserve">Devuelve el resultado de validar los datos consolidados. No se comprueba duplicidad de placa porque está bloqueada; la unicidad del VIN se consulta por separado únicamente si el valor cambia y se informa.</x:t>
  </x:si>
  <x:si>
    <x:t xml:space="preserve">BLOQUE 4 · ACTUALIZACIÓN DE LOS DATOS GENERALES (Pasos 26–28)</x:t>
  </x:si>
  <x:si>
    <x:t xml:space="preserve">evaluarResultadoValidacion(resultado)</x:t>
  </x:si>
  <x:si>
    <x:t xml:space="preserve">actualizarDatosGeneralesVehiculo(idVehiculo,datosConsolidados)</x:t>
  </x:si>
  <x:si>
    <x:t xml:space="preserve">retornarActualizacionVehiculo(datosVehiculoActualizado)</x:t>
  </x:si>
  <x:si>
    <x:t xml:space="preserve">La entidad confirma la modificación de los datos generales del mismo vehículo y devuelve los datos actualizados. No cambia el vehículo de propietario, kilometraje, imagen ni historial.</x:t>
  </x:si>
  <x:si>
    <x:t xml:space="preserve">BLOQUE 5 · RETORNO DIRECTO AL DETALLE ACTUALIZADO (Pasos 29–32)</x:t>
  </x:si>
  <x:si>
    <x:t xml:space="preserve">solicitarDetalleActualizado(idUsuario,idVehiculo)</x:t>
  </x:si>
  <x:si>
    <x:t xml:space="preserve">Después de guardar, el controlador de edición solicita a RF10 reconstruir el detalle vigente, sin mostrar una pantalla intermedia de confirmación.</x:t>
  </x:si>
  <x:si>
    <x:t xml:space="preserve">retornarDetalleActualizado(datosDetalle)</x:t>
  </x:si>
  <x:si>
    <x:t xml:space="preserve">El controlador de detalle devuelve marca, modelo, uso, año, color, motor, documentos e indicadores del vehículo con los datos modificados; mantiene imagen, placa y kilometraje sin alterar.</x:t>
  </x:si>
  <x:si>
    <x:t xml:space="preserve">mostrarDetalleActualizado(datosDetalle)</x:t>
  </x:si>
  <x:si>
    <x:t xml:space="preserve">El controlador muestra directamente I_DetalleVehiculo con los valores recién guardados y todas las secciones de consulta del RF10.</x:t>
  </x:si>
  <x:si>
    <x:t xml:space="preserve">visualizarCambiosActualizados()</x:t>
  </x:si>
  <x:si>
    <x:t xml:space="preserve">El usuario vuelve directamente al detalle y visualiza los cambios guardados. El flujo finaliza sin I_ConfirmacionOperacion ni botón Continuar.</x:t>
  </x:si>
  <x:si>
    <x:t xml:space="preserve">DIAGRAMA DE SECUENCIAS — RF-012 Activar o desactivar vehículo | EVENTO EXITOSO</x:t>
  </x:si>
  <x:si>
    <x:t xml:space="preserve">Evento exitoso | 63 pasos | 7 bloques | 8 mensajes nuevos para SOAT y TIVE | Referencia: RF09</x:t>
  </x:si>
  <x:si>
    <x:t xml:space="preserve">BLOQUE 1 · INICIO Y DETERMINACIÓN DEL CAMBIO DE ESTADO (Pasos 1–6)</x:t>
  </x:si>
  <x:si>
    <x:t xml:space="preserve">seleccionarCambiarEstado()</x:t>
  </x:si>
  <x:si>
    <x:t xml:space="preserve">Desde el detalle del vehículo mostrado por RF10, el usuario selecciona Activar vehículo o Desactivar vehículo según el estado actual.</x:t>
  </x:si>
  <x:si>
    <x:t xml:space="preserve">C_ControlEstadoVehiculo</x:t>
  </x:si>
  <x:si>
    <x:t xml:space="preserve">solicitarCambioEstado(idUsuario,idVehiculo)</x:t>
  </x:si>
  <x:si>
    <x:t xml:space="preserve">La interfaz solicita iniciar el cambio de estado del vehículo seleccionado para el usuario autenticado.</x:t>
  </x:si>
  <x:si>
    <x:t xml:space="preserve">consultarVehiculoEstado(idUsuario,idVehiculo)</x:t>
  </x:si>
  <x:si>
    <x:t xml:space="preserve">El controlador consulta el vehículo para verificar que exista, pertenezca al usuario y obtener su estado actual y condición de principal.</x:t>
  </x:si>
  <x:si>
    <x:t xml:space="preserve">retornarDatosEstado(estadoActual,esPrincipal)</x:t>
  </x:si>
  <x:si>
    <x:t xml:space="preserve">La entidad devuelve el estado actual del vehículo y si corresponde al vehículo principal.</x:t>
  </x:si>
  <x:si>
    <x:t xml:space="preserve">determinarEstadoNuevo(estadoActual)</x:t>
  </x:si>
  <x:si>
    <x:t xml:space="preserve">El controlador determina el cambio solicitado: ACTIVO → INACTIVO o INACTIVO → ACTIVO.</x:t>
  </x:si>
  <x:si>
    <x:t xml:space="preserve">verificarTipoCambioEstado(estadoNuevo)</x:t>
  </x:si>
  <x:si>
    <x:t xml:space="preserve">El controlador identifica la rama aplicable. Si es ACTIVAR ejecuta la validación del plan; si es DESACTIVAR ejecuta primero las reglas que impiden dejar la cuenta sin otro vehículo activo o desactivar directamente al vehículo principal.</x:t>
  </x:si>
  <x:si>
    <x:t xml:space="preserve">BLOQUE 2 · RAMA ACTIVAR · VALIDACIÓN DEL PLAN Y CONDICIÓN DE PRINCIPAL (Pasos 7–14)</x:t>
  </x:si>
  <x:si>
    <x:t xml:space="preserve">C_ControlSuscripcion</x:t>
  </x:si>
  <x:si>
    <x:t xml:space="preserve">solicitarValidacionPlanActivacion(idUsuario)</x:t>
  </x:si>
  <x:si>
    <x:t xml:space="preserve">Únicamente si el usuario intenta ACTIVAR un vehículo inactivo, solicita validar el plan efectivo actual; DESACTIVAR manualmente no exige plan Premium.</x:t>
  </x:si>
  <x:si>
    <x:t xml:space="preserve">E_Suscripcion</x:t>
  </x:si>
  <x:si>
    <x:t xml:space="preserve">consultarPlanEfectivo(idUsuario,fechaActual)</x:t>
  </x:si>
  <x:si>
    <x:t xml:space="preserve">Consulta la vigencia real de la suscripción: PREMIUM solo mientras esté vigente, de lo contrario FREE. El vencimiento se reconcilia mediante el subflujo automático de RF30.</x:t>
  </x:si>
  <x:si>
    <x:t xml:space="preserve">retornarPlanEfectivo(tipoPlan,estadoSuscripcion)</x:t>
  </x:si>
  <x:si>
    <x:t xml:space="preserve">Devuelve el plan efectivo después de considerar la fecha de fin, el estado de renovación y el período de gracia, si existe.</x:t>
  </x:si>
  <x:si>
    <x:t xml:space="preserve">retornarPermisoPlanActivacion(tipoPlan)</x:t>
  </x:si>
  <x:si>
    <x:t xml:space="preserve">Entrega a C_ControlEstadoVehiculo la regla efectiva de cupo para reactivar.</x:t>
  </x:si>
  <x:si>
    <x:t xml:space="preserve">consultarCantidadVehiculosActivos(idUsuario)</x:t>
  </x:si>
  <x:si>
    <x:t xml:space="preserve">Consulta la cantidad de vehículos ACTIVOS, incluido el principal. Esta cantidad, distinta del total registrado usado por RF08, determina si la reactivación supera el cupo activo del plan.</x:t>
  </x:si>
  <x:si>
    <x:t xml:space="preserve">retornarCantidadVehiculosActivos(cantidadActivos)</x:t>
  </x:si>
  <x:si>
    <x:t xml:space="preserve">La entidad devuelve la cantidad actual de vehículos activos.</x:t>
  </x:si>
  <x:si>
    <x:t xml:space="preserve">evaluarPermisoActivacion(tipoPlan,cantidadActivos)</x:t>
  </x:si>
  <x:si>
    <x:t xml:space="preserve">determinarPrincipalReactivado(cantidadActivos)</x:t>
  </x:si>
  <x:si>
    <x:t xml:space="preserve">Como regla defensiva, si antes de la reactivación no existiera ningún vehículo activo, el vehículo reactivado quedaría como principal. Si ya existen vehículos activos, no reemplaza al principal vigente.</x:t>
  </x:si>
  <x:si>
    <x:t xml:space="preserve">BLOQUE 3 · RAMA DESACTIVAR · VALIDACIÓN DE ELEGIBILIDAD (Pasos 15–17)</x:t>
  </x:si>
  <x:si>
    <x:t xml:space="preserve">consultarOtrosVehiculosActivos(idUsuario,idVehiculo)</x:t>
  </x:si>
  <x:si>
    <x:t xml:space="preserve">Solo para DESACTIVAR, el controlador consulta los demás vehículos ACTIVOS del usuario excluyendo el vehículo seleccionado.</x:t>
  </x:si>
  <x:si>
    <x:t xml:space="preserve">retornarVehiculosActivosAlternativos(listaActivos)</x:t>
  </x:si>
  <x:si>
    <x:t xml:space="preserve">La entidad devuelve los otros vehículos activos disponibles. Para el evento exitoso debe existir por lo menos uno.</x:t>
  </x:si>
  <x:si>
    <x:t xml:space="preserve">validarDesactivacionPermitida(esPrincipal,listaActivos)</x:t>
  </x:si>
  <x:si>
    <x:t xml:space="preserve">El evento exitoso solo continúa cuando existe al menos otro vehículo ACTIVO y el vehículo seleccionado NO es principal. Si no existe otro activo se aplica ALT-D01; si es principal se aplica ALT-D02. En esta validación no se modifica ningún dato.</x:t>
  </x:si>
  <x:si>
    <x:t xml:space="preserve">BLOQUE 4 · CONFIRMACIÓN Y APLICACIÓN DEL CAMBIO DE ESTADO (Pasos 18–24)</x:t>
  </x:si>
  <x:si>
    <x:t xml:space="preserve">I_ConfirmacionEstadoVehiculo</x:t>
  </x:si>
  <x:si>
    <x:t xml:space="preserve">mostrarConfirmacionCambioEstado(estadoActual,estadoNuevo)</x:t>
  </x:si>
  <x:si>
    <x:t xml:space="preserve">Una vez superadas las validaciones de la rama correspondiente, el controlador solicita mostrar la confirmación. Al desactivar se informa que el historial se conserva y se suspenden nuevos avisos y envíos; al activar se informa que se reanudarán las operaciones permitidas.</x:t>
  </x:si>
  <x:si>
    <x:t xml:space="preserve">visualizarConsecuenciasCambio()</x:t>
  </x:si>
  <x:si>
    <x:t xml:space="preserve">La interfaz muestra al usuario las consecuencias del cambio antes de ejecutarlo.</x:t>
  </x:si>
  <x:si>
    <x:t xml:space="preserve">confirmarCambioEstado()</x:t>
  </x:si>
  <x:si>
    <x:t xml:space="preserve">El usuario confirma la activación o desactivación del vehículo.</x:t>
  </x:si>
  <x:si>
    <x:t xml:space="preserve">enviarConfirmacionCambio()</x:t>
  </x:si>
  <x:si>
    <x:t xml:space="preserve">La interfaz comunica al controlador que el usuario confirmó la operación.</x:t>
  </x:si>
  <x:si>
    <x:t xml:space="preserve">prepararCambioEstado(estadoNuevo,cantidadActivos)</x:t>
  </x:si>
  <x:si>
    <x:t xml:space="preserve">El controlador prepara el resultado antes de persistir. En DESACTIVAR no se reasigna el principal dentro de RF12: el vehículo ya fue validado como no principal y existe otro activo. En ACTIVAR conserva la regla de principal defensiva cuando corresponda.</x:t>
  </x:si>
  <x:si>
    <x:t xml:space="preserve">aplicarCambioEstadoYPrincipal(idVehiculo,estadoNuevo,esPrincipalResultante)</x:t>
  </x:si>
  <x:si>
    <x:t xml:space="preserve">retornarCambioEstadoAtomico(datosEstadoActualizado)</x:t>
  </x:si>
  <x:si>
    <x:t xml:space="preserve">La entidad confirma que el cambio fue aplicado correctamente y devuelve el estado final junto con la condición principal resultante.</x:t>
  </x:si>
  <x:si>
    <x:t xml:space="preserve">sincronizarAlertasPorEstadoVehiculo(idVehiculo,estadoNuevo)</x:t>
  </x:si>
  <x:si>
    <x:t xml:space="preserve">E_Alerta</x:t>
  </x:si>
  <x:si>
    <x:t xml:space="preserve">consultarAlertasVehiculo(idVehiculo)</x:t>
  </x:si>
  <x:si>
    <x:t xml:space="preserve">retornarAlertasVehiculo(listaAlertas)</x:t>
  </x:si>
  <x:si>
    <x:t xml:space="preserve">aplicarReglaEstadoVehiculoYCicloVida(estadoNuevo,listaAlertas,fechaActual)</x:t>
  </x:si>
  <x:si>
    <x:t xml:space="preserve">actualizarAlertasRecalculadasSiCorresponde(datosAlertas,fechaActual)</x:t>
  </x:si>
  <x:si>
    <x:t xml:space="preserve">retornarSincronizacionAlertas(resultadoAlertas,transicionesAplicadas)</x:t>
  </x:si>
  <x:si>
    <x:t xml:space="preserve">E_HistorialAlerta</x:t>
  </x:si>
  <x:si>
    <x:t xml:space="preserve">registrarTransicionesEstadoVehiculoSiCorresponde(transicionesAplicadas,AUTOMATICO)</x:t>
  </x:si>
  <x:si>
    <x:t xml:space="preserve">retornarTransicionesRegistradas(idsHistorial)</x:t>
  </x:si>
  <x:si>
    <x:t xml:space="preserve">sincronizarNotificacionesPorEstadoVehiculo(idVehiculo,estadoNuevo,resultadoAlertas)</x:t>
  </x:si>
  <x:si>
    <x:t xml:space="preserve">determinarVigenciaNotificacionesVehiculo(estadoNuevo,resultadoAlertas)</x:t>
  </x:si>
  <x:si>
    <x:t xml:space="preserve">E_Notificacion</x:t>
  </x:si>
  <x:si>
    <x:t xml:space="preserve">aplicarVigenciaNotificacionesVehiculo(idVehiculo,estadoNuevo,resultadoAlertas)</x:t>
  </x:si>
  <x:si>
    <x:t xml:space="preserve">retornarSincronizacionNotificaciones(resultadoNotificaciones)</x:t>
  </x:si>
  <x:si>
    <x:t xml:space="preserve">retornarSincronizacionEnvios()</x:t>
  </x:si>
  <x:si>
    <x:t xml:space="preserve">retornarSincronizacionPosterior()</x:t>
  </x:si>
  <x:si>
    <x:t xml:space="preserve">BLOQUE 6 · CONFIRMACIÓN DEL RESULTADO (Pasos 39–42)</x:t>
  </x:si>
  <x:si>
    <x:t xml:space="preserve">mostrarCambioEstadoExitoso(estadoNuevo)</x:t>
  </x:si>
  <x:si>
    <x:t xml:space="preserve">El controlador solicita mostrar la confirmación de activación o desactivación exitosa.</x:t>
  </x:si>
  <x:si>
    <x:t xml:space="preserve">visualizarCambioEstadoExitoso()</x:t>
  </x:si>
  <x:si>
    <x:t xml:space="preserve">La interfaz muestra al usuario el nuevo estado confirmado del vehículo.</x:t>
  </x:si>
  <x:si>
    <x:t xml:space="preserve">seleccionarContinuar()</x:t>
  </x:si>
  <x:si>
    <x:t xml:space="preserve">El usuario selecciona Continuar para regresar a la lista de vehículos.</x:t>
  </x:si>
  <x:si>
    <x:t xml:space="preserve">solicitarRetornoAutos(idUsuario)</x:t>
  </x:si>
  <x:si>
    <x:t xml:space="preserve">La interfaz comunica al controlador que debe regresar al módulo Autos con la información actualizada.</x:t>
  </x:si>
  <x:si>
    <x:t xml:space="preserve">BLOQUE 7 · ACTUALIZACIÓN DEL LISTADO CON SOAT Y TIVE (Pasos 43–63)</x:t>
  </x:si>
  <x:si>
    <x:t xml:space="preserve">solicitarListadoActualizado(idUsuario)</x:t>
  </x:si>
  <x:si>
    <x:t xml:space="preserve">El controlador solicita reconstruir el listado de vehículos respetando la lógica congelada de RF09.</x:t>
  </x:si>
  <x:si>
    <x:t xml:space="preserve">Consulta todos los vehículos del usuario con estado, condición principal, año, uso y datos generales necesarios para RF09. SOAT/TIVE, foto y kilometraje se obtienen después con sus controladores.</x:t>
  </x:si>
  <x:si>
    <x:t xml:space="preserve">La entidad devuelve la lista de vehículos registrados del usuario (activos e inactivos), incluyendo placa, marca, modelo, año, uso, tipo de motor, combustible cuando aplique, estado y es_principal.</x:t>
  </x:si>
  <x:si>
    <x:t xml:space="preserve">Para reconstruir Autos con la misma lógica de RF09, C_ControlListadoVehiculos delega la obtención de imágenes a C_ControlImagenVehiculo, que encapsula E_ImagenVehiculo.</x:t>
  </x:si>
  <x:si>
    <x:t xml:space="preserve">El controlador de imagen devuelve las imágenes principales o el estado PREDETERMINADA de cada vehículo.</x:t>
  </x:si>
  <x:si>
    <x:t xml:space="preserve">El controlador solicita los kilometrajes vigentes para reconstruir las tarjetas de RF09.</x:t>
  </x:si>
  <x:si>
    <x:t xml:space="preserve">El controlador consulta la última lectura efectiva de cada vehículo.</x:t>
  </x:si>
  <x:si>
    <x:t xml:space="preserve">La entidad devuelve los kilometrajes actuales.</x:t>
  </x:si>
  <x:si>
    <x:t xml:space="preserve">El controlador de kilometraje entrega las lecturas vigentes al controlador del listado.</x:t>
  </x:si>
  <x:si>
    <x:t xml:space="preserve">El controlador del listado solicita los estados de SOAT de todos los vehículos pertenecientes al usuario para reconstruir las tarjetas de RF09.</x:t>
  </x:si>
  <x:si>
    <x:t xml:space="preserve">La entidad devuelve el estado de SOAT correspondiente a cada idVehiculo de la lista.</x:t>
  </x:si>
  <x:si>
    <x:t xml:space="preserve">El controlador de SOAT devuelve al listado el mapa de estados para presentar los indicadores de las tarjetas.</x:t>
  </x:si>
  <x:si>
    <x:t xml:space="preserve">El controlador del listado solicita verificar la presencia o ausencia de TIVE para todos los vehículos de la cuenta.</x:t>
  </x:si>
  <x:si>
    <x:t xml:space="preserve">La entidad devuelve para cada vehículo el estado REGISTRADA o NO_REGISTRADA de TIVE.</x:t>
  </x:si>
  <x:si>
    <x:t xml:space="preserve">El controlador de TIVE devuelve los indicadores TIVE o Sin TIVE que RF09 necesita para las tarjetas.</x:t>
  </x:si>
  <x:si>
    <x:t xml:space="preserve">integrarYOrdenarListadoActualizado(listaVehiculos,mapaImagenes,mapaKilometrajes,mapaSOAT,mapaTIVE)</x:t>
  </x:si>
  <x:si>
    <x:t xml:space="preserve">Integra datos generales, año, uso, foto principal, última lectura efectiva, indicadores SOAT y TIVE; para eléctricos representa combustible como «No aplica». Recalcula Todos/Activos/Inactivos y coloca primero al principal vigente.</x:t>
  </x:si>
  <x:si>
    <x:t xml:space="preserve">Al regresar a Autos, el listado se presenta con el filtro Todos seleccionado de forma predeterminada.</x:t>
  </x:si>
  <x:si>
    <x:t xml:space="preserve">mostrarListadoVehiculosActualizado(listaOrdenada,resumenEstados,TODOS)</x:t>
  </x:si>
  <x:si>
    <x:t xml:space="preserve">Solicita presentar Mis vehículos actualizado con búsqueda, filtros y tarjetas con foto, marca/modelo, placa, año, uso, kilometraje, combustible si aplica, estado, Principal, SOAT y TIVE/Sin TIVE. Mantiene Ver detalles, Compartir y + Agregar; sin menú de tres puntos.</x:t>
  </x:si>
  <x:si>
    <x:t xml:space="preserve">visualizarListadoVehiculosActualizado()</x:t>
  </x:si>
  <x:si>
    <x:t xml:space="preserve">El usuario visualiza el nuevo estado Activo/Inactivo y la condición principal, junto con foto, kilometraje, año, uso, SOAT y TIVE/Sin TIVE de todos los vehículos. No aparece el menú de tres puntos.</x:t>
  </x:si>
  <x:si>
    <x:t xml:space="preserve">DIAGRAMA DE SECUENCIAS — RF-013 Establecer vehículo principal | EVENTO EXITOSO</x:t>
  </x:si>
  <x:si>
    <x:t xml:space="preserve">Evento exitoso | 44 pasos | 5 bloques | 8 mensajes nuevos para SOAT y TIVE | Referencia: RF09</x:t>
  </x:si>
  <x:si>
    <x:t xml:space="preserve">BLOQUE 1 · SELECCIÓN Y VALIDACIÓN DEL VEHÍCULO CANDIDATO (Pasos 1–8)</x:t>
  </x:si>
  <x:si>
    <x:t xml:space="preserve">seleccionarEstablecerPrincipal(idVehiculo)</x:t>
  </x:si>
  <x:si>
    <x:t xml:space="preserve">Desde el detalle mostrado por RF10, el usuario selecciona Establecer como principal para un vehículo Activo que aún no es principal. Esta misma operación es la que debe completar cuando RF12 impide desactivar al vehículo principal actual.</x:t>
  </x:si>
  <x:si>
    <x:t xml:space="preserve">C_ControlVehiculoPrincipal</x:t>
  </x:si>
  <x:si>
    <x:t xml:space="preserve">solicitarEstablecerPrincipal(idUsuario,idVehiculo)</x:t>
  </x:si>
  <x:si>
    <x:t xml:space="preserve">La interfaz envía al controlador la solicitud junto con el usuario autenticado y el vehículo seleccionado.</x:t>
  </x:si>
  <x:si>
    <x:t xml:space="preserve">consultarVehiculoSeleccionado(idUsuario,idVehiculo)</x:t>
  </x:si>
  <x:si>
    <x:t xml:space="preserve">El controlador consulta el vehículo para verificar que exista, pertenezca al usuario y obtener su estado y condición principal actual.</x:t>
  </x:si>
  <x:si>
    <x:t xml:space="preserve">La entidad devuelve los datos necesarios del vehículo seleccionado, incluyendo estado y es_principal.</x:t>
  </x:si>
  <x:si>
    <x:t xml:space="preserve">validarCandidatoPrincipal(datosVehiculo)</x:t>
  </x:si>
  <x:si>
    <x:t xml:space="preserve">consultarPrincipalActual(idUsuario)</x:t>
  </x:si>
  <x:si>
    <x:t xml:space="preserve">El controlador solicita el vehículo que actualmente tiene la condición principal dentro de la cuenta.</x:t>
  </x:si>
  <x:si>
    <x:t xml:space="preserve">retornarPrincipalActual(datosPrincipalActual)</x:t>
  </x:si>
  <x:si>
    <x:t xml:space="preserve">La entidad devuelve los datos del vehículo principal actual del usuario.</x:t>
  </x:si>
  <x:si>
    <x:t xml:space="preserve">prepararResumenCambio(datosVehiculo,datosPrincipalActual)</x:t>
  </x:si>
  <x:si>
    <x:t xml:space="preserve">El controlador prepara la información de confirmación, indicando el vehículo seleccionado que pasará a ser principal y el vehículo principal actual que será reemplazado.</x:t>
  </x:si>
  <x:si>
    <x:t xml:space="preserve">BLOQUE 2 · CONFIRMACIÓN DE CAMBIO DE PRINCIPAL (Pasos 9–12)</x:t>
  </x:si>
  <x:si>
    <x:t xml:space="preserve">I_ConfirmacionPrincipal</x:t>
  </x:si>
  <x:si>
    <x:t xml:space="preserve">mostrarConfirmacionPrincipal(resumenCambio)</x:t>
  </x:si>
  <x:si>
    <x:t xml:space="preserve">El controlador solicita mostrar una confirmación específica con los datos del vehículo que será establecido como principal.</x:t>
  </x:si>
  <x:si>
    <x:t xml:space="preserve">visualizarConfirmacionPrincipal()</x:t>
  </x:si>
  <x:si>
    <x:t xml:space="preserve">La interfaz muestra al usuario el resumen del cambio antes de modificar la información.</x:t>
  </x:si>
  <x:si>
    <x:t xml:space="preserve">confirmarCambioPrincipal()</x:t>
  </x:si>
  <x:si>
    <x:t xml:space="preserve">El usuario confirma establecer el vehículo seleccionado como principal.</x:t>
  </x:si>
  <x:si>
    <x:t xml:space="preserve">enviarConfirmacionPrincipal(idUsuario,idVehiculo)</x:t>
  </x:si>
  <x:si>
    <x:t xml:space="preserve">La interfaz comunica al controlador que el usuario confirmó el cambio.</x:t>
  </x:si>
  <x:si>
    <x:t xml:space="preserve">BLOQUE 3 · REVALIDACIÓN Y CAMBIO ATÓMICO DEL PRINCIPAL (Pasos 13–17)</x:t>
  </x:si>
  <x:si>
    <x:t xml:space="preserve">consultarEstadoActualCandidato(idUsuario,idVehiculo)</x:t>
  </x:si>
  <x:si>
    <x:t xml:space="preserve">Antes de persistir el cambio, el controlador vuelve a consultar el candidato para evitar aplicar una actualización sobre información desactualizada.</x:t>
  </x:si>
  <x:si>
    <x:t xml:space="preserve">retornarEstadoActualCandidato(datosVehiculoActual)</x:t>
  </x:si>
  <x:si>
    <x:t xml:space="preserve">La entidad devuelve el estado y condición principal vigentes del vehículo seleccionado.</x:t>
  </x:si>
  <x:si>
    <x:t xml:space="preserve">revalidarCambioPrincipal(datosVehiculoActual)</x:t>
  </x:si>
  <x:si>
    <x:t xml:space="preserve">Revalida pertenencia y estado ACTIVO del candidato antes de cambiar la condición principal. Si Premium venció y se desactivaron secundarios, el cambio no se permite sobre uno inactivo; evita romper la regla del único principal activo.</x:t>
  </x:si>
  <x:si>
    <x:t xml:space="preserve">actualizarPrincipalExclusivo(idUsuario,idVehiculo)</x:t>
  </x:si>
  <x:si>
    <x:t xml:space="preserve">Cambio atómico de es_principal entre vehículos ACTIVOS del usuario. Conserva exactamente un vehículo principal activo; no reactiva vehículos secundarios ni omite las restricciones del plan efectivo.</x:t>
  </x:si>
  <x:si>
    <x:t xml:space="preserve">retornarPrincipalActualizado(datosPrincipalNuevo)</x:t>
  </x:si>
  <x:si>
    <x:t xml:space="preserve">La entidad confirma el cambio y devuelve el vehículo que quedó como principal.</x:t>
  </x:si>
  <x:si>
    <x:t xml:space="preserve">BLOQUE 4 · CONFIRMACIÓN DEL RESULTADO (Pasos 18–21)</x:t>
  </x:si>
  <x:si>
    <x:t xml:space="preserve">mostrarCambioPrincipalExitoso(datosPrincipalNuevo)</x:t>
  </x:si>
  <x:si>
    <x:t xml:space="preserve">El controlador solicita mostrar que el vehículo principal fue actualizado correctamente.</x:t>
  </x:si>
  <x:si>
    <x:t xml:space="preserve">visualizarCambioPrincipalExitoso()</x:t>
  </x:si>
  <x:si>
    <x:t xml:space="preserve">La interfaz muestra al usuario la confirmación del cambio realizado.</x:t>
  </x:si>
  <x:si>
    <x:t xml:space="preserve">El usuario selecciona Continuar para regresar al módulo Autos.</x:t>
  </x:si>
  <x:si>
    <x:t xml:space="preserve">La interfaz comunica al controlador que debe regresar al listado actualizado de vehículos.</x:t>
  </x:si>
  <x:si>
    <x:t xml:space="preserve">BLOQUE 5 · ACTUALIZACIÓN DEL LISTADO CON SOAT Y TIVE (Pasos 22–44)</x:t>
  </x:si>
  <x:si>
    <x:t xml:space="preserve">El controlador solicita reconstruir el listado respetando la lógica congelada de RF09.</x:t>
  </x:si>
  <x:si>
    <x:t xml:space="preserve">Consulta todos los vehículos del usuario, activos e inactivos, con su condición de principal actualizada, año, uso y datos generales. Los documentos y demás elementos de las tarjetas se consultan por sus controladores.</x:t>
  </x:si>
  <x:si>
    <x:t xml:space="preserve">Devuelve marca, modelo, placa, año, uso, tipoMotor, combustible si aplica, estado y es_principal de todos los vehículos del usuario.</x:t>
  </x:si>
  <x:si>
    <x:t xml:space="preserve">El controlador solicita los kilometrajes actuales necesarios para reconstruir las tarjetas del listado.</x:t>
  </x:si>
  <x:si>
    <x:t xml:space="preserve">El controlador de kilometraje consulta la última lectura efectiva de cada vehículo.</x:t>
  </x:si>
  <x:si>
    <x:t xml:space="preserve">La entidad devuelve el kilometraje vigente de cada vehículo.</x:t>
  </x:si>
  <x:si>
    <x:t xml:space="preserve">El controlador de kilometraje entrega las últimas lecturas al controlador del listado.</x:t>
  </x:si>
  <x:si>
    <x:t xml:space="preserve">integrarDatosListado(listaVehiculos,mapaImagenes,mapaKilometrajes,mapaSOAT,mapaTIVE)</x:t>
  </x:si>
  <x:si>
    <x:t xml:space="preserve">Integra datos generales, año, uso, imagen principal, última lectura efectiva, SOAT y TIVE tal como RF09. Para eléctricos muestra combustible «No aplica». Después se ordena con el nuevo principal primero.</x:t>
  </x:si>
  <x:si>
    <x:t xml:space="preserve">El nuevo vehículo principal se coloca primero en el listado, manteniendo disponibles los demás vehículos.</x:t>
  </x:si>
  <x:si>
    <x:t xml:space="preserve">El controlador recalcula los contadores generales Todos, Activos e Inactivos.</x:t>
  </x:si>
  <x:si>
    <x:t xml:space="preserve">Al regresar a Autos, el filtro Todos queda seleccionado de forma predeterminada.</x:t>
  </x:si>
  <x:si>
    <x:t xml:space="preserve">Solicita mostrar Mis vehículos con el nuevo principal primero, contadores Todos/Activos/Inactivos y tarjetas actualizadas con imagen, kilometraje, año, uso, combustible si aplica, SOAT y TIVE/Sin TIVE. Sin menú de tres puntos.</x:t>
  </x:si>
  <x:si>
    <x:t xml:space="preserve">visualizarVehiculosActualizados()</x:t>
  </x:si>
  <x:si>
    <x:t xml:space="preserve">El usuario visualiza el nuevo vehículo principal y los demás vehículos en Autos, con foto, estado, kilometraje, año, uso, indicadores SOAT y TIVE, y accesos Ver detalles, Compartir y + Agregar. RF13 no desactiva el principal anterior; esa acción requiere RF12.</x:t>
  </x:si>
  <x:si>
    <x:t xml:space="preserve">DIAGRAMA DE SECUENCIAS — RF014 · ACTUALIZAR KILOMETRAJE | VISTA PREVIA OBLIGATORIA</x:t>
  </x:si>
  <x:si>
    <x:t xml:space="preserve">RF14: formulario con SOLO km previo y km nuevo; fecha automática; vista previa sin persistencia; guardado solo tras Confirmar; ALT para volver, desconexión y concurrencia.</x:t>
  </x:si>
  <x:si>
    <x:t xml:space="preserve">BLOQUE 1 · Acceso y lectura del kilometraje vigente (Pasos 1–10)</x:t>
  </x:si>
  <x:si>
    <x:t xml:space="preserve">seleccionarActualizarKilometraje()</x:t>
  </x:si>
  <x:si>
    <x:t xml:space="preserve">solicitarActualizacionKilometraje(idVehiculo)</x:t>
  </x:si>
  <x:si>
    <x:t xml:space="preserve">Obtiene idUsuario del token de sesión; no confiar en un idUsuario libre del cliente.  |  AJUSTE 2026-10-24: idUsuario proviene de sesión del backend, no del cliente.</x:t>
  </x:si>
  <x:si>
    <x:t xml:space="preserve">C_ControlVehiculo</x:t>
  </x:si>
  <x:si>
    <x:t xml:space="preserve">verificarVehiculoUsuarioActivo(idUsuario,idVehiculo)</x:t>
  </x:si>
  <x:si>
    <x:t xml:space="preserve">Consulta titularidad y estado del vehículo.</x:t>
  </x:si>
  <x:si>
    <x:t xml:space="preserve">Entidad devuelve propietario, estado e identificador.</x:t>
  </x:si>
  <x:si>
    <x:t xml:space="preserve">retornarVehiculoValidado(datosVehiculo)</x:t>
  </x:si>
  <x:si>
    <x:t xml:space="preserve">Devuelve datos validados al control de kilometraje.</x:t>
  </x:si>
  <x:si>
    <x:t xml:space="preserve">consultarUltimaLecturaEfectiva(idVehiculo)</x:t>
  </x:si>
  <x:si>
    <x:t xml:space="preserve">Consulta km previo e idLectura/version actuales.</x:t>
  </x:si>
  <x:si>
    <x:t xml:space="preserve">retornarUltimaLectura(kmPrevio,idLectura,version)</x:t>
  </x:si>
  <x:si>
    <x:t xml:space="preserve">Valor previo de solo lectura y versión para control de concurrencia.</x:t>
  </x:si>
  <x:si>
    <x:t xml:space="preserve">I_ActualizarKilometraje</x:t>
  </x:si>
  <x:si>
    <x:t xml:space="preserve">mostrarFormularioKm(kmPrevio)</x:t>
  </x:si>
  <x:si>
    <x:t xml:space="preserve">Formulario con SOLO kilometraje previo de solo lectura y nuevo kilometraje editable; no fecha ni motivo.</x:t>
  </x:si>
  <x:si>
    <x:t xml:space="preserve">visualizarFormularioKm()</x:t>
  </x:si>
  <x:si>
    <x:t xml:space="preserve">BLOQUE 2 · Ingreso, validación y vista previa SIN persistencia (Pasos 11–17)</x:t>
  </x:si>
  <x:si>
    <x:t xml:space="preserve">ingresarKmNuevoYContinuar(kmNuevo)</x:t>
  </x:si>
  <x:si>
    <x:t xml:space="preserve">El usuario ingresa el nuevo valor; no selecciona fecha.</x:t>
  </x:si>
  <x:si>
    <x:t xml:space="preserve">solicitarPrevalidacionKm(idVehiculo,kmPrevio,kmNuevo,version)</x:t>
  </x:si>
  <x:si>
    <x:t xml:space="preserve">La aplicación valida formato antes de enviar; backend vuelve a validar.</x:t>
  </x:si>
  <x:si>
    <x:t xml:space="preserve">validarNuevoKilometraje(kmPrevio,kmNuevo)</x:t>
  </x:si>
  <x:si>
    <x:t xml:space="preserve">I_VistaPreviaKilometraje</x:t>
  </x:si>
  <x:si>
    <x:t xml:space="preserve">mostrarVistaPrevia(ACTUALIZACION,kmPrevio,kmNuevo)</x:t>
  </x:si>
  <x:si>
    <x:t xml:space="preserve">visualizarVistaPreviaKm()</x:t>
  </x:si>
  <x:si>
    <x:t xml:space="preserve">El usuario puede comprobar ambos valores.</x:t>
  </x:si>
  <x:si>
    <x:t xml:space="preserve">continuarDesdeVistaPrevia()</x:t>
  </x:si>
  <x:si>
    <x:t xml:space="preserve">solicitarConfirmacionKm(idVehiculo,kmNuevo,version,idOperacion)</x:t>
  </x:si>
  <x:si>
    <x:t xml:space="preserve">El intento definitivo se envía después de 'Continuar', con idOperacion único y estable para reintentos. El servidor revalida dueño, estado, valor y versión.</x:t>
  </x:si>
  <x:si>
    <x:t xml:space="preserve">BLOQUE 3 · Verificación de concurrencia y registro (Pasos 18–24)</x:t>
  </x:si>
  <x:si>
    <x:t xml:space="preserve">revalidarVehiculoEnConfirmacion(idUsuario,idVehiculo)</x:t>
  </x:si>
  <x:si>
    <x:t xml:space="preserve">Confirma que el usuario mantiene permiso y el vehículo continúa ACTIVO.</x:t>
  </x:si>
  <x:si>
    <x:t xml:space="preserve">Revalida contexto de autorización.</x:t>
  </x:si>
  <x:si>
    <x:t xml:space="preserve">bloquearVehiculoYConsultarUltimaLectura(idVehiculo)</x:t>
  </x:si>
  <x:si>
    <x:t xml:space="preserve">En transacción, bloquear una fila estable VEHICULO por idVehiculo (p.ej., SELECT ... FOR UPDATE) antes de consultar la última lectura. Bloquear solo la última lectura no serializa necesariamente INSERT concurrentes.</x:t>
  </x:si>
  <x:si>
    <x:t xml:space="preserve">retornarUltimaLecturaBloqueada(kmVigente,versionVigente)</x:t>
  </x:si>
  <x:si>
    <x:t xml:space="preserve">Se compara versión y km con lo mostrado previamente.</x:t>
  </x:si>
  <x:si>
    <x:t xml:space="preserve">revalidarVersionYKm(kmPrevio,kmNuevo,version)</x:t>
  </x:si>
  <x:si>
    <x:t xml:space="preserve">registrarLecturaAtomica(idVehiculo,kmNuevo,fechaSistema,claveOperacion)</x:t>
  </x:si>
  <x:si>
    <x:t xml:space="preserve">retornarLecturaRegistrada(idLectura,kmNuevo,fechaGuardado)</x:t>
  </x:si>
  <x:si>
    <x:t xml:space="preserve">BLOQUE 4 · INTEGRACIÓN DIFERIDA CON ALERTAS RF23 — SOLO VERSIÓN COMPLETA (Pasos 25–33; se omiten en MVP)</x:t>
  </x:si>
  <x:si>
    <x:t xml:space="preserve">sincronizarAlertasKm(idVehiculo,kmNuevo,fechaGuardado)</x:t>
  </x:si>
  <x:si>
    <x:t xml:space="preserve">SOLO VERSIÓN COMPLETA: después del COMMIT de la lectura, invocar de forma diferida el servicio central de evaluación de alertas de Nayu, no un segundo motor de RF14. EN EL MVP SE OMITE TODO EL BLOQUE 4: RF23 sincroniza estados al abrir Mis alertas. Cualquier fallo posterior no revierte ni duplica el km guardado.</x:t>
  </x:si>
  <x:si>
    <x:t xml:space="preserve">consultarAlertasKilometrajeVigentes(idVehiculo)</x:t>
  </x:si>
  <x:si>
    <x:t xml:space="preserve">SOLO VERSIÓN COMPLETA: el módulo Alertas de Nayu consulta alertas activas de MANTENIMIENTO por KM o AMBOS del vehículo. SOAT y LICENCIA no utilizan kilometraje. EN MVP, esta consulta se hará en RF23, no en RF14.</x:t>
  </x:si>
  <x:si>
    <x:t xml:space="preserve">retornarAlertasKilometraje(alertas)</x:t>
  </x:si>
  <x:si>
    <x:t xml:space="preserve">SOLO VERSIÓN COMPLETA: devuelve las alertas por kilometraje que corresponde evaluar desde el motor central de Nayu. RF14 MVP no consulta esta entidad después de guardar.</x:t>
  </x:si>
  <x:si>
    <x:t xml:space="preserve">calcularTransicionesKilometraje(alertas,kmNuevo)</x:t>
  </x:si>
  <x:si>
    <x:t xml:space="preserve">SOLO VERSIÓN COMPLETA: un único evaluador, propiedad de Nayu/RF23, calcula el estado conforme a criterios y umbrales oficiales. No repetir reglas ni calcular estados por separado dentro de RF14.</x:t>
  </x:si>
  <x:si>
    <x:t xml:space="preserve">actualizarEstadosAlertasSiCambiaron(transiciones)</x:t>
  </x:si>
  <x:si>
    <x:t xml:space="preserve">SOLO VERSIÓN COMPLETA: Nayu persiste transiciones reales y revalidadas en ALERTA; el cambio de estado y su historial deben formar una misma transacción. No escribir aquí durante RF14 MVP.</x:t>
  </x:si>
  <x:si>
    <x:t xml:space="preserve">retornarEstadosActualizados(transiciones)</x:t>
  </x:si>
  <x:si>
    <x:t xml:space="preserve">SOLO VERSIÓN COMPLETA: devuelve estados efectivamente modificados. Si un estado no cambia, no debe producirse una escritura redundante.</x:t>
  </x:si>
  <x:si>
    <x:t xml:space="preserve">registrarTransicionesSinDuplicar(transiciones)</x:t>
  </x:si>
  <x:si>
    <x:t xml:space="preserve">SOLO VERSIÓN COMPLETA: el módulo de Nayu agrega HISTORIAL_ALERTA solo por transiciones realmente aplicadas, dentro de la MISMA transacción que ALERTA. No crear un historial alternativo desde RF14.</x:t>
  </x:si>
  <x:si>
    <x:t xml:space="preserve">retornarTransicionesRegistradas()</x:t>
  </x:si>
  <x:si>
    <x:t xml:space="preserve">SOLO VERSIÓN COMPLETA: confirma las transiciones persistidas por el único servicio de alertas; no registra duplicados en reintentos.</x:t>
  </x:si>
  <x:si>
    <x:t xml:space="preserve">retornarSincronizacionKmCompleta()</x:t>
  </x:si>
  <x:si>
    <x:t xml:space="preserve">SOLO VERSIÓN COMPLETA: resultado de sincronización diferida/reintentable de Nayu. RF14 muestra su confirmación inmediatamente después del COMMIT de kilometraje, aunque luego falle el procesamiento de alertas. MVP omite esta llamada.</x:t>
  </x:si>
  <x:si>
    <x:t xml:space="preserve">BLOQUE 5 · RECORDATORIOS RF44 Y NOTIFICACIONES RF46 — SOLO VERSIÓN COMPLETA (Pasos 34–41; se omiten en MVP)</x:t>
  </x:si>
  <x:si>
    <x:t xml:space="preserve">reiniciarCicloTrasLectura(idVehiculo,fechaGuardado)</x:t>
  </x:si>
  <x:si>
    <x:t xml:space="preserve">RF44: una ACTUALIZACIÓN real reinicia la fecha base del ciclo KM; RF16 NO la reinicia.  |  AJUSTE 2026-10-24: VERSIÓN COMPLETA RF44: reiniciar fecha base únicamente por actualización nueva real, no por corrección histórica RF16; no activar una configuración PAUSADA de RF08.</x:t>
  </x:si>
  <x:si>
    <x:t xml:space="preserve">actualizarFechaBaseYProxima(idVehiculo,fechaGuardado)</x:t>
  </x:si>
  <x:si>
    <x:t xml:space="preserve">Mantener frecuencia del recordatorio.  |  AJUSTE 2026-10-24: VERSIÓN COMPLETA RF44: si estado PAUSADO, proximo_envio_utc queda NULL; al activar, calcular próximo envío.</x:t>
  </x:si>
  <x:si>
    <x:t xml:space="preserve">retornarCicloActualizado()</x:t>
  </x:si>
  <x:si>
    <x:t xml:space="preserve">Fecha base y próximo aviso consistentes.</x:t>
  </x:si>
  <x:si>
    <x:t xml:space="preserve">retornarCicloKmActualizado()</x:t>
  </x:si>
  <x:si>
    <x:t xml:space="preserve">Confirma el reinicio del ciclo.</x:t>
  </x:si>
  <x:si>
    <x:t xml:space="preserve">atenderAvisoKmPorActualizacion(idVehiculo,fechaGuardado)</x:t>
  </x:si>
  <x:si>
    <x:t xml:space="preserve">RF46: aviso kilométrico se marca ATENDIDO solo con actualización real.  |  AJUSTE 2026-10-24: VERSIÓN COMPLETA RF46: notificación de kilometraje se atiende por registro exitoso, no por vista previa ni por consulta.</x:t>
  </x:si>
  <x:si>
    <x:t xml:space="preserve">cerrarAvisoKmPendienteConTrazabilidad(idVehiculo)</x:t>
  </x:si>
  <x:si>
    <x:t xml:space="preserve">Conserva notificación en Historial.</x:t>
  </x:si>
  <x:si>
    <x:t xml:space="preserve">retornarAvisoAtendido()</x:t>
  </x:si>
  <x:si>
    <x:t xml:space="preserve">Confirma cierre sin duplicados.</x:t>
  </x:si>
  <x:si>
    <x:t xml:space="preserve">retornarAvisoKmGestionado()</x:t>
  </x:si>
  <x:si>
    <x:t xml:space="preserve">Devuelve resultado al controlador.</x:t>
  </x:si>
  <x:si>
    <x:t xml:space="preserve">I_ConfirmacionKilometraje</x:t>
  </x:si>
  <x:si>
    <x:t xml:space="preserve">mostrarConfirmacionKilometrajeExitoso(kmNuevo)</x:t>
  </x:si>
  <x:si>
    <x:t xml:space="preserve">visualizarConfirmacionConDosBotones()</x:t>
  </x:si>
  <x:si>
    <x:t xml:space="preserve">solicitarDetalleKilometraje(idVehiculo)</x:t>
  </x:si>
  <x:si>
    <x:t xml:space="preserve">consultarKilometrajeVigente(idVehiculo)</x:t>
  </x:si>
  <x:si>
    <x:t xml:space="preserve">retornarKilometrajeVigente(kmActual,fechaLectura)</x:t>
  </x:si>
  <x:si>
    <x:t xml:space="preserve">I_DetalleKilometraje</x:t>
  </x:si>
  <x:si>
    <x:t xml:space="preserve">mostrarDetalleKilometrajeActualizado(kmActual,fechaLectura)</x:t>
  </x:si>
  <x:si>
    <x:t xml:space="preserve">visualizarDetalleKilometrajeActualizado(kmActual)</x:t>
  </x:si>
  <x:si>
    <x:t xml:space="preserve">BLOQUE 7 · OPCIÓN IR A INICIO DESDE LA CONFIRMACIÓN (Pasos 50–53, alternativa a los pasos 44–49)</x:t>
  </x:si>
  <x:si>
    <x:t xml:space="preserve">Solicita abrir Inicio sin volver a guardar km.</x:t>
  </x:si>
  <x:si>
    <x:t xml:space="preserve">Ir a I_Inicio después de la confirmación. El inicio solo consulta/resume lo disponible, no escribe estados de alerta. La sincronización MVP corresponde a RF23 al abrir Mis alertas.</x:t>
  </x:si>
  <x:si>
    <x:t xml:space="preserve">visualizarInicio()</x:t>
  </x:si>
  <x:si>
    <x:t xml:space="preserve">FIN rama B: usuario llegó a Inicio después de la confirmación, con kilometraje ya persistido.</x:t>
  </x:si>
  <x:si>
    <x:t xml:space="preserve">DIAGRAMA DE SECUENCIAS — RF-015 Consultar historial de kilometraje | EVENTO EXITOSO</x:t>
  </x:si>
  <x:si>
    <x:t xml:space="preserve">Patrón: Actor → Interfaz → Control → Entidad → Control → Interfaz → Actor | 45 pasos | 6 bloques | SOLO CONSULTA; corregir km actual desde RF14/RF16, NO desde Historial.</x:t>
  </x:si>
  <x:si>
    <x:t xml:space="preserve">BLOQUE 1 · INGRESO AL HISTORIAL Y CARGA DEL VEHÍCULO PRINCIPAL (Pasos 1–11)</x:t>
  </x:si>
  <x:si>
    <x:t xml:space="preserve">ingresarModuloHistorial()</x:t>
  </x:si>
  <x:si>
    <x:t xml:space="preserve">El usuario ingresa al módulo Historial.</x:t>
  </x:si>
  <x:si>
    <x:t xml:space="preserve">solicitarVistaHistorial()</x:t>
  </x:si>
  <x:si>
    <x:t xml:space="preserve">La interfaz solicita acceder al módulo Historial.</x:t>
  </x:si>
  <x:si>
    <x:t xml:space="preserve">I_HistorialVehiculo</x:t>
  </x:si>
  <x:si>
    <x:t xml:space="preserve">mostrarVistaHistorial()</x:t>
  </x:si>
  <x:si>
    <x:t xml:space="preserve">El controlador de navegación solicita mostrar la vista general de Historial.</x:t>
  </x:si>
  <x:si>
    <x:t xml:space="preserve">visualizarSeccionesHistorial()</x:t>
  </x:si>
  <x:si>
    <x:t xml:space="preserve">El usuario visualiza las secciones disponibles del historial.</x:t>
  </x:si>
  <x:si>
    <x:t xml:space="preserve">seleccionarSeccionKilometraje()</x:t>
  </x:si>
  <x:si>
    <x:t xml:space="preserve">El usuario selecciona la sección Kilometraje.</x:t>
  </x:si>
  <x:si>
    <x:t xml:space="preserve">C_ControlHistorial</x:t>
  </x:si>
  <x:si>
    <x:t xml:space="preserve">solicitarSeccionKilometraje()</x:t>
  </x:si>
  <x:si>
    <x:t xml:space="preserve">La interfaz solicita abrir el historial de kilometraje.</x:t>
  </x:si>
  <x:si>
    <x:t xml:space="preserve">I_HistorialKilometraje</x:t>
  </x:si>
  <x:si>
    <x:t xml:space="preserve">mostrarVistaHistorialKilometraje()</x:t>
  </x:si>
  <x:si>
    <x:t xml:space="preserve">El controlador solicita mostrar la interfaz específica del historial de kilometraje.</x:t>
  </x:si>
  <x:si>
    <x:t xml:space="preserve">solicitarVehiculosUsuarioYPrincipal(idUsuario)</x:t>
  </x:si>
  <x:si>
    <x:t xml:space="preserve">Solicita todos los vehículos del usuario para consultar historial, tanto ACTIVOS como INACTIVOS; FREE puede consultar lecturas históricas de vehículos desactivados por la finalización de Premium sin activar ni registrar nada.</x:t>
  </x:si>
  <x:si>
    <x:t xml:space="preserve">consultarVehiculosUsuarioYPrincipal(idUsuario)</x:t>
  </x:si>
  <x:si>
    <x:t xml:space="preserve">Obtiene los vehículos propios y el principal; incluye INACTIVOS porque la consulta histórica es de solo lectura. El estado Free/Premium no restringe la consulta del historial de KM.</x:t>
  </x:si>
  <x:si>
    <x:t xml:space="preserve">retornarVehiculosYPrincipal(listaVehiculos,datosVehiculoPrincipal)</x:t>
  </x:si>
  <x:si>
    <x:t xml:space="preserve">La entidad devuelve los vehículos propios y los datos del vehículo principal.</x:t>
  </x:si>
  <x:si>
    <x:t xml:space="preserve">La interfaz recibe la lista y deja seleccionado de forma predeterminada el vehículo principal.</x:t>
  </x:si>
  <x:si>
    <x:t xml:space="preserve">BLOQUE 2 · CARGA AUTOMÁTICA DEL HISTORIAL DEL VEHÍCULO PRINCIPAL (Pasos 12–23)</x:t>
  </x:si>
  <x:si>
    <x:t xml:space="preserve">solicitarHistorialKilometraje(idUsuario,idVehiculoPrincipal,FECHA_DESC)</x:t>
  </x:si>
  <x:si>
    <x:t xml:space="preserve">La interfaz solicita automáticamente el historial del vehículo principal usando Más reciente como orden predeterminado.</x:t>
  </x:si>
  <x:si>
    <x:t xml:space="preserve">solicitarDatosHistorialKilometraje(idVehiculoPrincipal)</x:t>
  </x:si>
  <x:si>
    <x:t xml:space="preserve">El controlador de historial solicita los movimientos de kilometraje del vehículo principal.</x:t>
  </x:si>
  <x:si>
    <x:t xml:space="preserve">consultarHistorialKilometraje(idVehiculoPrincipal)</x:t>
  </x:si>
  <x:si>
    <x:t xml:space="preserve">El controlador consulta todas las lecturas registradas del vehículo principal.</x:t>
  </x:si>
  <x:si>
    <x:t xml:space="preserve">retornarHistorialKilometraje(listaLecturas)</x:t>
  </x:si>
  <x:si>
    <x:t xml:space="preserve">La entidad devuelve las lecturas registradas con su valor y fecha de lectura.</x:t>
  </x:si>
  <x:si>
    <x:t xml:space="preserve">E_CorreccionKilometraje</x:t>
  </x:si>
  <x:si>
    <x:t xml:space="preserve">consultarCorreccionesPorLecturas(listaLecturas)</x:t>
  </x:si>
  <x:si>
    <x:t xml:space="preserve">El controlador consulta las correcciones asociadas a las lecturas obtenidas.</x:t>
  </x:si>
  <x:si>
    <x:t xml:space="preserve">retornarCorreccionesHistorial(listaCorrecciones)</x:t>
  </x:si>
  <x:si>
    <x:t xml:space="preserve">La entidad devuelve valor anterior, valor nuevo, motivo y fecha de corrección.</x:t>
  </x:si>
  <x:si>
    <x:t xml:space="preserve">integrarHistorialKilometraje(listaLecturas,listaCorrecciones)</x:t>
  </x:si>
  <x:si>
    <x:t xml:space="preserve">El controlador relaciona cada lectura con sus correcciones sin eliminar ni sobrescribir el registro histórico original. La corrección de km actual se realiza en la sección de kilometraje, nunca aquí.</x:t>
  </x:si>
  <x:si>
    <x:t xml:space="preserve">clasificarMovimientosHistorial(historialIntegrado)</x:t>
  </x:si>
  <x:si>
    <x:t xml:space="preserve">La lectura inicial se clasifica como Registro; las lecturas posteriores como Actualización; cada corrección como Corrección. Cuando una lectura posee corrección, su registro original se conserva y se presenta con la etiqueta visual Anulada, sin modificar la entidad desde RF15.</x:t>
  </x:si>
  <x:si>
    <x:t xml:space="preserve">retornarHistorialKilometraje(historialClasificado)</x:t>
  </x:si>
  <x:si>
    <x:t xml:space="preserve">El controlador de kilometraje devuelve los movimientos integrados y clasificados.</x:t>
  </x:si>
  <x:si>
    <x:t xml:space="preserve">ordenarHistorialPorFechaMovimiento(historialClasificado,FECHA_DESC)</x:t>
  </x:si>
  <x:si>
    <x:t xml:space="preserve">El controlador ordena por la fecha propia de cada movimiento: fecha de lectura para Registro/Actualización y fecha de corrección para Corrección, desde el más reciente al más antiguo.</x:t>
  </x:si>
  <x:si>
    <x:t xml:space="preserve">mostrarHistorialKilometraje(idVehiculoPrincipal,historialOrdenado,FECHA_DESC)</x:t>
  </x:si>
  <x:si>
    <x:t xml:space="preserve">El controlador solicita mostrar el historial del vehículo principal con Más reciente como criterio predeterminado.</x:t>
  </x:si>
  <x:si>
    <x:t xml:space="preserve">visualizarHistorialKilometraje()</x:t>
  </x:si>
  <x:si>
    <x:t xml:space="preserve">El usuario visualiza el historial completo en modo de solo lectura.</x:t>
  </x:si>
  <x:si>
    <x:t xml:space="preserve">BLOQUE 3 · APERTURA DE LOS FILTROS (Pasos 24–27)</x:t>
  </x:si>
  <x:si>
    <x:t xml:space="preserve">seleccionarFiltrosHistorial()</x:t>
  </x:si>
  <x:si>
    <x:t xml:space="preserve">El usuario abre las opciones de filtrado del historial.</x:t>
  </x:si>
  <x:si>
    <x:t xml:space="preserve">solicitarFiltrosKilometraje(listaVehiculos,idVehiculoActual,criterioOrdenActual)</x:t>
  </x:si>
  <x:si>
    <x:t xml:space="preserve">La interfaz solicita las opciones necesarias para cambiar el vehículo o el orden de presentación.</x:t>
  </x:si>
  <x:si>
    <x:t xml:space="preserve">I_FiltrosHistorial</x:t>
  </x:si>
  <x:si>
    <x:t xml:space="preserve">mostrarFiltrosKilometraje(listaVehiculos,idVehiculoActual,criterioOrdenActual)</x:t>
  </x:si>
  <x:si>
    <x:t xml:space="preserve">El controlador solicita mostrar los vehículos disponibles y las opciones Más reciente / Más antiguo.</x:t>
  </x:si>
  <x:si>
    <x:t xml:space="preserve">visualizarFiltrosKilometraje()</x:t>
  </x:si>
  <x:si>
    <x:t xml:space="preserve">El usuario visualiza el vehículo seleccionado y el criterio de orden aplicado.</x:t>
  </x:si>
  <x:si>
    <x:t xml:space="preserve">BLOQUE 4 · SELECCIÓN Y VALIDACIÓN DE LOS CRITERIOS (Pasos 28–34)</x:t>
  </x:si>
  <x:si>
    <x:t xml:space="preserve">aplicarCriteriosHistorialKilometraje(idVehiculo,criterioOrden)</x:t>
  </x:si>
  <x:si>
    <x:t xml:space="preserve">El usuario selecciona un vehículo propio y el orden Más reciente o Más antiguo.</x:t>
  </x:si>
  <x:si>
    <x:t xml:space="preserve">filtrarHistorialKilometraje(idUsuario,idVehiculo,criterioOrden)</x:t>
  </x:si>
  <x:si>
    <x:t xml:space="preserve">La interfaz envía los criterios seleccionados al controlador.</x:t>
  </x:si>
  <x:si>
    <x:t xml:space="preserve">validarCriteriosHistorial(idVehiculo,criterioOrden)</x:t>
  </x:si>
  <x:si>
    <x:t xml:space="preserve">En el escenario feliz, el controlador confirma que existe un vehículo seleccionado y que el criterio corresponde a FECHA_DESC o FECHA_ASC.</x:t>
  </x:si>
  <x:si>
    <x:t xml:space="preserve">validarVehiculoUsuario(idUsuario,idVehiculo)</x:t>
  </x:si>
  <x:si>
    <x:t xml:space="preserve">El controlador solicita verificar que el vehículo seleccionado pertenezca al usuario.</x:t>
  </x:si>
  <x:si>
    <x:t xml:space="preserve">El controlador consulta los datos y el estado del vehículo seleccionado.</x:t>
  </x:si>
  <x:si>
    <x:t xml:space="preserve">La entidad devuelve los datos del vehículo seleccionado.</x:t>
  </x:si>
  <x:si>
    <x:t xml:space="preserve">El vehículo queda validado para consulta. RF15 mantiene el historial disponible en modo lectura tanto para vehículos Activos como Inactivos.</x:t>
  </x:si>
  <x:si>
    <x:t xml:space="preserve">BLOQUE 5 · CONSULTA Y PREPARACIÓN DEL HISTORIAL FILTRADO (Pasos 35–43)</x:t>
  </x:si>
  <x:si>
    <x:t xml:space="preserve">solicitarDatosHistorialKilometraje(idVehiculo)</x:t>
  </x:si>
  <x:si>
    <x:t xml:space="preserve">El controlador solicita los movimientos correspondientes al vehículo seleccionado.</x:t>
  </x:si>
  <x:si>
    <x:t xml:space="preserve">consultarHistorialKilometraje(idVehiculo)</x:t>
  </x:si>
  <x:si>
    <x:t xml:space="preserve">El controlador consulta las lecturas del vehículo seleccionado.</x:t>
  </x:si>
  <x:si>
    <x:t xml:space="preserve">La entidad devuelve las lecturas registradas del vehículo.</x:t>
  </x:si>
  <x:si>
    <x:t xml:space="preserve">El controlador consulta las correcciones vinculadas con esas lecturas.</x:t>
  </x:si>
  <x:si>
    <x:t xml:space="preserve">La entidad devuelve las correcciones registradas.</x:t>
  </x:si>
  <x:si>
    <x:t xml:space="preserve">El controlador integra lecturas y correcciones conservando la trazabilidad completa de ambos registros.</x:t>
  </x:si>
  <x:si>
    <x:t xml:space="preserve">La lectura inicial se presenta como Registro, las posteriores como Actualización y las correcciones como Corrección. Una lectura corregida conserva su registro original con la etiqueta visual Anulada.</x:t>
  </x:si>
  <x:si>
    <x:t xml:space="preserve">El controlador de kilometraje retorna los movimientos integrados y clasificados.</x:t>
  </x:si>
  <x:si>
    <x:t xml:space="preserve">ordenarHistorialPorFechaMovimiento(historialClasificado,criterioOrden)</x:t>
  </x:si>
  <x:si>
    <x:t xml:space="preserve">El controlador ordena usando la fecha propia de cada movimiento. FECHA_DESC corresponde a Más reciente y FECHA_ASC a Más antiguo.</x:t>
  </x:si>
  <x:si>
    <x:t xml:space="preserve">BLOQUE 6 · PRESENTACIÓN DEL HISTORIAL FILTRADO (Pasos 44–45)</x:t>
  </x:si>
  <x:si>
    <x:t xml:space="preserve">mostrarHistorialFiltrado(datosVehiculo,historialOrdenado,criterioOrden)</x:t>
  </x:si>
  <x:si>
    <x:t xml:space="preserve">La interfaz se actualiza mostrando únicamente el historial del vehículo seleccionado y el orden elegido.</x:t>
  </x:si>
  <x:si>
    <x:t xml:space="preserve">visualizarHistorialFiltrado()</x:t>
  </x:si>
  <x:si>
    <x:t xml:space="preserve">El usuario consulta el historial en modo de solo lectura; RF15 no modifica lecturas ni correcciones. La corrección de km actual se realiza en la sección de kilometraje, nunca aquí.</x:t>
  </x:si>
  <x:si>
    <x:t xml:space="preserve">DIAGRAMA DE SECUENCIAS — RF-019- Consultar detalle de mantenimiento. | EVENTO EXITOSO</x:t>
  </x:si>
  <x:si>
    <x:t xml:space="preserve">Patrón: Actor → Interfaz → Control → Entidad | 22 pasos | 6 bloques</x:t>
  </x:si>
  <x:si>
    <x:t xml:space="preserve">BLOQUE 1 — SELECCIÓN DEL MANTENIMIENTO — Pasos 1–2</x:t>
  </x:si>
  <x:si>
    <x:t xml:space="preserve">────► (llamada)</x:t>
  </x:si>
  <x:si>
    <x:t xml:space="preserve">I_HistorialMantenimiento</x:t>
  </x:si>
  <x:si>
    <x:t xml:space="preserve">seleccionarMantenimiento(id_mantenimiento)</x:t>
  </x:si>
  <x:si>
    <x:t xml:space="preserve">El usuario selecciona un mantenimiento visible en el historial del vehículo.</x:t>
  </x:si>
  <x:si>
    <x:t xml:space="preserve">solicitarDetalleMantenimiento(id_usuario,id_vehiculo,id_mantenimiento)</x:t>
  </x:si>
  <x:si>
    <x:t xml:space="preserve">La interfaz solicita consultar el detalle del mantenimiento seleccionado.</x:t>
  </x:si>
  <x:si>
    <x:t xml:space="preserve">BLOQUE 2 — CONSULTA Y VALIDACIÓN DEL MANTENIMIENTO — Pasos 3–4</x:t>
  </x:si>
  <x:si>
    <x:t xml:space="preserve">E_Mantenimiento</x:t>
  </x:si>
  <x:si>
    <x:t xml:space="preserve">consultarDetalleMantenimientoUsuarioConKmServicio(id_usuario,id_vehiculo,id_mantenimiento)</x:t>
  </x:si>
  <x:si>
    <x:t xml:space="preserve">El controlador consulta el mantenimiento y verifica que corresponda al vehículo y usuario indicados. Recupera el kilometraje_servicio histórico guardado en E_Mantenimiento (RF17), no el kilometraje actual del vehículo ni el próximo kilometraje recomendado; no depende de que id_kilometraje tenga valor.</x:t>
  </x:si>
  <x:si>
    <x:t xml:space="preserve">◄ - - - - - (return)</x:t>
  </x:si>
  <x:si>
    <x:t xml:space="preserve">retornarDetalleMantenimiento(datos_mantenimiento)</x:t>
  </x:si>
  <x:si>
    <x:t xml:space="preserve">La entidad devuelve tipo, servicio_otro si el tipo es OTRO (independiente de descripcion), fecha, kilometraje_servicio histórico obligatorio, observaciones, costo, estado, próxima fecha recomendada, próximo kilometraje recomendado e id_taller opcional. El kilometraje_servicio conserva el valor del servicio aunque después cambie el odómetro del vehículo.</x:t>
  </x:si>
  <x:si>
    <x:t xml:space="preserve">BLOQUE 3 — CONSULTA DEL VEHÍCULO ASOCIADO — Pasos 5–8</x:t>
  </x:si>
  <x:si>
    <x:t xml:space="preserve">solicitarDatosVehiculo(id_usuario,id_vehiculo)</x:t>
  </x:si>
  <x:si>
    <x:t xml:space="preserve">El historial solicita los datos del vehículo asociado y su estado actual para determinar si el detalle permitirá acciones o será solo lectura.</x:t>
  </x:si>
  <x:si>
    <x:t xml:space="preserve">consultarVehiculoUsuario(id_usuario,id_vehiculo)</x:t>
  </x:si>
  <x:si>
    <x:t xml:space="preserve">El controlador consulta el vehículo que pertenece al usuario.</x:t>
  </x:si>
  <x:si>
    <x:t xml:space="preserve">retornarDatosVehiculo(datos_vehiculo)</x:t>
  </x:si>
  <x:si>
    <x:t xml:space="preserve">La entidad devuelve marca, modelo, placa y estado ACTIVO o INACTIVO.</x:t>
  </x:si>
  <x:si>
    <x:t xml:space="preserve">El controlador de vehículo entrega a Historial la información necesaria para preparar el detalle.</x:t>
  </x:si>
  <x:si>
    <x:t xml:space="preserve">BLOQUE 4 — CONSULTA DEL TALLER ASOCIADO — SI EXISTE — Pasos 9–12</x:t>
  </x:si>
  <x:si>
    <x:t xml:space="preserve">C_ControlTaller</x:t>
  </x:si>
  <x:si>
    <x:t xml:space="preserve">solicitarDatosTallerSiExiste(datos_mantenimiento.id_taller)</x:t>
  </x:si>
  <x:si>
    <x:t xml:space="preserve">Fragmento opt [id_taller != NULL]: solicita detalle del taller históricamente asociado. Si id_taller=NULL, no ejecutar 9–12, establecer datos_taller=NULL y mostrar «Sin taller»; RF19 sigue siendo una lectura del mantenimiento.</x:t>
  </x:si>
  <x:si>
    <x:t xml:space="preserve">E_Taller</x:t>
  </x:si>
  <x:si>
    <x:t xml:space="preserve">consultarTallerReferenciado(datos_mantenimiento.id_taller)</x:t>
  </x:si>
  <x:si>
    <x:t xml:space="preserve">El controlador consulta el taller asociado como información histórica, sin modificarlo.</x:t>
  </x:si>
  <x:si>
    <x:t xml:space="preserve">retornarDatosTaller(datos_taller)</x:t>
  </x:si>
  <x:si>
    <x:t xml:space="preserve">La entidad devuelve la información del taller asociado.</x:t>
  </x:si>
  <x:si>
    <x:t xml:space="preserve">retornarDatosTallerSiCorresponde(datos_taller)</x:t>
  </x:si>
  <x:si>
    <x:t xml:space="preserve">Devuelve datos del taller referenciado cuando existe. Si se omitió el fragmento 9–12 por id_taller=NULL, Historial conserva datos_taller=NULL sin efectuar consulta ni inventar taller.</x:t>
  </x:si>
  <x:si>
    <x:t xml:space="preserve">BLOQUE 5 — CONSULTA DE REPUESTOS UTILIZADOS — SOLO LECTURA — Pasos 13–18</x:t>
  </x:si>
  <x:si>
    <x:t xml:space="preserve">C_ControlRepuesto</x:t>
  </x:si>
  <x:si>
    <x:t xml:space="preserve">solicitarRepuestosMantenimiento(id_mantenimiento)</x:t>
  </x:si>
  <x:si>
    <x:t xml:space="preserve">Historial solicita los repuestos asociados al mantenimiento. RF19 solo consulta esta información; no permite agregar, editar ni retirar repuestos.</x:t>
  </x:si>
  <x:si>
    <x:t xml:space="preserve">E_MantenimientoRepuesto</x:t>
  </x:si>
  <x:si>
    <x:t xml:space="preserve">consultarRelacionesRepuestos(id_mantenimiento)</x:t>
  </x:si>
  <x:si>
    <x:t xml:space="preserve">El controlador consulta las relaciones registradas con cantidad y precio unitario opcional.</x:t>
  </x:si>
  <x:si>
    <x:t xml:space="preserve">retornarRelacionesRepuestos(relaciones_repuestos)</x:t>
  </x:si>
  <x:si>
    <x:t xml:space="preserve">E_Repuesto</x:t>
  </x:si>
  <x:si>
    <x:t xml:space="preserve">consultarRepuestosPorIds(lista_id_repuesto)</x:t>
  </x:si>
  <x:si>
    <x:t xml:space="preserve">Fragmento opt [relaciones_repuestos no vacía]: consulta las fichas de E_Repuesto por los ids vinculados, sin alterar ninguna entidad. Si no hay asociaciones, omitir 16–17 e inicializar lista_repuestos_detalle=[] antes del retorno 18.</x:t>
  </x:si>
  <x:si>
    <x:t xml:space="preserve">retornarDatosRepuestos(lista_repuestos)</x:t>
  </x:si>
  <x:si>
    <x:t xml:space="preserve">retornarRepuestosMantenimiento(lista_repuestos_detalle)</x:t>
  </x:si>
  <x:si>
    <x:t xml:space="preserve">BLOQUE 6 — PREPARACIÓN Y PRESENTACIÓN DEL DETALLE — Pasos 19–22</x:t>
  </x:si>
  <x:si>
    <x:t xml:space="preserve">determinarAccionesDetalle(datos_vehiculo.estado,datos_mantenimiento.estado)</x:t>
  </x:si>
  <x:si>
    <x:t xml:space="preserve">Si el vehículo está ACTIVO y el mantenimiento está REALIZADO, habilita «Editar» y «Anular registro». Si el vehículo está INACTIVO o el mantenimiento está ANULADO, el detalle queda en solo lectura.</x:t>
  </x:si>
  <x:si>
    <x:t xml:space="preserve">prepararDetalleParaVista(datos_mantenimiento,datos_vehiculo,datos_taller,lista_repuestos_detalle,acciones_disponibles)</x:t>
  </x:si>
  <x:si>
    <x:t xml:space="preserve">Prepara tipo, fecha, estado, kilometraje_servicio histórico y «Otro» cuando aplica. Utiliza datos_taller=NULL para «Sin taller» y lista_repuestos_detalle=[] para «Sin repuestos» cuando los fragmentos opcionales se omitieron; no consulta otro vehículo. Si tipo=OTRO, usa datos_mantenimiento.servicio_otro como nombre específico (solo lectura); descripcion permanece como detalle del trabajo realizado.</x:t>
  </x:si>
  <x:si>
    <x:t xml:space="preserve">I_DetalleMantenimiento</x:t>
  </x:si>
  <x:si>
    <x:t xml:space="preserve">mostrarDetalleMantenimiento(detalle_preparado,acciones_disponibles)</x:t>
  </x:si>
  <x:si>
    <x:t xml:space="preserve">El controlador solicita mostrar el detalle completo, incluida la sección Repuestos utilizados cuando existan. Las acciones Editar y Anular pertenecen a sus RF; RF19 no modifica repuestos.</x:t>
  </x:si>
  <x:si>
    <x:t xml:space="preserve">visualizarDetalleMantenimiento()</x:t>
  </x:si>
  <x:si>
    <x:t xml:space="preserve">El usuario visualiza el detalle y los repuestos registrados. Si selecciona Editar o Anular registro, se inicia el RF correspondiente; los repuestos permanecen en solo lectura en RF19.</x:t>
  </x:si>
  <x:si>
    <x:t xml:space="preserve">RF20 — DIAGRAMA DE SECUENCIA | ESCENARIO EXITOSO CORREGIDO</x:t>
  </x:si>
  <x:si>
    <x:t xml:space="preserve">35 mensajes · 5 bloques · Camino principal: cambiar a OTRO taller ACTIVO, modificar costo y observaciones. Km del servicio y tipo «Otro» en solo lectura; EA01/EA02 se mantienen aparte.</x:t>
  </x:si>
  <x:si>
    <x:t xml:space="preserve">BLOQUE 1 — SOLICITUD Y VALIDACIÓN DE LA EDICIÓN — Pasos 1–9</x:t>
  </x:si>
  <x:si>
    <x:t xml:space="preserve">seleccionarEditarMantenimiento(id_mantenimiento)</x:t>
  </x:si>
  <x:si>
    <x:t xml:space="preserve">El usuario selecciona Editar desde RF19. Esta opción solo está disponible cuando el mantenimiento está REALIZADO y el vehículo está ACTIVO.</x:t>
  </x:si>
  <x:si>
    <x:t xml:space="preserve">C_ControlMantenimiento</x:t>
  </x:si>
  <x:si>
    <x:t xml:space="preserve">solicitarEdicionMantenimiento(id_usuario,id_mantenimiento)</x:t>
  </x:si>
  <x:si>
    <x:t xml:space="preserve">La interfaz solicita iniciar RF20 para el mantenimiento seleccionado.</x:t>
  </x:si>
  <x:si>
    <x:t xml:space="preserve">consultarMantenimientoEditableUsuario(id_usuario,id_mantenimiento)</x:t>
  </x:si>
  <x:si>
    <x:t xml:space="preserve">Consulta el mantenimiento, su estado, el vehículo asociado y los datos actualmente registrados.</x:t>
  </x:si>
  <x:si>
    <x:t xml:space="preserve">retornarDatosMantenimiento(datos_mantenimiento)</x:t>
  </x:si>
  <x:si>
    <x:t xml:space="preserve">Devuelve vehículo, tipo y servicio_otro cuando el tipo sea «Otro», fecha, kilometraje_servicio histórico obligatorio, id_taller, costo, observaciones, próxima fecha, próximo kilometraje y estado. El kilometraje del mantenimiento fue guardado en RF17 y no depende de una lectura actual.</x:t>
  </x:si>
  <x:si>
    <x:t xml:space="preserve">validarEstadoEditable(datos_mantenimiento.estado)</x:t>
  </x:si>
  <x:si>
    <x:t xml:space="preserve">Confirma que el mantenimiento continúe en estado REALIZADO. Un mantenimiento ANULADO queda solo lectura.</x:t>
  </x:si>
  <x:si>
    <x:t xml:space="preserve">validarVehiculoActivoUsuario(id_usuario,datos_mantenimiento.id_vehiculo)</x:t>
  </x:si>
  <x:si>
    <x:t xml:space="preserve">Solicita comprobar que el vehículo asociado continúe perteneciendo al usuario y esté ACTIVO.</x:t>
  </x:si>
  <x:si>
    <x:t xml:space="preserve">consultarVehiculoActivoUsuario(id_usuario,id_vehiculo)</x:t>
  </x:si>
  <x:si>
    <x:t xml:space="preserve">Consulta propiedad y estado actual del vehículo.</x:t>
  </x:si>
  <x:si>
    <x:t xml:space="preserve">retornarVehiculoValidado(datos_vehiculo)</x:t>
  </x:si>
  <x:si>
    <x:t xml:space="preserve">La entidad devuelve el vehículo válido y ACTIVO.</x:t>
  </x:si>
  <x:si>
    <x:t xml:space="preserve">retornarVehiculoActivo(datos_vehiculo)</x:t>
  </x:si>
  <x:si>
    <x:t xml:space="preserve">El controlador confirma que RF20 puede continuar.</x:t>
  </x:si>
  <x:si>
    <x:t xml:space="preserve">BLOQUE 2 — REPUESTOS DE SOLO LECTURA, TALLERES Y CARGA DEL FORMULARIO — Pasos 10–19</x:t>
  </x:si>
  <x:si>
    <x:t xml:space="preserve">solicitarRepuestosMantenimientoSoloLectura(id_mantenimiento)</x:t>
  </x:si>
  <x:si>
    <x:t xml:space="preserve">Solicita los repuestos previamente asociados al mantenimiento para mostrarlos sin posibilidad de agregarlos, quitarlos ni modificarlos en RF20. Este bloque no vuelve a consultar el kilometraje.</x:t>
  </x:si>
  <x:si>
    <x:t xml:space="preserve">consultarRepuestosUtilizadosConDetalle(id_mantenimiento)</x:t>
  </x:si>
  <x:si>
    <x:t xml:space="preserve">retornarRepuestosSoloLectura(lista_repuestos_detalle)</x:t>
  </x:si>
  <x:si>
    <x:t xml:space="preserve">El control de Mantenimiento recibe los repuestos para mostrarlos en solo lectura. El kilometraje histórico ya se obtuvo de E_Mantenimiento en el mensaje 4.</x:t>
  </x:si>
  <x:si>
    <x:t xml:space="preserve">solicitarTalleresParaEdicion(id_usuario,datos_mantenimiento.id_taller)</x:t>
  </x:si>
  <x:si>
    <x:t xml:space="preserve">Obtiene los talleres del usuario y conserva el taller histórico para mostrarlo. La interfaz puede mostrar «Sin taller» y el taller actual, pero el camino exitoso NO selecciona esas variantes: RF20-EA01 y RF20-EA02 detallan esos casos.</x:t>
  </x:si>
  <x:si>
    <x:t xml:space="preserve">consultarTalleresDisponiblesUsuario(id_usuario,id_taller_actual)</x:t>
  </x:si>
  <x:si>
    <x:t xml:space="preserve">Consulta los talleres del usuario habilitados para elegir otro taller, junto con el taller actualmente asociado a efectos de visualización.</x:t>
  </x:si>
  <x:si>
    <x:t xml:space="preserve">retornarTalleresDisponibles(lista_talleres)</x:t>
  </x:si>
  <x:si>
    <x:t xml:space="preserve">La entidad devuelve los talleres disponibles y el taller actualmente asociado cuando corresponda.</x:t>
  </x:si>
  <x:si>
    <x:t xml:space="preserve">retornarTalleresParaEdicion(lista_talleres)</x:t>
  </x:si>
  <x:si>
    <x:t xml:space="preserve">El controlador entrega las opciones de taller a Mantenimiento.</x:t>
  </x:si>
  <x:si>
    <x:t xml:space="preserve">I_EditarMantenimiento</x:t>
  </x:si>
  <x:si>
    <x:t xml:space="preserve">mostrarFormularioEdicion(datos_mantenimiento,datos_vehiculo,lista_talleres,lista_repuestos_detalle)</x:t>
  </x:si>
  <x:si>
    <x:t xml:space="preserve">Muestra Taller, Costo y Observaciones como únicos campos editables. Vehículo, tipo (incluido «Especificar servicio» cuando sea «Otro»), fecha, kilometraje_servicio histórico, próxima fecha/km y estado quedan en solo lectura. Los repuestos existentes se muestran en solo lectura si los hay; la lista puede estar vacía. El camino exitoso selecciona otro taller ACTIVO.</x:t>
  </x:si>
  <x:si>
    <x:t xml:space="preserve">visualizarFormularioEdicion()</x:t>
  </x:si>
  <x:si>
    <x:t xml:space="preserve">El usuario visualiza el formulario de edición: Taller, Costo y Observaciones editables; kilometraje al momento del servicio y «Otro»/servicio específico en solo lectura; repuestos sin acciones de modificación.</x:t>
  </x:si>
  <x:si>
    <x:t xml:space="preserve">BLOQUE 3 — CAMBIO A OTRO TALLER Y VALIDACIÓN DE CAMPOS — Pasos 20–27</x:t>
  </x:si>
  <x:si>
    <x:t xml:space="preserve">seleccionarOtroTallerYModificarDatos(id_taller_nuevo,costo,observaciones)</x:t>
  </x:si>
  <x:si>
    <x:t xml:space="preserve">CAMINO EXITOSO ÚNICO: el usuario selecciona OTRO taller ACTIVO de su propiedad (distinto del actual), introduce un costo válido y modifica las observaciones; después pulsa «Guardar cambios». No elige «Sin taller» (RF20-EA01), ni mantiene el taller original (RF20-EA02), ni modifica repuestos.</x:t>
  </x:si>
  <x:si>
    <x:t xml:space="preserve">enviarCambiosPermitidos(id_mantenimiento,id_taller_nuevo,costo,observaciones)</x:t>
  </x:si>
  <x:si>
    <x:t xml:space="preserve">La interfaz remite el nuevo taller diferente del original, el costo informado y las observaciones. Solo se guardan los tres campos permitidos.</x:t>
  </x:si>
  <x:si>
    <x:t xml:space="preserve">validarSoloCamposEditables(id_taller_nuevo,costo,observaciones)</x:t>
  </x:si>
  <x:si>
    <x:t xml:space="preserve">Valida que únicamente se modifiquen Taller, Costo y Observaciones. Se mantiene intocable el resto del mantenimiento y cualquier repuesto ya asociado.</x:t>
  </x:si>
  <x:si>
    <x:t xml:space="preserve">validarCostoInformado(costo)</x:t>
  </x:si>
  <x:si>
    <x:t xml:space="preserve">Comprueba el formato y las reglas de costo admitidas por MyCar. En el recorrido exitoso el usuario informa un costo válido; los errores de validación no se ejecutan aquí.</x:t>
  </x:si>
  <x:si>
    <x:t xml:space="preserve">validarNuevoTallerSeleccionado(id_usuario,id_taller_original,id_taller_nuevo)</x:t>
  </x:si>
  <x:si>
    <x:t xml:space="preserve">Verifica que se haya elegido un taller DIFERENTE del actual. En el camino principal existe un cambio efectivo a otro taller ACTIVO; siempre se realiza la validación del taller nuevo.</x:t>
  </x:si>
  <x:si>
    <x:t xml:space="preserve">consultarNuevoTallerValido(id_usuario,id_taller_nuevo)</x:t>
  </x:si>
  <x:si>
    <x:t xml:space="preserve">Consulta obligatoriamente el nuevo taller seleccionado: pertenece al usuario, está ACTIVO y se puede asociar al mantenimiento. No se omite este mensaje en el escenario exitoso.</x:t>
  </x:si>
  <x:si>
    <x:t xml:space="preserve">retornarNuevoTallerValidado(datos_taller_nuevo)</x:t>
  </x:si>
  <x:si>
    <x:t xml:space="preserve">La entidad devuelve el nuevo taller validado; es distinto del taller anterior y está habilitado.</x:t>
  </x:si>
  <x:si>
    <x:t xml:space="preserve">retornarValidacionNuevoTaller(resultado_taller)</x:t>
  </x:si>
  <x:si>
    <x:t xml:space="preserve">El controlador de Taller devuelve validación positiva a Mantenimiento. No se utilizan las rutas «Sin taller» ni «mantener taller».</x:t>
  </x:si>
  <x:si>
    <x:t xml:space="preserve">BLOQUE 4 — REVALIDACIÓN Y ACTUALIZACIÓN DEL MISMO MANTENIMIENTO — Pasos 28–33</x:t>
  </x:si>
  <x:si>
    <x:t xml:space="preserve">revalidarVehiculoActivoUsuario(id_usuario,id_vehiculo)</x:t>
  </x:si>
  <x:si>
    <x:t xml:space="preserve">Antes de guardar, vuelve a comprobar que el vehículo siga ACTIVO.</x:t>
  </x:si>
  <x:si>
    <x:t xml:space="preserve">Consulta nuevamente propiedad y estado actual del vehículo.</x:t>
  </x:si>
  <x:si>
    <x:t xml:space="preserve">La entidad confirma que el vehículo continúa habilitado.</x:t>
  </x:si>
  <x:si>
    <x:t xml:space="preserve">El controlador devuelve la revalidación positiva.</x:t>
  </x:si>
  <x:si>
    <x:t xml:space="preserve">actualizarDatosComplementariosSiRealizado(id_mantenimiento,id_taller_nuevo,costo,observaciones)</x:t>
  </x:si>
  <x:si>
    <x:t xml:space="preserve">Actualiza únicamente el MISMO mantenimiento REALIZADO: asocia otro taller ACTIVO y modifica costo y observaciones. Conserva intactos vehículo, tipo, servicio_otro (si es «Otro»), fecha, kilometraje_servicio histórico, recomendaciones, estado y asociaciones de repuestos.</x:t>
  </x:si>
  <x:si>
    <x:t xml:space="preserve">retornarMantenimientoActualizado(datos_mantenimiento_actualizado)</x:t>
  </x:si>
  <x:si>
    <x:t xml:space="preserve">La entidad devuelve el mantenimiento actualizado con el nuevo taller, costo y observaciones; conserva toda la demás información histórica.</x:t>
  </x:si>
  <x:si>
    <x:t xml:space="preserve">BLOQUE 5 — CONFIRMACIÓN DE MODIFICACIÓN — Pasos 34–35</x:t>
  </x:si>
  <x:si>
    <x:t xml:space="preserve">mostrarOperacionExitosa('Mantenimiento actualizado correctamente')</x:t>
  </x:si>
  <x:si>
    <x:t xml:space="preserve">Solo tras guardar el cambio de taller, costo y observaciones, muestra la confirmación. RF20 no modifica kilometraje, alertas, ni repuestos.</x:t>
  </x:si>
  <x:si>
    <x:t xml:space="preserve">visualizarOperacionExitosa()</x:t>
  </x:si>
  <x:si>
    <x:t xml:space="preserve">El usuario visualiza el éxito del cambio a OTRO taller ACTIVO. No ejecutó RF20-EA01 («Sin taller»), RF20-EA02 («mantener taller»), ni ninguna edición de repuestos.</x:t>
  </x:si>
  <x:si>
    <x:t xml:space="preserve">NOTA: RF20 no administra repuestos. Los repuestos y sus asociaciones previas se preservan. RF20-EA01 («Sin taller») y RF20-EA02 (mantener taller actual) solo se desarrollan en sus diagramas alternativos.</x:t>
  </x:si>
  <x:si>
    <x:t xml:space="preserve">RF21 — DIAGRAMA DE SECUENCIA | ESCENARIO EXITOSO CORREGIDO</x:t>
  </x:si>
  <x:si>
    <x:t xml:space="preserve">BLOQUE 1 — SOLICITUD Y VALIDACIÓN INICIAL DE LA ANULACIÓN — Pasos 1–9</x:t>
  </x:si>
  <x:si>
    <x:t xml:space="preserve">seleccionarAnularMantenimiento(id_mantenimiento)</x:t>
  </x:si>
  <x:si>
    <x:t xml:space="preserve">El usuario selecciona «Anular registro» desde el detalle del mantenimiento. La acción está disponible cuando el mantenimiento está REALIZADO y el vehículo está ACTIVO.</x:t>
  </x:si>
  <x:si>
    <x:t xml:space="preserve">solicitarAnulacionMantenimiento(id_usuario,id_mantenimiento)</x:t>
  </x:si>
  <x:si>
    <x:t xml:space="preserve">La interfaz solicita iniciar la anulación del mantenimiento seleccionado.</x:t>
  </x:si>
  <x:si>
    <x:t xml:space="preserve">consultarMantenimientoAnulableUsuario(id_usuario,id_mantenimiento)</x:t>
  </x:si>
  <x:si>
    <x:t xml:space="preserve">validarEstadoAnulable(datos_mantenimiento.estado)</x:t>
  </x:si>
  <x:si>
    <x:t xml:space="preserve">El controlador confirma que el mantenimiento se encuentre en estado REALIZADO. Un registro ANULADO no puede anularse nuevamente.</x:t>
  </x:si>
  <x:si>
    <x:t xml:space="preserve">Solicita comprobar que el vehículo asociado pertenezca al usuario y se encuentre ACTIVO.</x:t>
  </x:si>
  <x:si>
    <x:t xml:space="preserve">El controlador consulta la propiedad y el estado actual del vehículo.</x:t>
  </x:si>
  <x:si>
    <x:t xml:space="preserve">La entidad devuelve el vehículo perteneciente al usuario y en estado ACTIVO.</x:t>
  </x:si>
  <x:si>
    <x:t xml:space="preserve">El controlador confirma que la operación puede continuar.</x:t>
  </x:si>
  <x:si>
    <x:t xml:space="preserve">BLOQUE 2 — CONFIRMACIÓN DE LA ANULACIÓN — Pasos 10–13</x:t>
  </x:si>
  <x:si>
    <x:t xml:space="preserve">I_AnulacionMantenimiento</x:t>
  </x:si>
  <x:si>
    <x:t xml:space="preserve">mostrarConfirmacionAnulacion(datos_mantenimiento)</x:t>
  </x:si>
  <x:si>
    <x:t xml:space="preserve">Se muestra el modal «Anular mantenimiento»: el registro cambiará a ANULADO y no se eliminarán sus datos históricos. Si existen repuestos utilizados asociados al mantenimiento, también se conservarán como información histórica. El usuario dispone de «Cancelar» y «Anular registro».</x:t>
  </x:si>
  <x:si>
    <x:t xml:space="preserve">visualizarConfirmacionAnulacion()</x:t>
  </x:si>
  <x:si>
    <x:t xml:space="preserve">El usuario visualiza la advertencia y las opciones «Cancelar» y «Anular registro».</x:t>
  </x:si>
  <x:si>
    <x:t xml:space="preserve">confirmarAnulacion()</x:t>
  </x:si>
  <x:si>
    <x:t xml:space="preserve">El usuario selecciona «Anular registro» para confirmar la operación.</x:t>
  </x:si>
  <x:si>
    <x:t xml:space="preserve">confirmarAnulacionMantenimiento(id_usuario,id_mantenimiento)</x:t>
  </x:si>
  <x:si>
    <x:t xml:space="preserve">La interfaz comunica al controlador la confirmación de la anulación.</x:t>
  </x:si>
  <x:si>
    <x:t xml:space="preserve">BLOQUE 3 — REVALIDACIÓN PREVIA A LA ANULACIÓN — Pasos 14–17</x:t>
  </x:si>
  <x:si>
    <x:t xml:space="preserve">Antes de modificar el mantenimiento, solicita comprobar nuevamente que el vehículo continúe perteneciendo al usuario y esté ACTIVO.</x:t>
  </x:si>
  <x:si>
    <x:t xml:space="preserve">El controlador consulta nuevamente la propiedad y el estado vigente del vehículo.</x:t>
  </x:si>
  <x:si>
    <x:t xml:space="preserve">La entidad confirma que el vehículo continúa habilitado para la operación.</x:t>
  </x:si>
  <x:si>
    <x:t xml:space="preserve">El controlador devuelve la revalidación positiva del vehículo.</x:t>
  </x:si>
  <x:si>
    <x:t xml:space="preserve">solicitarHistorialActualizado(id_usuario,id_vehiculo)</x:t>
  </x:si>
  <x:si>
    <x:t xml:space="preserve">buscarMantenimientosPorVehiculoConKmServicio(id_usuario,id_vehiculo)</x:t>
  </x:si>
  <x:si>
    <x:t xml:space="preserve">Historial consulta REALIZADOS y ANULADOS del vehículo, incluido el mantenimiento recién anulado, y obtiene kilometraje_servicio desde E_Mantenimiento como en RF18. No sustituye el kilometraje histórico por el odómetro actual.</x:t>
  </x:si>
  <x:si>
    <x:t xml:space="preserve">retornarListaMantenimientosConKmServicio(lista_mantenimientos)</x:t>
  </x:si>
  <x:si>
    <x:t xml:space="preserve">La entidad retorna los mantenimientos con sus kilometrajes de servicio históricos, estados y referencias a taller opcionales; incluye el registro recientemente ANULADO.</x:t>
  </x:si>
  <x:si>
    <x:t xml:space="preserve">solicitarDatosTalleres(lista_id_taller_no_nulos)</x:t>
  </x:si>
  <x:si>
    <x:t xml:space="preserve">consultarTalleres(lista_id_taller_no_nulos)</x:t>
  </x:si>
  <x:si>
    <x:t xml:space="preserve">retornarDatosTalleres(lista_talleres)</x:t>
  </x:si>
  <x:si>
    <x:t xml:space="preserve">ordenarHistorialPorFechaDescendente(lista_mantenimientos)</x:t>
  </x:si>
  <x:si>
    <x:t xml:space="preserve">El controlador mantiene el orden predeterminado «Más reciente».</x:t>
  </x:si>
  <x:si>
    <x:t xml:space="preserve">prepararHistorialActualizado(lista_mantenimientos_ordenada,lista_talleres)</x:t>
  </x:si>
  <x:si>
    <x:t xml:space="preserve">Prepara tarjetas de mantenimiento con tipo, fecha, kilometraje_servicio, costo, estado ANULADO y taller únicamente cuando existe, como en RF18. Si no hay talleres asociados, omite sus líneas sin errores.</x:t>
  </x:si>
  <x:si>
    <x:t xml:space="preserve">mostrarHistorialActualizado(lista_historial_preparada)</x:t>
  </x:si>
  <x:si>
    <x:t xml:space="preserve">El sistema regresa directamente al Historial y muestra el mantenimiento conservado como ANULADO.</x:t>
  </x:si>
  <x:si>
    <x:t xml:space="preserve">visualizarHistorialConMantenimientoAnulado()</x:t>
  </x:si>
  <x:si>
    <x:t xml:space="preserve">El usuario ve la tarjeta del mantenimiento ANULADO, con fecha, kilometraje histórico, estado, costo y taller si existe. Sus repuestos se conservan y podrán consultarse en el detalle RF19; las lecturas independientes de RF14 no se alteran.</x:t>
  </x:si>
  <x:si>
    <x:t xml:space="preserve">MYCAR · RF24 | ESCENARIO EXITOSO EF1</x:t>
  </x:si>
  <x:si>
    <x:t xml:space="preserve">88 mensajes · 5 bloques · Escenario exitoso de atención de alerta · Versión corregida con transacciones explícitas</x:t>
  </x:si>
  <x:si>
    <x:t xml:space="preserve">N.º</x:t>
  </x:si>
  <x:si>
    <x:t xml:space="preserve">Objeto origen</x:t>
  </x:si>
  <x:si>
    <x:t xml:space="preserve">Flecha UML</x:t>
  </x:si>
  <x:si>
    <x:t xml:space="preserve">Objeto destino</x:t>
  </x:si>
  <x:si>
    <x:t xml:space="preserve">Descripción y condición de ejecución</x:t>
  </x:si>
  <x:si>
    <x:t xml:space="preserve">B1 — CONSULTA, EVALUACIÓN Y PRESENTACIÓN DEL DETALLE — Mensajes 1–26</x:t>
  </x:si>
  <x:si>
    <x:t xml:space="preserve">I_Alertas</x:t>
  </x:si>
  <x:si>
    <x:t xml:space="preserve">seleccionarAlerta(id_alerta)</x:t>
  </x:si>
  <x:si>
    <x:t xml:space="preserve">El usuario selecciona una alerta de mantenimiento propia desde la pantalla Alertas.</x:t>
  </x:si>
  <x:si>
    <x:t xml:space="preserve">consultarDetalleAlertaUsuario(id_usuario,id_alerta)</x:t>
  </x:si>
  <x:si>
    <x:t xml:space="preserve">La interfaz solicita el detalle de la alerta seleccionada.</x:t>
  </x:si>
  <x:si>
    <x:t xml:space="preserve">Consulta la alerta por id_usuario/id_alerta y valida propiedad. RF24 solo admite categoria=MANTENIMIENTO e id_vehiculo no nulo; una alerta SOAT o LICENCIA queda fuera de este EF, sin invocar el registro de mantenimiento.</x:t>
  </x:si>
  <x:si>
    <x:t xml:space="preserve">retornarDetalleAlerta(datos_alerta,fecha_estado_actual)</x:t>
  </x:si>
  <x:si>
    <x:t xml:space="preserve">Devuelve categoría, titular, estado, fecha_estado_actual, criterio, objetivos, id_vehiculo, id_tipo_mantenimiento y servicio_otro (si tipo=OTRO), además de los intervalos. C_ControlAlerta continúa solo si categoria=MANTENIMIENTO e id_vehiculo válido.</x:t>
  </x:si>
  <x:si>
    <x:t xml:space="preserve">solicitarDatosVehiculo(datos_alerta.id_vehiculo)</x:t>
  </x:si>
  <x:si>
    <x:t xml:space="preserve">Únicamente tras confirmar categoria=MANTENIMIENTO, solicita los datos del vehículo de esa alerta; no se consulta vehículo para LICENCIA ni se transforma SOAT en mantenimiento.</x:t>
  </x:si>
  <x:si>
    <x:t xml:space="preserve">consultarVehiculo(datos_alerta.id_vehiculo)</x:t>
  </x:si>
  <x:si>
    <x:t xml:space="preserve">El controlador consulta los datos y el estado actual del vehículo.</x:t>
  </x:si>
  <x:si>
    <x:t xml:space="preserve">La entidad devuelve los datos del vehículo.</x:t>
  </x:si>
  <x:si>
    <x:t xml:space="preserve">El controlador de vehículos entrega la información solicitada a Alertas.</x:t>
  </x:si>
  <x:si>
    <x:t xml:space="preserve">determinarSiRequiereKilometraje(datos_alerta.criterio,datos_alerta.estado)</x:t>
  </x:si>
  <x:si>
    <x:t xml:space="preserve">Para una alerta de categoria=MANTENIMIENTO, consulta kilometraje solo si estado PROGRAMADA/PRÓXIMA/PENDIENTE y criterio POR_KILOMETRAJE o AMBOS. Nunca aplica estas reglas a SOAT o LICENCIA. Otros estados omiten la consulta.</x:t>
  </x:si>
  <x:si>
    <x:t xml:space="preserve">solicitarKilometrajeActualSiCorresponde(datos_alerta.id_vehiculo,datos_alerta.criterio)</x:t>
  </x:si>
  <x:si>
    <x:t xml:space="preserve">Cuando la alerta es evaluable por objetivo y su criterio requiere kilometraje, solicita la lectura vigente. Para VENCIDA, REALIZADA, ANULADA o alertas POR_TIEMPO este paso se omite.</x:t>
  </x:si>
  <x:si>
    <x:t xml:space="preserve">consultarUltimoKilometrajeValido(datos_alerta.id_vehiculo)</x:t>
  </x:si>
  <x:si>
    <x:t xml:space="preserve">El controlador consulta la última lectura VALIDA efectiva del vehículo.</x:t>
  </x:si>
  <x:si>
    <x:t xml:space="preserve">retornarKilometrajeActual(kilometraje_actual,fecha_lectura)</x:t>
  </x:si>
  <x:si>
    <x:t xml:space="preserve">La entidad devuelve el kilometraje vigente y la fecha de lectura cuando corresponde.</x:t>
  </x:si>
  <x:si>
    <x:t xml:space="preserve">retornarDatosKilometraje(kilometraje_actual,fecha_lectura)</x:t>
  </x:si>
  <x:si>
    <x:t xml:space="preserve">El controlador de kilometraje entrega la lectura vigente a Alertas.</x:t>
  </x:si>
  <x:si>
    <x:t xml:space="preserve">obtenerFechaActualConfiable()</x:t>
  </x:si>
  <x:si>
    <x:t xml:space="preserve">El controlador obtiene la fecha actual para evaluar el estado vigente de la alerta.</x:t>
  </x:si>
  <x:si>
    <x:t xml:space="preserve">evaluarEstadoActualYCicloVida(datos_alerta,fecha_actual,kilometraje_actual)</x:t>
  </x:si>
  <x:si>
    <x:t xml:space="preserve">Evalúa SOLO una alerta de MANTENIMIENTO con el motor RF23 (tiempo/km/ambos). VENCIDA sigue solo lectura; a los 30 días en VENCIDA pasa a ANULADA cuando corresponde. SOAT y LICENCIA no ingresan a este EF.</x:t>
  </x:si>
  <x:si>
    <x:t xml:space="preserve">iniciarReconciliacionTransaccionalRF23(id_alerta,estado_calculado,fecha_actual)</x:t>
  </x:si>
  <x:si>
    <x:t xml:space="preserve">Abre una transacción única de RECONCILIACIÓN para alerta de categoria=MANTENIMIENTO, historial y notificación interna. Revalida estado/versión bajo concurrencia antes de sincronizar; COMMIT en 25, ROLLBACK conjunto ante fallo. Es independiente de la atención posterior.</x:t>
  </x:si>
  <x:si>
    <x:t xml:space="preserve">sincronizarEstadoAutomaticoSiCorresponde(id_alerta,estado_calculado,fecha_actual)</x:t>
  </x:si>
  <x:si>
    <x:t xml:space="preserve">DENTRO de la transacción abierta en el mensaje 16, actualiza el estado únicamente si corresponde una transición real y sigue siendo válida. Aplica las reglas centrales de RF23: PROGRAMADA, PRÓXIMA y PENDIENTE se evalúan por objetivos; VENCIDA controla la antigüedad y a los 30 días pasa a ANULADA. No ejecuta COMMIT aislado ni cambia el kilometraje RF14.</x:t>
  </x:si>
  <x:si>
    <x:t xml:space="preserve">retornarAlertaSincronizada(detalle_actualizado,transicion_aplicada)</x:t>
  </x:si>
  <x:si>
    <x:t xml:space="preserve">Devuelve el detalle sincronizado y la transición efectivamente aplicada, todavía sin COMMIT. Cuando no hubo transición, conserva los datos actuales; fecha_estado_actual solo cambia si corresponde. RF23 mantiene el ciclo automático aunque el usuario no abra RF24.</x:t>
  </x:si>
  <x:si>
    <x:t xml:space="preserve">registrarTransicionAutomaticaSiCorresponde(id_alerta,transicion_aplicada,AUTOMATICO)</x:t>
  </x:si>
  <x:si>
    <x:t xml:space="preserve">Dentro de la MISMA transacción de reconciliación, registra historial solo cuando exista una transición real. Para VENCIDA→ANULADA usa VENCIMIENTO_30_DIAS. Sin transición no registra eventos; ante fallo obligatorio se revierte también el estado de E_Alerta.</x:t>
  </x:si>
  <x:si>
    <x:t xml:space="preserve">retornarRegistroTransicionSiCorresponde(datos_historial)</x:t>
  </x:si>
  <x:si>
    <x:t xml:space="preserve">Confirma el historial persistido provisionalmente dentro de la misma transacción, o la ausencia de transición. El COMMIT aún no se ha ejecutado.</x:t>
  </x:si>
  <x:si>
    <x:t xml:space="preserve">sincronizarNotificacionPorEstadoAlerta(id_usuario,id_alerta,detalle_actualizado.estado)</x:t>
  </x:si>
  <x:si>
    <x:t xml:space="preserve">Sincroniza IDEMPOTENTEMENTE la notificación de esta alerta individual de MANTENIMIENTO dentro de la transacción 16–25; PRÓXIMA/PENDIENTE mantienen como máximo un aviso activo. RF23 gestiona el lote automático por separado; push RF46 solo post-COMMIT.</x:t>
  </x:si>
  <x:si>
    <x:t xml:space="preserve">sincronizarGestionSegunEstadoAlertaIndividual(id_alerta,detalle_actualizado.estado)</x:t>
  </x:si>
  <x:si>
    <x:t xml:space="preserve">Contrato INDIVIDUAL de E_Notificacion para RF24, distinto de sincronizarGestionSegunEstadoAlerta(listaAlertasActualizada,transicionesAplicadas) por lote de RF23. Participa en la misma transacción 16–25; PROGRAMADA sin aviso; PRÓXIMA/PENDIENTE un pendiente; VENCIDA/ANULADA cerrada; REALIZADA atendida.</x:t>
  </x:si>
  <x:si>
    <x:t xml:space="preserve">retornarNotificacionSincronizada(datos_notificacion)</x:t>
  </x:si>
  <x:si>
    <x:t xml:space="preserve">La entidad retorna el resultado provisional de la notificación dentro de la misma transacción, o sin cambios si no correspondía actualizarla. La reconciliación sigue sin confirmar hasta el COMMIT.</x:t>
  </x:si>
  <x:si>
    <x:t xml:space="preserve">retornarSincronizacionNotificacion(datos_notificacion)</x:t>
  </x:si>
  <x:si>
    <x:t xml:space="preserve">Devuelve el resultado al controlador de Alertas. Las escrituras de alerta, historial y notificación permanecen en una sola transacción ABIERTA hasta el mensaje 25; si falla una escritura obligatoria, se realiza ROLLBACK conjunto.</x:t>
  </x:si>
  <x:si>
    <x:t xml:space="preserve">confirmarReconciliacionTransaccionalRF23(id_alerta,transicion_aplicada,datos_notificacion)</x:t>
  </x:si>
  <x:si>
    <x:t xml:space="preserve">Tras confirmar las escrituras de E_Alerta, E_HistorialAlerta y E_Notificacion, realiza UN SOLO COMMIT de la reconciliación inicial. Si hubo fallo obligatorio, ejecuta ROLLBACK total y deriva al escenario alternativo. La notificación externa RF46 solo puede despacharse después del COMMIT; si no hubo cambios, no crea transiciones ni avisos duplicados. Esta transacción TERMINA antes de mostrar el detalle y es distinta del registro posterior del mantenimiento.</x:t>
  </x:si>
  <x:si>
    <x:t xml:space="preserve">I_DetalleAlerta</x:t>
  </x:si>
  <x:si>
    <x:t xml:space="preserve">mostrarDetalleAlerta(detalle_actualizado,datos_vehiculo,acciones_disponibles)</x:t>
  </x:si>
  <x:si>
    <x:t xml:space="preserve">Solo después del COMMIT de reconciliación muestra el detalle de alerta de categoria=MANTENIMIENTO y acciones disponibles. «Registrar como realizado» se habilita solo si estado PRÓXIMA/PENDIENTE y vehículo ACTIVO; PROGRAMADA, VENCIDA, REALIZADA y ANULADA no permiten esta acción en el EF.</x:t>
  </x:si>
  <x:si>
    <x:t xml:space="preserve">B2 — REGISTRAR COMO REALIZADO DESDE ALERTA PRÓXIMA O PENDIENTE — Mensajes 27–44</x:t>
  </x:si>
  <x:si>
    <x:t xml:space="preserve">seleccionarRegistrarComoRealizado()</x:t>
  </x:si>
  <x:si>
    <x:t xml:space="preserve">El conductor pulsa «Registrar como realizado» únicamente para una alerta de categoria=MANTENIMIENTO, propia, PRÓXIMA o PENDIENTE, con vehículo ACTIVO. La ampliación a VENCIDA no está aprobada y NO se aplica.</x:t>
  </x:si>
  <x:si>
    <x:t xml:space="preserve">iniciarRegistroComoRealizadoDesdeAlerta(id_alerta)</x:t>
  </x:si>
  <x:si>
    <x:t xml:space="preserve">Al solicitar el formulario, C_ControlAlerta verifica contexto previamente cargado: categoria=MANTENIMIENTO, titularidad, vehículo ACTIVO y estado PRÓXIMA/PENDIENTE. Antes de guardar volverá a consultar E_Alerta bajo bloqueo (62–69); no confía en datos de la interfaz.</x:t>
  </x:si>
  <x:si>
    <x:t xml:space="preserve">solicitarRegistroRealizadoDesdeAlerta(id_alerta,id_usuario,id_vehiculo,id_tipo_mantenimiento,servicio_otro_alerta_o_NULL)</x:t>
  </x:si>
  <x:si>
    <x:t xml:space="preserve">Solicita reutilizar RF17 con vehículo, tipo y servicio_otro obtenidos de la alerta (para OTRO). El servicio se precompleta pero NO se edita desde RF24; para otros tipos, servicio_otro=NULL. Solo procede si categoria=MANTENIMIENTO y estado PRÓXIMA/PENDIENTE.</x:t>
  </x:si>
  <x:si>
    <x:t xml:space="preserve">Antes de abrir el formulario, Mantenimiento solicita confirmar que el vehículo continúe perteneciendo al usuario y esté ACTIVO.</x:t>
  </x:si>
  <x:si>
    <x:t xml:space="preserve">El controlador consulta nuevamente propiedad y estado del vehículo.</x:t>
  </x:si>
  <x:si>
    <x:t xml:space="preserve">La entidad devuelve el vehículo validado.</x:t>
  </x:si>
  <x:si>
    <x:t xml:space="preserve">Mantenimiento recibe el vehículo ACTIVO validado y su ficha: tipo de aceite registrado en RF08/RF11, si existe. Esta referencia no demuestra qué aceite se usó en el servicio.</x:t>
  </x:si>
  <x:si>
    <x:t xml:space="preserve">solicitarTalleresActivosOrdenados(id_usuario)</x:t>
  </x:si>
  <x:si>
    <x:t xml:space="preserve">El controlador solicita los talleres disponibles para completar el mantenimiento.</x:t>
  </x:si>
  <x:si>
    <x:t xml:space="preserve">consultarTalleresActivosUsuario(id_usuario)</x:t>
  </x:si>
  <x:si>
    <x:t xml:space="preserve">El controlador consulta los talleres activos pertenecientes al usuario.</x:t>
  </x:si>
  <x:si>
    <x:t xml:space="preserve">retornarTalleresActivos(lista_talleres)</x:t>
  </x:si>
  <x:si>
    <x:t xml:space="preserve">La entidad devuelve talleres propios ACTIVOS y el indicador «Favorito» administrado en RF37; un taller no favorito sigue siendo seleccionable.</x:t>
  </x:si>
  <x:si>
    <x:t xml:space="preserve">ordenarTallerFavoritoPrimero(lista_talleres)</x:t>
  </x:si>
  <x:si>
    <x:t xml:space="preserve">Ordena el taller marcado como Favorito primero (RF37); si no hay favorito, conserva el orden regular. El indicador de preferencia es «Favorito».</x:t>
  </x:si>
  <x:si>
    <x:t xml:space="preserve">retornarTalleresOrdenados(lista_talleres)</x:t>
  </x:si>
  <x:si>
    <x:t xml:space="preserve">Devuelve talleres activos (favorito primero) y «Sin taller», opción por defecto, que equivale a id_taller=NULL.</x:t>
  </x:si>
  <x:si>
    <x:t xml:space="preserve">solicitarLecturaReferenciaParaServicio(id_vehiculo)</x:t>
  </x:si>
  <x:si>
    <x:t xml:space="preserve">Solicita la última lectura válida y su fecha para mostrar el km del servicio en solo lectura; no ordena crear una lectura nueva de RF14.</x:t>
  </x:si>
  <x:si>
    <x:t xml:space="preserve">consultarUltimoKilometrajeValido(id_vehiculo)</x:t>
  </x:si>
  <x:si>
    <x:t xml:space="preserve">La entidad devuelve el kilometraje vigente y su fecha.</x:t>
  </x:si>
  <x:si>
    <x:t xml:space="preserve">retornarReferenciaKmServicio(km_referencia,fecha_lectura,id_kilometraje_referencia)</x:t>
  </x:si>
  <x:si>
    <x:t xml:space="preserve">Retorna valor/fecha/id de referencia. Para un mantenimiento con fecha pasada, el sistema debe comprobar una lectura histórica pertinente; nunca supone que el odómetro de hoy era el del servicio.</x:t>
  </x:si>
  <x:si>
    <x:t xml:space="preserve">prepararCamposRF17SegunTipo(id_tipo,tipo_aceite_registrado,servicio_otro_alerta_o_NULL)</x:t>
  </x:si>
  <x:si>
    <x:t xml:space="preserve">Reutiliza RF17: vehículo y tipo asociados a la alerta, solo lectura; si tipo=OTRO, «Especificar servicio» se AUTOCOMPLETA con alerta.servicio_otro y es SOLO LECTURA, obligatorio y no vacío. «Descripción» es INDEPENDIENTE, opcional y EDITABLE. Aceite RF08/RF11 referencial solo lectura; repuestos opcionales.</x:t>
  </x:si>
  <x:si>
    <x:t xml:space="preserve">I_RegistroMantenimiento</x:t>
  </x:si>
  <x:si>
    <x:t xml:space="preserve">mostrarFormularioDesdeAlerta(id_alerta,datos_vehiculo,tipo_mantenimiento,servicio_otro_alerta_o_NULL,km_referencia,fecha_lectura,lista_talleres,campos_RF17,DESDE_ALERTA)</x:t>
  </x:si>
  <x:si>
    <x:t xml:space="preserve">Abre la MISMA I_RegistroMantenimiento de RF17 con contexto DESDE_ALERTA (no otra interfaz). Vehículo, tipo y servicio_otro obtenido de la alerta quedan AUTOCOMPLETADOS y de SOLO LECTURA. Fecha de servicio obligatoria, kilometraje del servicio obligatorio de solo lectura/verificación, aceite referencial, descripción/costo/taller opcionales. Incluye «Repuestos utilizados (opcional)» reutilizando RF17–EA03 mediante RF24–EA02. NO muestra próxima fecha recomendada, próximo kilometraje recomendado ni «¿Crear otra alerta?».</x:t>
  </x:si>
  <x:si>
    <x:t xml:space="preserve">B3 — VALIDAR, REVALIDAR Y PREPARAR EL MANTENIMIENTO TRANSACCIONAL — Mensajes 45–77</x:t>
  </x:si>
  <x:si>
    <x:t xml:space="preserve">visualizarFormularioRegistrarComoRealizado()</x:t>
  </x:si>
  <x:si>
    <x:t xml:space="preserve">Muestra el formulario compartido con tipo y servicio_otro de la alerta bloqueados, descripción editable y campos permitidos. Próxima fecha y próximo kilometraje NO aparecen en contexto DESDE_ALERTA. «Actualizar km» y «+ Agregar repuesto» son subflujos opcionales; este EF no los ejecuta.</x:t>
  </x:si>
  <x:si>
    <x:t xml:space="preserve">ingresarDatosMantenimiento(fecha,descripcion_opcional,id_taller,costo)</x:t>
  </x:si>
  <x:si>
    <x:t xml:space="preserve">El usuario introduce fecha obligatoria del servicio y, opcionalmente, descripción, costo y taller. No introduce recomendaciones para un siguiente mantenimiento. No cambia el tipo ni servicio_otro fijados por la alerta. En el EF no agrega repuestos; si elige hacerlo se desvía a RF24–EA02.</x:t>
  </x:si>
  <x:si>
    <x:t xml:space="preserve">seleccionarGuardarMantenimiento()</x:t>
  </x:si>
  <x:si>
    <x:t xml:space="preserve">El usuario selecciona «Guardar mantenimiento».</x:t>
  </x:si>
  <x:si>
    <x:t xml:space="preserve">enviarRegistroDesdeAlerta(datos_editables,id_alerta,referencia_km_servicio)</x:t>
  </x:si>
  <x:si>
    <x:t xml:space="preserve">Envía fecha, descripción, costo e id_taller opcionales, más id_alerta y referencia del kilometraje del servicio. NO transmite próxima fecha, próximo kilometraje ni solicitud de crear alerta nueva. El servidor recupera desde E_Alerta el tipo y servicio_otro autorizados y verifica el kilometraje; no altera lecturas de RF14. Si hay repuestos temporales, se validan mediante RF24–EA02 y no se guardan todavía.</x:t>
  </x:si>
  <x:si>
    <x:t xml:space="preserve">C_ValidacionMantenimiento</x:t>
  </x:si>
  <x:si>
    <x:t xml:space="preserve">validarDatosRegistroDesdeAlerta(datos_mantenimiento,contexto_alerta,referencia_km_servicio)</x:t>
  </x:si>
  <x:si>
    <x:t xml:space="preserve">Reutiliza de RF17 SOLO las validaciones aplicables a esta atención: fecha obligatoria, costo válido si existe, vehículo ACTIVO, tipo vigente, servicio_otro autorizado si OTRO y kilometraje real correspondiente a la fecha del servicio. La descripción es opcional/editable. NO valida próxima fecha, próximo kilometraje ni conversión en nueva alerta, porque esos campos no existen en RF24. Los repuestos optativos se validan por RF24–EA02.</x:t>
  </x:si>
  <x:si>
    <x:t xml:space="preserve">C_ControlTipoMantenimiento</x:t>
  </x:si>
  <x:si>
    <x:t xml:space="preserve">revalidarTipoActivoPermitidoParaRegistro(id_tipo_mantenimiento)</x:t>
  </x:si>
  <x:si>
    <x:t xml:space="preserve">retornarTipoActivoPermitido(datos_tipo,activo=true)</x:t>
  </x:si>
  <x:si>
    <x:t xml:space="preserve">El controlador de tipos devuelve el resultado positivo obtenido del catálogo E_TipoMantenimiento para el id_tipo_mantenimiento de la alerta. En este EF activo=true; si no, se bloquea el alta y corresponde a un EA. Un tipo histórico inactivo sigue visible en consultas RF25–RF27, pero no habilita nuevas realizaciones. Se devuelve el resultado del catálogo persistido, no el valor previamente mostrado en pantalla.</x:t>
  </x:si>
  <x:si>
    <x:t xml:space="preserve">retornarValidacionSatisfactoria(valido=true,datos_validados)</x:t>
  </x:si>
  <x:si>
    <x:t xml:space="preserve">Devuelve datos validados conforme RF17. «Descripción» puede estar vacía o contener texto libre, pero servicio_otro para OTRO debe corresponder al nombre de la alerta, en solo lectura. La verificación autoritativa y bajo bloqueo se repite en los pasos 62–69 antes de persistir.</x:t>
  </x:si>
  <x:si>
    <x:t xml:space="preserve">Justo antes de persistir, se revalida que el vehículo continúe perteneciendo al usuario y esté ACTIVO.</x:t>
  </x:si>
  <x:si>
    <x:t xml:space="preserve">La entidad devuelve el vehículo válido.</x:t>
  </x:si>
  <x:si>
    <x:t xml:space="preserve">Mantenimiento confirma que el vehículo continúa habilitado.</x:t>
  </x:si>
  <x:si>
    <x:t xml:space="preserve">validarTallerSeleccionadoSiCorresponde(id_usuario,id_taller)</x:t>
  </x:si>
  <x:si>
    <x:t xml:space="preserve">Si se seleccionó un taller, solicita revalidarlo; con Sin taller el flujo continúa sin asociación.</x:t>
  </x:si>
  <x:si>
    <x:t xml:space="preserve">consultarTallerActivoUsuarioSiCorresponde(id_usuario,id_taller)</x:t>
  </x:si>
  <x:si>
    <x:t xml:space="preserve">Solo cuando existe id_taller, consulta que pertenezca al usuario y continúe activo.</x:t>
  </x:si>
  <x:si>
    <x:t xml:space="preserve">retornarTallerValidadoSiCorresponde(datos_taller)</x:t>
  </x:si>
  <x:si>
    <x:t xml:space="preserve">La entidad devuelve el taller válido cuando fue seleccionado; si no se seleccionó, no se crea asociación.</x:t>
  </x:si>
  <x:si>
    <x:t xml:space="preserve">retornarValidacionTaller(resultado_taller)</x:t>
  </x:si>
  <x:si>
    <x:t xml:space="preserve">Mantenimiento recibe la validación del taller o la confirmación de continuar con Sin taller.</x:t>
  </x:si>
  <x:si>
    <x:t xml:space="preserve">iniciarAtencionAlertaTransaccional(id_usuario,id_alerta,id_vehiculo)</x:t>
  </x:si>
  <x:si>
    <x:t xml:space="preserve">Inicia transacción ATÓMICA de ATENCIÓN, separada del COMMIT previo de evaluación RF23: insertar mantenimiento REALIZADO, insertar repuestos manuales y asociaciones SOLO si RF24–EA02 proporcionó lista final, actualizar alerta ORIGINAL a REALIZADA, guardar historial y atender notificación interna vinculada. NO crea otra alerta ni modifica kilometraje RF14. Todas estas operaciones deben confirmarse juntas o revertirse juntas.</x:t>
  </x:si>
  <x:si>
    <x:t xml:space="preserve">consultarAlertaActualParaGuardarConBloqueo(id_usuario,id_alerta)</x:t>
  </x:si>
  <x:si>
    <x:t xml:space="preserve">Consulta E_Alerta BAJO BLOQUEO y revalida titularidad, categoria=MANTENIMIENTO, id_vehiculo, id_tipo_mantenimiento, servicio_otro si tipo=OTRO, estado y criterio. No confía en datos del formulario; si alerta cambió (incluido servicio), rechaza este EF y revierte la operación. No exige columna de versión nueva.</x:t>
  </x:si>
  <x:si>
    <x:t xml:space="preserve">retornarEstadoActualAlerta(datos_alerta_vigente,estado_verificado,servicio_otro_verificado_o_NULL)</x:t>
  </x:si>
  <x:si>
    <x:t xml:space="preserve">Devuelve desde E_Alerta el estado y el tipo/servicio_autoritativos bajo bloqueo; para OTRO retorna servicio_otro_verificado, distinto de descripcion. Solo continúa si categoría MANTENIMIENTO y coincidencia con la alerta que se abrió.</x:t>
  </x:si>
  <x:si>
    <x:t xml:space="preserve">solicitarKilometrajeVigenteSiCorresponde(id_vehiculo,criterio)</x:t>
  </x:si>
  <x:si>
    <x:t xml:space="preserve">Solo si la alerta usa kilometraje, consulta la lectura actual válida para volver a evaluar el ESTADO de la alerta según RF23. Esto NO equivale a capturar el kilometraje histórico del servicio ni modificarlo.</x:t>
  </x:si>
  <x:si>
    <x:t xml:space="preserve">Si corresponde, obtiene la última lectura VALIDA efectiva para la regla del 10 % del RF23.</x:t>
  </x:si>
  <x:si>
    <x:t xml:space="preserve">retornarKilometrajeVigente(kilometraje_vigente)</x:t>
  </x:si>
  <x:si>
    <x:t xml:space="preserve">La entidad devuelve la lectura actual válida cuando se evalúa POR_KILOMETRAJE o AMBOS.</x:t>
  </x:si>
  <x:si>
    <x:t xml:space="preserve">El controlador entrega la lectura actual. Si difiere del dato mostrado al usuario, se detiene este escenario exitoso y se deriva a actualización del formulario; no guarda con datos obsoletos.</x:t>
  </x:si>
  <x:si>
    <x:t xml:space="preserve">reevaluarAtendibilidadAlGuardar(datos_alerta_vigente,fecha_actual,kilometraje_vigente)</x:t>
  </x:si>
  <x:si>
    <x:t xml:space="preserve">Reevalúa con RF23 solo categoria=MANTENIMIENTO y estado PRÓXIMA/PENDIENTE; revalida vehículo activo, tipo y servicio_otro inmutables desde la alerta, además de objetivos/km. Una VENCIDA sigue fuera de este EF. Nunca marca LICENCIA o SOAT como mantenimiento REALIZADO.</x:t>
  </x:si>
  <x:si>
    <x:t xml:space="preserve">retornarAlertaAtendibleParaGuardar(estado_verificado,kilometraje_vigente,servicio_otro_verificado_o_NULL)</x:t>
  </x:si>
  <x:si>
    <x:t xml:space="preserve">Autoriza al controlador de mantenimiento únicamente la alerta MANTENIMIENTO aún PRÓXIMA/PENDIENTE, con estado bloqueado. Entrega servicio_otro obtenido del registro verificado (si OTRO), para persistirlo SIN nueva entrada ni modificación del conductor.</x:t>
  </x:si>
  <x:si>
    <x:t xml:space="preserve">solicitarContextoKmParaFechaServicio(id_vehiculo,fecha_mantenimiento)</x:t>
  </x:si>
  <x:si>
    <x:t xml:space="preserve">Consulta el contexto de lecturas del vehículo correspondiente a la FECHA DEL SERVICIO. NO CREA ni altera lecturas de RF14. La consulta permite comprobar lectura vigente/histórica antes de fijar el snapshot obligatorio.</x:t>
  </x:si>
  <x:si>
    <x:t xml:space="preserve">consultarLecturasValidasYContextoHistorico(id_vehiculo,fecha_mantenimiento)</x:t>
  </x:si>
  <x:si>
    <x:t xml:space="preserve">Obtiene la lectura válida pertinente, su fecha y lecturas vecinas cuando corresponde. En el EF, la referencia presentada coincide con el servicio actual. Si una fecha histórica carece de km comprobable, ese caso sale del EF.</x:t>
  </x:si>
  <x:si>
    <x:t xml:space="preserve">retornarContextoLecturasServicio(lecturas_pertinentes,lectura_vigente)</x:t>
  </x:si>
  <x:si>
    <x:t xml:space="preserve">Devuelve lecturas y fechas existentes, sin insertar registros.</x:t>
  </x:si>
  <x:si>
    <x:t xml:space="preserve">retornarContextoKmServicio(lecturas_pertinentes,lectura_vigente)</x:t>
  </x:si>
  <x:si>
    <x:t xml:space="preserve">El controlador entrega a Mantenimiento la evidencia de kilometraje para validar la fecha de servicio.</x:t>
  </x:si>
  <x:si>
    <x:t xml:space="preserve">verificarYFijarKilometrajeServicioSnapshot(fecha_mantenimiento,referencia_km,lecturas_pertinentes)</x:t>
  </x:si>
  <x:si>
    <x:t xml:space="preserve">Fija kilometraje_servicio obligatorio coherente con fecha y lectura de servicio; no modifica RF14. Al preparar datos de persistencia combina DESCRIPCIÓN editable del formulario con el TIPO y servicio_otro verificados de la alerta, separados entre sí.</x:t>
  </x:si>
  <x:si>
    <x:t xml:space="preserve">guardarMantenimiento(datos_mantenimiento,id_kilometraje_o_nulo,kilometraje_servicio,origen_km,id_taller,REALIZADO)</x:t>
  </x:si>
  <x:si>
    <x:t xml:space="preserve">Guarda en E_Mantenimiento un servicio REALIZADO dentro de la transacción de atención, usando tipo y servicio_otro de la alerta verificada y descripción editable por separado, kilometraje_servicio obligatorio, taller y costo si existen. NO persiste recomendación futura ni crea otra alerta. Cuando existen repuestos temporales RF24–EA02, sus entidades y asociaciones deben guardarse DESPUÉS de obtener id_mantenimiento (mensaje 76) y ANTES de retornar éxito a Alerta (mensaje 77), dentro de la MISMA transacción. Sin repuestos se omite esa rama.</x:t>
  </x:si>
  <x:si>
    <x:t xml:space="preserve">retornarMantenimientoRegistrado(id_mantenimiento,datos_mantenimiento)</x:t>
  </x:si>
  <x:si>
    <x:t xml:space="preserve">Retorna id_mantenimiento PROVISIONAL. Si hay lista temporal de repuestos de RF24–EA02, ejecutar ahora el subflujo C_ControlMantenimiento → E_Repuesto y E_MantenimientoRepuesto (o control dueño equivalente), validando nombre, marca, precio y cantidad y guardando CADA asociación id_mantenimiento, id_repuesto, cantidad y precio_unitario. Si falla una inserción/asociación: ROLLBACK completo, no retornar éxito a C_ControlAlerta; en EF no hay repuestos.</x:t>
  </x:si>
  <x:si>
    <x:t xml:space="preserve">Retorna a C_ControlAlerta SOLO si el mantenimiento y, cuando correspondan, todos los repuestos/asociaciones RF24–EA02 quedaron escritos PROVISIONALMENTE en la transacción abierta. NO ejecutar COMMIT aquí. Si falla una asociación, se revierte la atención completa; no marcar alerta REALIZADA parcialmente.</x:t>
  </x:si>
  <x:si>
    <x:t xml:space="preserve">B4 — ACTUALIZAR ALERTA, HISTORIAL Y CONFIRMACIÓN ATÓMICA — Mensajes 78–86</x:t>
  </x:si>
  <x:si>
    <x:t xml:space="preserve">marcarAlertaRealizadaSiAtendible(id_alerta,id_mantenimiento,estado_verificado)</x:t>
  </x:si>
  <x:si>
    <x:t xml:space="preserve">Dentro de la misma transacción marca REALIZADA únicamente la alerta original de categoria=MANTENIMIENTO todavía PRÓXIMA o PENDIENTE, vinculándola con id_mantenimiento. Compara el estado previo bloqueado; si no coincide o ya fue atendida, ejecuta ROLLBACK sin duplicados.</x:t>
  </x:si>
  <x:si>
    <x:t xml:space="preserve">retornarAlertaRealizada(detalle_realizado,estado_anterior)</x:t>
  </x:si>
  <x:si>
    <x:t xml:space="preserve">La entidad confirma que la alerta pasó correctamente de PRÓXIMA/PENDIENTE a REALIZADA; si no pudo actualizarla, no devuelve un éxito y todo el registro se revierte.</x:t>
  </x:si>
  <x:si>
    <x:t xml:space="preserve">registrarTransicionEstado(id_alerta,estado_anterior,REALIZADA,ATENCION_MANTENIMIENTO)</x:t>
  </x:si>
  <x:si>
    <x:t xml:space="preserve">Dentro de la MISMA transacción registra PRÓXIMA→REALIZADA o PENDIENTE→REALIZADA. Una VENCIDA no puede ingresar; si falla la transición histórica se revierte todo el registro del servicio y atención de alerta.</x:t>
  </x:si>
  <x:si>
    <x:t xml:space="preserve">retornarTransicionRegistrada(datos_historial)</x:t>
  </x:si>
  <x:si>
    <x:t xml:space="preserve">La entidad confirma el registro de la transición a REALIZADA.</x:t>
  </x:si>
  <x:si>
    <x:t xml:space="preserve">atenderNotificacionAlerta(id_usuario,id_alerta)</x:t>
  </x:si>
  <x:si>
    <x:t xml:space="preserve">Solicita actualizar el estado persistente de la notificación vinculada dentro de la misma operación; solo si existe y está activa. No se crea una notificación nueva.</x:t>
  </x:si>
  <x:si>
    <x:t xml:space="preserve">actualizarEstadoGestionSiActiva(id_alerta,ATENDIDA)</x:t>
  </x:si>
  <x:si>
    <x:t xml:space="preserve">Actualiza ATENDIDA la notificación activa vinculada dentro de la MISMA transacción. Si falla la sincronización obligatoria se ejecuta ROLLBACK completo. Cualquier aviso externo se despacha después del COMMIT.</x:t>
  </x:si>
  <x:si>
    <x:t xml:space="preserve">retornarNotificacionActualizada(datos_notificacion)</x:t>
  </x:si>
  <x:si>
    <x:t xml:space="preserve">La entidad devuelve la notificación actualizada cuando correspondía.</x:t>
  </x:si>
  <x:si>
    <x:t xml:space="preserve">retornarActualizacionNotificacion(datos_notificacion)</x:t>
  </x:si>
  <x:si>
    <x:t xml:space="preserve">El controlador de notificaciones entrega a Alertas el resultado de la actualización.</x:t>
  </x:si>
  <x:si>
    <x:t xml:space="preserve">confirmarAtencionAlertaYRegistroAtomicos(id_alerta,id_mantenimiento)</x:t>
  </x:si>
  <x:si>
    <x:t xml:space="preserve">Confirma un único COMMIT de ATENCIÓN 61–86 tras comprobar: mantenimiento REALIZADO, kilometraje_servicio válido, repuestos y asociaciones completos SI se utilizaron RF24–EA02, alerta ORIGINAL REALIZADA, historial de transición y notificación interna ATENDIDA si existe. Nunca crear próxima alerta, ni guardar próxima fecha/km. Un fallo previo revierte la transacción conjunta; ante COMMIT incierto verificar resultado e idempotencia antes de reintentar.</x:t>
  </x:si>
  <x:si>
    <x:t xml:space="preserve">B5 — MOSTRAR DETALLE DE LA ALERTA REALIZADA — Mensajes 87–88</x:t>
  </x:si>
  <x:si>
    <x:t xml:space="preserve">mostrarDetalleAlertaRealizada(detalle_realizado,datos_mantenimiento)</x:t>
  </x:si>
  <x:si>
    <x:t xml:space="preserve">SOLO tras el COMMIT se muestra la alerta ORIGINAL en estado REALIZADA y su mantenimiento asociado; el detalle puede incluir repuestos guardados cuando RF24–EA02 intervino. No mostrar próxima fecha, próximo km ni botón de crear otra alerta.</x:t>
  </x:si>
  <x:si>
    <x:t xml:space="preserve">visualizarDetalleAlertaRealizada()</x:t>
  </x:si>
  <x:si>
    <x:t xml:space="preserve">El usuario visualiza nuevamente el detalle de la alerta ahora en estado REALIZADA, en modo de solo lectura. El evento exitoso finaliza en esta pantalla.</x:t>
  </x:si>
  <x:si>
    <x:t xml:space="preserve">MYCAR · RF25 | ESCENARIO EXITOSO EF1</x:t>
  </x:si>
  <x:si>
    <x:t xml:space="preserve">40 mensajes · 7 bloques · Actor → Interfaz → Control → Entidad · Versión corregida y autoauditada</x:t>
  </x:si>
  <x:si>
    <x:t xml:space="preserve">B1 — INGRESO, PRINCIPAL AUTOMÁTICO Y SELECTOR DEL VEHÍCULO — Mensajes 1–10</x:t>
  </x:si>
  <x:si>
    <x:t xml:space="preserve">solicitarVistaHistorialVehiculo()</x:t>
  </x:si>
  <x:si>
    <x:t xml:space="preserve">La interfaz solicita cargar el Historial del vehículo.</x:t>
  </x:si>
  <x:si>
    <x:t xml:space="preserve">mostrarVistaHistorialVehiculo()</x:t>
  </x:si>
  <x:si>
    <x:t xml:space="preserve">El controlador de navegación solicita mostrar la vista Historial.</x:t>
  </x:si>
  <x:si>
    <x:t xml:space="preserve">solicitarVehiculosUsuarioYPrincipal(id_usuario)</x:t>
  </x:si>
  <x:si>
    <x:t xml:space="preserve">La interfaz solicita todos los vehículos propios e identifica el principal para dejarlo seleccionado por defecto.</x:t>
  </x:si>
  <x:si>
    <x:t xml:space="preserve">consultarVehiculosUsuarioYPrincipal(id_usuario)</x:t>
  </x:si>
  <x:si>
    <x:t xml:space="preserve">Consulta los vehículos propios ACTIVOS e INACTIVOS, con el principal si existe; el historial histórico de un vehículo inactivo sigue siendo consultable.</x:t>
  </x:si>
  <x:si>
    <x:t xml:space="preserve">retornarVehiculosYPrincipal(lista_vehiculos,datos_vehiculo_principal)</x:t>
  </x:si>
  <x:si>
    <x:t xml:space="preserve">La entidad devuelve los vehículos propios y el principal.</x:t>
  </x:si>
  <x:si>
    <x:t xml:space="preserve">Devuelve la lista y el principal; el selector muestra automáticamente al principal, sin requerir que el usuario lo confirme.</x:t>
  </x:si>
  <x:si>
    <x:t xml:space="preserve">preseleccionarVehiculoPrincipal(datos_vehiculo_principal)</x:t>
  </x:si>
  <x:si>
    <x:t xml:space="preserve">La interfaz determina automáticamente el vehículo principal al iniciar el módulo; un cambio voluntario de vehículo es otro recorrido, no es un paso obligatorio del EF.</x:t>
  </x:si>
  <x:si>
    <x:t xml:space="preserve">mostrarSelectorConPrincipalPreseleccionado()</x:t>
  </x:si>
  <x:si>
    <x:t xml:space="preserve">El usuario VE el vehículo principal ya elegido en el encabezado. No tiene que pulsar ni confirmar nada para cargar el historial.</x:t>
  </x:si>
  <x:si>
    <x:t xml:space="preserve">solicitarHistorialVehiculoAutomatico(id_usuario,id_vehiculo_principal)</x:t>
  </x:si>
  <x:si>
    <x:t xml:space="preserve">Con la pestaña Mantenimientos seleccionada por defecto, la interfaz inicia la carga del historial sin un paso de confirmación del conductor. El usuario puede cambiar luego de vehículo en un flujo opcional.</x:t>
  </x:si>
  <x:si>
    <x:t xml:space="preserve">B2 — REVALIDACIÓN DEL VEHÍCULO SELECCIONADO — Mensajes 11–14</x:t>
  </x:si>
  <x:si>
    <x:t xml:space="preserve">validarVehiculoHistorialUsuario(id_usuario,id_vehiculo)</x:t>
  </x:si>
  <x:si>
    <x:t xml:space="preserve">Antes de consultar el historial, Historial solicita comprobar nuevamente que el vehículo seleccionado pertenezca al usuario. Puede estar ACTIVO o INACTIVO porque el historial es de consulta.</x:t>
  </x:si>
  <x:si>
    <x:t xml:space="preserve">El controlador consulta propiedad y estado actual del vehículo seleccionado.</x:t>
  </x:si>
  <x:si>
    <x:t xml:space="preserve">La entidad devuelve el vehículo perteneciente al usuario y su estado vigente.</x:t>
  </x:si>
  <x:si>
    <x:t xml:space="preserve">retornarVehiculoHistorial(datos_vehiculo)</x:t>
  </x:si>
  <x:si>
    <x:t xml:space="preserve">Confirma propiedad del vehículo elegido; ACTIVO o INACTIVO es válido para consulta. Los inactivos conservan historial, sin habilitar operaciones de edición.</x:t>
  </x:si>
  <x:si>
    <x:t xml:space="preserve">B3 — SECCIÓN MANTENIMIENTOS: REGISTROS HISTÓRICOS — Mensajes 15–20</x:t>
  </x:si>
  <x:si>
    <x:t xml:space="preserve">buscarMantenimientosPorVehiculo(id_usuario,id_vehiculo)</x:t>
  </x:si>
  <x:si>
    <x:t xml:space="preserve">Consulta todos los mantenimientos REALIZADOS y ANULADOS del vehículo, sin sustituir su kilometraje de servicio por la última lectura de RF14.</x:t>
  </x:si>
  <x:si>
    <x:t xml:space="preserve">retornarListaMantenimientosHistoricos(lista_mantenimientos)</x:t>
  </x:si>
  <x:si>
    <x:t xml:space="preserve">Devuelve fecha, tipo, nombre específico si OTRO, estado REALIZADO/ANULADO, kilometraje_servicio histórico obligatorio (snapshot RF17), costo/descripción si hay, id_taller opcional y próximas recomendaciones si existen. Conserva anulados de RF21.</x:t>
  </x:si>
  <x:si>
    <x:t xml:space="preserve">solicitarDatosTalleresSiExisten(lista_id_taller_no_nulos)</x:t>
  </x:si>
  <x:si>
    <x:t xml:space="preserve">Operación CONDICIONAL (opt): solo solicita talleres cuando algún mantenimiento tenga id_taller. Un mantenimiento «Sin taller» permanece válido sin consulta.</x:t>
  </x:si>
  <x:si>
    <x:t xml:space="preserve">CONDICIONAL (opt): recupera solo talleres referenciados por los mantenimientos, incluidos los necesarios para mostrar registros históricos; no asigna automáticamente el taller favorito.</x:t>
  </x:si>
  <x:si>
    <x:t xml:space="preserve">CONDICIONAL (opt): retorna los datos de los talleres históricamente referenciados cuando existen.</x:t>
  </x:si>
  <x:si>
    <x:t xml:space="preserve">Fragmento opt [lista_id_taller_no_nulos no vacía]: entrega los datos históricamente referenciados. Si no existe ningún id_taller, se omiten 17–20 y C_ControlHistorial inicializa lista_talleres=[]; «Sin taller» sigue siendo válido.</x:t>
  </x:si>
  <x:si>
    <x:t xml:space="preserve">B4 — SECCIÓN KILOMETRAJE: LECTURAS Y CORRECCIONES — Mensajes 21–27</x:t>
  </x:si>
  <x:si>
    <x:t xml:space="preserve">solicitarHistorialKilometraje(id_vehiculo)</x:t>
  </x:si>
  <x:si>
    <x:t xml:space="preserve">Consulta lecturas y correcciones del vehículo. La sección «Kilometraje» es de consulta: no ejecuta RF14 ni edita sus registros.</x:t>
  </x:si>
  <x:si>
    <x:t xml:space="preserve">consultarHistorialKilometraje(id_vehiculo)</x:t>
  </x:si>
  <x:si>
    <x:t xml:space="preserve">El controlador consulta las lecturas registradas.</x:t>
  </x:si>
  <x:si>
    <x:t xml:space="preserve">retornarHistorialKilometraje(lista_kilometrajes,kilometraje_actual)</x:t>
  </x:si>
  <x:si>
    <x:t xml:space="preserve">Devuelve lecturas de RF14 y el kilometraje efectivo actual; son DATOS DIFERENTES del kilometraje_servicio histórico mostrado en Mantenimientos.</x:t>
  </x:si>
  <x:si>
    <x:t xml:space="preserve">consultarCorreccionesPorLecturas(lista_kilometrajes)</x:t>
  </x:si>
  <x:si>
    <x:t xml:space="preserve">El controlador consulta las correcciones asociadas a las lecturas.</x:t>
  </x:si>
  <x:si>
    <x:t xml:space="preserve">retornarCorreccionesHistorial(lista_correcciones)</x:t>
  </x:si>
  <x:si>
    <x:t xml:space="preserve">La entidad devuelve la trazabilidad de las correcciones.</x:t>
  </x:si>
  <x:si>
    <x:t xml:space="preserve">integrarHistorialKilometraje(lista_kilometrajes,lista_correcciones)</x:t>
  </x:si>
  <x:si>
    <x:t xml:space="preserve">El controlador integra las lecturas y correcciones sin eliminar registros originales.</x:t>
  </x:si>
  <x:si>
    <x:t xml:space="preserve">retornarHistorialKilometraje(historial_km_integrado,kilometraje_actual)</x:t>
  </x:si>
  <x:si>
    <x:t xml:space="preserve">El controlador de kilometraje retorna la sección integrada.</x:t>
  </x:si>
  <x:si>
    <x:t xml:space="preserve">B5 — PREPARACIÓN DE LAS SECCIONES DEL HISTORIAL — Mensajes 28–29</x:t>
  </x:si>
  <x:si>
    <x:t xml:space="preserve">prepararSeccionMantenimientosHistoricos(lista_mantenimientos,lista_talleres)</x:t>
  </x:si>
  <x:si>
    <x:t xml:space="preserve">Antes de preparar la sección, si el fragmento opt 17–20 se omitió, inicializa lista_talleres=[]. Ordena mantenimientos REALIZADO/ANULADO, fecha, kilometraje_servicio histórico, «Otro» específico, taller o «Sin taller», costo y recomendaciones existentes. No asigna lectura RF14 actual a servicios antiguos ni oculta anulados.</x:t>
  </x:si>
  <x:si>
    <x:t xml:space="preserve">prepararSeccionKilometraje(historial_km_integrado)</x:t>
  </x:si>
  <x:si>
    <x:t xml:space="preserve">El controlador ordena la sección de kilometraje preservando las lecturas y sus correcciones.</x:t>
  </x:si>
  <x:si>
    <x:t xml:space="preserve">B6 — PRESENTACIÓN INICIAL DEL HISTORIAL — Mensajes 30–31</x:t>
  </x:si>
  <x:si>
    <x:t xml:space="preserve">mostrarHistorialVehiculo(id_vehiculo,seccion_mantenimientos,seccion_kilometraje,MANTENIMIENTOS)</x:t>
  </x:si>
  <x:si>
    <x:t xml:space="preserve">Muestra tres pestañas: Mantenimientos (activa inicialmente), Kilometraje y Talleres; el principal se cargó automáticamente. Las acciones de otras pestañas se ejecutan solo si el conductor las selecciona.</x:t>
  </x:si>
  <x:si>
    <x:t xml:space="preserve">visualizarSeccionMantenimientos()</x:t>
  </x:si>
  <x:si>
    <x:t xml:space="preserve">El usuario visualiza inicialmente la sección Mantenimientos.</x:t>
  </x:si>
  <x:si>
    <x:t xml:space="preserve">B7 — NAVEGACIÓN OPCIONAL POR KILOMETRAJE Y TALLERES — Mensajes 32–40</x:t>
  </x:si>
  <x:si>
    <x:t xml:space="preserve">Interacción OPCIONAL de navegación (opt): el usuario abre la pestaña Kilometraje. No es requisito previo para consultar Mantenimientos.</x:t>
  </x:si>
  <x:si>
    <x:t xml:space="preserve">visualizarSeccionKilometraje()</x:t>
  </x:si>
  <x:si>
    <x:t xml:space="preserve">La interfaz muestra el historial de kilometraje integrado del mismo vehículo seleccionado.</x:t>
  </x:si>
  <x:si>
    <x:t xml:space="preserve">seleccionarSeccionTalleres()</x:t>
  </x:si>
  <x:si>
    <x:t xml:space="preserve">Interacción OPCIONAL de navegación (opt): el usuario abre Talleres. El vehículo sigue como contexto, pero los talleres corresponden a la CUENTA, no al vehículo.</x:t>
  </x:si>
  <x:si>
    <x:t xml:space="preserve">solicitarTalleresActivosUsuario(id_usuario)</x:t>
  </x:si>
  <x:si>
    <x:t xml:space="preserve">La interfaz solicita al controlador responsable del catálogo de talleres los talleres activos del usuario autenticado.</x:t>
  </x:si>
  <x:si>
    <x:t xml:space="preserve">El controlador consulta los talleres activos pertenecientes al usuario. La consulta no depende del vehículo seleccionado.</x:t>
  </x:si>
  <x:si>
    <x:t xml:space="preserve">Devuelve los talleres ACTIVOS del usuario e identifica el marcador Favorito de RF37 cuando existe; no se asigna por vehículo.</x:t>
  </x:si>
  <x:si>
    <x:t xml:space="preserve">Ordena el taller Favorito primero conforme a RF37; si no existe favorito, conserva el orden normal. No filtra talleres por el vehículo seleccionado.</x:t>
  </x:si>
  <x:si>
    <x:t xml:space="preserve">mostrarSeccionTalleres(lista_talleres,AGREGAR_TALLER)</x:t>
  </x:si>
  <x:si>
    <x:t xml:space="preserve">La vista muestra talleres propios activos con etiqueta «Favorito» y la opción «+ Agregar taller»; ejecutarla corresponde a otro RF. Esta navegación es opcional.</x:t>
  </x:si>
  <x:si>
    <x:t xml:space="preserve">visualizarSeccionTalleres()</x:t>
  </x:si>
  <x:si>
    <x:t xml:space="preserve">El usuario visualiza la pestaña Talleres. El EF termina con la consulta, sin modificar vehículos, talleres ni kilometraje.</x:t>
  </x:si>
  <x:si>
    <x:t xml:space="preserve">DIAGRAMA DE SECUENCIAS — RF-026 — Filtrar historial según criterios | EVENTO EXITOSO · RAMAS A/B</x:t>
  </x:si>
  <x:si>
    <x:t xml:space="preserve">39 mensajes catalogados · EF1-A: 25 pasos / EF1-B: 21 pasos · Guardas alt (solo UNA rama por ejecución) · Actor → Interfaz → Control → Entidad</x:t>
  </x:si>
  <x:si>
    <x:t xml:space="preserve">BLOQUE 1 — APERTURA Y VALIDACIÓN DEL VEHÍCULO PROPIO — Pasos 1–7</x:t>
  </x:si>
  <x:si>
    <x:t xml:space="preserve">abrirFiltrosHistorial(seccion_actual)</x:t>
  </x:si>
  <x:si>
    <x:t xml:space="preserve">El usuario abre el panel de filtros desde Mantenimientos o Kilometraje del historial del vehículo seleccionado en RF25. Talleres no forma parte de RF26.</x:t>
  </x:si>
  <x:si>
    <x:t xml:space="preserve">solicitarOpcionesFiltro(id_usuario,id_vehiculo,seccion_actual)</x:t>
  </x:si>
  <x:si>
    <x:t xml:space="preserve">El id_usuario se obtiene de la sesión autenticada; se mantiene el vehículo seleccionado (ACTIVO o INACTIVO) y la sección indicada por la interfaz.</x:t>
  </x:si>
  <x:si>
    <x:t xml:space="preserve">Antes de cargar opciones o registros valida que el vehículo pertenezca al usuario autenticado. Se permite ACTIVO o INACTIVO, como en RF25.</x:t>
  </x:si>
  <x:si>
    <x:t xml:space="preserve">Consulta propiedad y estado del vehículo, sin cambiar el vehículo principal ni efectuar ediciones.</x:t>
  </x:si>
  <x:si>
    <x:t xml:space="preserve">Retorna solo un vehículo propio válido; inexistente o ajeno se gestiona en escenario alternativo de acceso denegado.</x:t>
  </x:si>
  <x:si>
    <x:t xml:space="preserve">Confirma autorización antes del filtro, sin acceso directo de Historial a E_Vehiculo.</x:t>
  </x:si>
  <x:si>
    <x:t xml:space="preserve">identificarSeccionActual(seccion_actual)</x:t>
  </x:si>
  <x:si>
    <x:t xml:space="preserve">Controla la guarda alt: [seccion_actual=MANTENIMIENTOS] ejecutar solo rama A (B2–B3); [seccion_actual=KILOMETRAJE] ejecutar solo rama B (B4–B5). No ejecuta ambas ni filtra Talleres.</x:t>
  </x:si>
  <x:si>
    <x:t xml:space="preserve">BLOQUE 2 — RAMA A [sección=MANTENIMIENTOS]: TIPOS HISTÓRICOS, FILTROS Y VALIDACIÓN — Pasos 8–16</x:t>
  </x:si>
  <x:si>
    <x:t xml:space="preserve">solicitarTiposParaFiltroHistorico(id_usuario,id_vehiculo)</x:t>
  </x:si>
  <x:si>
    <x:t xml:space="preserve">Consulta opciones para filtrar mantenimientos: tipos activos aplicables e históricos vinculados a este vehículo, aunque un tipo haya sido desactivado.</x:t>
  </x:si>
  <x:si>
    <x:t xml:space="preserve">E_TipoMantenimiento</x:t>
  </x:si>
  <x:si>
    <x:t xml:space="preserve">consultarTiposActivosEHistoricosPorVehiculo(id_usuario,id_vehiculo)</x:t>
  </x:si>
  <x:si>
    <x:t xml:space="preserve">Consulta de lectura del catálogo con referencias de E_Mantenimiento del vehículo validado; incluye tipos utilizados históricamente aun si están INACTIVOS, sin habilitarlos para nuevos registros.</x:t>
  </x:si>
  <x:si>
    <x:t xml:space="preserve">retornarTiposDisponiblesHistorial(lista_tipos)</x:t>
  </x:si>
  <x:si>
    <x:t xml:space="preserve">Devuelve tipos únicos para la consulta de historial, incluyendo tipos de mantenimientos históricos desactivados.</x:t>
  </x:si>
  <x:si>
    <x:t xml:space="preserve">Entrega el catálogo para este vehículo, sin confundir disponibilidad histórica para filtrar con disponibilidad para registrar en RF17.</x:t>
  </x:si>
  <x:si>
    <x:t xml:space="preserve">mostrarOpcionesFiltroMantenimiento(lista_tipos,TODOS_LOS_TIPOS,MAS_RECIENTE,MAS_ANTIGUO,LIMPIAR_FILTROS)</x:t>
  </x:si>
  <x:si>
    <x:t xml:space="preserve">Presenta Todos los tipos, tipos disponibles, orden y opción Limpiar filtros. TODOS_LOS_TIPOS es un selector visual (no es un id de E_TipoMantenimiento). Limpiar es ruta opcional aparte.</x:t>
  </x:si>
  <x:si>
    <x:t xml:space="preserve">visualizarOpcionesFiltroMantenimiento()</x:t>
  </x:si>
  <x:si>
    <x:t xml:space="preserve">El usuario ve Todos los tipos, opciones históricas, Más reciente, Más antiguo y Limpiar filtros. Los servicios personalizados de tipo OTRO mantienen su nombre histórico al mostrarse.</x:t>
  </x:si>
  <x:si>
    <x:t xml:space="preserve">aplicarFiltrosMantenimiento(id_tipo_mantenimiento,orden)</x:t>
  </x:si>
  <x:si>
    <x:t xml:space="preserve">El usuario selecciona un tipo existente en el listado (o TODOS_LOS_TIPOS) y un orden. Este EF sigue la acción Aplicar, no Limpiar.</x:t>
  </x:si>
  <x:si>
    <x:t xml:space="preserve">filtrarHistorialMantenimiento(id_usuario,id_vehiculo,id_tipo_mantenimiento,orden)</x:t>
  </x:si>
  <x:si>
    <x:t xml:space="preserve">Solicita solo mantenimientos del vehículo autorizado; filtros no afectan las pestañas Kilometraje ni Talleres.</x:t>
  </x:si>
  <x:si>
    <x:t xml:space="preserve">validarFiltrosMantenimiento(id_tipo_mantenimiento,orden,lista_tipos)</x:t>
  </x:si>
  <x:si>
    <x:t xml:space="preserve">Valida TODOS_LOS_TIPOS o un tipo ofrecido (incluido uno histórico inactivo), y orden MAS_RECIENTE/MAS_ANTIGUO. Una selección inválida no continúa este EF.</x:t>
  </x:si>
  <x:si>
    <x:t xml:space="preserve">BLOQUE 3 — RAMA A: CONSULTA, TALLERES [opt] Y PRESENTACIÓN — Pasos 17–25</x:t>
  </x:si>
  <x:si>
    <x:t xml:space="preserve">buscarMantenimientosPorVehiculoYTipo(id_usuario,id_vehiculo,id_tipo_mantenimiento)</x:t>
  </x:si>
  <x:si>
    <x:t xml:space="preserve">Consulta mantenimientos REALIZADOS y ANULADOS del vehículo propio, respeta el tipo elegido y conserva fecha, estado, `kilometraje_servicio` histórico persistido en RF17 y `servicio_otro` cuando el tipo es OTRO. En la interfaz el campo se llama «Especificar servicio», pero en el modelo se conserva como `servicio_otro`, separado de `descripcion`. Nunca sustituye el kilometraje histórico por el odómetro actual.</x:t>
  </x:si>
  <x:si>
    <x:t xml:space="preserve">retornarMantenimientosFiltrados(lista_mantenimientos)</x:t>
  </x:si>
  <x:si>
    <x:t xml:space="preserve">Retorna el historial filtrado sin borrar anulados, kilometraje del servicio, nombre específico ni relaciones de repuestos; una lista vacía no es error.</x:t>
  </x:si>
  <x:si>
    <x:t xml:space="preserve">Operación [opt]: solo si algún mantenimiento filtrado referencia id_taller; «Sin taller» no obliga a consultar talleres ni pierde el registro.</x:t>
  </x:si>
  <x:si>
    <x:t xml:space="preserve">Operación [opt]: consulta solo talleres históricos referenciados, si hay ids no nulos; no usa la pestaña Talleres de la cuenta como filtro.</x:t>
  </x:si>
  <x:si>
    <x:t xml:space="preserve">Operación [opt]: la entidad entrega los talleres asociados que existan, incluso para mantenimientos anulados.</x:t>
  </x:si>
  <x:si>
    <x:t xml:space="preserve">Operación [opt]: si no hay ids de taller, se omiten los mensajes 19–22; en ese caso lista_talleres=[] para el paso 23.</x:t>
  </x:si>
  <x:si>
    <x:t xml:space="preserve">integrarYOrdenarMantenimientosFiltrados(lista_mantenimientos,lista_talleres,lista_tipos,orden)</x:t>
  </x:si>
  <x:si>
    <x:t xml:space="preserve">Si se omitió el subflujo opcional 19–22, inicializa lista_talleres=[] antes de integrar. Integra taller o «Sin taller», ordena por fecha del mantenimiento y conserva REALIZADO/ANULADO, `kilometraje_servicio` y `servicio_otro` si el tipo es OTRO. El nombre del servicio es informativo; RF26 no modifica mantenimientos ni filtra por texto libre.</x:t>
  </x:si>
  <x:si>
    <x:t xml:space="preserve">mostrarMantenimientosFiltrados(resultados,id_tipo_mantenimiento,orden)</x:t>
  </x:si>
  <x:si>
    <x:t xml:space="preserve">Actualiza exclusivamente Mantenimientos del vehículo seleccionado; con lista vacía muestra «Sin resultados» y permite modificar o limpiar criterios.</x:t>
  </x:si>
  <x:si>
    <x:t xml:space="preserve">visualizarMantenimientosFiltrados()</x:t>
  </x:si>
  <x:si>
    <x:t xml:space="preserve">Visualiza resultados históricos filtrados y ordenados (o «Sin resultados»), con km del servicio, tipo OTRO personalizado y estado. No hay edición.</x:t>
  </x:si>
  <x:si>
    <x:t xml:space="preserve">BLOQUE 4 — RAMA B [sección=KILOMETRAJE]: ORDEN Y VALIDACIÓN — Pasos 26–30</x:t>
  </x:si>
  <x:si>
    <x:t xml:space="preserve">mostrarOpcionesOrdenKilometraje(MAS_RECIENTE,MAS_ANTIGUO,LIMPIAR_FILTROS)</x:t>
  </x:si>
  <x:si>
    <x:t xml:space="preserve">Rama B [seccion_actual=KILOMETRAJE]. Solo orden cronológico y opción Limpiar filtros; no existe filtro de tipos en esta pestaña.</x:t>
  </x:si>
  <x:si>
    <x:t xml:space="preserve">visualizarOpcionesOrdenKilometraje()</x:t>
  </x:si>
  <x:si>
    <x:t xml:space="preserve">El usuario ve Más reciente / Más antiguo y la opción opcional Limpiar filtros. Este EF sigue Aplicar.</x:t>
  </x:si>
  <x:si>
    <x:t xml:space="preserve">aplicarOrdenKilometraje(orden)</x:t>
  </x:si>
  <x:si>
    <x:t xml:space="preserve">El usuario aplica uno de los dos órdenes sobre lecturas y correcciones; no selecciona tipo de mantenimiento.</x:t>
  </x:si>
  <x:si>
    <x:t xml:space="preserve">solicitarOrdenacionHistorialKilometraje(id_usuario,id_vehiculo,orden)</x:t>
  </x:si>
  <x:si>
    <x:t xml:space="preserve">La interfaz solicita al controlador del historial consultar y ordenar lecturas y correcciones del vehículo autorizado, sin crear ni modificar lecturas de RF14. Este método representa la SOLICITUD del usuario; la ordenación real la realiza C_ControlKilometraje en el mensaje 36. No se confunde con `C_ControlHistorial.ordenarHistorialKilometraje(historialClasificado,FECHA_DESC)` de RF16, que ordena una colección ya preparada.</x:t>
  </x:si>
  <x:si>
    <x:t xml:space="preserve">validarOrdenKilometraje(orden)</x:t>
  </x:si>
  <x:si>
    <x:t xml:space="preserve">Valida MAS_RECIENTE o MAS_ANTIGUO. No son válidos criterios de mantenimiento; el vehículo ya fue autorizado en B1.</x:t>
  </x:si>
  <x:si>
    <x:t xml:space="preserve">BLOQUE 5 — RAMA B: LECTURAS, CORRECCIONES Y PRESENTACIÓN — Pasos 31–39</x:t>
  </x:si>
  <x:si>
    <x:t xml:space="preserve">solicitarHistorialKilometrajeOrdenado(id_vehiculo,orden)</x:t>
  </x:si>
  <x:si>
    <x:t xml:space="preserve">Solicita al controlador dueño del kilometraje la lista integrada de lecturas y correcciones; alcance restringido al vehículo propio validado.</x:t>
  </x:si>
  <x:si>
    <x:t xml:space="preserve">Kilometraje consulta las lecturas registradas del vehículo.</x:t>
  </x:si>
  <x:si>
    <x:t xml:space="preserve">Devuelve lecturas registradas y kilometraje efectivo vigente. El kilometraje vigente es DISTINTO de `kilometraje_servicio` histórico de cada mantenimiento.</x:t>
  </x:si>
  <x:si>
    <x:t xml:space="preserve">Consulta correcciones para mantener trazabilidad, sin borrar lecturas originales. Si no hay correcciones, el listado asociado está vacío.</x:t>
  </x:si>
  <x:si>
    <x:t xml:space="preserve">La entidad devuelve las correcciones de las lecturas consultadas.</x:t>
  </x:si>
  <x:si>
    <x:t xml:space="preserve">integrarYOrdenarHistorialKilometraje(lista_kilometrajes,lista_correcciones,orden)</x:t>
  </x:si>
  <x:si>
    <x:t xml:space="preserve">Integra lecturas y correcciones, no elimina valores históricos y ordena por fecha de cada evento; empates se resuelven de forma determinista por identificador.</x:t>
  </x:si>
  <x:si>
    <x:t xml:space="preserve">retornarHistorialKilometrajeOrdenado(historial_km_ordenado)</x:t>
  </x:si>
  <x:si>
    <x:t xml:space="preserve">Kilometraje retorna a Historial la sección integrada y ordenada.</x:t>
  </x:si>
  <x:si>
    <x:t xml:space="preserve">mostrarKilometrajeOrdenado(historial_km_ordenado,orden)</x:t>
  </x:si>
  <x:si>
    <x:t xml:space="preserve">Actualiza únicamente Kilometraje para el vehículo seleccionado; no modifica Mantenimientos ni Talleres.</x:t>
  </x:si>
  <x:si>
    <x:t xml:space="preserve">visualizarKilometrajeOrdenado()</x:t>
  </x:si>
  <x:si>
    <x:t xml:space="preserve">Presenta lecturas y correcciones en orden cronológico solicitado. Con lista vacía muestra «Sin registros»; no modifica odómetro.</x:t>
  </x:si>
  <x:si>
    <x:t xml:space="preserve">DIAGRAMA DE SECUENCIAS — RF-027 — Exportar historial de mantenimientos | EVENTO EXITOSO</x:t>
  </x:si>
  <x:si>
    <x:t xml:space="preserve">56 mensajes catalogados · 6 bloques · B6 opcional [acción=COMPARTIR] · Premium revalidado · PDF de solo lectura</x:t>
  </x:si>
  <x:si>
    <x:t xml:space="preserve">BLOQUE 1 — INICIO, PREMIUM Y PROPIEDAD DEL VEHÍCULO — Pasos 1–10</x:t>
  </x:si>
  <x:si>
    <x:t xml:space="preserve">seleccionarExportarHistorialMantenimientos(id_vehiculo)</x:t>
  </x:si>
  <x:si>
    <x:t xml:space="preserve">Desde la pestaña Mantenimientos de RF25, el usuario pulsa Exportar para el vehículo seleccionado. Solo exporta mantenimientos; no incluye la sección Kilometraje ni la lista de Talleres.</x:t>
  </x:si>
  <x:si>
    <x:t xml:space="preserve">C_ReporteHistorial</x:t>
  </x:si>
  <x:si>
    <x:t xml:space="preserve">solicitarExportacionHistorialMantenimientos(id_usuario,id_vehiculo)</x:t>
  </x:si>
  <x:si>
    <x:t xml:space="preserve">Usa id_usuario de sesión y el vehículo seleccionado, sin cambiar el principal. La configuración solo continúa si el plan Premium está activo.</x:t>
  </x:si>
  <x:si>
    <x:t xml:space="preserve">consultarPermisoExportacion(id_usuario)</x:t>
  </x:si>
  <x:si>
    <x:t xml:space="preserve">La exportación requiere Premium activo. Consulta el permiso inicial antes de presentar el formulario.</x:t>
  </x:si>
  <x:si>
    <x:t xml:space="preserve">consultarSuscripcionActiva(id_usuario)</x:t>
  </x:si>
  <x:si>
    <x:t xml:space="preserve">El controlador consulta la suscripción vigente del usuario.</x:t>
  </x:si>
  <x:si>
    <x:t xml:space="preserve">retornarSuscripcionActiva(datos_suscripcion)</x:t>
  </x:si>
  <x:si>
    <x:t xml:space="preserve">La entidad devuelve el plan y estado de la suscripción.</x:t>
  </x:si>
  <x:si>
    <x:t xml:space="preserve">retornarPermisoExportacion(PREMIUM,permitido)</x:t>
  </x:si>
  <x:si>
    <x:t xml:space="preserve">Retorna permiso Premium activo=permitido; si no está vigente, no se muestra el formulario y se sigue un escenario alternativo.</x:t>
  </x:si>
  <x:si>
    <x:t xml:space="preserve">Antes de consultar tipos históricos valida propiedad del vehículo. Se permite ACTIVO o INACTIVO porque es una exportación de lectura.</x:t>
  </x:si>
  <x:si>
    <x:t xml:space="preserve">Consulta el vehículo propio y su estado. El identificador del usuario proviene de la sesión autenticada.</x:t>
  </x:si>
  <x:si>
    <x:t xml:space="preserve">Devuelve el vehículo perteneciente al usuario; si es ajeno o no existe, se detiene antes de revelar tipos históricos.</x:t>
  </x:si>
  <x:si>
    <x:t xml:space="preserve">retornarVehiculoAutorizado(datos_vehiculo)</x:t>
  </x:si>
  <x:si>
    <x:t xml:space="preserve">Confirma autorización para mostrar criterios históricos, sin modificar la selección del vehículo.</x:t>
  </x:si>
  <x:si>
    <x:t xml:space="preserve">BLOQUE 2 — CONFIGURACIÓN DE REPORTE Y CRITERIOS HISTÓRICOS — Pasos 11–19</x:t>
  </x:si>
  <x:si>
    <x:t xml:space="preserve">solicitarTiposParaExportacionHistorica(id_usuario,id_vehiculo)</x:t>
  </x:si>
  <x:si>
    <x:t xml:space="preserve">Solicita tipos activos aplicables más los tipos realmente referenciados por mantenimientos históricos del vehículo, incluidos tipos desactivados.</x:t>
  </x:si>
  <x:si>
    <x:t xml:space="preserve">Consulta de lectura del catálogo y sus referencias históricas; permite filtrar reportes antiguos sin reactivar tipos para crear mantenimientos.</x:t>
  </x:si>
  <x:si>
    <x:t xml:space="preserve">retornarTiposDisponiblesExportacion(lista_tipos)</x:t>
  </x:si>
  <x:si>
    <x:t xml:space="preserve">Retorna opciones deduplicadas, incluidos tipos de mantenimiento históricos desactivados.</x:t>
  </x:si>
  <x:si>
    <x:t xml:space="preserve">Entrega las opciones de exportación. TODOS_LOS_TIPOS es una opción visual, no un identificador persistido.</x:t>
  </x:si>
  <x:si>
    <x:t xml:space="preserve">I_ExportarHistorial</x:t>
  </x:si>
  <x:si>
    <x:t xml:space="preserve">mostrarConfiguracionExportacion(id_vehiculo,lista_tipos,incluir_anulados=false)</x:t>
  </x:si>
  <x:si>
    <x:t xml:space="preserve">Vehículo mostrado en solo lectura; campos Desde, Hasta (fechas inclusivas), tipo de mantenimiento / Todos los tipos e Incluir anulados (desmarcado por defecto).</x:t>
  </x:si>
  <x:si>
    <x:t xml:space="preserve">visualizarConfiguracionExportacion()</x:t>
  </x:si>
  <x:si>
    <x:t xml:space="preserve">El usuario visualiza la configuración disponible para generar el reporte.</x:t>
  </x:si>
  <x:si>
    <x:t xml:space="preserve">configurarReporte(fecha_desde,fecha_hasta,criterio_tipo_mantenimiento,incluir_anulados)</x:t>
  </x:si>
  <x:si>
    <x:t xml:space="preserve">Selecciona rango Desde–Hasta, tipo o Todos los tipos e incluir anulados. Sin incluir anulados, el reporte contempla solo REALIZADO; al activar incluye también ANULADO.</x:t>
  </x:si>
  <x:si>
    <x:t xml:space="preserve">solicitarGeneracionPDF(id_usuario,id_vehiculo,fecha_desde,fecha_hasta,criterio_tipo_mantenimiento,incluir_anulados)</x:t>
  </x:si>
  <x:si>
    <x:t xml:space="preserve">Al pulsar Generar PDF envía los criterios para el vehículo actual. El permiso Premium se REVALIDA en este momento, no solo al abrir la pantalla.</x:t>
  </x:si>
  <x:si>
    <x:t xml:space="preserve">validarCriteriosReporte(fecha_desde,fecha_hasta,criterio_tipo_mantenimiento,incluir_anulados)</x:t>
  </x:si>
  <x:si>
    <x:t xml:space="preserve">Valida fechas existentes con fecha_desde ≤ fecha_hasta (ambos extremos incluidos), tipo ofrecido o TODOS_LOS_TIPOS y booleano incluir_anulados. Si son inválidos, no se genera PDF.</x:t>
  </x:si>
  <x:si>
    <x:t xml:space="preserve">BLOQUE 3 — REVALIDACIÓN PREMIUM Y CONSULTAS DE DATOS PARA EL PDF — Pasos 20–46</x:t>
  </x:si>
  <x:si>
    <x:t xml:space="preserve">revalidarPermisoExportacionAlGenerar(id_usuario)</x:t>
  </x:si>
  <x:si>
    <x:t xml:space="preserve">Después de pulsar Generar PDF y validar criterios, revalida Premium para evitar usar una autorización caducada desde la apertura del formulario.</x:t>
  </x:si>
  <x:si>
    <x:t xml:space="preserve">Consulta la vigencia de Premium al inicio de la generación; usa estado actualizado, no la respuesta inicial.</x:t>
  </x:si>
  <x:si>
    <x:t xml:space="preserve">retornarSuscripcionVigente(datos_suscripcion)</x:t>
  </x:si>
  <x:si>
    <x:t xml:space="preserve">Entrega estado y plan vigentes; si Premium ha expirado, la generación se detiene sin consultar ni producir PDF (escenario alternativo).</x:t>
  </x:si>
  <x:si>
    <x:t xml:space="preserve">retornarPermisoGeneracionPDF(PREMIUM,permitido)</x:t>
  </x:si>
  <x:si>
    <x:t xml:space="preserve">En el evento exitoso devuelve permitido=true. La consulta de datos solo comienza cuando el permiso actualizado es válido.</x:t>
  </x:si>
  <x:si>
    <x:t xml:space="preserve">solicitarDatosExportacion(id_usuario,id_vehiculo,fecha_desde,fecha_hasta,criterio_tipo_mantenimiento,incluir_anulados)</x:t>
  </x:si>
  <x:si>
    <x:t xml:space="preserve">Con permiso revalidado, solicita datos consolidados para el PDF; las consultas son de solo lectura. No afirma una instantánea transaccional entre entidades.</x:t>
  </x:si>
  <x:si>
    <x:t xml:space="preserve">Valida propiedad del vehículo para cada generación, como RF25. ACTIVO e INACTIVO pueden exportar información histórica; no habilita edición.</x:t>
  </x:si>
  <x:si>
    <x:t xml:space="preserve">Confirma que el vehículo pertenece al usuario autenticado y recupera metadatos de identificación.</x:t>
  </x:si>
  <x:si>
    <x:t xml:space="preserve">Devuelve marca, modelo, placa y estado para identificar el vehículo en el reporte, sin modificar su condición.</x:t>
  </x:si>
  <x:si>
    <x:t xml:space="preserve">El controlador de Vehículo retorna a Historial el vehículo validado, sin que Historial acceda directamente a E_Vehiculo.</x:t>
  </x:si>
  <x:si>
    <x:t xml:space="preserve">solicitarKilometrajeActual(id_vehiculo)</x:t>
  </x:si>
  <x:si>
    <x:t xml:space="preserve">Solicita odómetro vigente únicamente para la CABECERA informativa del PDF. No lo reutiliza como kilometraje del servicio de registros históricos.</x:t>
  </x:si>
  <x:si>
    <x:t xml:space="preserve">consultarUltimoKilometraje(id_vehiculo)</x:t>
  </x:si>
  <x:si>
    <x:t xml:space="preserve">El controlador de Kilometraje consulta la lectura efectiva más reciente.</x:t>
  </x:si>
  <x:si>
    <x:t xml:space="preserve">retornarKilometrajeActual(kilometraje_actual)</x:t>
  </x:si>
  <x:si>
    <x:t xml:space="preserve">Retorna kilometraje efectivo actual, distinto de `kilometraje_servicio` guardado al registrar cada mantenimiento. Si no existe lectura, se presenta «No registrado».</x:t>
  </x:si>
  <x:si>
    <x:t xml:space="preserve">El controlador de Kilometraje retorna el valor actual sin exponer el historial completo.</x:t>
  </x:si>
  <x:si>
    <x:t xml:space="preserve">buscarMantenimientosParaExportacion(id_usuario,id_vehiculo,fecha_desde,fecha_hasta,criterio_tipo_mantenimiento,incluir_anulados)</x:t>
  </x:si>
  <x:si>
    <x:t xml:space="preserve">Consulta fecha desde/hasta inclusivas, tipo seleccionado y estados: solo REALIZADO por defecto; REALIZADO y ANULADO si incluir_anulados=true. Conserva los datos históricos originales.</x:t>
  </x:si>
  <x:si>
    <x:t xml:space="preserve">retornarMantenimientosExportables(lista_mantenimientos)</x:t>
  </x:si>
  <x:si>
    <x:t xml:space="preserve">Retorna fecha del servicio, tipo, `servicio_otro` para OTRO (independiente de `descripcion`), `kilometraje_servicio` persistido, estado, taller opcional, costo/descripción/recomendación cuando existan. Nunca sustituye km histórico por el odómetro actual.</x:t>
  </x:si>
  <x:si>
    <x:t xml:space="preserve">Operación [opt]: solo solicita talleres si los mantenimientos exportables incluyen ids de taller no nulos; «Sin taller» es válido.</x:t>
  </x:si>
  <x:si>
    <x:t xml:space="preserve">Operación [opt]: consultar talleres históricos asociados, no el listado global de Talleres de RF25. Si no hay ids, omitir mensajes 35–38 y utilizar lista_talleres=[] al consolidar en el mensaje 45.</x:t>
  </x:si>
  <x:si>
    <x:t xml:space="preserve">Operación [opt]: devuelve información de talleres asociados, incluidos referenciados por mantenimientos ANULADO.</x:t>
  </x:si>
  <x:si>
    <x:t xml:space="preserve">Operación [opt]: integra los datos disponibles de los talleres para mostrar «Sin taller» cuando no se asoció ninguno.</x:t>
  </x:si>
  <x:si>
    <x:t xml:space="preserve">solicitarRepuestosSiExisten(lista_id_mantenimiento)</x:t>
  </x:si>
  <x:si>
    <x:t xml:space="preserve">Operación [opt]: obtiene repuestos registrados en estos mantenimientos mediante RF17 y relación E_MantenimientoRepuesto; si lista vacía, omite el subflujo.</x:t>
  </x:si>
  <x:si>
    <x:t xml:space="preserve">consultarRelacionesPorMantenimientos(lista_id_mantenimiento)</x:t>
  </x:si>
  <x:si>
    <x:t xml:space="preserve">Operación [opt]: consulta vínculos E_MantenimientoRepuesto, conservando repuestos de mantenimientos ANULADO (RF21) si se incluyeron.</x:t>
  </x:si>
  <x:si>
    <x:t xml:space="preserve">Operación [opt]: consulta fichas de E_Repuesto por ids asociados; si no hay relaciones, se omiten los mensajes 42–43 y se devuelve una colección vacía en el mensaje 44.</x:t>
  </x:si>
  <x:si>
    <x:t xml:space="preserve">retornarRepuestosParaExportacion(repuestos_por_mantenimiento)</x:t>
  </x:si>
  <x:si>
    <x:t xml:space="preserve">Operación [opt]: devuelve repuestos agrupados por mantenimiento, respetando asociaciones conservadas tras anulación; sin relaciones retorna un conjunto vacío. Si no hay mantenimientos, se omite todo el subflujo 39–44.</x:t>
  </x:si>
  <x:si>
    <x:t xml:space="preserve">prepararDatosReporteConsolidados(datos_vehiculo,kilometraje_actual,lista_mantenimientos,lista_talleres,repuestos_por_mantenimiento,fecha_desde,fecha_hasta,criterio_tipo_mantenimiento,incluir_anulados)</x:t>
  </x:si>
  <x:si>
    <x:t xml:space="preserve">Antes de consolidar, inicializa lista_talleres=[] y repuestos_por_mantenimiento=[] cuando se hayan omitido sus subflujos [opt]. Consolida en memoria, PARA ESTA GENERACIÓN, cabecera del vehículo, odómetro vigente, rango, total y mantenimientos con su `kilometraje_servicio` propio, servicio específico si OTRO, estado y repuestos. No promete aislamiento transaccional entre consultas. En el PDF, si tipo=OTRO el rótulo del servicio usa mantenimiento.servicio_otro; descripcion, si existe, aparece como detalle separado.</x:t>
  </x:si>
  <x:si>
    <x:t xml:space="preserve">retornarDatosExportacion(datos_reporte_consolidados)</x:t>
  </x:si>
  <x:si>
    <x:t xml:space="preserve">Retorna datos consolidados (una carga inmutable durante la generación) con mantenimientos REALIZADO/ANULADO según criterio y repuestos cuando existan.</x:t>
  </x:si>
  <x:si>
    <x:t xml:space="preserve">BLOQUE 4 — GENERACIÓN DEL PDF (UNA SOLA VEZ) — Pasos 47–49</x:t>
  </x:si>
  <x:si>
    <x:t xml:space="preserve">API_ReportePDF</x:t>
  </x:si>
  <x:si>
    <x:t xml:space="preserve">solicitarGeneracionPDF(datos_reporte_consolidados)</x:t>
  </x:si>
  <x:si>
    <x:t xml:space="preserve">Envía a la API los datos YA recuperados y consolidados; una única generación del PDF, sin nueva consulta de kilometraje que cambie los registros.</x:t>
  </x:si>
  <x:si>
    <x:t xml:space="preserve">generarDocumentoPDF(datos_reporte_consolidados,fecha_emision_actual)</x:t>
  </x:si>
  <x:si>
    <x:t xml:space="preserve">La API crea el PDF temporal, fecha de emisión actual, datos de vehículo, odómetro actual solo en cabecera y km histórico en cada servicio. Si no hay registros, refleja «Sin mantenimientos para los criterios elegidos».</x:t>
  </x:si>
  <x:si>
    <x:t xml:space="preserve">retornarPDF(archivo_pdf)</x:t>
  </x:si>
  <x:si>
    <x:t xml:space="preserve">Devuelve el PDF temporal. El informe se genera sin crear, alterar ni anular registros MyCar.</x:t>
  </x:si>
  <x:si>
    <x:t xml:space="preserve">BLOQUE 5 — NOMBRE AUTOMÁTICO Y VISTA PREVIA — Pasos 50–52</x:t>
  </x:si>
  <x:si>
    <x:t xml:space="preserve">asignarNombreArchivoTemporal(archivo_pdf,placa,fecha_desde,fecha_hasta)</x:t>
  </x:si>
  <x:si>
    <x:t xml:space="preserve">Asigna Historial_MyCar_{placa}_{fecha_desde}_{fecha_hasta}.pdf automáticamente, saneando caracteres no válidos del nombre. No solicita nombre al usuario.</x:t>
  </x:si>
  <x:si>
    <x:t xml:space="preserve">mostrarVistaPreviaPDF(archivo_pdf,nombre_archivo)</x:t>
  </x:si>
  <x:si>
    <x:t xml:space="preserve">Muestra la vista previa del PDF generado; ofrece Volver y Compartir por WhatsApp. Descargar no se agrega como requisito nuevo.</x:t>
  </x:si>
  <x:si>
    <x:t xml:space="preserve">visualizarVistaPreviaPDF(nombre_archivo)</x:t>
  </x:si>
  <x:si>
    <x:t xml:space="preserve">El usuario revisa el mismo archivo generado; el PDF no vuelve a procesarse si luego elige compartir.</x:t>
  </x:si>
  <x:si>
    <x:t xml:space="preserve">BLOQUE 6 — [opt: COMPARTIR] APERTURA DE WHATSAPP SIN ENVÍO AUTOMÁTICO — Pasos 53–56</x:t>
  </x:si>
  <x:si>
    <x:t xml:space="preserve">seleccionarCompartirWhatsApp()</x:t>
  </x:si>
  <x:si>
    <x:t xml:space="preserve">Acción opcional [opt, accion=COMPARTIR]. El usuario selecciona WhatsApp desde vista previa; si elige Volver termina la ruta de reporte sin compartir.</x:t>
  </x:si>
  <x:si>
    <x:t xml:space="preserve">solicitarCompartirWhatsApp(archivo_pdf,nombre_archivo)</x:t>
  </x:si>
  <x:si>
    <x:t xml:space="preserve">Solicita compartir el mismo PDF temporal, con nombre automático; no invoca la API para generar otro.</x:t>
  </x:si>
  <x:si>
    <x:t xml:space="preserve">ServicioCompartirDispositivo</x:t>
  </x:si>
  <x:si>
    <x:t xml:space="preserve">abrirWhatsAppConPDF(archivo_pdf,nombre_archivo)</x:t>
  </x:si>
  <x:si>
    <x:t xml:space="preserve">Invoca el sistema de compartir del dispositivo con el archivo temporal y solicita abrir WhatsApp si está disponible.</x:t>
  </x:si>
  <x:si>
    <x:t xml:space="preserve">retornarWhatsAppAbierto()</x:t>
  </x:si>
  <x:si>
    <x:t xml:space="preserve">En este EF el servicio confirma apertura de WhatsApp con archivo adjunto. Destinatario y envío dependen del usuario fuera de MyCar; si no se abre, corresponde un escenario alternativo.</x:t>
  </x:si>
  <x:si>
    <x:t xml:space="preserve">DIAGRAMA DE SECUENCIAS — RF-028-Consultar planes disponibles  |  EVENTO EXITOSO</x:t>
  </x:si>
  <x:si>
    <x:t xml:space="preserve">Patrón: Actor → Interfaz → Control → Entidad → Control → Interfaz → Actor  |  19 pasos  |  2 bloques</x:t>
  </x:si>
  <x:si>
    <x:t xml:space="preserve">  BLOQUE 1 · NAVEGACIÓN HACIA PLANES (Pasos 1–10)</x:t>
  </x:si>
  <x:si>
    <x:t xml:space="preserve">presionarBotonPlanesSuscripcion()</x:t>
  </x:si>
  <x:si>
    <x:t xml:space="preserve">El usuario presiona el botón "Planes y suscripción".</x:t>
  </x:si>
  <x:si>
    <x:t xml:space="preserve">solicitarVistaPlanes()</x:t>
  </x:si>
  <x:si>
    <x:t xml:space="preserve">La interfaz solicita abrir la vista de planes.</x:t>
  </x:si>
  <x:si>
    <x:t xml:space="preserve">  BLOQUE 2 · CONSULTA Y COMPARACIÓN DE PLANES (Pasos 11–19)</x:t>
  </x:si>
  <x:si>
    <x:t xml:space="preserve">I_Planes</x:t>
  </x:si>
  <x:si>
    <x:t xml:space="preserve">mostrarVistaPlanes()</x:t>
  </x:si>
  <x:si>
    <x:t xml:space="preserve">El controlador solicita mostrar la pantalla Planes.</x:t>
  </x:si>
  <x:si>
    <x:t xml:space="preserve">obtenerPlanesDisponibles(idUsuario)</x:t>
  </x:si>
  <x:si>
    <x:t xml:space="preserve">La comparativa es el único contenido de esta pantalla, así que la interfaz la solicita de inmediato al cargar (sin un botón intermedio).</x:t>
  </x:si>
  <x:si>
    <x:t xml:space="preserve">consultarConfiguracionPlanesVigentes()</x:t>
  </x:si>
  <x:si>
    <x:t xml:space="preserve">El controlador consulta la configuración vigente de Free y Premium.</x:t>
  </x:si>
  <x:si>
    <x:t xml:space="preserve">retornarPlanesVigentes(listaPlanes)</x:t>
  </x:si>
  <x:si>
    <x:t xml:space="preserve">consultarPlanActivo(idUsuario)</x:t>
  </x:si>
  <x:si>
    <x:t xml:space="preserve">El controlador consulta el plan efectivo del usuario.</x:t>
  </x:si>
  <x:si>
    <x:t xml:space="preserve">retornarPlanActivo(planActual)</x:t>
  </x:si>
  <x:si>
    <x:t xml:space="preserve">La entidad devuelve Free o Premium según el estado vigente.</x:t>
  </x:si>
  <x:si>
    <x:t xml:space="preserve">prepararComparativaPlanes(listaPlanes,planActual)</x:t>
  </x:si>
  <x:si>
    <x:t xml:space="preserve">mostrarComparativaPlanes(listaPlanes,planActual)</x:t>
  </x:si>
  <x:si>
    <x:t xml:space="preserve">El controlador solicita mostrar precio, periodicidad, beneficios, límites y el plan actual.</x:t>
  </x:si>
  <x:si>
    <x:t xml:space="preserve">visualizarComparativaPlanes()</x:t>
  </x:si>
  <x:si>
    <x:t xml:space="preserve">El usuario visualiza la comparativa y puede continuar a RF29 si decide contratar Premium.</x:t>
  </x:si>
  <x:si>
    <x:t xml:space="preserve">DIAGRAMA DE SECUENCIAS — RF-029-Contratar plan Premium  |  EVENTO EXITOSO</x:t>
  </x:si>
  <x:si>
    <x:t xml:space="preserve">Patrón BCE: Actor → Interfaz → Control → Proveedor oficial / Entidad; 43 pasos; 6 bloques. Compra cliente ≠ pago validado: verificación oficial servidor-servidor obligatoria antes de activar Premium.</x:t>
  </x:si>
  <x:si>
    <x:t xml:space="preserve">La comparativa es el único contenido de esta pantalla; se solicita de inmediato al cargar.</x:t>
  </x:si>
  <x:si>
    <x:t xml:space="preserve">El controlador solicita mostrar la comparativa completa.</x:t>
  </x:si>
  <x:si>
    <x:t xml:space="preserve">El usuario visualiza la comparativa, con el botón "Contratar Premium".</x:t>
  </x:si>
  <x:si>
    <x:t xml:space="preserve">  BLOQUE 3 · RESUMEN DE CONTRATACIÓN (Pasos 20–28)</x:t>
  </x:si>
  <x:si>
    <x:t xml:space="preserve">presionarBotonContratarPremium()</x:t>
  </x:si>
  <x:si>
    <x:t xml:space="preserve">El usuario presiona "Contratar Premium".</x:t>
  </x:si>
  <x:si>
    <x:t xml:space="preserve">solicitarResumenContratacion(idUsuario,PREMIUM)</x:t>
  </x:si>
  <x:si>
    <x:t xml:space="preserve">La interfaz solicita preparar la contratación del plan Premium.</x:t>
  </x:si>
  <x:si>
    <x:t xml:space="preserve">consultarPlanVigente(PREMIUM)</x:t>
  </x:si>
  <x:si>
    <x:t xml:space="preserve">El controlador consulta precio, periodicidad, beneficios y el identificador del producto en Google Play configurados.</x:t>
  </x:si>
  <x:si>
    <x:t xml:space="preserve">retornarPlanVigente(datosPlan)</x:t>
  </x:si>
  <x:si>
    <x:t xml:space="preserve">La entidad devuelve los datos vigentes del plan Premium, incluido idProductoGooglePlay.</x:t>
  </x:si>
  <x:si>
    <x:t xml:space="preserve">consultarSuscripcionActual(idUsuario)</x:t>
  </x:si>
  <x:si>
    <x:t xml:space="preserve">El controlador consulta la suscripción actual del usuario.</x:t>
  </x:si>
  <x:si>
    <x:t xml:space="preserve">retornarSuscripcionActual(datosSuscripcion)</x:t>
  </x:si>
  <x:si>
    <x:t xml:space="preserve">La entidad devuelve el plan y estado vigentes.</x:t>
  </x:si>
  <x:si>
    <x:t xml:space="preserve">validarContratacionPermitida(datosSuscripcion,datosPlan)</x:t>
  </x:si>
  <x:si>
    <x:t xml:space="preserve">El controlador confirma que corresponde iniciar una nueva contratación y que no existe Premium activa duplicada.</x:t>
  </x:si>
  <x:si>
    <x:t xml:space="preserve">I_Suscripcion</x:t>
  </x:si>
  <x:si>
    <x:t xml:space="preserve">mostrarResumenContratacion(datosPlan)</x:t>
  </x:si>
  <x:si>
    <x:t xml:space="preserve">El controlador solicita mostrar el resumen, indicando que el cobro se hará a través de Google Play.</x:t>
  </x:si>
  <x:si>
    <x:t xml:space="preserve">visualizarResumenContratacion()</x:t>
  </x:si>
  <x:si>
    <x:t xml:space="preserve">El usuario revisa el resumen, con el botón "Comprar con Google Play".</x:t>
  </x:si>
  <x:si>
    <x:t xml:space="preserve">BLOQUE 4 · PAGO Y VERIFICACIÓN EN SERVIDOR (Pasos 29–38)</x:t>
  </x:si>
  <x:si>
    <x:t xml:space="preserve">presionarBotonComprarConGooglePlay()</x:t>
  </x:si>
  <x:si>
    <x:t xml:space="preserve">El usuario presiona "Comprar con Google Play".</x:t>
  </x:si>
  <x:si>
    <x:t xml:space="preserve">C_ControlPago</x:t>
  </x:si>
  <x:si>
    <x:t xml:space="preserve">iniciarCompraGooglePlay(idUsuario,PREMIUM,idProductoGooglePlay)</x:t>
  </x:si>
  <x:si>
    <x:t xml:space="preserve">La interfaz solicita iniciar la compra a través de Google Play Billing.</x:t>
  </x:si>
  <x:si>
    <x:t xml:space="preserve">ServicioGooglePlayBilling</x:t>
  </x:si>
  <x:si>
    <x:t xml:space="preserve">lanzarFlujoCompra(idProductoGooglePlay)</x:t>
  </x:si>
  <x:si>
    <x:t xml:space="preserve">◄───  (retorno)</x:t>
  </x:si>
  <x:si>
    <x:t xml:space="preserve">retornarResultadoCompra(APROBADA,purchaseToken,orderId)</x:t>
  </x:si>
  <x:si>
    <x:t xml:space="preserve">Dentro de esa ventana (fuera de nuestro sistema), el usuario elige el método y presiona "Comprar"; recién entonces Google Play devuelve la compra aprobada junto con el token de verificación y el número de orden.</x:t>
  </x:si>
  <x:si>
    <x:t xml:space="preserve">ServicioGooglePlayDeveloperAPI</x:t>
  </x:si>
  <x:si>
    <x:t xml:space="preserve">verificarCompraServidor(purchaseToken,idProducto,cuentaGooglePlay)</x:t>
  </x:si>
  <x:si>
    <x:t xml:space="preserve">retornarCompraVerificada(PURCHASED,vigencia,token)</x:t>
  </x:si>
  <x:si>
    <x:t xml:space="preserve">El proveedor devuelve datos comprobados de la compra; el caso exitoso requiere compra pagada y vigente. Pago pendiente/cancelado/no verificable pertenece a alternativo.</x:t>
  </x:si>
  <x:si>
    <x:t xml:space="preserve">validarTitularidadYDuplicidadToken(datosVerificados)</x:t>
  </x:si>
  <x:si>
    <x:t xml:space="preserve">Revalida usuario autenticado, correspondencia de producto, idempotencia de purchaseToken y evita activar Premium en otra cuenta con el mismo token. Operación transaccional.</x:t>
  </x:si>
  <x:si>
    <x:t xml:space="preserve">E_Pago</x:t>
  </x:si>
  <x:si>
    <x:t xml:space="preserve">registrarPagoVerificado(idUsuario,PREMIUM,token,monto,estado=VERIFICADO)</x:t>
  </x:si>
  <x:si>
    <x:t xml:space="preserve">Guarda solo pago validado en servidor y token único sin secretos ni datos de tarjeta; inserción idempotente, vinculada al usuario real.</x:t>
  </x:si>
  <x:si>
    <x:t xml:space="preserve">retornarPagoVerificadoPersistido(idPago)</x:t>
  </x:si>
  <x:si>
    <x:t xml:space="preserve">Confirma persistencia de un único pago verificado; la activación no se hace si falla la verificación o no se confirma la transacción.</x:t>
  </x:si>
  <x:si>
    <x:t xml:space="preserve">notificarCompraVerificada(idUsuario,idPago,vigencia)</x:t>
  </x:si>
  <x:si>
    <x:t xml:space="preserve">Comunica un derecho de uso comprobado por el proveedor y ya vinculado al usuario; no basta el mensaje del dispositivo.</x:t>
  </x:si>
  <x:si>
    <x:t xml:space="preserve">BLOQUE 5 · ACTIVACIÓN PREMIUM VALIDADA (Pasos 39–41)</x:t>
  </x:si>
  <x:si>
    <x:t xml:space="preserve">activarPremiumConDerechoVerificado(idUsuario,idPago,vigencia)</x:t>
  </x:si>
  <x:si>
    <x:t xml:space="preserve">retornarSuscripcionPremiumVigente(datosSuscripcion)</x:t>
  </x:si>
  <x:si>
    <x:t xml:space="preserve">Confirma que el derecho Premium coincide con la vigencia comprobada por Google Play.</x:t>
  </x:si>
  <x:si>
    <x:t xml:space="preserve">retornarActivacionConfirmada(datosSuscripcion)</x:t>
  </x:si>
  <x:si>
    <x:t xml:space="preserve">Informa a ControlPago de la activación confirmada. Si activación falla, no indicar éxito; conciliación/reintentos idempotentes.</x:t>
  </x:si>
  <x:si>
    <x:t xml:space="preserve">BLOQUE 6 · CONFIRMACIÓN (Pasos 42–43)</x:t>
  </x:si>
  <x:si>
    <x:t xml:space="preserve">mostrarContratacionPremiumExitosa(datosSuscripcion,datosPago)</x:t>
  </x:si>
  <x:si>
    <x:t xml:space="preserve">Muestra éxito solo tras pago verificado y Premium persistido, con vigencia real y fecha comprobada.</x:t>
  </x:si>
  <x:si>
    <x:t xml:space="preserve">visualizarContratacionPremiumExitosa()</x:t>
  </x:si>
  <x:si>
    <x:t xml:space="preserve">El titular visualiza el derecho Premium realmente activado; queda listo para utilizar funciones Premium.</x:t>
  </x:si>
  <x:si>
    <x:t xml:space="preserve">DIAGRAMA DE SECUENCIAS — RF-030-Consultar estado de suscripción  |  EVENTO EXITOSO</x:t>
  </x:si>
  <x:si>
    <x:t xml:space="preserve">Patrón: Actor → Interfaz → Control → Entidad → Control → Interfaz → Actor  |  17 pasos  |  2 bloques | SUBFLUJO RF030_ALT_FIN_PREMIUM incluido. Google Play Billing actual requiere backend/verificación antes de producción.</x:t>
  </x:si>
  <x:si>
    <x:t xml:space="preserve">  BLOQUE 1 · NAVEGACIÓN HACIA PLANES (Pasos 1–6)</x:t>
  </x:si>
  <x:si>
    <x:t xml:space="preserve">El usuario accede a Perfil.</x:t>
  </x:si>
  <x:si>
    <x:t xml:space="preserve">La interfaz solicita mostrar Perfil.</x:t>
  </x:si>
  <x:si>
    <x:t xml:space="preserve">mostrarVistaPerfil()</x:t>
  </x:si>
  <x:si>
    <x:t xml:space="preserve">El controlador solicita cargar Perfil.</x:t>
  </x:si>
  <x:si>
    <x:t xml:space="preserve">El usuario visualiza Perfil, con el mismo botón "Planes y suscripción" de RF-28/RF-29.</x:t>
  </x:si>
  <x:si>
    <x:t xml:space="preserve">  BLOQUE 2 · CONSULTA DE SUSCRIPCIÓN Y ÚLTIMO PAGO (Pasos 7–17)</x:t>
  </x:si>
  <x:si>
    <x:t xml:space="preserve">obtenerEstadoSuscripcion(idUsuario)</x:t>
  </x:si>
  <x:si>
    <x:t xml:space="preserve">Igual que en RF-28, la interfaz solicita de inmediato al cargar; aquí el plan efectivo del usuario ya es Premium.</x:t>
  </x:si>
  <x:si>
    <x:t xml:space="preserve">consultarSuscripcion(idUsuario)</x:t>
  </x:si>
  <x:si>
    <x:t xml:space="preserve">Consulta el estado de la suscripción, su vigencia real, fechas y estado de renovación. El subflujo automático RF030_ALT_FIN_PREMIUM realiza la transición cuando Premium efectivamente deja de estar vigente, sin requerir abrir esta pantalla.</x:t>
  </x:si>
  <x:si>
    <x:t xml:space="preserve">retornarDatosSuscripcion(datosSuscripcion)</x:t>
  </x:si>
  <x:si>
    <x:t xml:space="preserve">Entrega el estado real de suscripción. En el evento exitoso principal Premium está ACTIVO; el caso vencido/no renovado y su downgrade automático se documenta por separado en RF030_ALT_FIN_PREMIUM.</x:t>
  </x:si>
  <x:si>
    <x:t xml:space="preserve">solicitarUltimoPago(idUsuario)</x:t>
  </x:si>
  <x:si>
    <x:t xml:space="preserve">El controlador solicita el último pago registrado para mostrarlo como información complementaria del estado de la cuenta.</x:t>
  </x:si>
  <x:si>
    <x:t xml:space="preserve">consultarUltimoPago(idUsuario)</x:t>
  </x:si>
  <x:si>
    <x:t xml:space="preserve">ControlPago consulta el pago más reciente del usuario.</x:t>
  </x:si>
  <x:si>
    <x:t xml:space="preserve">retornarUltimoPago(datosPago)</x:t>
  </x:si>
  <x:si>
    <x:t xml:space="preserve">La entidad devuelve fecha, importe y estado del último pago, si existe.</x:t>
  </x:si>
  <x:si>
    <x:t xml:space="preserve">ControlPago devuelve el último pago a ControlSuscripcion.</x:t>
  </x:si>
  <x:si>
    <x:t xml:space="preserve">determinarPlanEfectivo(datosSuscripcion,fechaActual)</x:t>
  </x:si>
  <x:si>
    <x:t xml:space="preserve">I_EstadoSuscripcion</x:t>
  </x:si>
  <x:si>
    <x:t xml:space="preserve">mostrarEstadoSuscripcion(planEfectivo,estado,fechaInicio,fechaRenovacionOVencimiento,datosPago)</x:t>
  </x:si>
  <x:si>
    <x:t xml:space="preserve">Como el plan efectivo es Premium, el controlador muestra el estado de la suscripción en vez de la comparativa de RF-28 (no tiene sentido ofrecer "Contratar Premium" a quien ya lo tiene).</x:t>
  </x:si>
  <x:si>
    <x:t xml:space="preserve">visualizarEstadoSuscripcion()</x:t>
  </x:si>
  <x:si>
    <x:t xml:space="preserve">El usuario visualiza su plan efectivo, estado, fechas y último pago.</x:t>
  </x:si>
  <x:si>
    <x:t xml:space="preserve">DIAGRAMA DE SECUENCIAS — RF-031-Registrar información del SOAT del vehículo  |  EVENTO EXITOSO</x:t>
  </x:si>
  <x:si>
    <x:t xml:space="preserve">Patrón: Actor → Interfaz → Control → Entidad → Control → Interfaz → Actor | 48 pasos | 4 bloques</x:t>
  </x:si>
  <x:si>
    <x:t xml:space="preserve">BLOQUE 1 · VALIDACIÓN DEL VEHÍCULO Y APERTURA DE REGISTRO (Pasos 1–20)</x:t>
  </x:si>
  <x:si>
    <x:t xml:space="preserve">La interfaz solicita la vista Autos.</x:t>
  </x:si>
  <x:si>
    <x:t xml:space="preserve">El controlador solicita mostrar los vehículos.</x:t>
  </x:si>
  <x:si>
    <x:t xml:space="preserve">El usuario visualiza sus vehículos.</x:t>
  </x:si>
  <x:si>
    <x:t xml:space="preserve">presionarVerDetalles(idVehiculo)</x:t>
  </x:si>
  <x:si>
    <x:t xml:space="preserve">El usuario presiona "Ver detalles" en la tarjeta del vehículo.</x:t>
  </x:si>
  <x:si>
    <x:t xml:space="preserve">solicitarDetalleVehiculo(idVehiculo)</x:t>
  </x:si>
  <x:si>
    <x:t xml:space="preserve">La interfaz solicita el detalle del vehículo.</x:t>
  </x:si>
  <x:si>
    <x:t xml:space="preserve">consultarVehiculo(idVehiculo)</x:t>
  </x:si>
  <x:si>
    <x:t xml:space="preserve">El controlador consulta los datos del vehículo.</x:t>
  </x:si>
  <x:si>
    <x:t xml:space="preserve">mostrarDetalleVehiculo(datosVehiculo)</x:t>
  </x:si>
  <x:si>
    <x:t xml:space="preserve">El controlador solicita mostrar el detalle.</x:t>
  </x:si>
  <x:si>
    <x:t xml:space="preserve">visualizarDetalleVehiculo()</x:t>
  </x:si>
  <x:si>
    <x:t xml:space="preserve">El usuario visualiza el detalle del vehículo, con la opción de registrar SOAT cuando corresponda.</x:t>
  </x:si>
  <x:si>
    <x:t xml:space="preserve">presionarBotonRegistrarSOAT()</x:t>
  </x:si>
  <x:si>
    <x:t xml:space="preserve">El usuario presiona "Registrar SOAT".</x:t>
  </x:si>
  <x:si>
    <x:t xml:space="preserve">solicitarRegistroSOAT(idUsuario,idVehiculo)</x:t>
  </x:si>
  <x:si>
    <x:t xml:space="preserve">La interfaz solicita iniciar el registro de SOAT.</x:t>
  </x:si>
  <x:si>
    <x:t xml:space="preserve">validarVehiculoSOATUsuario(idUsuario,idVehiculo,requiereActivo=true)</x:t>
  </x:si>
  <x:si>
    <x:t xml:space="preserve">ControlSOAT delega a ControlVehiculo la validación de propiedad y estado; no accede directamente a E_Vehiculo.</x:t>
  </x:si>
  <x:si>
    <x:t xml:space="preserve">El controlador responsable consulta que el vehículo pertenezca al usuario y obtiene su estado actual.</x:t>
  </x:si>
  <x:si>
    <x:t xml:space="preserve">retornarVehiculoUsuario(datosVehiculo,estado)</x:t>
  </x:si>
  <x:si>
    <x:t xml:space="preserve">La entidad devuelve los datos del vehículo y su estado.</x:t>
  </x:si>
  <x:si>
    <x:t xml:space="preserve">retornarVehiculoSOATValidado(datosVehiculo,estado=ACTIVO)</x:t>
  </x:si>
  <x:si>
    <x:t xml:space="preserve">ControlVehiculo confirma a ControlSOAT que el vehículo es propio y está ACTIVO. Los vehículos INACTIVOS permanecen solo lectura.</x:t>
  </x:si>
  <x:si>
    <x:t xml:space="preserve">I_SOAT</x:t>
  </x:si>
  <x:si>
    <x:t xml:space="preserve">mostrarFormularioRegistroSOAT()</x:t>
  </x:si>
  <x:si>
    <x:t xml:space="preserve">El controlador solicita mostrar el formulario de registro.</x:t>
  </x:si>
  <x:si>
    <x:t xml:space="preserve">visualizarFormularioRegistroSOAT()</x:t>
  </x:si>
  <x:si>
    <x:t xml:space="preserve">El usuario visualiza el formulario vacío.</x:t>
  </x:si>
  <x:si>
    <x:t xml:space="preserve">BLOQUE 2 · REGISTRO DEL SOAT (Pasos 21–29)</x:t>
  </x:si>
  <x:si>
    <x:t xml:space="preserve">ingresarDatosSOAT(aseguradora,numeroPoliza,fechaInicio,fechaVencimiento,importePrima?,fechaEmision?,nombreContratante?)</x:t>
  </x:si>
  <x:si>
    <x:t xml:space="preserve">El usuario completa aseguradora, número de póliza, fecha de inicio y fecha de vencimiento. Opcionalmente registra importe de prima, fecha de emisión y nombre del contratante.</x:t>
  </x:si>
  <x:si>
    <x:t xml:space="preserve">habilitarBotonRegistrar()</x:t>
  </x:si>
  <x:si>
    <x:t xml:space="preserve">La interfaz habilita "Registrar SOAT" cuando los campos obligatorios están completos.</x:t>
  </x:si>
  <x:si>
    <x:t xml:space="preserve">El usuario presiona el botón del formulario.</x:t>
  </x:si>
  <x:si>
    <x:t xml:space="preserve">enviarDatosSOAT(idVehiculo,datosSOAT)</x:t>
  </x:si>
  <x:si>
    <x:t xml:space="preserve">La interfaz envía los datos ingresados al controlador.</x:t>
  </x:si>
  <x:si>
    <x:t xml:space="preserve">validarCamposObligatorios(datosSOAT)</x:t>
  </x:si>
  <x:si>
    <x:t xml:space="preserve">Valida aseguradora, número de póliza, fecha de inicio y fecha de vencimiento.</x:t>
  </x:si>
  <x:si>
    <x:t xml:space="preserve">validarFechasSOAT(fechaInicio,fechaVencimiento)</x:t>
  </x:si>
  <x:si>
    <x:t xml:space="preserve">Valida que el vencimiento sea posterior al inicio y corresponda a una vigencia registrable.</x:t>
  </x:si>
  <x:si>
    <x:t xml:space="preserve">validarDatosOpcionalesSOAT(importePrima?,fechaEmision?,nombreContratante?)</x:t>
  </x:si>
  <x:si>
    <x:t xml:space="preserve">Si fueron informados, valida importe no negativo, fecha de emisión válida y formato del nombre del contratante.</x:t>
  </x:si>
  <x:si>
    <x:t xml:space="preserve">guardarSOAT(idVehiculo,datosSOAT,recordatorioActivo=false)</x:t>
  </x:si>
  <x:si>
    <x:t xml:space="preserve">retornarSOATRegistrado(idSOAT,datosSOAT)</x:t>
  </x:si>
  <x:si>
    <x:t xml:space="preserve">La entidad confirma el SOAT registrado.</x:t>
  </x:si>
  <x:si>
    <x:t xml:space="preserve">BLOQUE 3 · ACTIVACIÓN Y SINCRONIZACIÓN DEL RECORDATORIO (Pasos 30–44)</x:t>
  </x:si>
  <x:si>
    <x:t xml:space="preserve">I_AlertasSOAT</x:t>
  </x:si>
  <x:si>
    <x:t xml:space="preserve">mostrarOpcionActivarRecordatorio(anticipacion=30_dias)</x:t>
  </x:si>
  <x:si>
    <x:t xml:space="preserve">Después del registro, el sistema ofrece activar el recordatorio de vencimiento.</x:t>
  </x:si>
  <x:si>
    <x:t xml:space="preserve">visualizarOpcionActivarRecordatorio()</x:t>
  </x:si>
  <x:si>
    <x:t xml:space="preserve">La interfaz muestra la opción de activar el recordatorio.</x:t>
  </x:si>
  <x:si>
    <x:t xml:space="preserve">presionarBotonActivarRecordatorio()</x:t>
  </x:si>
  <x:si>
    <x:t xml:space="preserve">El usuario presiona "Activar recordatorio".</x:t>
  </x:si>
  <x:si>
    <x:t xml:space="preserve">activarRecordatorioSOAT(idUsuario,idVehiculo,idSOAT,fechaVencimiento)</x:t>
  </x:si>
  <x:si>
    <x:t xml:space="preserve">La interfaz entrega la solicitud al controlador responsable del SOAT; este conserva la coordinación del caso de uso.</x:t>
  </x:si>
  <x:si>
    <x:t xml:space="preserve">procesarActivacionRecordatorioSOAT(idUsuario,idVehiculo,idSOAT,fechaVencimiento)</x:t>
  </x:si>
  <x:si>
    <x:t xml:space="preserve">ControlSOAT delega a ControlAlerta la creación o actualización del seguimiento de la vigencia.</x:t>
  </x:si>
  <x:si>
    <x:t xml:space="preserve">calcularEstadoInicialSOAT(fechaVencimiento,fechaActual)</x:t>
  </x:si>
  <x:si>
    <x:t xml:space="preserve">Determina PROGRAMADA, PRÓXIMA o PENDIENTE según la fecha; PRÓXIMA inicia a 30 días.</x:t>
  </x:si>
  <x:si>
    <x:t xml:space="preserve">crearOActualizarAlertaSOATUnica(idVehiculo,idSOAT,fechaVencimiento,estadoInicial,fechaActual)</x:t>
  </x:si>
  <x:si>
    <x:t xml:space="preserve">Mantiene una sola alerta activa por vigencia y registra fecha_estado_actual. ControlAlerta conserva la creación/cambio de estado en E_HistorialAlerta.</x:t>
  </x:si>
  <x:si>
    <x:t xml:space="preserve">retornarAlertaSOAT(datosAlerta,fecha_estado_actual,transicionAplicada?)</x:t>
  </x:si>
  <x:si>
    <x:t xml:space="preserve">La entidad confirma el seguimiento vigente e indica si hubo una creación o cambio real que deba registrarse en el historial.</x:t>
  </x:si>
  <x:si>
    <x:t xml:space="preserve">registrarCreacionOCambioSOATSiCorresponde(datosAlerta,transicionAplicada?,MANUAL)</x:t>
  </x:si>
  <x:si>
    <x:t xml:space="preserve">Si la activación creó la alerta o produjo un cambio real de estado, registra la trazabilidad en E_HistorialAlerta. La creación registra estado_anterior=NULL; una ejecución idempotente sin cambio no duplica historial.</x:t>
  </x:si>
  <x:si>
    <x:t xml:space="preserve">La entidad confirma la trazabilidad registrada cuando correspondía.</x:t>
  </x:si>
  <x:si>
    <x:t xml:space="preserve">sincronizarYDespacharNotificacionSOATPorEstadoInicial(idUsuario,idVehiculo,idSOAT,datosAlerta.idAlerta,datosAlerta.estado)</x:t>
  </x:si>
  <x:si>
    <x:t xml:space="preserve">Después de crear el seguimiento, sincroniza el aviso interno. Si el estado inicial es PRÓXIMA o PENDIENTE y se crea/reactiva el aviso, C_ControlNotificacion reutiliza RF46 pasos 46–50 para el push externo según RF48. PROGRAMADA no genera aviso ni push.</x:t>
  </x:si>
  <x:si>
    <x:t xml:space="preserve">crearOActualizarNotificacionSegunEstadoAlerta(idUsuario,idVehiculo,datosAlerta.idAlerta,SOAT,datosAlerta.estado,fechaActual)</x:t>
  </x:si>
  <x:si>
    <x:t xml:space="preserve">Si la alerta está PRÓXIMA o PENDIENTE, crea/reactiva una única notificación PENDIENTE; si está PROGRAMADA, todavía no mantiene un aviso activo.</x:t>
  </x:si>
  <x:si>
    <x:t xml:space="preserve">retornarSincronizacionNotificacion(datosNotificacion)</x:t>
  </x:si>
  <x:si>
    <x:t xml:space="preserve">La entidad confirma la creación, mantenimiento o ausencia de aviso activo según el estado.</x:t>
  </x:si>
  <x:si>
    <x:t xml:space="preserve">ControlNotificacion devuelve la sincronización a ControlAlerta.</x:t>
  </x:si>
  <x:si>
    <x:t xml:space="preserve">retornarRecordatorioSOATActivado(datosAlerta)</x:t>
  </x:si>
  <x:si>
    <x:t xml:space="preserve">ControlAlerta devuelve a ControlSOAT el resultado después de dejar alerta y notificación coherentes.</x:t>
  </x:si>
  <x:si>
    <x:t xml:space="preserve">BLOQUE 4 · CONFIRMACIÓN (Pasos 45–48)</x:t>
  </x:si>
  <x:si>
    <x:t xml:space="preserve">actualizarRecordatorioActivo(idSOAT,true)</x:t>
  </x:si>
  <x:si>
    <x:t xml:space="preserve">Solo después de completar la sincronización, la vigencia conserva la preferencia de recordatorio activa.</x:t>
  </x:si>
  <x:si>
    <x:t xml:space="preserve">retornarActualizacionRecordatorio()</x:t>
  </x:si>
  <x:si>
    <x:t xml:space="preserve">La entidad confirma la activación de la preferencia.</x:t>
  </x:si>
  <x:si>
    <x:t xml:space="preserve">mostrarRegistroSOATExitoso(datosSOAT,recordatorio=ACTIVO)</x:t>
  </x:si>
  <x:si>
    <x:t xml:space="preserve">El controlador solicita mostrar la confirmación del registro y recordatorio activo.</x:t>
  </x:si>
  <x:si>
    <x:t xml:space="preserve">visualizarRegistroSOATExitoso()</x:t>
  </x:si>
  <x:si>
    <x:t xml:space="preserve">El usuario visualiza que el SOAT fue registrado correctamente.</x:t>
  </x:si>
  <x:si>
    <x:t xml:space="preserve">DIAGRAMA DE SECUENCIAS — RF-032-Actualizar información del SOAT  |  EVENTO EXITOSO</x:t>
  </x:si>
  <x:si>
    <x:t xml:space="preserve">Patrón: Actor → Interfaz → Control → Entidad → Control → Interfaz → Actor | 77 pasos | 5 bloques</x:t>
  </x:si>
  <x:si>
    <x:t xml:space="preserve">BLOQUE 1 · CONSULTA Y VALIDACIÓN DEL SOAT ACTUAL (Pasos 1–20)</x:t>
  </x:si>
  <x:si>
    <x:t xml:space="preserve">El usuario accede a Autos.</x:t>
  </x:si>
  <x:si>
    <x:t xml:space="preserve">La interfaz solicita Autos.</x:t>
  </x:si>
  <x:si>
    <x:t xml:space="preserve">El usuario visualiza el detalle, con el botón "Consultar SOAT".</x:t>
  </x:si>
  <x:si>
    <x:t xml:space="preserve">presionarBotonConsultarSOAT()</x:t>
  </x:si>
  <x:si>
    <x:t xml:space="preserve">El usuario presiona el botón "Consultar SOAT".</x:t>
  </x:si>
  <x:si>
    <x:t xml:space="preserve">solicitarDetalleSOAT(idUsuario,idVehiculo)</x:t>
  </x:si>
  <x:si>
    <x:t xml:space="preserve">La interfaz solicita la vigencia actual.</x:t>
  </x:si>
  <x:si>
    <x:t xml:space="preserve">ControlSOAT delega a ControlVehiculo la validación de propiedad y estado antes de permitir consultar o actualizar el SOAT.</x:t>
  </x:si>
  <x:si>
    <x:t xml:space="preserve">El controlador responsable consulta el vehículo del usuario y su estado actual.</x:t>
  </x:si>
  <x:si>
    <x:t xml:space="preserve">La entidad devuelve los datos y el estado vigente del vehículo.</x:t>
  </x:si>
  <x:si>
    <x:t xml:space="preserve">ControlVehiculo confirma que el vehículo es propio y está ACTIVO. Un vehículo INACTIVO conserva SOAT en consulta, pero no permite editar ni renovar.</x:t>
  </x:si>
  <x:si>
    <x:t xml:space="preserve">consultarSOATActual(idVehiculo)</x:t>
  </x:si>
  <x:si>
    <x:t xml:space="preserve">retornarSOATActual(soatActual,recordatorioActivo)</x:t>
  </x:si>
  <x:si>
    <x:t xml:space="preserve">La entidad devuelve aseguradora, número de póliza, fechas, importe de prima, fecha de emisión, nombre del contratante, identificador de vigencia y preferencia de recordatorio.</x:t>
  </x:si>
  <x:si>
    <x:t xml:space="preserve">I_DetalleSOAT</x:t>
  </x:si>
  <x:si>
    <x:t xml:space="preserve">mostrarDetalleSOAT(soatActual)</x:t>
  </x:si>
  <x:si>
    <x:t xml:space="preserve">visualizarDetalleSOAT()</x:t>
  </x:si>
  <x:si>
    <x:t xml:space="preserve">El usuario visualiza el SOAT vigente, con el botón "Actualizar SOAT".</x:t>
  </x:si>
  <x:si>
    <x:t xml:space="preserve">BLOQUE 2 · SELECCIÓN DE OPERACIÓN (Pasos 21–26)</x:t>
  </x:si>
  <x:si>
    <x:t xml:space="preserve">presionarBotonActualizarSOAT()</x:t>
  </x:si>
  <x:si>
    <x:t xml:space="preserve">El usuario presiona el botón "Actualizar SOAT".</x:t>
  </x:si>
  <x:si>
    <x:t xml:space="preserve">solicitarOpcionesActualizacion(idSOAT)</x:t>
  </x:si>
  <x:si>
    <x:t xml:space="preserve">La interfaz solicita al controlador las opciones disponibles para esta vigencia.</x:t>
  </x:si>
  <x:si>
    <x:t xml:space="preserve">mostrarOpcionesActualizar(EDITAR,RENOVAR)</x:t>
  </x:si>
  <x:si>
    <x:t xml:space="preserve">El controlador solicita elegir entre editar la vigencia actual o renovar con una nueva vigencia.</x:t>
  </x:si>
  <x:si>
    <x:t xml:space="preserve">visualizarOpcionesActualizar()</x:t>
  </x:si>
  <x:si>
    <x:t xml:space="preserve">El usuario visualiza las dos operaciones posibles.</x:t>
  </x:si>
  <x:si>
    <x:t xml:space="preserve">seleccionarOperacionSOAT(tipoOperacion)</x:t>
  </x:si>
  <x:si>
    <x:t xml:space="preserve">El usuario selecciona EDITAR o RENOVAR.</x:t>
  </x:si>
  <x:si>
    <x:t xml:space="preserve">procesarOperacionSOAT(tipoOperacion,soatActual)</x:t>
  </x:si>
  <x:si>
    <x:t xml:space="preserve">La interfaz comunica la operación elegida.</x:t>
  </x:si>
  <x:si>
    <x:t xml:space="preserve">BLOQUE 3 · RAMA EDITAR · EJECUTAR SOLO SI tipoOperacion=EDITAR (Pasos 27–48)</x:t>
  </x:si>
  <x:si>
    <x:t xml:space="preserve">mostrarFormularioEdicionVigenciaActual(soatActual)</x:t>
  </x:si>
  <x:si>
    <x:t xml:space="preserve">RAMA EDITAR — Ejecutar solo si tipoOperacion=EDITAR. Se muestra la vigencia actual para corregirla.</x:t>
  </x:si>
  <x:si>
    <x:t xml:space="preserve">El usuario visualiza el formulario de edición.</x:t>
  </x:si>
  <x:si>
    <x:t xml:space="preserve">modificarDatosVigenciaActual(aseguradora,numeroPoliza,fechaInicio,fechaVencimiento,importePrima?,fechaEmision?,nombreContratante?)</x:t>
  </x:si>
  <x:si>
    <x:t xml:space="preserve">El usuario corrige uno o más campos de la vigencia actual. Los cuatro campos base siguen siendo obligatorios; importe de prima, fecha de emisión y nombre del contratante son opcionales.</x:t>
  </x:si>
  <x:si>
    <x:t xml:space="preserve">habilitarBotonGuardarCambios()</x:t>
  </x:si>
  <x:si>
    <x:t xml:space="preserve">La interfaz habilita el botón al detectar cambios válidos.</x:t>
  </x:si>
  <x:si>
    <x:t xml:space="preserve">presionarBotonGuardarCambios()</x:t>
  </x:si>
  <x:si>
    <x:t xml:space="preserve">El usuario presiona "Guardar cambios".</x:t>
  </x:si>
  <x:si>
    <x:t xml:space="preserve">enviarEdicionVigenciaActual(idSOAT,aseguradora,numeroPoliza,fechaInicio,fechaVencimiento,importePrima?,fechaEmision?,nombreContratante?)</x:t>
  </x:si>
  <x:si>
    <x:t xml:space="preserve">La interfaz envía los campos obligatorios y los datos opcionales informados.</x:t>
  </x:si>
  <x:si>
    <x:t xml:space="preserve">validarDatosVigenciaEditada(aseguradora,numeroPoliza,fechaInicio,fechaVencimiento)</x:t>
  </x:si>
  <x:si>
    <x:t xml:space="preserve">Valida que los campos obligatorios estén completos y que la fecha de vencimiento siga siendo posterior a la de inicio, igual que en RF31.</x:t>
  </x:si>
  <x:si>
    <x:t xml:space="preserve">Si fueron informados, valida importe de prima, fecha de emisión y nombre del contratante antes de actualizar la vigencia.</x:t>
  </x:si>
  <x:si>
    <x:t xml:space="preserve">actualizarVigenciaActualSinRenovar(idSOAT,aseguradora,numeroPoliza,fechaInicio,fechaVencimiento,importePrima?,fechaEmision?,nombreContratante?)</x:t>
  </x:si>
  <x:si>
    <x:t xml:space="preserve">retornarVigenciaActualizada(soatActualizado)</x:t>
  </x:si>
  <x:si>
    <x:t xml:space="preserve">La entidad confirma la edición.</x:t>
  </x:si>
  <x:si>
    <x:t xml:space="preserve">sincronizarSeguimientoSOATTrasEdicion(idUsuario,idVehiculo,idSOAT,soatActualizado.fechaVencimiento,recordatorioActivo)</x:t>
  </x:si>
  <x:si>
    <x:t xml:space="preserve">Solicita a ControlAlerta mantener coherencia con la fecha editada. Si recordatorioActivo=false, no crea ni reactiva alertas ni notificaciones; la edición del SOAT continúa sin seguimiento activo.</x:t>
  </x:si>
  <x:si>
    <x:t xml:space="preserve">actualizarOCrearSeguimientoSOATPorEdicionSiActivo(idSOAT,nuevaFechaVencimiento,recordatorioActivo,fechaActual)</x:t>
  </x:si>
  <x:si>
    <x:t xml:space="preserve">Solo si recordatorioActivo=true, ajusta la alerta vigente o crea un nuevo seguimiento cuando la anterior está ANULADA, sin reactivar esa alerta histórica. Si está inactivo, no modifica ni crea seguimiento. Los cambios de estado se trazan en E_HistorialAlerta.</x:t>
  </x:si>
  <x:si>
    <x:t xml:space="preserve">retornarResultadoSeguimientoEdicion(recordatorioActivo,datosAlerta?,transicionesAplicadas)</x:t>
  </x:si>
  <x:si>
    <x:t xml:space="preserve">Devuelve el seguimiento resultante y las transiciones reales aplicadas cuando el recordatorio está activo; si está inactivo, confirma que no existe seguimiento activo y la lista de transiciones queda vacía.</x:t>
  </x:si>
  <x:si>
    <x:t xml:space="preserve">registrarTransicionesEdicionSOATSiCorresponde(transicionesAplicadas,SISTEMA)</x:t>
  </x:si>
  <x:si>
    <x:t xml:space="preserve">Solo si la edición del SOAT provocó una creación o cambio real del seguimiento, registra la trazabilidad. Si recordatorioActivo=false o el estado no cambió, no genera historial.</x:t>
  </x:si>
  <x:si>
    <x:t xml:space="preserve">retornarTransicionesEdicionRegistradas(idsHistorial)</x:t>
  </x:si>
  <x:si>
    <x:t xml:space="preserve">La entidad confirma los registros creados únicamente cuando correspondía.</x:t>
  </x:si>
  <x:si>
    <x:t xml:space="preserve">sincronizarYDespacharNotificacionSOATTrasEdicionSiActiva(idUsuario,idVehiculo,datosAlerta)</x:t>
  </x:si>
  <x:si>
    <x:t xml:space="preserve">EJECUTAR SOLO SI recordatorioActivo=true y existe datosAlerta. Reconciliará la única notificación con el estado recalculado y, únicamente si la edición produce una activación/actualización real de aviso PRÓXIMA/PENDIENTE, reutiliza RF46 pasos 46–50 para el push externo.</x:t>
  </x:si>
  <x:si>
    <x:t xml:space="preserve">crearMantenerOCerrarSegunEstadoAlerta(idUsuario,idVehiculo,datosAlerta.idAlerta,SOAT,datosAlerta.estado,fechaActual)</x:t>
  </x:si>
  <x:si>
    <x:t xml:space="preserve">EJECUTAR SOLO SI recordatorioActivo=true. PROGRAMADA no conserva aviso activo; PRÓXIMA/PENDIENTE crea o mantiene PENDIENTE; VENCIDA queda en Historial. No duplica avisos.</x:t>
  </x:si>
  <x:si>
    <x:t xml:space="preserve">EJECUTAR SOLO SI recordatorioActivo=true. La entidad confirma la sincronización de la notificación.</x:t>
  </x:si>
  <x:si>
    <x:t xml:space="preserve">EJECUTAR SOLO SI recordatorioActivo=true. ControlNotificacion devuelve el resultado a Alertas.</x:t>
  </x:si>
  <x:si>
    <x:t xml:space="preserve">retornarResultadoEdicionSOAT(recordatorioActivo,datosAlerta?)</x:t>
  </x:si>
  <x:si>
    <x:t xml:space="preserve">ControlAlerta devuelve a ControlSOAT el resultado final. Si el recordatorio estaba inactivo, la edición termina sin crear alerta ni notificación.</x:t>
  </x:si>
  <x:si>
    <x:t xml:space="preserve">mostrarDetalleSOATActualizado(soatActualizado)</x:t>
  </x:si>
  <x:si>
    <x:t xml:space="preserve">Al ser una simple corrección de datos (no una renovación), el controlador vuelve directo al detalle actualizado, sin pantalla de confirmación aparte.</x:t>
  </x:si>
  <x:si>
    <x:t xml:space="preserve">visualizarDetalleSOATActualizado()</x:t>
  </x:si>
  <x:si>
    <x:t xml:space="preserve">El usuario ve el detalle del SOAT con los datos ya corregidos.</x:t>
  </x:si>
  <x:si>
    <x:t xml:space="preserve">BLOQUE 4 · RAMA RENOVAR · EJECUTAR SOLO SI tipoOperacion=RENOVAR (Pasos 49–75)</x:t>
  </x:si>
  <x:si>
    <x:t xml:space="preserve">mostrarFormularioRenovacion(soatActual)</x:t>
  </x:si>
  <x:si>
    <x:t xml:space="preserve">RAMA RENOVAR — Ejecutar solo si tipoOperacion=RENOVAR. Se muestra el formulario para la nueva vigencia.</x:t>
  </x:si>
  <x:si>
    <x:t xml:space="preserve">visualizarFormularioRenovacion()</x:t>
  </x:si>
  <x:si>
    <x:t xml:space="preserve">El usuario visualiza el formulario de renovación.</x:t>
  </x:si>
  <x:si>
    <x:t xml:space="preserve">ingresarDatosNuevaVigencia(datosRenovacion)</x:t>
  </x:si>
  <x:si>
    <x:t xml:space="preserve">El usuario ingresa los datos de la nueva vigencia: aseguradora, póliza, fechas y, opcionalmente, importe de prima, fecha de emisión y nombre del contratante.</x:t>
  </x:si>
  <x:si>
    <x:t xml:space="preserve">habilitarBotonRenovar()</x:t>
  </x:si>
  <x:si>
    <x:t xml:space="preserve">La interfaz habilita el botón al completar los campos obligatorios.</x:t>
  </x:si>
  <x:si>
    <x:t xml:space="preserve">presionarBotonRenovar()</x:t>
  </x:si>
  <x:si>
    <x:t xml:space="preserve">El usuario presiona "Renovar SOAT".</x:t>
  </x:si>
  <x:si>
    <x:t xml:space="preserve">enviarRenovacionSOAT(idSOATAnterior,datosRenovacion)</x:t>
  </x:si>
  <x:si>
    <x:t xml:space="preserve">La interfaz envía la renovación.</x:t>
  </x:si>
  <x:si>
    <x:t xml:space="preserve">validarRenovacionSOAT(datosRenovacion,soatActual,fechaRegistro)</x:t>
  </x:si>
  <x:si>
    <x:t xml:space="preserve">Valida campos obligatorios, fechas de renovación y también los datos opcionales informados.</x:t>
  </x:si>
  <x:si>
    <x:t xml:space="preserve">retornarNuevaVigencia(idSOATNuevo,soatNuevo)</x:t>
  </x:si>
  <x:si>
    <x:t xml:space="preserve">procesarRenovacionSOAT(idSOATAnterior,idSOATNuevo,idVehiculo,recordatorioActivo)</x:t>
  </x:si>
  <x:si>
    <x:t xml:space="preserve">El controlador solicita atender la vigencia anterior y preparar el nuevo seguimiento.</x:t>
  </x:si>
  <x:si>
    <x:t xml:space="preserve">cerrarAlertaSOATAnteriorPorRenovacionSiCorresponde(idSOATAnterior,idSOATNuevo)</x:t>
  </x:si>
  <x:si>
    <x:t xml:space="preserve">Para una alerta de SOAT, una renovación válida puede cerrar como REALIZADA la vigencia anterior mientras su alerta siga PROGRAMADA, PROXIMA, PENDIENTE o VENCIDA vigente. Esta es una regla específica de renovación SOAT y no habilita la acción «Registrar como realizado» de RF24. Si la alerta ya está ANULADA, conserva ANULADA para trazabilidad.</x:t>
  </x:si>
  <x:si>
    <x:t xml:space="preserve">retornarResultadoCierreAlertaAnterior(resultadoAlerta,idAlertaAnterior,estadoFinal,transicionCierre?)</x:t>
  </x:si>
  <x:si>
    <x:t xml:space="preserve">Confirma el estado final de la alerta anterior e indica si la renovación produjo una transición real que deba registrarse. Si ya estaba ANULADA, no genera otra transición.</x:t>
  </x:si>
  <x:si>
    <x:t xml:space="preserve">registrarCierreSOATPorRenovacionSiCorresponde(idAlertaAnterior,estadoFinal,transicionCierre?,SISTEMA)</x:t>
  </x:si>
  <x:si>
    <x:t xml:space="preserve">Si la renovación cambió una alerta vigente a REALIZADA, registra la transición con motivo RENOVACION_SOAT. Si la alerta ya estaba ANULADA, conserva su historial y no duplica una transición.</x:t>
  </x:si>
  <x:si>
    <x:t xml:space="preserve">retornarCierreSOATRegistrado(idHistorial?)</x:t>
  </x:si>
  <x:si>
    <x:t xml:space="preserve">La entidad confirma la trazabilidad del cierre cuando la renovación produjo una transición real.</x:t>
  </x:si>
  <x:si>
    <x:t xml:space="preserve">sincronizarNotificacionAlertaAnteriorSegunEstado(idUsuario,idAlertaAnterior,estadoFinal)</x:t>
  </x:si>
  <x:si>
    <x:t xml:space="preserve">Sincroniza la notificación de la vigencia anterior. Si termina REALIZADA por renovación, la notificación queda ATENDIDA; si ya había salido de Pendientes por VENCIDA, permanece en Historial y no se reactiva; si estaba ANULADA, conserva su cierre automático.</x:t>
  </x:si>
  <x:si>
    <x:t xml:space="preserve">actualizarEstadoGestionSegunAlerta(idAlertaAnterior,estadoFinal)</x:t>
  </x:si>
  <x:si>
    <x:t xml:space="preserve">Para REALIZADA, atiende la notificación si seguía activa; si ya estaba en Historial por VENCIDA, permanece cerrada y puede registrar el motivo de resolución por renovación. Para ANULADA conserva CIERRE_AUTOMATICO. Nunca vuelve a Pendiente.</x:t>
  </x:si>
  <x:si>
    <x:t xml:space="preserve">retornarNotificacionActualizada(datosNotificacion)</x:t>
  </x:si>
  <x:si>
    <x:t xml:space="preserve">La entidad devuelve la notificación actualizada.</x:t>
  </x:si>
  <x:si>
    <x:t xml:space="preserve">retornarAtencionNotificacion(datosNotificacion)</x:t>
  </x:si>
  <x:si>
    <x:t xml:space="preserve">ControlNotificacion devuelve el resultado.</x:t>
  </x:si>
  <x:si>
    <x:t xml:space="preserve">crearOActualizarAlertaNuevaVigenciaSiActiva(idSOATNuevo,soatNuevo.fechaVencimiento,recordatorioActivo,fechaActual)</x:t>
  </x:si>
  <x:si>
    <x:t xml:space="preserve">Si recordatorioActivo=true, crea o actualiza un único seguimiento para la nueva vigencia y registra su transición en E_HistorialAlerta. Si recordatorioActivo=false, no crea alerta nueva y devuelve resultado sin seguimiento.</x:t>
  </x:si>
  <x:si>
    <x:t xml:space="preserve">retornarResultadoNuevaAlertaSOAT(recordatorioActivo,datosAlertaNueva?,transicionNueva?)</x:t>
  </x:si>
  <x:si>
    <x:t xml:space="preserve">Devuelve la nueva alerta cuando corresponde e indica si hubo creación o cambio real. Si el recordatorio está inactivo, no crea seguimiento ni transición.</x:t>
  </x:si>
  <x:si>
    <x:t xml:space="preserve">registrarNuevaVigenciaSOATSiCorresponde(datosAlertaNueva?,transicionNueva?,SISTEMA)</x:t>
  </x:si>
  <x:si>
    <x:t xml:space="preserve">Solo si la nueva vigencia creó o modificó realmente un seguimiento, registra la trazabilidad asociada a la renovación. Con recordatorio inactivo no genera historial de alerta.</x:t>
  </x:si>
  <x:si>
    <x:t xml:space="preserve">retornarTransicionNuevaVigenciaRegistrada(idHistorial?)</x:t>
  </x:si>
  <x:si>
    <x:t xml:space="preserve">La entidad confirma el registro cuando existió una transición real.</x:t>
  </x:si>
  <x:si>
    <x:t xml:space="preserve">sincronizarYDespacharNotificacionNuevaVigenciaSOATSiActiva(idUsuario,idVehiculo,datosAlertaNueva)</x:t>
  </x:si>
  <x:si>
    <x:t xml:space="preserve">EJECUTAR SOLO SI recordatorioActivo=true y existe datosAlertaNueva. Sincroniza el primer aviso de la nueva vigencia; si nace PRÓXIMA/PENDIENTE y el aviso se crea/reactiva, reutiliza RF46 pasos 46–50. Nunca reutiliza la notificación de la vigencia anterior.</x:t>
  </x:si>
  <x:si>
    <x:t xml:space="preserve">crearOActualizarNotificacionSegunEstadoAlerta(idUsuario,idVehiculo,datosAlertaNueva.idAlerta,SOAT,datosAlertaNueva.estado,fechaActual)</x:t>
  </x:si>
  <x:si>
    <x:t xml:space="preserve">EJECUTAR SOLO SI recordatorioActivo=true. Si la alerta nace PRÓXIMA o PENDIENTE, crea una única notificación PENDIENTE; si nace PROGRAMADA, aún no crea aviso activo.</x:t>
  </x:si>
  <x:si>
    <x:t xml:space="preserve">retornarSincronizacionNotificacion(datosNotificacionNueva)</x:t>
  </x:si>
  <x:si>
    <x:t xml:space="preserve">EJECUTAR SOLO SI recordatorioActivo=true. La entidad confirma la sincronización sin duplicados.</x:t>
  </x:si>
  <x:si>
    <x:t xml:space="preserve">retornarResultadoRenovacion(recordatorioActivo,datosAlertaNueva?)</x:t>
  </x:si>
  <x:si>
    <x:t xml:space="preserve">ControlAlerta devuelve el resultado final de la renovación, con o sin nuevo seguimiento según la preferencia de recordatorio.</x:t>
  </x:si>
  <x:si>
    <x:t xml:space="preserve">BLOQUE 5 · CONFIRMACIÓN DE LA RENOVACIÓN (Pasos 76–77)</x:t>
  </x:si>
  <x:si>
    <x:t xml:space="preserve">mostrarRenovacionSOATExitosa(soatNuevo)</x:t>
  </x:si>
  <x:si>
    <x:t xml:space="preserve">El controlador solicita mostrar la confirmación de la renovación (exclusiva de esta rama).</x:t>
  </x:si>
  <x:si>
    <x:t xml:space="preserve">visualizarRenovacionSOATExitosa()</x:t>
  </x:si>
  <x:si>
    <x:t xml:space="preserve">El usuario visualiza que el SOAT fue renovado correctamente.</x:t>
  </x:si>
  <x:si>
    <x:t xml:space="preserve">DIAGRAMA DE SECUENCIAS — RF-033-Configurar recordatorio de vencimiento del SOAT  |  EVENTO EXITOSO</x:t>
  </x:si>
  <x:si>
    <x:t xml:space="preserve">Patrón: Actor → Interfaz → Control → Entidad → Control → Interfaz → Actor  | 55 pasos | 6 bloques</x:t>
  </x:si>
  <x:si>
    <x:t xml:space="preserve">BLOQUE 1 · CONSULTA DEL SOAT VIGENTE Y VALIDACIÓN DEL VEHÍCULO (Pasos 1–21)</x:t>
  </x:si>
  <x:si>
    <x:t xml:space="preserve">El usuario presiona "Consultar SOAT".</x:t>
  </x:si>
  <x:si>
    <x:t xml:space="preserve">solicitarVehiculoPropioActivo(idUsuario,idVehiculo)</x:t>
  </x:si>
  <x:si>
    <x:t xml:space="preserve">C_ControlSOAT delega la validación del vehículo al controlador responsable.</x:t>
  </x:si>
  <x:si>
    <x:t xml:space="preserve">C_ControlVehiculo consulta pertenencia y estado vigente del vehículo.</x:t>
  </x:si>
  <x:si>
    <x:t xml:space="preserve">La entidad devuelve el vehículo solicitado.</x:t>
  </x:si>
  <x:si>
    <x:t xml:space="preserve">validarVehiculoActivo(datosVehiculo)</x:t>
  </x:si>
  <x:si>
    <x:t xml:space="preserve">Confirma que el vehículo pertenece al usuario y se encuentra ACTIVO antes de permitir cambios en el recordatorio SOAT.</x:t>
  </x:si>
  <x:si>
    <x:t xml:space="preserve">El controlador de vehículos devuelve la validación exitosa a SOAT.</x:t>
  </x:si>
  <x:si>
    <x:t xml:space="preserve">consultarSOATVigente(idVehiculo)</x:t>
  </x:si>
  <x:si>
    <x:t xml:space="preserve">retornarSOATVigente(idSOAT,fechaVencimiento,recordatorioActivo)</x:t>
  </x:si>
  <x:si>
    <x:t xml:space="preserve">La entidad devuelve una fecha válida de vencimiento y el estado de la preferencia.</x:t>
  </x:si>
  <x:si>
    <x:t xml:space="preserve">El usuario visualiza el SOAT vigente, con el botón "Configurar recordatorio".</x:t>
  </x:si>
  <x:si>
    <x:t xml:space="preserve">BLOQUE 2 · APERTURA DE LA CONFIGURACIÓN DEL RECORDATORIO (Pasos 22–29)</x:t>
  </x:si>
  <x:si>
    <x:t xml:space="preserve">presionarBotonConfigurarRecordatorio()</x:t>
  </x:si>
  <x:si>
    <x:t xml:space="preserve">El usuario presiona "Configurar recordatorio".</x:t>
  </x:si>
  <x:si>
    <x:t xml:space="preserve">solicitarConfiguracionRecordatorio(idSOAT)</x:t>
  </x:si>
  <x:si>
    <x:t xml:space="preserve">La interfaz solicita la configuración vigente del recordatorio.</x:t>
  </x:si>
  <x:si>
    <x:t xml:space="preserve">solicitarEstadoRecordatorioSOAT(idSOAT)</x:t>
  </x:si>
  <x:si>
    <x:t xml:space="preserve">El controlador solicita el seguimiento asociado a la vigencia.</x:t>
  </x:si>
  <x:si>
    <x:t xml:space="preserve">consultarAlertaSOATPorVigencia(idSOAT)</x:t>
  </x:si>
  <x:si>
    <x:t xml:space="preserve">ControlAlerta consulta la alerta de la vigencia.</x:t>
  </x:si>
  <x:si>
    <x:t xml:space="preserve">retornarAlertaSOAT(datosAlerta)</x:t>
  </x:si>
  <x:si>
    <x:t xml:space="preserve">La entidad devuelve el seguimiento actual, si existe.</x:t>
  </x:si>
  <x:si>
    <x:t xml:space="preserve">retornarEstadoRecordatorio(datosAlerta)</x:t>
  </x:si>
  <x:si>
    <x:t xml:space="preserve">ControlAlerta devuelve el estado del recordatorio.</x:t>
  </x:si>
  <x:si>
    <x:t xml:space="preserve">mostrarConfiguracionRecordatorio(recordatorioActivo,datosAlerta)</x:t>
  </x:si>
  <x:si>
    <x:t xml:space="preserve">El controlador solicita mostrar la configuración actual del recordatorio.</x:t>
  </x:si>
  <x:si>
    <x:t xml:space="preserve">visualizarConfiguracionRecordatorio()</x:t>
  </x:si>
  <x:si>
    <x:t xml:space="preserve">El usuario visualiza si el recordatorio está activo o inactivo.</x:t>
  </x:si>
  <x:si>
    <x:t xml:space="preserve">BLOQUE 3 · SELECCIÓN DE ACCIÓN (Pasos 30–32)</x:t>
  </x:si>
  <x:si>
    <x:t xml:space="preserve">presionarBotonCambiarEstadoRecordatorio()</x:t>
  </x:si>
  <x:si>
    <x:t xml:space="preserve">El usuario presiona el botón único, cuya acción depende del estado mostrado: "Activar recordatorio" si estaba inactivo, o "Desactivar recordatorio" si estaba activo.</x:t>
  </x:si>
  <x:si>
    <x:t xml:space="preserve">enviarAccionRecordatorio(idSOAT,accion)</x:t>
  </x:si>
  <x:si>
    <x:t xml:space="preserve">La interfaz envía la acción correspondiente (ACTIVAR o DESACTIVAR) según el estado que tenía en pantalla.</x:t>
  </x:si>
  <x:si>
    <x:t xml:space="preserve">procesarAccionRecordatorioSOAT(idUsuario,idVehiculo,idSOAT,fechaVencimiento,accion)</x:t>
  </x:si>
  <x:si>
    <x:t xml:space="preserve">ControlSOAT delega la gestión del seguimiento a ControlAlerta.</x:t>
  </x:si>
  <x:si>
    <x:t xml:space="preserve">BLOQUE 4 · RAMA ACTIVAR · EJECUTAR SOLO SI accion=ACTIVAR (Pasos 33–44)</x:t>
  </x:si>
  <x:si>
    <x:t xml:space="preserve">RAMA ACTIVAR — Ejecutar solo si accion=ACTIVAR. Se determina Programada, Próxima o Pendiente; Próxima inicia a 30 días.</x:t>
  </x:si>
  <x:si>
    <x:t xml:space="preserve">crearOActualizarAlertaSOATUnica(idUsuario,idVehiculo,idSOAT,fechaVencimiento,estadoInicial,fechaActual)</x:t>
  </x:si>
  <x:si>
    <x:t xml:space="preserve">Se mantiene una sola alerta activa para la vigencia. Si existe una alerta previa ANULADA, no se reactiva: se crea una nueva con nuevo identificador y fecha_estado_actual=fechaActual. C_ControlAlerta registra la creación/cambio en E_HistorialAlerta.</x:t>
  </x:si>
  <x:si>
    <x:t xml:space="preserve">La entidad confirma el seguimiento e indica si la activación produjo una creación o transición real.</x:t>
  </x:si>
  <x:si>
    <x:t xml:space="preserve">Cuando ACTIVAR crea un nuevo seguimiento o cambia realmente su estado, registra la transición en E_HistorialAlerta. Si no hubo cambio, no crea un registro duplicado.</x:t>
  </x:si>
  <x:si>
    <x:t xml:space="preserve">sincronizarYDespacharNotificacionSOATPorEstadoInicial(idUsuario,idVehiculo,idSOAT,datosAlerta.estado)</x:t>
  </x:si>
  <x:si>
    <x:t xml:space="preserve">Al activar el recordatorio SOAT, sincroniza el aviso interno. Si la alerta queda PRÓXIMA/PENDIENTE y se crea/reactiva la notificación, C_ControlNotificacion reutiliza RF46 pasos 46–50 para efectuar el push externo únicamente con preferencia ON y permiso CONCEDIDO.</x:t>
  </x:si>
  <x:si>
    <x:t xml:space="preserve">Si la alerta SOAT está PRÓXIMA o PENDIENTE, crea o reactiva una única notificación PENDIENTE con reemisión cada 24 h mientras siga vigente. Si está PROGRAMADA, todavía no crea un aviso activo.</x:t>
  </x:si>
  <x:si>
    <x:t xml:space="preserve">La entidad confirma la sincronización del aviso SOAT.</x:t>
  </x:si>
  <x:si>
    <x:t xml:space="preserve">ControlNotificacion devuelve el resultado a Alertas.</x:t>
  </x:si>
  <x:si>
    <x:t xml:space="preserve">retornarRecordatorioActivado(datosAlerta)</x:t>
  </x:si>
  <x:si>
    <x:t xml:space="preserve">ControlAlerta devuelve el resultado de activación.</x:t>
  </x:si>
  <x:si>
    <x:t xml:space="preserve">La vigencia conserva la preferencia activa.</x:t>
  </x:si>
  <x:si>
    <x:t xml:space="preserve">retornarRecordatorioActualizado()</x:t>
  </x:si>
  <x:si>
    <x:t xml:space="preserve">La entidad confirma la activación.</x:t>
  </x:si>
  <x:si>
    <x:t xml:space="preserve">BLOQUE 5 · RAMA DESACTIVAR · EJECUTAR SOLO SI accion=DESACTIVAR (Pasos 45–53)</x:t>
  </x:si>
  <x:si>
    <x:t xml:space="preserve">pausarGeneracionFuturaSOAT(idSOAT)</x:t>
  </x:si>
  <x:si>
    <x:t xml:space="preserve">Desactivar el recordatorio detiene futuras generaciones y reemisiones de avisos SOAT sin borrar la alerta ni su historial. Si existe una notificación activa, deja de mostrarse en Pendientes y pasa a Historial con motivo RECORDATORIO_DESACTIVADO; esto no significa que el SOAT se haya renovado.</x:t>
  </x:si>
  <x:si>
    <x:t xml:space="preserve">retornarRecordatorioPausado()</x:t>
  </x:si>
  <x:si>
    <x:t xml:space="preserve">La entidad confirma la pausa del seguimiento.</x:t>
  </x:si>
  <x:si>
    <x:t xml:space="preserve">suspenderNotificacionSOAT(idUsuario,idSOAT)</x:t>
  </x:si>
  <x:si>
    <x:t xml:space="preserve">Solicita retirar de Pendientes cualquier notificación activa de esta vigencia al desactivar el recordatorio.</x:t>
  </x:si>
  <x:si>
    <x:t xml:space="preserve">cerrarNotificacionActivaSOAT(idSOAT,RECORDATORIO_DESACTIVADO)</x:t>
  </x:si>
  <x:si>
    <x:t xml:space="preserve">Mueve el aviso activo a Historial sin marcar el SOAT como resuelto y cancela sus reemisiones de 24 h.</x:t>
  </x:si>
  <x:si>
    <x:t xml:space="preserve">retornarNotificacionSOATSuspendida()</x:t>
  </x:si>
  <x:si>
    <x:t xml:space="preserve">La entidad confirma que ya no existe un aviso SOAT activo para esa vigencia.</x:t>
  </x:si>
  <x:si>
    <x:t xml:space="preserve">retornarSuspensionNotificacionSOAT()</x:t>
  </x:si>
  <x:si>
    <x:t xml:space="preserve">ControlNotificacion confirma la suspensión a Alertas.</x:t>
  </x:si>
  <x:si>
    <x:t xml:space="preserve">retornarRecordatorioDesactivado()</x:t>
  </x:si>
  <x:si>
    <x:t xml:space="preserve">ControlAlerta devuelve el resultado de desactivación.</x:t>
  </x:si>
  <x:si>
    <x:t xml:space="preserve">actualizarRecordatorioActivo(idSOAT,false)</x:t>
  </x:si>
  <x:si>
    <x:t xml:space="preserve">La vigencia conserva la preferencia inactiva.</x:t>
  </x:si>
  <x:si>
    <x:t xml:space="preserve">La entidad confirma la desactivación.</x:t>
  </x:si>
  <x:si>
    <x:t xml:space="preserve">BLOQUE 6 · CONFIRMACIÓN (Pasos 54–55)</x:t>
  </x:si>
  <x:si>
    <x:t xml:space="preserve">mostrarConfiguracionActualizada(recordatorioActivo)</x:t>
  </x:si>
  <x:si>
    <x:t xml:space="preserve">Al ser un simple cambio de preferencia (no una renovación ni un registro), el controlador vuelve directo a la configuración actualizada, sin pantalla de confirmación aparte.</x:t>
  </x:si>
  <x:si>
    <x:t xml:space="preserve">visualizarConfiguracionActualizada()</x:t>
  </x:si>
  <x:si>
    <x:t xml:space="preserve">El usuario ve el nuevo estado del recordatorio.</x:t>
  </x:si>
  <x:si>
    <x:t xml:space="preserve">DIAGRAMA DE SECUENCIAS — RF-034-Registrar taller asociado  |  EVENTO EXITOSO</x:t>
  </x:si>
  <x:si>
    <x:t xml:space="preserve">Patrón: Actor → Interfaz → Control → Entidad → Control → Interfaz → Actor | 25 pasos | 4 bloques</x:t>
  </x:si>
  <x:si>
    <x:t xml:space="preserve">BLOQUE 1 · NAVEGACIÓN Y LISTA DE TALLERES (Pasos 1–10)</x:t>
  </x:si>
  <x:si>
    <x:t xml:space="preserve">seleccionarPestanaHistorial()</x:t>
  </x:si>
  <x:si>
    <x:t xml:space="preserve">El usuario presiona la pestaña Historial en la barra de navegación inferior.</x:t>
  </x:si>
  <x:si>
    <x:t xml:space="preserve">La interfaz solicita cargar la vista Historial del vehículo, coherente con RF25.</x:t>
  </x:si>
  <x:si>
    <x:t xml:space="preserve">El controlador de navegación solicita mostrar Historial.</x:t>
  </x:si>
  <x:si>
    <x:t xml:space="preserve">visualizarVistaHistorialVehiculo()</x:t>
  </x:si>
  <x:si>
    <x:t xml:space="preserve">El usuario visualiza Historial con las pestañas Mantenimientos, Kilometraje y Talleres.</x:t>
  </x:si>
  <x:si>
    <x:t xml:space="preserve">El usuario selecciona Talleres. El vehículo puede permanecer visible en el encabezado, pero los talleres pertenecen al usuario y no dependen del vehículo seleccionado.</x:t>
  </x:si>
  <x:si>
    <x:t xml:space="preserve">solicitarListaTalleres(idUsuario)</x:t>
  </x:si>
  <x:si>
    <x:t xml:space="preserve">La interfaz solicita los talleres activos de la cuenta, sin usar idVehiculo como criterio.</x:t>
  </x:si>
  <x:si>
    <x:t xml:space="preserve">consultarTalleresActivosPorUsuario(idUsuario)</x:t>
  </x:si>
  <x:si>
    <x:t xml:space="preserve">El controlador consulta los talleres propios activos.</x:t>
  </x:si>
  <x:si>
    <x:t xml:space="preserve">retornarListaTalleres(listaTalleres)</x:t>
  </x:si>
  <x:si>
    <x:t xml:space="preserve">La entidad devuelve la lista.</x:t>
  </x:si>
  <x:si>
    <x:t xml:space="preserve">I_Taller</x:t>
  </x:si>
  <x:si>
    <x:t xml:space="preserve">mostrarListaTalleres(listaTalleres)</x:t>
  </x:si>
  <x:si>
    <x:t xml:space="preserve">El controlador solicita mostrar la lista dentro de la pestaña Talleres.</x:t>
  </x:si>
  <x:si>
    <x:t xml:space="preserve">visualizarListaTalleres()</x:t>
  </x:si>
  <x:si>
    <x:t xml:space="preserve">El usuario visualiza sus talleres.</x:t>
  </x:si>
  <x:si>
    <x:t xml:space="preserve">BLOQUE 2 · APERTURA DEL REGISTRO (Pasos 11–14)</x:t>
  </x:si>
  <x:si>
    <x:t xml:space="preserve">seleccionarAgregarTaller()</x:t>
  </x:si>
  <x:si>
    <x:t xml:space="preserve">El usuario selecciona Agregar taller.</x:t>
  </x:si>
  <x:si>
    <x:t xml:space="preserve">solicitarRegistroTaller()</x:t>
  </x:si>
  <x:si>
    <x:t xml:space="preserve">La interfaz solicita iniciar el registro.</x:t>
  </x:si>
  <x:si>
    <x:t xml:space="preserve">I_RegistroTaller</x:t>
  </x:si>
  <x:si>
    <x:t xml:space="preserve">mostrarFormularioRegistroTaller()</x:t>
  </x:si>
  <x:si>
    <x:t xml:space="preserve">El controlador solicita mostrar el formulario.</x:t>
  </x:si>
  <x:si>
    <x:t xml:space="preserve">visualizarFormularioRegistroTaller()</x:t>
  </x:si>
  <x:si>
    <x:t xml:space="preserve">El usuario visualiza el formulario.</x:t>
  </x:si>
  <x:si>
    <x:t xml:space="preserve">BLOQUE 3 · INGRESO Y VALIDACIÓN (Pasos 15–21)</x:t>
  </x:si>
  <x:si>
    <x:t xml:space="preserve">ingresarDatosTaller(nombre,telefono?,correo?,direccion?,notas?)</x:t>
  </x:si>
  <x:si>
    <x:t xml:space="preserve">El usuario ingresa nombre obligatorio y, opcionalmente, teléfono, correo, dirección y notas.</x:t>
  </x:si>
  <x:si>
    <x:t xml:space="preserve">habilitarBotonRegistrarTaller()</x:t>
  </x:si>
  <x:si>
    <x:t xml:space="preserve">La interfaz habilita el botón al detectar que el nombre (único campo obligatorio) está completo.</x:t>
  </x:si>
  <x:si>
    <x:t xml:space="preserve">presionarBotonRegistrarTaller()</x:t>
  </x:si>
  <x:si>
    <x:t xml:space="preserve">El usuario presiona "Registrar taller".</x:t>
  </x:si>
  <x:si>
    <x:t xml:space="preserve">enviarDatosTaller(idUsuario,nombre,telefono,correo,direccion,notas)</x:t>
  </x:si>
  <x:si>
    <x:t xml:space="preserve">La interfaz envía el nombre y los datos opcionales informados.</x:t>
  </x:si>
  <x:si>
    <x:t xml:space="preserve">validarNombreObligatorio(nombre)</x:t>
  </x:si>
  <x:si>
    <x:t xml:space="preserve">El controlador valida que el nombre esté informado.</x:t>
  </x:si>
  <x:si>
    <x:t xml:space="preserve">validarTelefonoSiInformado(telefono)</x:t>
  </x:si>
  <x:si>
    <x:t xml:space="preserve">Si se informó teléfono, valida su formato.</x:t>
  </x:si>
  <x:si>
    <x:t xml:space="preserve">validarCorreoSiInformado(correo)</x:t>
  </x:si>
  <x:si>
    <x:t xml:space="preserve">Si se informó correo, valida que tenga un formato válido.</x:t>
  </x:si>
  <x:si>
    <x:t xml:space="preserve">BLOQUE 4 · REGISTRO Y CONFIRMACIÓN (Pasos 22–25)</x:t>
  </x:si>
  <x:si>
    <x:t xml:space="preserve">registrarTaller(idUsuario,nombre,telefono,correo,direccion,notas,ACTIVO,favorito=false)</x:t>
  </x:si>
  <x:si>
    <x:t xml:space="preserve">La entidad registra el taller para la cuenta con correo opcional. No se marca automáticamente como favorito; RF37 gestiona esa condición.</x:t>
  </x:si>
  <x:si>
    <x:t xml:space="preserve">retornarTallerRegistrado(idTaller)</x:t>
  </x:si>
  <x:si>
    <x:t xml:space="preserve">La entidad confirma el registro y devuelve el identificador del taller.</x:t>
  </x:si>
  <x:si>
    <x:t xml:space="preserve">mostrarRegistroTallerExitoso(datosTaller)</x:t>
  </x:si>
  <x:si>
    <x:t xml:space="preserve">El controlador solicita mostrar la confirmación.</x:t>
  </x:si>
  <x:si>
    <x:t xml:space="preserve">visualizarRegistroTallerExitoso()</x:t>
  </x:si>
  <x:si>
    <x:t xml:space="preserve">El usuario visualiza que el taller quedó registrado.</x:t>
  </x:si>
  <x:si>
    <x:t xml:space="preserve">DIAGRAMA DE SECUENCIAS — RF-035-Modificar taller registrado  |  EVENTO EXITOSO</x:t>
  </x:si>
  <x:si>
    <x:t xml:space="preserve">Patrón: Actor → Interfaz → Control → Entidad → Control → Interfaz → Actor | 30 pasos | 4 bloques</x:t>
  </x:si>
  <x:si>
    <x:t xml:space="preserve">El usuario presiona la pestaña Historial en la barra inferior.</x:t>
  </x:si>
  <x:si>
    <x:t xml:space="preserve">El usuario selecciona Talleres. El listado pertenece a la cuenta y no al vehículo seleccionado.</x:t>
  </x:si>
  <x:si>
    <x:t xml:space="preserve">La interfaz solicita los talleres activos de la cuenta.</x:t>
  </x:si>
  <x:si>
    <x:t xml:space="preserve">BLOQUE 2 · CONSULTA DEL TALLER (Pasos 11–19)</x:t>
  </x:si>
  <x:si>
    <x:t xml:space="preserve">presionarMenuTaller(idTaller)</x:t>
  </x:si>
  <x:si>
    <x:t xml:space="preserve">El usuario presiona el ícono de menú (⋮) en la tarjeta del taller.</x:t>
  </x:si>
  <x:si>
    <x:t xml:space="preserve">mostrarMenuAccionesTaller()</x:t>
  </x:si>
  <x:si>
    <x:t xml:space="preserve">La interfaz despliega el menú de acciones: Editar, Marcar como favorito, Eliminar.</x:t>
  </x:si>
  <x:si>
    <x:t xml:space="preserve">seleccionarOpcionEditar()</x:t>
  </x:si>
  <x:si>
    <x:t xml:space="preserve">El usuario selecciona "Editar" en el menú.</x:t>
  </x:si>
  <x:si>
    <x:t xml:space="preserve">solicitarDatosTaller(idUsuario,idTaller)</x:t>
  </x:si>
  <x:si>
    <x:t xml:space="preserve">La interfaz solicita el taller propio.</x:t>
  </x:si>
  <x:si>
    <x:t xml:space="preserve">consultarTaller(idTaller)</x:t>
  </x:si>
  <x:si>
    <x:t xml:space="preserve">El controlador consulta datos, propietario, estado y versión.</x:t>
  </x:si>
  <x:si>
    <x:t xml:space="preserve">retornarDatosTaller(taller,idUsuarioPropietario,activo,versionTaller)</x:t>
  </x:si>
  <x:si>
    <x:t xml:space="preserve">La entidad devuelve el taller.</x:t>
  </x:si>
  <x:si>
    <x:t xml:space="preserve">validarTallerPropioActivo(idUsuarioPropietario,idUsuario,activo)</x:t>
  </x:si>
  <x:si>
    <x:t xml:space="preserve">El controlador confirma propiedad y estado activo.</x:t>
  </x:si>
  <x:si>
    <x:t xml:space="preserve">I_EditarTaller</x:t>
  </x:si>
  <x:si>
    <x:t xml:space="preserve">mostrarFormularioEdicion(taller)</x:t>
  </x:si>
  <x:si>
    <x:t xml:space="preserve">El controlador solicita mostrar los datos editables.</x:t>
  </x:si>
  <x:si>
    <x:t xml:space="preserve">El usuario visualiza el formulario prellenado.</x:t>
  </x:si>
  <x:si>
    <x:t xml:space="preserve">BLOQUE 3 · EDICIÓN Y VALIDACIÓN (Pasos 20–26)</x:t>
  </x:si>
  <x:si>
    <x:t xml:space="preserve">modificarDatosTaller(nombre,telefono?,correo?,direccion?,notas?)</x:t>
  </x:si>
  <x:si>
    <x:t xml:space="preserve">El usuario corrige uno o más campos: nombre y, opcionalmente, teléfono, correo, dirección o notas.</x:t>
  </x:si>
  <x:si>
    <x:t xml:space="preserve">La interfaz habilita el botón al mantener el nombre completo.</x:t>
  </x:si>
  <x:si>
    <x:t xml:space="preserve">enviarDatosActualizadosTaller(idTaller,versionTaller,nombre,telefono,correo,direccion,notas)</x:t>
  </x:si>
  <x:si>
    <x:t xml:space="preserve">La interfaz envía los cambios.</x:t>
  </x:si>
  <x:si>
    <x:t xml:space="preserve">El nombre continúa siendo obligatorio.</x:t>
  </x:si>
  <x:si>
    <x:t xml:space="preserve">BLOQUE 4 · ACTUALIZACIÓN Y CONFIRMACIÓN (Pasos 27–30)</x:t>
  </x:si>
  <x:si>
    <x:t xml:space="preserve">actualizarTaller(idTaller,versionTaller,nombre,telefono,correo,direccion,notas)</x:t>
  </x:si>
  <x:si>
    <x:t xml:space="preserve">La entidad actualiza el taller, incluido el correo opcional, sin alterar los mantenimientos históricos vinculados ni sus costos/descripciones.</x:t>
  </x:si>
  <x:si>
    <x:t xml:space="preserve">retornarTallerActualizado(datosTaller,nuevaVersionTaller)</x:t>
  </x:si>
  <x:si>
    <x:t xml:space="preserve">La entidad confirma la modificación.</x:t>
  </x:si>
  <x:si>
    <x:t xml:space="preserve">mostrarListaTalleresActualizada(datosTaller)</x:t>
  </x:si>
  <x:si>
    <x:t xml:space="preserve">Al ser una simple corrección de datos, el controlador vuelve directo a la lista actualizada, sin pantalla de confirmación aparte.</x:t>
  </x:si>
  <x:si>
    <x:t xml:space="preserve">visualizarListaTalleresActualizada()</x:t>
  </x:si>
  <x:si>
    <x:t xml:space="preserve">El usuario ve el taller con los datos ya corregidos.</x:t>
  </x:si>
  <x:si>
    <x:t xml:space="preserve">DIAGRAMA DE SECUENCIAS — RF-036-Eliminar taller  |  EVENTO EXITOSO</x:t>
  </x:si>
  <x:si>
    <x:t xml:space="preserve">Patrón: Actor → Interfaz → Control → Entidad → Control → Interfaz → Actor  |  25 pasos  |  4 bloques</x:t>
  </x:si>
  <x:si>
    <x:t xml:space="preserve">  BLOQUE 1 · NAVEGACIÓN Y LISTA DE TALLERES (Pasos 1–10)</x:t>
  </x:si>
  <x:si>
    <x:t xml:space="preserve">La interfaz solicita la vista de Historial.</x:t>
  </x:si>
  <x:si>
    <x:t xml:space="preserve">El controlador solicita mostrar I_HistorialVehiculo con las pestañas Mantenimientos, Kilometraje y Talleres.</x:t>
  </x:si>
  <x:si>
    <x:t xml:space="preserve">El usuario visualiza I_HistorialVehiculo con las pestañas Mantenimientos, Kilometraje y Talleres.</x:t>
  </x:si>
  <x:si>
    <x:t xml:space="preserve">presionarPestanaTalleres()</x:t>
  </x:si>
  <x:si>
    <x:t xml:space="preserve">El usuario presiona la pestaña Talleres.</x:t>
  </x:si>
  <x:si>
    <x:t xml:space="preserve">El controlador consulta talleres propios activos.</x:t>
  </x:si>
  <x:si>
    <x:t xml:space="preserve">  BLOQUE 2 · SELECCIÓN Y VALIDACIÓN (Pasos 11–19)</x:t>
  </x:si>
  <x:si>
    <x:t xml:space="preserve">seleccionarOpcionEliminar()</x:t>
  </x:si>
  <x:si>
    <x:t xml:space="preserve">El usuario selecciona "Eliminar".</x:t>
  </x:si>
  <x:si>
    <x:t xml:space="preserve">solicitarEliminacionTaller(idUsuario,idTaller)</x:t>
  </x:si>
  <x:si>
    <x:t xml:space="preserve">La interfaz solicita validar la eliminación lógica.</x:t>
  </x:si>
  <x:si>
    <x:t xml:space="preserve">El controlador consulta propietario, estado, condición de favorito y versión.</x:t>
  </x:si>
  <x:si>
    <x:t xml:space="preserve">retornarDatosTaller(taller,idUsuarioPropietario,activo,favorito,versionTaller)</x:t>
  </x:si>
  <x:si>
    <x:t xml:space="preserve">La entidad devuelve los datos del taller.</x:t>
  </x:si>
  <x:si>
    <x:t xml:space="preserve">El controlador confirma que el taller es propio y está activo.</x:t>
  </x:si>
  <x:si>
    <x:t xml:space="preserve">mostrarConfirmacionEliminacionTaller()</x:t>
  </x:si>
  <x:si>
    <x:t xml:space="preserve">I_ConfirmacionOperacion se presenta como diálogo reutilizable sobre I_Taller y advierte que la baja es lógica: el taller deja de estar disponible para nuevos mantenimientos, pero los históricos conservan su referencia.</x:t>
  </x:si>
  <x:si>
    <x:t xml:space="preserve">visualizarConfirmacionEliminacionTaller()</x:t>
  </x:si>
  <x:si>
    <x:t xml:space="preserve">El usuario visualiza la advertencia.</x:t>
  </x:si>
  <x:si>
    <x:t xml:space="preserve">  BLOQUE 3 · CONFIRMACIÓN Y BAJA LÓGICA (Pasos 20–23)</x:t>
  </x:si>
  <x:si>
    <x:t xml:space="preserve">confirmarEliminacionTaller()</x:t>
  </x:si>
  <x:si>
    <x:t xml:space="preserve">El usuario presiona "Sí, eliminar" en el diálogo de advertencia.</x:t>
  </x:si>
  <x:si>
    <x:t xml:space="preserve">enviarConfirmacionEliminacion(idTaller,versionTaller)</x:t>
  </x:si>
  <x:si>
    <x:t xml:space="preserve">La interfaz envía la confirmación.</x:t>
  </x:si>
  <x:si>
    <x:t xml:space="preserve">desactivarTallerLogicamente(idTaller,versionTaller,activo=false,favorito=false)</x:t>
  </x:si>
  <x:si>
    <x:t xml:space="preserve">La entidad aplica la baja lógica y retira la condición de favorito si la tenía; no elimina referencias históricas.</x:t>
  </x:si>
  <x:si>
    <x:t xml:space="preserve">retornarTallerDesactivado(datosTaller)</x:t>
  </x:si>
  <x:si>
    <x:t xml:space="preserve">La entidad confirma la baja lógica.</x:t>
  </x:si>
  <x:si>
    <x:t xml:space="preserve">  BLOQUE 4 · CONFIRMACIÓN (Pasos 24–25)</x:t>
  </x:si>
  <x:si>
    <x:t xml:space="preserve">mostrarListaTalleresActualizada(idTaller)</x:t>
  </x:si>
  <x:si>
    <x:t xml:space="preserve">Como ya hubo un diálogo de confirmación antes de eliminar, el controlador vuelve directo a la lista (el taller eliminado ya no aparece, solo se listan activos), sin otra pantalla de éxito aparte.</x:t>
  </x:si>
  <x:si>
    <x:t xml:space="preserve">El usuario ve que el taller ya no está disponible para nuevas selecciones.</x:t>
  </x:si>
  <x:si>
    <x:t xml:space="preserve">DIAGRAMA DE SECUENCIAS — RF-037-Marcar taller como favorito  |  EVENTO EXITOSO</x:t>
  </x:si>
  <x:si>
    <x:t xml:space="preserve">Patrón: Actor → Interfaz → Control → Entidad → Control → Interfaz → Actor  |  22 pasos  |  4 bloques</x:t>
  </x:si>
  <x:si>
    <x:t xml:space="preserve">El usuario visualiza Historial, con las pestañas Mantenimientos, Kilometraje y Talleres.</x:t>
  </x:si>
  <x:si>
    <x:t xml:space="preserve">La entidad devuelve la lista e identifica el taller favorito actual si existe.</x:t>
  </x:si>
  <x:si>
    <x:t xml:space="preserve">El usuario visualiza los talleres y cuál es el favorito.</x:t>
  </x:si>
  <x:si>
    <x:t xml:space="preserve">  BLOQUE 2 · SELECCIÓN Y VALIDACIÓN (Pasos 11–18)</x:t>
  </x:si>
  <x:si>
    <x:t xml:space="preserve">seleccionarOpcionMarcarFavorito()</x:t>
  </x:si>
  <x:si>
    <x:t xml:space="preserve">El usuario selecciona "Marcar como favorito".</x:t>
  </x:si>
  <x:si>
    <x:t xml:space="preserve">establecerTallerFavorito(idUsuario,idTaller)</x:t>
  </x:si>
  <x:si>
    <x:t xml:space="preserve">La interfaz envía la selección.</x:t>
  </x:si>
  <x:si>
    <x:t xml:space="preserve">El controlador consulta propietario, estado y condición actual.</x:t>
  </x:si>
  <x:si>
    <x:t xml:space="preserve">retornarDatosTaller(taller,idUsuarioPropietario,activo,favorito)</x:t>
  </x:si>
  <x:si>
    <x:t xml:space="preserve">La entidad devuelve los datos.</x:t>
  </x:si>
  <x:si>
    <x:t xml:space="preserve">validarTallerPropio(idUsuarioPropietario,idUsuario)</x:t>
  </x:si>
  <x:si>
    <x:t xml:space="preserve">El controlador confirma que el taller pertenece al usuario.</x:t>
  </x:si>
  <x:si>
    <x:t xml:space="preserve">validarTallerActivo(activo)</x:t>
  </x:si>
  <x:si>
    <x:t xml:space="preserve">El controlador confirma que el taller está activo.</x:t>
  </x:si>
  <x:si>
    <x:t xml:space="preserve">  BLOQUE 3 · ASIGNACIÓN ATÓMICA DEL TALLER FAVORITO (Pasos 19–20)</x:t>
  </x:si>
  <x:si>
    <x:t xml:space="preserve">cambiarTallerFavoritoAtomico(idUsuario,idTaller)</x:t>
  </x:si>
  <x:si>
    <x:t xml:space="preserve">La entidad retira la condición al anterior, si existía, y asigna el nuevo en una sola operación. Queda como máximo uno activo.</x:t>
  </x:si>
  <x:si>
    <x:t xml:space="preserve">retornarCambioFavorito(idTallerFavoritoAnterior)</x:t>
  </x:si>
  <x:si>
    <x:t xml:space="preserve">La entidad confirma el cambio y devuelve el identificador del taller que dejó de ser favorito, si existía.</x:t>
  </x:si>
  <x:si>
    <x:t xml:space="preserve">  BLOQUE 4 · CONFIRMACIÓN (Pasos 21–22)</x:t>
  </x:si>
  <x:si>
    <x:t xml:space="preserve">Al ser un simple cambio de preferencia, el controlador vuelve directo a la lista actualizada, sin pantalla de confirmación aparte; este taller se propondrá primero al registrar mantenimiento.</x:t>
  </x:si>
  <x:si>
    <x:t xml:space="preserve">El usuario ve cuál taller quedó marcado como favorito.</x:t>
  </x:si>
  <x:si>
    <x:t xml:space="preserve">DIAGRAMA DE SECUENCIAS — RF-038-Registrar foto de perfil  |  EVENTO EXITOSO</x:t>
  </x:si>
  <x:si>
    <x:t xml:space="preserve">Patrón: Actor → Interfaz → Control → Entidad  |  31 pasos  |  5 bloques</x:t>
  </x:si>
  <x:si>
    <x:t xml:space="preserve">  BLOQUE 2 · Acceso a opciones de foto y selección de Actualizar foto (Pasos 9–14)</x:t>
  </x:si>
  <x:si>
    <x:t xml:space="preserve">seleccionarIconoFotoPerfil()</x:t>
  </x:si>
  <x:si>
    <x:t xml:space="preserve">El usuario selecciona el icono correspondiente a su avatar generado con sus iniciales de perfil.</x:t>
  </x:si>
  <x:si>
    <x:t xml:space="preserve">solicitarOpcionesFotoPerfil()</x:t>
  </x:si>
  <x:si>
    <x:t xml:space="preserve">La interfaz comunica al controlador la solicitud de gestionar la foto de perfil.</x:t>
  </x:si>
  <x:si>
    <x:t xml:space="preserve">I_OpcionesFotoPerfil</x:t>
  </x:si>
  <x:si>
    <x:t xml:space="preserve">mostrarOpcionesFotoPerfil()</x:t>
  </x:si>
  <x:si>
    <x:t xml:space="preserve">El controlador solicita mostrar la interfaz con las opciones Actualizar foto, Eliminar foto y Cancelar.</x:t>
  </x:si>
  <x:si>
    <x:t xml:space="preserve">visualizarOpcionesFotoPerfil()</x:t>
  </x:si>
  <x:si>
    <x:t xml:space="preserve">El usuario visualiza las opciones disponibles para la foto de perfil.</x:t>
  </x:si>
  <x:si>
    <x:t xml:space="preserve">seleccionarActualizarFoto()</x:t>
  </x:si>
  <x:si>
    <x:t xml:space="preserve">En este evento exitoso, el usuario selecciona la opción Actualizar foto.</x:t>
  </x:si>
  <x:si>
    <x:t xml:space="preserve">C_FotoPerfil</x:t>
  </x:si>
  <x:si>
    <x:t xml:space="preserve">solicitarActualizarFoto()</x:t>
  </x:si>
  <x:si>
    <x:t xml:space="preserve">La interfaz comunica al controlador que el usuario seleccionó Actualizar foto.</x:t>
  </x:si>
  <x:si>
    <x:t xml:space="preserve">  BLOQUE 3 · Selección de imagen y confirmación con Hecho (Pasos 15–20)</x:t>
  </x:si>
  <x:si>
    <x:t xml:space="preserve">I_SeleccionFoto</x:t>
  </x:si>
  <x:si>
    <x:t xml:space="preserve">mostrarSelectorImagen()</x:t>
  </x:si>
  <x:si>
    <x:t xml:space="preserve">El controlador solicita mostrar la interfaz para seleccionar una imagen del dispositivo.</x:t>
  </x:si>
  <x:si>
    <x:t xml:space="preserve">visualizarGaleriaImagenes()</x:t>
  </x:si>
  <x:si>
    <x:t xml:space="preserve">El usuario visualiza las imágenes disponibles para seleccionar.</x:t>
  </x:si>
  <x:si>
    <x:t xml:space="preserve">seleccionarImagen()</x:t>
  </x:si>
  <x:si>
    <x:t xml:space="preserve">El usuario selecciona la imagen que desea utilizar como foto de perfil.</x:t>
  </x:si>
  <x:si>
    <x:t xml:space="preserve">visualizarImagenSeleccionada()</x:t>
  </x:si>
  <x:si>
    <x:t xml:space="preserve">La interfaz muestra la imagen seleccionada y deja disponible la opción Hecho.</x:t>
  </x:si>
  <x:si>
    <x:t xml:space="preserve">seleccionarHecho()</x:t>
  </x:si>
  <x:si>
    <x:t xml:space="preserve">El usuario presiona Hecho para confirmar la imagen seleccionada.</x:t>
  </x:si>
  <x:si>
    <x:t xml:space="preserve">enviarImagenSeleccionada(imagen)</x:t>
  </x:si>
  <x:si>
    <x:t xml:space="preserve">La interfaz envía al controlador la imagen confirmada por el usuario.</x:t>
  </x:si>
  <x:si>
    <x:t xml:space="preserve">  BLOQUE 4 · Validación de imagen y verificación de foto personalizada (Pasos 21–25)</x:t>
  </x:si>
  <x:si>
    <x:t xml:space="preserve">C_ValidacionFoto</x:t>
  </x:si>
  <x:si>
    <x:t xml:space="preserve">validarImagen(imagen)</x:t>
  </x:si>
  <x:si>
    <x:t xml:space="preserve">El controlador solicita validar la existencia del archivo, formato permitido y tamaño máximo.</x:t>
  </x:si>
  <x:si>
    <x:t xml:space="preserve">En el evento exitoso, devuelve que la imagen cumple las validaciones establecidas.</x:t>
  </x:si>
  <x:si>
    <x:t xml:space="preserve">consultarFotoPerfil(idUsuario)</x:t>
  </x:si>
  <x:si>
    <x:t xml:space="preserve">El controlador consulta si el usuario posee actualmente una foto personalizada registrada.</x:t>
  </x:si>
  <x:si>
    <x:t xml:space="preserve">retornarFotoPerfil(fotoPerfil)</x:t>
  </x:si>
  <x:si>
    <x:t xml:space="preserve">La entidad devuelve la información de la foto de perfil. En este caso, no existe una foto personalizada registrada; el avatar con iniciales mostrado por el sistema no se considera una foto registrada.</x:t>
  </x:si>
  <x:si>
    <x:t xml:space="preserve">validarFotoPerfilNoRegistrada(fotoPerfil)</x:t>
  </x:si>
  <x:si>
    <x:t xml:space="preserve">El controlador comprueba que el usuario aún no tenga una foto personalizada. Esta condición determina que corresponde realizar un registro.</x:t>
  </x:si>
  <x:si>
    <x:t xml:space="preserve">  BLOQUE 5 · Registro de foto y resultado (Pasos 26–31)</x:t>
  </x:si>
  <x:si>
    <x:t xml:space="preserve">registrarFotoPerfil(idUsuario,imagen)</x:t>
  </x:si>
  <x:si>
    <x:t xml:space="preserve">El controlador solicita registrar por primera vez la imagen seleccionada como foto personalizada del usuario.</x:t>
  </x:si>
  <x:si>
    <x:t xml:space="preserve">confirmarRegistroFoto(resultado)</x:t>
  </x:si>
  <x:si>
    <x:t xml:space="preserve">La entidad confirma que la foto personalizada fue registrada correctamente.</x:t>
  </x:si>
  <x:si>
    <x:t xml:space="preserve">mostrarFotoRegistrada(imagen)</x:t>
  </x:si>
  <x:si>
    <x:t xml:space="preserve">El controlador solicita regresar al Perfil mostrando la nueva foto personalizada registrada, la cual reemplaza visualmente al avatar predeterminado generado con las iniciales del usuario.</x:t>
  </x:si>
  <x:si>
    <x:t xml:space="preserve">solicitarMensajeResultado(tipo="éxito")</x:t>
  </x:si>
  <x:si>
    <x:t xml:space="preserve">La interfaz solicita mostrar el mensaje breve correspondiente al resultado exitoso.</x:t>
  </x:si>
  <x:si>
    <x:t xml:space="preserve">I_ResultadoOperacion</x:t>
  </x:si>
  <x:si>
    <x:t xml:space="preserve">mostrarMensajeExito("Foto registrada correctamente")</x:t>
  </x:si>
  <x:si>
    <x:t xml:space="preserve">El controlador solicita mostrar la alerta pequeña de resultado exitoso.</x:t>
  </x:si>
  <x:si>
    <x:t xml:space="preserve">visualizarMensajeResultado()</x:t>
  </x:si>
  <x:si>
    <x:t xml:space="preserve">El usuario visualiza el mensaje “Foto registrada correctamente”.</x:t>
  </x:si>
  <x:si>
    <x:t xml:space="preserve">DIAGRAMA DE SECUENCIAS — RF-039-Actualizar foto de perfil  |  EVENTO EXITOSO</x:t>
  </x:si>
  <x:si>
    <x:t xml:space="preserve">El usuario selecciona el icono correspondiente a su foto/avatar de perfil.</x:t>
  </x:si>
  <x:si>
    <x:t xml:space="preserve">El controlador solicita mostrar las opciones Actualizar foto, Eliminar foto y Cancelar.</x:t>
  </x:si>
  <x:si>
    <x:t xml:space="preserve">El usuario visualiza las opciones disponibles.</x:t>
  </x:si>
  <x:si>
    <x:t xml:space="preserve">En este evento exitoso, el usuario selecciona Actualizar foto.</x:t>
  </x:si>
  <x:si>
    <x:t xml:space="preserve">  BLOQUE 3 · Selección de nueva imagen y confirmación con Hecho (Pasos 15–20)</x:t>
  </x:si>
  <x:si>
    <x:t xml:space="preserve">El usuario visualiza las imágenes disponibles.</x:t>
  </x:si>
  <x:si>
    <x:t xml:space="preserve">seleccionarNuevaImagen()</x:t>
  </x:si>
  <x:si>
    <x:t xml:space="preserve">El usuario selecciona la nueva imagen que desea utilizar como foto de perfil.</x:t>
  </x:si>
  <x:si>
    <x:t xml:space="preserve">El usuario presiona Hecho para confirmar la nueva imagen.</x:t>
  </x:si>
  <x:si>
    <x:t xml:space="preserve">enviarImagenSeleccionada(nuevaImagen)</x:t>
  </x:si>
  <x:si>
    <x:t xml:space="preserve">La interfaz envía al controlador la nueva imagen confirmada.</x:t>
  </x:si>
  <x:si>
    <x:t xml:space="preserve">  BLOQUE 4 · Validación de imagen y verificación de foto personalizada  (Pasos 21–25)</x:t>
  </x:si>
  <x:si>
    <x:t xml:space="preserve">validarImagen(nuevaImagen)</x:t>
  </x:si>
  <x:si>
    <x:t xml:space="preserve">El controlador solicita validar existencia del archivo, formato permitido y tamaño máximo.</x:t>
  </x:si>
  <x:si>
    <x:t xml:space="preserve">En el evento exitoso, informa que la nueva imagen cumple las validaciones.</x:t>
  </x:si>
  <x:si>
    <x:t xml:space="preserve">El controlador consulta si existe una foto personalizada registrada para el usuario.</x:t>
  </x:si>
  <x:si>
    <x:t xml:space="preserve">retornarFotoPerfil(fotoActual)</x:t>
  </x:si>
  <x:si>
    <x:t xml:space="preserve">La entidad devuelve la foto personalizada actualmente registrada.</x:t>
  </x:si>
  <x:si>
    <x:t xml:space="preserve">validarFotoPerfilRegistrada(fotoActual)</x:t>
  </x:si>
  <x:si>
    <x:t xml:space="preserve">El controlador comprueba que exista una foto personalizada previa. Esta condición determina que corresponde realizar una actualización.</x:t>
  </x:si>
  <x:si>
    <x:t xml:space="preserve">  BLOQUE 5 · Actualización de foto y resultado  (Pasos 26–31)</x:t>
  </x:si>
  <x:si>
    <x:t xml:space="preserve">actualizarFotoPerfil(idUsuario,nuevaImagen)</x:t>
  </x:si>
  <x:si>
    <x:t xml:space="preserve">El controlador solicita reemplazar la foto personalizada actual por la nueva imagen validada.</x:t>
  </x:si>
  <x:si>
    <x:t xml:space="preserve">confirmarActualizacionFoto(resultado)</x:t>
  </x:si>
  <x:si>
    <x:t xml:space="preserve">La entidad confirma que la nueva foto reemplazó correctamente a la anterior.</x:t>
  </x:si>
  <x:si>
    <x:t xml:space="preserve">mostrarFotoActualizada(nuevaImagen)</x:t>
  </x:si>
  <x:si>
    <x:t xml:space="preserve">El controlador solicita regresar al Perfil mostrando la nueva foto actualizada.</x:t>
  </x:si>
  <x:si>
    <x:t xml:space="preserve">mostrarMensajeExito("Foto actualizada correctamente")</x:t>
  </x:si>
  <x:si>
    <x:t xml:space="preserve">El usuario visualiza el mensaje “Foto actualizada correctamente”.</x:t>
  </x:si>
  <x:si>
    <x:t xml:space="preserve">DIAGRAMA DE SECUENCIAS — RF-040-Eliminar foto de perfil  |  EVENTO EXITOSO</x:t>
  </x:si>
  <x:si>
    <x:t xml:space="preserve">Patrón: Actor → Interfaz → Control → Entidad  |  27 pasos  |  5 bloques</x:t>
  </x:si>
  <x:si>
    <x:t xml:space="preserve">  BLOQUE 1 · Navegación hacia perfil   (Pasos 1–8)</x:t>
  </x:si>
  <x:si>
    <x:t xml:space="preserve">  BLOQUE 2 · Acceso a opciones de foto y selección de Eliminar foto  (Pasos 9–14)</x:t>
  </x:si>
  <x:si>
    <x:t xml:space="preserve">seleccionarEliminarFoto()</x:t>
  </x:si>
  <x:si>
    <x:t xml:space="preserve">En este evento exitoso, el usuario selecciona la opción Eliminar foto.</x:t>
  </x:si>
  <x:si>
    <x:t xml:space="preserve">solicitarEliminarFoto()</x:t>
  </x:si>
  <x:si>
    <x:t xml:space="preserve">La interfaz comunica al controlador que el usuario seleccionó Eliminar foto.</x:t>
  </x:si>
  <x:si>
    <x:t xml:space="preserve">  BLOQUE 3 · Verificación de foto y solicitud de confirmación  (Pasos 15–19)</x:t>
  </x:si>
  <x:si>
    <x:t xml:space="preserve">El controlador consulta si el usuario posee una foto personalizada registrada.</x:t>
  </x:si>
  <x:si>
    <x:t xml:space="preserve">La entidad devuelve la foto personalizada actualmente asociada al usuario.</x:t>
  </x:si>
  <x:si>
    <x:t xml:space="preserve">El controlador verifica que exista una foto personalizada antes de permitir su eliminación.</x:t>
  </x:si>
  <x:si>
    <x:t xml:space="preserve">I_ConfirmacionEliminarFoto</x:t>
  </x:si>
  <x:si>
    <x:t xml:space="preserve">mostrarConfirmacionEliminarFoto()</x:t>
  </x:si>
  <x:si>
    <x:t xml:space="preserve">Al existir una foto personalizada, el controlador solicita mostrar la confirmación de eliminación.</x:t>
  </x:si>
  <x:si>
    <x:t xml:space="preserve">visualizarConfirmacionEliminarFoto()</x:t>
  </x:si>
  <x:si>
    <x:t xml:space="preserve">El usuario visualiza la advertencia y las opciones para confirmar o cancelar la eliminación.</x:t>
  </x:si>
  <x:si>
    <x:t xml:space="preserve">  BLOQUE 4 · Confirmación y eliminación de foto  (Pasos 20–23)</x:t>
  </x:si>
  <x:si>
    <x:t xml:space="preserve">confirmarEliminarFoto()</x:t>
  </x:si>
  <x:si>
    <x:t xml:space="preserve">El usuario confirma que desea eliminar su foto personalizada.</x:t>
  </x:si>
  <x:si>
    <x:t xml:space="preserve">enviarConfirmacionEliminacion()</x:t>
  </x:si>
  <x:si>
    <x:t xml:space="preserve">La interfaz comunica al controlador la confirmación realizada por el usuario.</x:t>
  </x:si>
  <x:si>
    <x:t xml:space="preserve">eliminarFotoPerfil(idUsuario)</x:t>
  </x:si>
  <x:si>
    <x:t xml:space="preserve">El controlador solicita eliminar la foto personalizada asociada al usuario.</x:t>
  </x:si>
  <x:si>
    <x:t xml:space="preserve">confirmarEliminacionFoto(resultado)</x:t>
  </x:si>
  <x:si>
    <x:t xml:space="preserve">La entidad confirma que la foto personalizada fue eliminada correctamente.</x:t>
  </x:si>
  <x:si>
    <x:t xml:space="preserve">  BLOQUE 5 · Actualización del perfil y resultado  (Pasos 24–27)</x:t>
  </x:si>
  <x:si>
    <x:t xml:space="preserve">mostrarFotoEliminada()</x:t>
  </x:si>
  <x:si>
    <x:t xml:space="preserve">El controlador solicita regresar al Perfil mostrando nuevamente el avatar predeterminado generado con las iniciales del usuario.</x:t>
  </x:si>
  <x:si>
    <x:t xml:space="preserve">mostrarMensajeExito("Foto eliminada correctamente")</x:t>
  </x:si>
  <x:si>
    <x:t xml:space="preserve">El usuario visualiza el mensaje “Foto eliminada correctamente”.</x:t>
  </x:si>
  <x:si>
    <x:t xml:space="preserve">DIAGRAMA DE SECUENCIAS — RF-041 Compartir información pública del vehículo | EVENTO EXITOSO</x:t>
  </x:si>
  <x:si>
    <x:t xml:space="preserve">Patrón: Actor → Interfaz → Control → Entidad → Servicio PDF → Servicio de dispositivo | 18 pasos | 6 bloques</x:t>
  </x:si>
  <x:si>
    <x:t xml:space="preserve">BLOQUE 1 · SELECCIÓN DEL VEHÍCULO A COMPARTIR (Pasos 1–2)</x:t>
  </x:si>
  <x:si>
    <x:t xml:space="preserve">seleccionarCompartirVehiculo(idVehiculo)</x:t>
  </x:si>
  <x:si>
    <x:t xml:space="preserve">El usuario selecciona la opción Compartir ubicada en la tarjeta del vehículo seleccionado.</x:t>
  </x:si>
  <x:si>
    <x:t xml:space="preserve">C_ControlCompartirVehiculo</x:t>
  </x:si>
  <x:si>
    <x:t xml:space="preserve">solicitarCompartirVehiculo(idUsuario,idVehiculo)</x:t>
  </x:si>
  <x:si>
    <x:t xml:space="preserve">La interfaz envía al controlador la solicitud para compartir la información pública del vehículo seleccionado.</x:t>
  </x:si>
  <x:si>
    <x:t xml:space="preserve">BLOQUE 2 · VALIDACIÓN Y OBTENCIÓN DE INFORMACIÓN PÚBLICA (Pasos 3–6)</x:t>
  </x:si>
  <x:si>
    <x:t xml:space="preserve">consultarDatosPublicosVehiculo(idUsuario,idVehiculo)</x:t>
  </x:si>
  <x:si>
    <x:t xml:space="preserve">Consulta exclusivamente marca, modelo, año de fabricación y tipo de combustible para elaborar la ficha pública. Si tipoMotor=ELÉCTRICO, el tipo de combustible no aplica. No amplía automáticamente los datos públicos a VIN, número de serie, número de motor, placa, kilometraje ni otros campos incorporados en RF08.</x:t>
  </x:si>
  <x:si>
    <x:t xml:space="preserve">retornarDatosPublicosVehiculo(marca,modelo,anioFabricacion,tipoCombustible)</x:t>
  </x:si>
  <x:si>
    <x:t xml:space="preserve">La entidad devuelve únicamente los datos públicos autorizados: marca, modelo, anioFabricacion y combustible cuando aplica. Para un vehículo eléctrico, combustible se representa como «No aplica». Nunca se incluyen VIN, número de serie o número de motor; la imagen pública se obtiene por separado.</x:t>
  </x:si>
  <x:si>
    <x:t xml:space="preserve">solicitarImagenPrincipalPublica(idVehiculo)</x:t>
  </x:si>
  <x:si>
    <x:t xml:space="preserve">El controlador de compartir delega la consulta de la imagen al controlador responsable para mantener encapsulado E_ImagenVehiculo.</x:t>
  </x:si>
  <x:si>
    <x:t xml:space="preserve">retornarImagenPublica(imagenPrincipal)</x:t>
  </x:si>
  <x:si>
    <x:t xml:space="preserve">C_ControlImagenVehiculo devuelve la imagen principal personalizada o la representación predeterminada autorizada para compartir.</x:t>
  </x:si>
  <x:si>
    <x:t xml:space="preserve">BLOQUE 3 · GENERACIÓN DEL PDF Y VISTA PREVIA (Pasos 7–11)</x:t>
  </x:si>
  <x:si>
    <x:t xml:space="preserve">consolidarContenidoPublico(datosVehiculo,imagenPrincipal)</x:t>
  </x:si>
  <x:si>
    <x:t xml:space="preserve">Consolida exclusivamente los campos autorizados para la ficha pública. En el caso eléctrico, muestra «Combustible: No aplica» o lo omite de manera coherente; excluye VIN, número de serie, número de motor, información privada y kilometraje.</x:t>
  </x:si>
  <x:si>
    <x:t xml:space="preserve">ServicioGeneradorPDF</x:t>
  </x:si>
  <x:si>
    <x:t xml:space="preserve">generarFichaVehiculoPDF(contenidoPublico)</x:t>
  </x:si>
  <x:si>
    <x:t xml:space="preserve">El controlador solicita generar un archivo PDF temporal con la ficha pública del vehículo. El archivo se crea con tipo application/pdf.</x:t>
  </x:si>
  <x:si>
    <x:t xml:space="preserve">retornarPDFGenerado(archivoPDFTemporal)</x:t>
  </x:si>
  <x:si>
    <x:t xml:space="preserve">El servicio devuelve el PDF generado como archivo temporal o Blob para poder previsualizarlo y adjuntarlo.</x:t>
  </x:si>
  <x:si>
    <x:t xml:space="preserve">I_VistaPreviaCompartirVehiculo</x:t>
  </x:si>
  <x:si>
    <x:t xml:space="preserve">mostrarVistaPreviaPDF(archivoPDFTemporal,WHATSAPP,CORREO)</x:t>
  </x:si>
  <x:si>
    <x:t xml:space="preserve">El controlador solicita mostrar la vista previa del PDF y los dos botones disponibles: WhatsApp y Correo.</x:t>
  </x:si>
  <x:si>
    <x:t xml:space="preserve">visualizarPDFYOpcionesCompartir()</x:t>
  </x:si>
  <x:si>
    <x:t xml:space="preserve">El usuario visualiza la ficha PDF antes de elegir el canal de compartición.</x:t>
  </x:si>
  <x:si>
    <x:t xml:space="preserve">BLOQUE 4 · SELECCIÓN DEL CANAL (Pasos 12–14)</x:t>
  </x:si>
  <x:si>
    <x:t xml:space="preserve">seleccionarCanalCompartir(canal)</x:t>
  </x:si>
  <x:si>
    <x:t xml:space="preserve">El usuario selecciona uno de los dos botones: WhatsApp o Correo.</x:t>
  </x:si>
  <x:si>
    <x:t xml:space="preserve">solicitarCompartirPDF(canal,archivoPDFTemporal)</x:t>
  </x:si>
  <x:si>
    <x:t xml:space="preserve">La interfaz comunica el canal seleccionado y entrega al controlador la referencia del PDF ya generado.</x:t>
  </x:si>
  <x:si>
    <x:t xml:space="preserve">validarCanalComparticion(canal)</x:t>
  </x:si>
  <x:si>
    <x:t xml:space="preserve">El controlador valida que el canal solicitado corresponda a WHATSAPP o CORREO antes de delegar el archivo al mecanismo de compartición del dispositivo.</x:t>
  </x:si>
  <x:si>
    <x:t xml:space="preserve">BLOQUE 5 · ENTREGA DEL PDF AL CANAL EXTERNO (Pasos 15–16)</x:t>
  </x:si>
  <x:si>
    <x:t xml:space="preserve">abrirCanalConPDF(archivoPDFTemporal,canal)</x:t>
  </x:si>
  <x:si>
    <x:t xml:space="preserve">El controlador invoca el mecanismo de compartición del dispositivo y entrega el PDF como adjunto. WhatsApp o la aplicación de correo gestionan externamente la selección del destinatario y el envío final.</x:t>
  </x:si>
  <x:si>
    <x:t xml:space="preserve">retornarAperturaCanal(resultado)</x:t>
  </x:si>
  <x:si>
    <x:t xml:space="preserve">En el evento exitoso, el sistema confirma que el canal externo pudo abrirse con el PDF disponible para compartir. No se afirma que el mensaje haya sido entregado, porque esa acción ocurre fuera de la aplicación.</x:t>
  </x:si>
  <x:si>
    <x:t xml:space="preserve">BLOQUE 6 · RETORNO AL MÓDULO AUTOS (Pasos 17–18)</x:t>
  </x:si>
  <x:si>
    <x:t xml:space="preserve">restaurarVistaAutos()</x:t>
  </x:si>
  <x:si>
    <x:t xml:space="preserve">Cuando el usuario regresa desde la aplicación externa de compartición, el controlador restablece la interfaz Autos.</x:t>
  </x:si>
  <x:si>
    <x:t xml:space="preserve">visualizarAutos()</x:t>
  </x:si>
  <x:si>
    <x:t xml:space="preserve">El usuario visualiza nuevamente la lista de vehículos.</x:t>
  </x:si>
  <x:si>
    <x:t xml:space="preserve">NOTA: La aplicación genera el PDF; WhatsApp/Correo reciben el archivo mediante el mecanismo de compartición del dispositivo. La selección del destinatario y el envío final pertenecen a la aplicación externa, no al flujo interno de RF41.</x:t>
  </x:si>
  <x:si>
    <x:t xml:space="preserve">DIAGRAMA DE SECUENCIAS — RF-042 Registrar imagen del vehículo | EVENTO EXITOSO</x:t>
  </x:si>
  <x:si>
    <x:t xml:space="preserve">Patrón: Actor → Interfaz → Control → Entidad → Control → Interfaz → Actor | 28 pasos | 5 bloques</x:t>
  </x:si>
  <x:si>
    <x:t xml:space="preserve">BLOQUE 1 · INICIO DESDE EL DETALLE YA CARGADO POR RF10 (Pasos 1–7)</x:t>
  </x:si>
  <x:si>
    <x:t xml:space="preserve">seleccionarRegistrarImagen(idVehiculo)</x:t>
  </x:si>
  <x:si>
    <x:t xml:space="preserve">Desde el detalle ya cargado mediante RF10, el usuario selecciona Registrar imagen. RF42 no vuelve a reconstruir el detalle completo.</x:t>
  </x:si>
  <x:si>
    <x:t xml:space="preserve">solicitarRegistroImagen(idUsuario,idVehiculo)</x:t>
  </x:si>
  <x:si>
    <x:t xml:space="preserve">La interfaz solicita iniciar el registro de una imagen personalizada para el vehículo mostrado.</x:t>
  </x:si>
  <x:si>
    <x:t xml:space="preserve">El controlador revalida que no exista una imagen personalizada principal antes de registrar una nueva.</x:t>
  </x:si>
  <x:si>
    <x:t xml:space="preserve">retornarEstadoImagen(PREDETERMINADA)</x:t>
  </x:si>
  <x:si>
    <x:t xml:space="preserve">En el evento exitoso no existe imagen personalizada activa.</x:t>
  </x:si>
  <x:si>
    <x:t xml:space="preserve">validarRegistroImagenDisponible(PREDETERMINADA,vehiculoActivoRF10)</x:t>
  </x:si>
  <x:si>
    <x:t xml:space="preserve">Confirma la acción Registrar imagen usando el estado ACTIVO ya validado por RF10 y el estado actual de imagen.</x:t>
  </x:si>
  <x:si>
    <x:t xml:space="preserve">I_RegistrarImagenVehiculo</x:t>
  </x:si>
  <x:si>
    <x:t xml:space="preserve">mostrarRegistroImagen()</x:t>
  </x:si>
  <x:si>
    <x:t xml:space="preserve">El controlador solicita mostrar la interfaz de registro de imagen.</x:t>
  </x:si>
  <x:si>
    <x:t xml:space="preserve">visualizarRegistroImagen()</x:t>
  </x:si>
  <x:si>
    <x:t xml:space="preserve">El usuario visualiza la pantalla Registrar imagen.</x:t>
  </x:si>
  <x:si>
    <x:t xml:space="preserve">BLOQUE 2 · SELECCIÓN DE IMAGEN (Pasos 8–11)</x:t>
  </x:si>
  <x:si>
    <x:t xml:space="preserve">El usuario selecciona la opción para elegir una imagen desde la galería.</x:t>
  </x:si>
  <x:si>
    <x:t xml:space="preserve">solicitarSeleccionImagen()</x:t>
  </x:si>
  <x:si>
    <x:t xml:space="preserve">La interfaz solicita al controlador abrir el selector de imágenes.</x:t>
  </x:si>
  <x:si>
    <x:t xml:space="preserve">ServicioGaleriaDispositivo</x:t>
  </x:si>
  <x:si>
    <x:t xml:space="preserve">abrirGaleriaImagenes()</x:t>
  </x:si>
  <x:si>
    <x:t xml:space="preserve">El controlador solicita abrir la galería del dispositivo.</x:t>
  </x:si>
  <x:si>
    <x:t xml:space="preserve">retornarImagenSeleccionada(imagen)</x:t>
  </x:si>
  <x:si>
    <x:t xml:space="preserve">En el escenario feliz, el servicio devuelve la imagen elegida por el usuario.</x:t>
  </x:si>
  <x:si>
    <x:t xml:space="preserve">BLOQUE 3 · VISTA PREVIA, CONFIRMACIÓN Y VALIDACIÓN (Pasos 12–18)</x:t>
  </x:si>
  <x:si>
    <x:t xml:space="preserve">I_VistaPreviaImagen</x:t>
  </x:si>
  <x:si>
    <x:t xml:space="preserve">mostrarVistaPrevia(imagen)</x:t>
  </x:si>
  <x:si>
    <x:t xml:space="preserve">El controlador abre la pantalla Vista previa con la imagen seleccionada antes de guardarla.</x:t>
  </x:si>
  <x:si>
    <x:t xml:space="preserve">visualizarVistaPrevia()</x:t>
  </x:si>
  <x:si>
    <x:t xml:space="preserve">El usuario visualiza la imagen seleccionada en la pantalla Vista previa.</x:t>
  </x:si>
  <x:si>
    <x:t xml:space="preserve">El usuario selecciona Continuar para utilizar la imagen mostrada.</x:t>
  </x:si>
  <x:si>
    <x:t xml:space="preserve">enviarImagenConfirmada(imagen)</x:t>
  </x:si>
  <x:si>
    <x:t xml:space="preserve">La vista previa entrega al controlador la imagen confirmada.</x:t>
  </x:si>
  <x:si>
    <x:t xml:space="preserve">validarImagenSeleccionada(imagen)</x:t>
  </x:si>
  <x:si>
    <x:t xml:space="preserve">Antes de guardar la imagen, el controlador solicita validar que el archivo seleccionado sea JPG, PNG o HEIC y que su tamaño no supere 5 MB, usando las mismas reglas definidas en RF08.</x:t>
  </x:si>
  <x:si>
    <x:t xml:space="preserve">retornarValidacionImagen(resultadoValidacion)</x:t>
  </x:si>
  <x:si>
    <x:t xml:space="preserve">El controlador de validación devuelve resultado VÁLIDO para el archivo JPG, PNG o HEIC de tamaño máximo 5 MB; si no cumple, se gestiona como escenario alternativo fuera de este evento exitoso.</x:t>
  </x:si>
  <x:si>
    <x:t xml:space="preserve">evaluarValidacionImagen(resultadoValidacion)</x:t>
  </x:si>
  <x:si>
    <x:t xml:space="preserve">El controlador confirma la validación y autoriza el registro.</x:t>
  </x:si>
  <x:si>
    <x:t xml:space="preserve">BLOQUE 4 · REGISTRO DE LA IMAGEN PRINCIPAL (Pasos 19–20)</x:t>
  </x:si>
  <x:si>
    <x:t xml:space="preserve">registrarImagenPrincipal(idVehiculo,imagen)</x:t>
  </x:si>
  <x:si>
    <x:t xml:space="preserve">La entidad registra la imagen personalizada como imagen principal activa del vehículo.</x:t>
  </x:si>
  <x:si>
    <x:t xml:space="preserve">retornarImagenRegistrada(datosImagen)</x:t>
  </x:si>
  <x:si>
    <x:t xml:space="preserve">La entidad confirma el registro de la imagen principal.</x:t>
  </x:si>
  <x:si>
    <x:t xml:space="preserve">BLOQUE 5 · CONFIRMACIÓN Y RETORNO AL DETALLE ACTUALIZADO (Pasos 21–28)</x:t>
  </x:si>
  <x:si>
    <x:t xml:space="preserve">mostrarRegistroImagenExitoso()</x:t>
  </x:si>
  <x:si>
    <x:t xml:space="preserve">El controlador solicita mostrar la confirmación de registro exitoso.</x:t>
  </x:si>
  <x:si>
    <x:t xml:space="preserve">visualizarRegistroImagenExitoso()</x:t>
  </x:si>
  <x:si>
    <x:t xml:space="preserve">El usuario visualiza la confirmación.</x:t>
  </x:si>
  <x:si>
    <x:t xml:space="preserve">El usuario selecciona Continuar.</x:t>
  </x:si>
  <x:si>
    <x:t xml:space="preserve">solicitarRetornoDetalle(idUsuario,idVehiculo)</x:t>
  </x:si>
  <x:si>
    <x:t xml:space="preserve">La interfaz solicita regresar al detalle actualizado.</x:t>
  </x:si>
  <x:si>
    <x:t xml:space="preserve">solicitarDetalleActualizadoSegunRF10(idUsuario,idVehiculo)</x:t>
  </x:si>
  <x:si>
    <x:t xml:space="preserve">Solicita reconstruir el detalle completo reutilizando RF10: vehículo, kilometraje, SOAT, TIVE, estado de imagen y restricciones por estado.</x:t>
  </x:si>
  <x:si>
    <x:t xml:space="preserve">El controlador de detalle devuelve la información vigente con la imagen personalizada registrada.</x:t>
  </x:si>
  <x:si>
    <x:t xml:space="preserve">El controlador solicita mostrar el detalle actualizado.</x:t>
  </x:si>
  <x:si>
    <x:t xml:space="preserve">visualizarDetalleConImagenRegistrada()</x:t>
  </x:si>
  <x:si>
    <x:t xml:space="preserve">El usuario visualiza el vehículo con su imagen personalizada.</x:t>
  </x:si>
  <x:si>
    <x:t xml:space="preserve">DIAGRAMA DE SECUENCIAS — RF-043 Actualizar imagen del vehículo | EVENTO EXITOSO</x:t>
  </x:si>
  <x:si>
    <x:t xml:space="preserve">Patrón: Actor → Interfaz → Control → Entidad → Control → Interfaz → Actor | 28 pasos | 4 bloques</x:t>
  </x:si>
  <x:si>
    <x:t xml:space="preserve">seleccionarGestionarFoto(idVehiculo)</x:t>
  </x:si>
  <x:si>
    <x:t xml:space="preserve">Desde el detalle ya cargado mediante RF10, el usuario selecciona Gestionar foto. RF43 no duplica la carga completa del detalle.</x:t>
  </x:si>
  <x:si>
    <x:t xml:space="preserve">solicitarActualizacionImagen(idUsuario,idVehiculo)</x:t>
  </x:si>
  <x:si>
    <x:t xml:space="preserve">La interfaz solicita iniciar la actualización de la imagen personalizada vigente.</x:t>
  </x:si>
  <x:si>
    <x:t xml:space="preserve">El controlador revalida la imagen principal asociada al vehículo.</x:t>
  </x:si>
  <x:si>
    <x:t xml:space="preserve">retornarEstadoImagen(PERSONALIZADA,datosImagenActual)</x:t>
  </x:si>
  <x:si>
    <x:t xml:space="preserve">En el evento exitoso existe una imagen personalizada principal vigente.</x:t>
  </x:si>
  <x:si>
    <x:t xml:space="preserve">validarActualizacionImagenDisponible(PERSONALIZADA,vehiculoActivoRF10)</x:t>
  </x:si>
  <x:si>
    <x:t xml:space="preserve">Confirma que Gestionar foto permanece disponible con el vehículo ACTIVO previamente validado por RF10.</x:t>
  </x:si>
  <x:si>
    <x:t xml:space="preserve">I_ActualizarImagenVehiculo</x:t>
  </x:si>
  <x:si>
    <x:t xml:space="preserve">mostrarGestionActualizacion(datosImagenActual)</x:t>
  </x:si>
  <x:si>
    <x:t xml:space="preserve">El controlador muestra la gestión de la imagen actual con la acción Actualizar foto.</x:t>
  </x:si>
  <x:si>
    <x:t xml:space="preserve">visualizarGestionActualizacion()</x:t>
  </x:si>
  <x:si>
    <x:t xml:space="preserve">El usuario visualiza la imagen actual y la opción Actualizar foto.</x:t>
  </x:si>
  <x:si>
    <x:t xml:space="preserve">BLOQUE 2 · SELECCIÓN DE NUEVA IMAGEN Y VISTA PREVIA (Pasos 8–15)</x:t>
  </x:si>
  <x:si>
    <x:t xml:space="preserve">El usuario selecciona Actualizar foto.</x:t>
  </x:si>
  <x:si>
    <x:t xml:space="preserve">solicitarSeleccionNuevaImagen()</x:t>
  </x:si>
  <x:si>
    <x:t xml:space="preserve">La interfaz solicita seleccionar una nueva imagen.</x:t>
  </x:si>
  <x:si>
    <x:t xml:space="preserve">retornarImagenSeleccionada(imagenNueva)</x:t>
  </x:si>
  <x:si>
    <x:t xml:space="preserve">En el escenario feliz, el servicio devuelve la nueva imagen seleccionada.</x:t>
  </x:si>
  <x:si>
    <x:t xml:space="preserve">mostrarVistaPrevia(imagenNueva)</x:t>
  </x:si>
  <x:si>
    <x:t xml:space="preserve">El controlador abre la pantalla Vista previa con la nueva imagen antes de reemplazar la actual.</x:t>
  </x:si>
  <x:si>
    <x:t xml:space="preserve">El usuario visualiza la nueva imagen seleccionada.</x:t>
  </x:si>
  <x:si>
    <x:t xml:space="preserve">El usuario selecciona Continuar para utilizar la nueva imagen.</x:t>
  </x:si>
  <x:si>
    <x:t xml:space="preserve">enviarImagenConfirmada(imagenNueva)</x:t>
  </x:si>
  <x:si>
    <x:t xml:space="preserve">La vista previa entrega al controlador la nueva imagen confirmada.</x:t>
  </x:si>
  <x:si>
    <x:t xml:space="preserve">BLOQUE 3 · VALIDACIÓN Y ACTUALIZACIÓN DE LA IMAGEN PRINCIPAL (Pasos 16–20)</x:t>
  </x:si>
  <x:si>
    <x:t xml:space="preserve">validarImagenSeleccionada(imagenNueva)</x:t>
  </x:si>
  <x:si>
    <x:t xml:space="preserve">El controlador confirma la validación y autoriza la actualización.</x:t>
  </x:si>
  <x:si>
    <x:t xml:space="preserve">actualizarImagenPrincipal(idVehiculo,imagenNueva)</x:t>
  </x:si>
  <x:si>
    <x:t xml:space="preserve">La entidad reemplaza la imagen personalizada principal vigente por la nueva.</x:t>
  </x:si>
  <x:si>
    <x:t xml:space="preserve">retornarImagenActualizada(datosImagenActualizada)</x:t>
  </x:si>
  <x:si>
    <x:t xml:space="preserve">La entidad confirma la actualización de la imagen principal.</x:t>
  </x:si>
  <x:si>
    <x:t xml:space="preserve">BLOQUE 4 · CONFIRMACIÓN Y RETORNO AL DETALLE ACTUALIZADO (Pasos 21–28)</x:t>
  </x:si>
  <x:si>
    <x:t xml:space="preserve">mostrarActualizacionImagenExitosa()</x:t>
  </x:si>
  <x:si>
    <x:t xml:space="preserve">El controlador solicita mostrar la confirmación de actualización exitosa.</x:t>
  </x:si>
  <x:si>
    <x:t xml:space="preserve">visualizarActualizacionImagenExitosa()</x:t>
  </x:si>
  <x:si>
    <x:t xml:space="preserve">Solicita reconstruir el detalle completo reutilizando RF10: vehículo, kilometraje, SOAT, TIVE, imagen y restricciones por estado.</x:t>
  </x:si>
  <x:si>
    <x:t xml:space="preserve">El controlador de detalle devuelve la información vigente con la nueva imagen personalizada.</x:t>
  </x:si>
  <x:si>
    <x:t xml:space="preserve">visualizarDetalleConImagenActualizada()</x:t>
  </x:si>
  <x:si>
    <x:t xml:space="preserve">El usuario visualiza el vehículo con la imagen principal actualizada.</x:t>
  </x:si>
  <x:si>
    <x:t xml:space="preserve">DIAGRAMA DE SECUENCIAS — RF-044-Gestionar ciclo de recordatorios de kilometraje  |  EVENTO EXITOSO</x:t>
  </x:si>
  <x:si>
    <x:t xml:space="preserve">Patrón: Actor → Interfaz → Control → Entidad → Control → Interfaz → Actor + subflujo automático Control→Entidad  | 57 pasos | 6 bloques</x:t>
  </x:si>
  <x:si>
    <x:t xml:space="preserve">BLOQUE 1 · CARGA DE PERFIL Y ACTIVACIÓN DEL CICLO KM (Pasos 1–12)</x:t>
  </x:si>
  <x:si>
    <x:t xml:space="preserve">El controlador de navegación solicita mostrar Perfil.</x:t>
  </x:si>
  <x:si>
    <x:t xml:space="preserve">solicitarEstadoCicloKm(idUsuario)</x:t>
  </x:si>
  <x:si>
    <x:t xml:space="preserve">Al cargar Perfil, la interfaz solicita el estado vigente de Recordatorios de kilometraje.</x:t>
  </x:si>
  <x:si>
    <x:t xml:space="preserve">E_ConfigRecordatorioKmUsuario</x:t>
  </x:si>
  <x:si>
    <x:t xml:space="preserve">consultarEstadoGlobalRecordatoriosKm(idUsuario)</x:t>
  </x:si>
  <x:si>
    <x:t xml:space="preserve">Consulta el estado global ACTIVO/PAUSADO de los recordatorios KM del usuario en la entidad de configuración global.</x:t>
  </x:si>
  <x:si>
    <x:t xml:space="preserve">retornarEstadoGlobalRecordatoriosKm(estadoGlobal)</x:t>
  </x:si>
  <x:si>
    <x:t xml:space="preserve">La configuración global devuelve el estado vigente del switch de Recordatorios de kilometraje.</x:t>
  </x:si>
  <x:si>
    <x:t xml:space="preserve">mostrarEstadoRecordatoriosKm(estadoGlobal)</x:t>
  </x:si>
  <x:si>
    <x:t xml:space="preserve">El controlador solicita representar el switch Recordatorios de kilometraje con su estado persistido.</x:t>
  </x:si>
  <x:si>
    <x:t xml:space="preserve">visualizarEstadoRecordatoriosKm()</x:t>
  </x:si>
  <x:si>
    <x:t xml:space="preserve">El usuario visualiza el switch y la fila navegable Recordatorios de kilometraje.</x:t>
  </x:si>
  <x:si>
    <x:t xml:space="preserve">activarSwitchRecordatoriosKm()</x:t>
  </x:si>
  <x:si>
    <x:t xml:space="preserve">En el evento exitoso, el usuario activa el ciclo de recordatorios KM. Desactivarlo se modelará como escenario alternativo del mismo RF.</x:t>
  </x:si>
  <x:si>
    <x:t xml:space="preserve">solicitarActivacionCicloKm(idUsuario)</x:t>
  </x:si>
  <x:si>
    <x:t xml:space="preserve">La interfaz solicita activar el ciclo global de recordatorios de kilometraje.</x:t>
  </x:si>
  <x:si>
    <x:t xml:space="preserve">actualizarEstadoGlobalRecordatoriosKm(idUsuario,ACTIVO)</x:t>
  </x:si>
  <x:si>
    <x:t xml:space="preserve">Persiste únicamente la activación global del usuario. La frecuencia y el ciclo de cada vehículo permanecen en E_RecordatorioKilometraje.</x:t>
  </x:si>
  <x:si>
    <x:t xml:space="preserve">retornarEstadoGlobalActualizado(ACTIVO)</x:t>
  </x:si>
  <x:si>
    <x:t xml:space="preserve">La entidad de configuración global confirma la activación.</x:t>
  </x:si>
  <x:si>
    <x:t xml:space="preserve">BLOQUE 2 · APERTURA Y CARGA DE CONFIGURACIÓN POR VEHÍCULO (Pasos 13–27)</x:t>
  </x:si>
  <x:si>
    <x:t xml:space="preserve">mostrarRecordatoriosKmActivados()</x:t>
  </x:si>
  <x:si>
    <x:t xml:space="preserve">El controlador solicita actualizar el switch a ON.</x:t>
  </x:si>
  <x:si>
    <x:t xml:space="preserve">visualizarRecordatoriosKmActivados()</x:t>
  </x:si>
  <x:si>
    <x:t xml:space="preserve">El usuario observa el ciclo activo.</x:t>
  </x:si>
  <x:si>
    <x:t xml:space="preserve">seleccionarFilaRecordatoriosKm()</x:t>
  </x:si>
  <x:si>
    <x:t xml:space="preserve">El usuario pulsa la fila/texto Recordatorios de kilometraje para configurar las frecuencias por vehículo.</x:t>
  </x:si>
  <x:si>
    <x:t xml:space="preserve">solicitarVistaRecordatoriosKm()</x:t>
  </x:si>
  <x:si>
    <x:t xml:space="preserve">La interfaz solicita abrir la configuración de recordatorios KM.</x:t>
  </x:si>
  <x:si>
    <x:t xml:space="preserve">I_ConfigurarRecordatorioKm</x:t>
  </x:si>
  <x:si>
    <x:t xml:space="preserve">mostrarVistaRecordatoriosKm()</x:t>
  </x:si>
  <x:si>
    <x:t xml:space="preserve">El controlador abre la sección de recordatorios de kilometraje. No abre la configuración de push externo de RF48.</x:t>
  </x:si>
  <x:si>
    <x:t xml:space="preserve">obtenerConfiguracionesCicloKm(idUsuario)</x:t>
  </x:si>
  <x:si>
    <x:t xml:space="preserve">Al cargar la pantalla de RF44 se solicitan vehículos activos, sus últimas lecturas válidas y la configuración de frecuencia/proximoRecordatorio almacenada en E_RecordatorioKilometraje.</x:t>
  </x:si>
  <x:si>
    <x:t xml:space="preserve">solicitarVehiculosActivosUsuario(idUsuario)</x:t>
  </x:si>
  <x:si>
    <x:t xml:space="preserve">Solicita vehículos ACTIVOS del usuario, respetando el cambio automático por vencimiento de Premium (RF30). Para FREE solo el principal activo es configurable; no necesita consulta adicional de E_Suscripcion porque la autorización se basa en estado vigente.</x:t>
  </x:si>
  <x:si>
    <x:t xml:space="preserve">consultarVehiculosActivosUsuario(idUsuario)</x:t>
  </x:si>
  <x:si>
    <x:t xml:space="preserve">Consulta los vehículos activos de la cuenta.</x:t>
  </x:si>
  <x:si>
    <x:t xml:space="preserve">retornarVehiculosActivos(listaVehiculos)</x:t>
  </x:si>
  <x:si>
    <x:t xml:space="preserve">La entidad devuelve los vehículos configurables.</x:t>
  </x:si>
  <x:si>
    <x:t xml:space="preserve">ControlVehiculo devuelve la lista al controlador de recordatorios KM.</x:t>
  </x:si>
  <x:si>
    <x:t xml:space="preserve">solicitarUltimasLecturasConFechaGuardado(listaVehiculos)</x:t>
  </x:si>
  <x:si>
    <x:t xml:space="preserve">Solicita la última lectura efectiva y la fecha real de guardado de cada vehículo, coherente con RF14.</x:t>
  </x:si>
  <x:si>
    <x:t xml:space="preserve">consultarUltimasLecturasEfectivas(listaVehiculos)</x:t>
  </x:si>
  <x:si>
    <x:t xml:space="preserve">Consulta las últimas lecturas válidas, considerando correcciones cuando corresponda.</x:t>
  </x:si>
  <x:si>
    <x:t xml:space="preserve">retornarUltimasLecturas(lecturasPorVehiculo)</x:t>
  </x:si>
  <x:si>
    <x:t xml:space="preserve">Devuelve kilometraje vigente, fecha de lectura y fecha real de guardado.</x:t>
  </x:si>
  <x:si>
    <x:t xml:space="preserve">Entrega las lecturas al controlador de recordatorios KM.</x:t>
  </x:si>
  <x:si>
    <x:t xml:space="preserve">consultarConfiguracionesRecordatorioKm(idUsuario,listaVehiculos)</x:t>
  </x:si>
  <x:si>
    <x:t xml:space="preserve">Consulta en E_RecordatorioKilometraje la frecuencia y próximo recordatorio de cada vehículo. Si un vehículo aún no tiene frecuencia configurada, se usa Interdiario como valor predeterminado.</x:t>
  </x:si>
  <x:si>
    <x:t xml:space="preserve">BLOQUE 3 · PRESENTACIÓN Y SELECCIÓN DEL VEHÍCULO (Pasos 28–32)</x:t>
  </x:si>
  <x:si>
    <x:t xml:space="preserve">retornarConfiguraciones(configuracionesPorVehiculo)</x:t>
  </x:si>
  <x:si>
    <x:t xml:space="preserve">Devuelve frecuencia y próximo recordatorio por vehículo.</x:t>
  </x:si>
  <x:si>
    <x:t xml:space="preserve">mostrarListaRecordatorios(listaVehiculos,lecturasPorVehiculo,configuracionesPorVehiculo)</x:t>
  </x:si>
  <x:si>
    <x:t xml:space="preserve">Muestra por vehículo: última lectura, frecuencia y próximo recordatorio. Cada vehículo conserva su propia frecuencia.</x:t>
  </x:si>
  <x:si>
    <x:t xml:space="preserve">visualizarListaRecordatorios()</x:t>
  </x:si>
  <x:si>
    <x:t xml:space="preserve">El usuario visualiza sus vehículos y el botón Cambiar frecuencia de cada uno.</x:t>
  </x:si>
  <x:si>
    <x:t xml:space="preserve">seleccionarCambiarFrecuencia(idVehiculo)</x:t>
  </x:si>
  <x:si>
    <x:t xml:space="preserve">El usuario selecciona el vehículo cuya frecuencia desea modificar.</x:t>
  </x:si>
  <x:si>
    <x:t xml:space="preserve">solicitarSelectorFrecuencia(idUsuario,idVehiculo)</x:t>
  </x:si>
  <x:si>
    <x:t xml:space="preserve">La interfaz solicita la configuración vigente del vehículo seleccionado antes de mostrar opciones.</x:t>
  </x:si>
  <x:si>
    <x:t xml:space="preserve">BLOQUE 4 · CAMBIO Y GUARDADO DE FRECUENCIA (Pasos 33–37)</x:t>
  </x:si>
  <x:si>
    <x:t xml:space="preserve">consultarConfiguracionRecordatorioKm(idUsuario,idVehiculo)</x:t>
  </x:si>
  <x:si>
    <x:t xml:space="preserve">Consulta la frecuencia actual del vehículo.</x:t>
  </x:si>
  <x:si>
    <x:t xml:space="preserve">retornarConfiguracionRecordatorioKm(frecuenciaActual)</x:t>
  </x:si>
  <x:si>
    <x:t xml:space="preserve">La entidad devuelve la frecuencia vigente.</x:t>
  </x:si>
  <x:si>
    <x:t xml:space="preserve">mostrarSelectorFrecuencia(frecuenciaActual)</x:t>
  </x:si>
  <x:si>
    <x:t xml:space="preserve">Solicita mostrar Diario, Interdiario, Semanal, Quincenal y Mensual.</x:t>
  </x:si>
  <x:si>
    <x:t xml:space="preserve">visualizarSelectorFrecuencia()</x:t>
  </x:si>
  <x:si>
    <x:t xml:space="preserve">El usuario visualiza el selector de frecuencia.</x:t>
  </x:si>
  <x:si>
    <x:t xml:space="preserve">seleccionarYGuardarFrecuencia(frecuencia)</x:t>
  </x:si>
  <x:si>
    <x:t xml:space="preserve">El usuario selecciona una frecuencia y solicita guardarla.</x:t>
  </x:si>
  <x:si>
    <x:t xml:space="preserve">BLOQUE 5 · RECÁLCULO DEL CICLO Y CONFIRMACIÓN (Pasos 38–43)</x:t>
  </x:si>
  <x:si>
    <x:t xml:space="preserve">guardarFrecuenciaCicloKm(idUsuario,idVehiculo,frecuencia)</x:t>
  </x:si>
  <x:si>
    <x:t xml:space="preserve">La interfaz envía la frecuencia seleccionada.</x:t>
  </x:si>
  <x:si>
    <x:t xml:space="preserve">validarYRecalcularProximoRecordatorio(frecuencia,fechaGuardadoUltimaLectura,fechaActual)</x:t>
  </x:si>
  <x:si>
    <x:t xml:space="preserve">Valida la frecuencia y recalcula el próximo recordatorio desde la fecha real de guardado de la última lectura válida. Cuando el ciclo está ACTIVO y llega proximoRecordatorio, el bloque automático de este RF44 detecta el vencimiento y solicita crear/reactivar el primer aviso KM. La reemisión de esa MISMA notificación cada 24 h queda integrada en RF46.</x:t>
  </x:si>
  <x:si>
    <x:t xml:space="preserve">actualizarConfiguracionRecordatorioKm(idUsuario,idVehiculo,frecuencia,proximoRecordatorio)</x:t>
  </x:si>
  <x:si>
    <x:t xml:space="preserve">Actualiza en E_RecordatorioKilometraje la frecuencia y el próximo recordatorio del vehículo. No modifica E_Notificacion ni las preferencias externas de RF48.</x:t>
  </x:si>
  <x:si>
    <x:t xml:space="preserve">retornarConfiguracionActualizada(frecuencia,proximoRecordatorio)</x:t>
  </x:si>
  <x:si>
    <x:t xml:space="preserve">La entidad confirma la configuración.</x:t>
  </x:si>
  <x:si>
    <x:t xml:space="preserve">mostrarConfiguracionActualizada(idVehiculo,frecuencia,proximoRecordatorio)</x:t>
  </x:si>
  <x:si>
    <x:t xml:space="preserve">Actualiza la misma pantalla con un aviso inline de éxito.</x:t>
  </x:si>
  <x:si>
    <x:t xml:space="preserve">El usuario visualiza la nueva frecuencia y el próximo recordatorio del vehículo.</x:t>
  </x:si>
  <x:si>
    <x:t xml:space="preserve">BLOQUE 6 · ACTIVACIÓN AUTOMÁTICA DEL PRIMER AVISO DE KILOMETRAJE (Pasos 44–57)</x:t>
  </x:si>
  <x:si>
    <x:t xml:space="preserve">evaluarPrimerAvisoCicloKm(fechaActual)</x:t>
  </x:si>
  <x:si>
    <x:t xml:space="preserve">Subflujo automático asociado a RF44. Evalúa si corresponde generar el primer aviso sin depender de que el usuario abra la pantalla.</x:t>
  </x:si>
  <x:si>
    <x:t xml:space="preserve">consultarUsuariosConRecordatorioKmActivo()</x:t>
  </x:si>
  <x:si>
    <x:t xml:space="preserve">Primero consulta qué usuarios mantienen ACTIVO el estado global de recordatorios KM.</x:t>
  </x:si>
  <x:si>
    <x:t xml:space="preserve">retornarUsuariosRecordatorioKmActivo(listaUsuarios)</x:t>
  </x:si>
  <x:si>
    <x:t xml:space="preserve">Devuelve únicamente usuarios cuyo estado global permite generar avisos.</x:t>
  </x:si>
  <x:si>
    <x:t xml:space="preserve">consultarCiclosKmActivosConFechaCumplida(fechaActual,listaUsuarios)</x:t>
  </x:si>
  <x:si>
    <x:t xml:space="preserve">Consulta ciclos por vehículo con estado_ciclo ACTIVO y proximo_recordatorio cumplido, solo para usuarios con configuración global ACTIVA.</x:t>
  </x:si>
  <x:si>
    <x:t xml:space="preserve">retornarCiclosKmCandidatos(listaCiclos)</x:t>
  </x:si>
  <x:si>
    <x:t xml:space="preserve">Devuelve usuario, vehículo, frecuencia, fecha base y próximo recordatorio de cada ciclo candidato.</x:t>
  </x:si>
  <x:si>
    <x:t xml:space="preserve">solicitarEstadosVehiculos(listaIdVehiculo)</x:t>
  </x:si>
  <x:si>
    <x:t xml:space="preserve">Solicita confirmar que los vehículos de los ciclos candidatos continúen ACTIVOS.</x:t>
  </x:si>
  <x:si>
    <x:t xml:space="preserve">consultarEstadosVehiculos(listaIdVehiculo)</x:t>
  </x:si>
  <x:si>
    <x:t xml:space="preserve">Consulta el estado vigente de los vehículos candidatos.</x:t>
  </x:si>
  <x:si>
    <x:t xml:space="preserve">retornarEstadosVehiculos(estadosVehiculo)</x:t>
  </x:si>
  <x:si>
    <x:t xml:space="preserve">La entidad devuelve los estados actuales.</x:t>
  </x:si>
  <x:si>
    <x:t xml:space="preserve">ControlVehiculo entrega los estados al controlador dueño del ciclo KM.</x:t>
  </x:si>
  <x:si>
    <x:t xml:space="preserve">determinarCiclosKmNotificables(listaCiclos,estadosVehiculo)</x:t>
  </x:si>
  <x:si>
    <x:t xml:space="preserve">Genera avisos únicamente para ciclos con configuración global ACTIVA, estado_ciclo ACTIVO y vehículo ACTIVO. Los secundarios desactivados al pasar a FREE quedan excluidos automáticamente; no se generan notificaciones retroactivas.</x:t>
  </x:si>
  <x:si>
    <x:t xml:space="preserve">solicitarActivacionYDespachoPrimerAvisoKm(ciclosNotificables,fechaActual)</x:t>
  </x:si>
  <x:si>
    <x:t xml:space="preserve">Solicita crear o reactivar la notificación interna de kilometraje. Después de activarla, C_ControlNotificacion reutiliza RF46 pasos 46–50 para enviar el push externo solo cuando Kilometraje está ON en E_PreferenciaNotificacion y el permiso del dispositivo está CONCEDIDO.</x:t>
  </x:si>
  <x:si>
    <x:t xml:space="preserve">crearOReactivarNotificacionKmUnica(ciclosNotificables,fechaActual,leida=0,proximaEmision=fechaActual+24h)</x:t>
  </x:si>
  <x:si>
    <x:t xml:space="preserve">Genera o reactiva una única notificación KILOMETRAJE PENDIENTE por ciclo; no duplica avisos.</x:t>
  </x:si>
  <x:si>
    <x:t xml:space="preserve">retornarPrimerAvisoKmActivado()</x:t>
  </x:si>
  <x:si>
    <x:t xml:space="preserve">La entidad confirma la activación de los avisos internos correspondientes.</x:t>
  </x:si>
  <x:si>
    <x:t xml:space="preserve">retornarActivacionPrimerAvisoKm()</x:t>
  </x:si>
  <x:si>
    <x:t xml:space="preserve">Notificaciones confirma al controlador de recordatorios que el primer aviso quedó sincronizado.</x:t>
  </x:si>
  <x:si>
    <x:t xml:space="preserve">DIAGRAMA DE SECUENCIAS — RF-045 Eliminar imagen del vehículo | EVENTO EXITOSO</x:t>
  </x:si>
  <x:si>
    <x:t xml:space="preserve">Patrón: Actor → Interfaz → Control → Entidad → Control → Interfaz → Actor | 24 pasos | 4 bloques</x:t>
  </x:si>
  <x:si>
    <x:t xml:space="preserve">Desde el detalle ya cargado mediante RF10, el usuario selecciona Gestionar foto. RF45 no reconstruye nuevamente el detalle completo.</x:t>
  </x:si>
  <x:si>
    <x:t xml:space="preserve">solicitarGestionImagen(idUsuario,idVehiculo)</x:t>
  </x:si>
  <x:si>
    <x:t xml:space="preserve">La interfaz solicita gestionar la imagen personalizada del vehículo mostrado.</x:t>
  </x:si>
  <x:si>
    <x:t xml:space="preserve">El controlador revalida que exista una imagen personalizada principal vigente.</x:t>
  </x:si>
  <x:si>
    <x:t xml:space="preserve">La entidad devuelve la imagen personalizada vigente.</x:t>
  </x:si>
  <x:si>
    <x:t xml:space="preserve">validarEliminacionImagenDisponible(PERSONALIZADA,vehiculoActivoRF10)</x:t>
  </x:si>
  <x:si>
    <x:t xml:space="preserve">Confirma que la acción Gestionar/Eliminar imagen sigue disponible con el vehículo ACTIVO validado por RF10.</x:t>
  </x:si>
  <x:si>
    <x:t xml:space="preserve">I_EliminarImagenVehiculo</x:t>
  </x:si>
  <x:si>
    <x:t xml:space="preserve">mostrarEliminacionImagen(datosImagenActual)</x:t>
  </x:si>
  <x:si>
    <x:t xml:space="preserve">El controlador solicita mostrar la interfaz propia de RF45 con la imagen actual y la opción Eliminar imagen.</x:t>
  </x:si>
  <x:si>
    <x:t xml:space="preserve">visualizarImagenActual()</x:t>
  </x:si>
  <x:si>
    <x:t xml:space="preserve">El usuario visualiza la imagen personalizada actual y la opción para eliminarla.</x:t>
  </x:si>
  <x:si>
    <x:t xml:space="preserve">BLOQUE 2 · SOLICITUD Y CONFIRMACIÓN DE ELIMINACIÓN (Pasos 8–13)</x:t>
  </x:si>
  <x:si>
    <x:t xml:space="preserve">seleccionarEliminarImagen()</x:t>
  </x:si>
  <x:si>
    <x:t xml:space="preserve">El usuario selecciona Eliminar imagen.</x:t>
  </x:si>
  <x:si>
    <x:t xml:space="preserve">solicitarEliminacionImagen(idUsuario,idVehiculo)</x:t>
  </x:si>
  <x:si>
    <x:t xml:space="preserve">La interfaz comunica al controlador que el usuario desea eliminar la imagen personalizada principal.</x:t>
  </x:si>
  <x:si>
    <x:t xml:space="preserve">mostrarConfirmacionEliminarImagen()</x:t>
  </x:si>
  <x:si>
    <x:t xml:space="preserve">Antes de eliminar, el controlador solicita mostrar una confirmación de la operación.</x:t>
  </x:si>
  <x:si>
    <x:t xml:space="preserve">visualizarConfirmacionEliminarImagen()</x:t>
  </x:si>
  <x:si>
    <x:t xml:space="preserve">El usuario visualiza la confirmación de eliminación.</x:t>
  </x:si>
  <x:si>
    <x:t xml:space="preserve">confirmarEliminarImagen()</x:t>
  </x:si>
  <x:si>
    <x:t xml:space="preserve">En el escenario feliz, el usuario confirma eliminar la imagen personalizada.</x:t>
  </x:si>
  <x:si>
    <x:t xml:space="preserve">enviarConfirmacionEliminacion(idUsuario,idVehiculo)</x:t>
  </x:si>
  <x:si>
    <x:t xml:space="preserve">La interfaz comunica al controlador que la eliminación fue confirmada.</x:t>
  </x:si>
  <x:si>
    <x:t xml:space="preserve">BLOQUE 3 · ELIMINACIÓN Y CAMBIO A IMAGEN PREDETERMINADA (Pasos 14–20)</x:t>
  </x:si>
  <x:si>
    <x:t xml:space="preserve">eliminarImagenPrincipal(idVehiculo)</x:t>
  </x:si>
  <x:si>
    <x:t xml:space="preserve">El controlador solicita eliminar la imagen personalizada principal activa del vehículo.</x:t>
  </x:si>
  <x:si>
    <x:t xml:space="preserve">retornarImagenEliminada()</x:t>
  </x:si>
  <x:si>
    <x:t xml:space="preserve">La entidad confirma que la imagen personalizada principal fue eliminada.</x:t>
  </x:si>
  <x:si>
    <x:t xml:space="preserve">establecerEstadoImagenPredeterminada()</x:t>
  </x:si>
  <x:si>
    <x:t xml:space="preserve">Al no existir una imagen personalizada activa, el controlador establece el estado lógico PREDETERMINADA para la presentación del vehículo.</x:t>
  </x:si>
  <x:si>
    <x:t xml:space="preserve">mostrarEliminacionImagenExitosa()</x:t>
  </x:si>
  <x:si>
    <x:t xml:space="preserve">El controlador solicita mostrar la confirmación de eliminación exitosa.</x:t>
  </x:si>
  <x:si>
    <x:t xml:space="preserve">visualizarEliminacionImagenExitosa()</x:t>
  </x:si>
  <x:si>
    <x:t xml:space="preserve">El usuario visualiza que la imagen fue eliminada correctamente.</x:t>
  </x:si>
  <x:si>
    <x:t xml:space="preserve">El usuario selecciona Continuar para regresar al detalle.</x:t>
  </x:si>
  <x:si>
    <x:t xml:space="preserve">La interfaz comunica al controlador que debe reconstruir el detalle actualizado del mismo vehículo.</x:t>
  </x:si>
  <x:si>
    <x:t xml:space="preserve">BLOQUE 4 · RETORNO AL DETALLE COMPLETO MEDIANTE RF10 (Pasos 21–24)</x:t>
  </x:si>
  <x:si>
    <x:t xml:space="preserve">Después de la eliminación, solicita reconstruir el detalle completo reutilizando RF10; no arma una versión parcial.</x:t>
  </x:si>
  <x:si>
    <x:t xml:space="preserve">Devuelve vehículo, kilometraje, SOAT, TIVE, estado PREDETERMINADA de imagen y restricciones según el estado del vehículo.</x:t>
  </x:si>
  <x:si>
    <x:t xml:space="preserve">El controlador muestra el detalle completo con imagen predeterminada y, solo si el vehículo está ACTIVO, la acción Registrar imagen.</x:t>
  </x:si>
  <x:si>
    <x:t xml:space="preserve">visualizarDetalleConImagenPredeterminada()</x:t>
  </x:si>
  <x:si>
    <x:t xml:space="preserve">El usuario regresa al detalle completo del vehículo sin perder kilometraje, SOAT ni TIVE.</x:t>
  </x:si>
  <x:si>
    <x:t xml:space="preserve">DIAGRAMA DE SECUENCIAS — RF-046-Consultar notificaciones  |  EVENTO EXITOSO</x:t>
  </x:si>
  <x:si>
    <x:t xml:space="preserve">Patrón: Actor → Interfaz → Control → Entidad → Control → Interfaz → Actor + subflujos automáticos de sincronización y push  |  50 pasos  |  8 bloques | Bandeja incluye LICENCIA (personal, sin idVehiculo). PUSH configurable solo para Mantenimiento/SOAT/KM hasta nueva decisión.</x:t>
  </x:si>
  <x:si>
    <x:t xml:space="preserve">BLOQUE 1 · APERTURA DEL CENTRO DE NOTIFICACIONES (Pasos 1–4)</x:t>
  </x:si>
  <x:si>
    <x:t xml:space="preserve">presionarCampanita()</x:t>
  </x:si>
  <x:si>
    <x:t xml:space="preserve">El usuario presiona la campanita desde Inicio para consultar sus notificaciones.</x:t>
  </x:si>
  <x:si>
    <x:t xml:space="preserve">solicitarCentroNotificaciones(idUsuario)</x:t>
  </x:si>
  <x:si>
    <x:t xml:space="preserve">La interfaz solicita directamente la bandeja del usuario.</x:t>
  </x:si>
  <x:si>
    <x:t xml:space="preserve">consultarNotificacionesPorUsuario(idUsuario)</x:t>
  </x:si>
  <x:si>
    <x:t xml:space="preserve">Consulta categoría, origen, vehículo, alerta vinculada, estado de gestión, leída y fecha de última emisión.</x:t>
  </x:si>
  <x:si>
    <x:t xml:space="preserve">retornarNotificaciones(listaNotificaciones)</x:t>
  </x:si>
  <x:si>
    <x:t xml:space="preserve">La entidad devuelve las notificaciones registradas.</x:t>
  </x:si>
  <x:si>
    <x:t xml:space="preserve">BLOQUE 2 · VALIDACIÓN DE VIGENCIA DE AVISOS CON ALERTA (Pasos 5–11)</x:t>
  </x:si>
  <x:si>
    <x:t xml:space="preserve">solicitarEstadosOrigen(listaIdAlertaNoNulos)</x:t>
  </x:si>
  <x:si>
    <x:t xml:space="preserve">Para Mantenimiento/SOAT/LICENCIA solicita los estados actuales de sus alertas. Kilometraje no usa E_Alerta para su ciclo de recordatorio. Incorporar estados de alertas LICENCIA en conciliación interna; no incluir CANCELADA o aviso resuelto entre pendientes.</x:t>
  </x:si>
  <x:si>
    <x:t xml:space="preserve">consultarAlertasPorIds(listaIdAlertaNoNulos)</x:t>
  </x:si>
  <x:si>
    <x:t xml:space="preserve">Consulta los estados vigentes.</x:t>
  </x:si>
  <x:si>
    <x:t xml:space="preserve">retornarEstadosAlertas(listaAlertas)</x:t>
  </x:si>
  <x:si>
    <x:t xml:space="preserve">Devuelve PROGRAMADA, PRÓXIMA, PENDIENTE, VENCIDA, REALIZADA o ANULADA.</x:t>
  </x:si>
  <x:si>
    <x:t xml:space="preserve">retornarEstadosOrigen(listaAlertas)</x:t>
  </x:si>
  <x:si>
    <x:t xml:space="preserve">Entrega los estados al controlador de notificaciones.</x:t>
  </x:si>
  <x:si>
    <x:t xml:space="preserve">conciliarVigenciaNotificaciones(listaNotificaciones,listaAlertas)</x:t>
  </x:si>
  <x:si>
    <x:t xml:space="preserve">Conciliación defensiva al abrir la bandeja: solo PRÓXIMA/PENDIENTE pueden permanecer activas para Mantenimiento/SOAT/LICENCIA. VENCIDA, REALIZADA y ANULADA deben estar en Historial. El bloque automático de RF23 mantiene esta vigencia; abrir RF46 no atiende ni dispara el ciclo.</x:t>
  </x:si>
  <x:si>
    <x:t xml:space="preserve">aplicarConciliacionVigenciaSiCorresponde(listaNotificaciones,listaAlertas)</x:t>
  </x:si>
  <x:si>
    <x:t xml:space="preserve">Corrige únicamente desfases reales sin crear duplicados. El bloque automático de RF23 sincroniza estados/avisos y el bloque automático integrado en este RF46 realiza la reemisión cada 24 h; la consulta sigue siendo principalmente de lectura.</x:t>
  </x:si>
  <x:si>
    <x:t xml:space="preserve">retornarConciliacionVigencia()</x:t>
  </x:si>
  <x:si>
    <x:t xml:space="preserve">La entidad confirma la consistencia de la bandeja.</x:t>
  </x:si>
  <x:si>
    <x:t xml:space="preserve">BLOQUE 3 · ORGANIZACIÓN Y PRESENTACIÓN (Pasos 12–16)</x:t>
  </x:si>
  <x:si>
    <x:t xml:space="preserve">consultarBandejaSincronizada(idUsuario)</x:t>
  </x:si>
  <x:si>
    <x:t xml:space="preserve">Consulta la bandeja ya conciliada.</x:t>
  </x:si>
  <x:si>
    <x:t xml:space="preserve">retornarBandejaSincronizada(pendientes,historial)</x:t>
  </x:si>
  <x:si>
    <x:t xml:space="preserve">Devuelve Pendientes vigentes e Historial.</x:t>
  </x:si>
  <x:si>
    <x:t xml:space="preserve">ordenarYContarPendientes(pendientes,historial)</x:t>
  </x:si>
  <x:si>
    <x:t xml:space="preserve">Ordena por fecha de última emisión, más reciente primero, y calcula el contador global.</x:t>
  </x:si>
  <x:si>
    <x:t xml:space="preserve">I_CentroNotificaciones</x:t>
  </x:si>
  <x:si>
    <x:t xml:space="preserve">mostrarCentroNotificaciones(pendientes,historial,contadorGlobal,categoria=TODAS)</x:t>
  </x:si>
  <x:si>
    <x:t xml:space="preserve">Muestra Pendientes e Historial con Todas como filtro inicial.</x:t>
  </x:si>
  <x:si>
    <x:t xml:space="preserve">visualizarCentroNotificaciones()</x:t>
  </x:si>
  <x:si>
    <x:t xml:space="preserve">El usuario visualiza la bandeja. VENCIDA/REALIZADA/ANULADA no aparecen en Pendientes.</x:t>
  </x:si>
  <x:si>
    <x:t xml:space="preserve">BLOQUE 4 · CAMBIO DE PESTAÑA (Pasos 17–22)</x:t>
  </x:si>
  <x:si>
    <x:t xml:space="preserve">cambiarPestana(pestanaDestino)</x:t>
  </x:si>
  <x:si>
    <x:t xml:space="preserve">El usuario cambia entre Pendientes e Historial.</x:t>
  </x:si>
  <x:si>
    <x:t xml:space="preserve">solicitarPestana(idUsuario,pestanaDestino)</x:t>
  </x:si>
  <x:si>
    <x:t xml:space="preserve">La interfaz solicita la pestaña seleccionada.</x:t>
  </x:si>
  <x:si>
    <x:t xml:space="preserve">consultarNotificacionesPorPestana(idUsuario,pestanaDestino)</x:t>
  </x:si>
  <x:si>
    <x:t xml:space="preserve">Consulta los registros de la pestaña, sin modificar estados.</x:t>
  </x:si>
  <x:si>
    <x:t xml:space="preserve">retornarNotificacionesPestana(lista)</x:t>
  </x:si>
  <x:si>
    <x:t xml:space="preserve">La entidad devuelve los registros.</x:t>
  </x:si>
  <x:si>
    <x:t xml:space="preserve">actualizarPestana(lista,pestanaDestino)</x:t>
  </x:si>
  <x:si>
    <x:t xml:space="preserve">Actualiza la vista. El filtrado por categoría pertenece a RF49.</x:t>
  </x:si>
  <x:si>
    <x:t xml:space="preserve">visualizarPestana()</x:t>
  </x:si>
  <x:si>
    <x:t xml:space="preserve">El usuario visualiza la pestaña seleccionada.</x:t>
  </x:si>
  <x:si>
    <x:t xml:space="preserve">BLOQUE 5 · REEMISIÓN AUTOMÁTICA: IDENTIFICACIÓN DE AVISOS CON 24 HORAS CUMPLIDAS (Pasos 23–26)</x:t>
  </x:si>
  <x:si>
    <x:t xml:space="preserve">evaluarReemisionPendientes24h(fechaActual)</x:t>
  </x:si>
  <x:si>
    <x:t xml:space="preserve">Subflujo automático asociado a RF46. Se ejecuta por programación del sistema y no depende de que el usuario abra la campana. Solo reemite notificaciones ya PENDIENTES; el ciclo automático de alertas está integrado en RF23 y el primer aviso KM en RF44.</x:t>
  </x:si>
  <x:si>
    <x:t xml:space="preserve">consultarPendientesConProximaEmisionCumplida(fechaActual)</x:t>
  </x:si>
  <x:si>
    <x:t xml:space="preserve">Consulta avisos PENDIENTES cuya próxima emisión ya se cumplió.</x:t>
  </x:si>
  <x:si>
    <x:t xml:space="preserve">retornarCandidatosReemision(listaCandidatos)</x:t>
  </x:si>
  <x:si>
    <x:t xml:space="preserve">Devuelve categoría, origen, idAlerta, idVehiculo, fechaUltimaEmision y próximaEmision.</x:t>
  </x:si>
  <x:si>
    <x:t xml:space="preserve">separarPorOrigen(listaCandidatos)</x:t>
  </x:si>
  <x:si>
    <x:t xml:space="preserve">Separa avisos originados en ALERTA de recordatorios CICLO_KM.</x:t>
  </x:si>
  <x:si>
    <x:t xml:space="preserve">BLOQUE 6 · REEMISIÓN AUTOMÁTICA: VALIDACIÓN DE ALERTAS, VEHÍCULOS Y CICLO KM (Pasos 27–40)</x:t>
  </x:si>
  <x:si>
    <x:t xml:space="preserve">Para Mantenimiento/SOAT/LICENCIA obtiene el estado actual de la alerta.</x:t>
  </x:si>
  <x:si>
    <x:t xml:space="preserve">Devuelve los estados actuales.</x:t>
  </x:si>
  <x:si>
    <x:t xml:space="preserve">Solicita el estado de los vehículos vinculados.</x:t>
  </x:si>
  <x:si>
    <x:t xml:space="preserve">Consulta si continúan ACTIVOS.</x:t>
  </x:si>
  <x:si>
    <x:t xml:space="preserve">solicitarEstadosCiclosKm(listaCandidatosKm)</x:t>
  </x:si>
  <x:si>
    <x:t xml:space="preserve">Para avisos de origen CICLO_KM solicita comprobar tanto el estado global del usuario como el ciclo del vehículo.</x:t>
  </x:si>
  <x:si>
    <x:t xml:space="preserve">consultarEstadosGlobalesKm(idsUsuario)</x:t>
  </x:si>
  <x:si>
    <x:t xml:space="preserve">Consulta ACTIVO/PAUSADO de la configuración global de los usuarios candidatos.</x:t>
  </x:si>
  <x:si>
    <x:t xml:space="preserve">retornarEstadosGlobalesKm(estadosGlobales)</x:t>
  </x:si>
  <x:si>
    <x:t xml:space="preserve">Devuelve el estado global por usuario.</x:t>
  </x:si>
  <x:si>
    <x:t xml:space="preserve">consultarEstadosCiclosKm(listaCandidatosKm)</x:t>
  </x:si>
  <x:si>
    <x:t xml:space="preserve">Consulta el estado_ciclo por vehículo y su configuración vigente.</x:t>
  </x:si>
  <x:si>
    <x:t xml:space="preserve">retornarEstadosCiclosKm(estadosCicloKm)</x:t>
  </x:si>
  <x:si>
    <x:t xml:space="preserve">Devuelve los ciclos por vehículo en ACTIVO o PAUSADO.</x:t>
  </x:si>
  <x:si>
    <x:t xml:space="preserve">retornarVigenciaKm(estadosGlobales,estadosCicloKm)</x:t>
  </x:si>
  <x:si>
    <x:t xml:space="preserve">Entrega a Notificaciones ambos niveles de vigencia KM antes de decidir una reemisión.</x:t>
  </x:si>
  <x:si>
    <x:t xml:space="preserve">BLOQUE 7 · REEMISIÓN O CIERRE DE LA MISMA NOTIFICACIÓN (Pasos 41–45)</x:t>
  </x:si>
  <x:si>
    <x:t xml:space="preserve">determinarReemitiblesYNoVigentes(listaCandidatos,listaAlertas,estadosVehiculo,estadosGlobalesKm,estadosCicloKm)</x:t>
  </x:si>
  <x:si>
    <x:t xml:space="preserve">ALERTA: solo PRÓXIMA/PENDIENTE y vehículo ACTIVO se reemiten. CICLO_KM: exige configuración global ACTIVA, ciclo del vehículo ACTIVO y vehículo ACTIVO; cualquier incumplimiento cierra el aviso pendiente sin borrarlo.</x:t>
  </x:si>
  <x:si>
    <x:t xml:space="preserve">actualizarMismaNotificacionReemitida(idsReemitibles,fechaActual,leida=0,proximaEmision=fechaActual+24h)</x:t>
  </x:si>
  <x:si>
    <x:t xml:space="preserve">Actualiza la MISMA notificación: fechaUltimaEmision, leída=0 y próximaEmision. No inserta otra fila.</x:t>
  </x:si>
  <x:si>
    <x:t xml:space="preserve">retornarReemisionesActualizadas()</x:t>
  </x:si>
  <x:si>
    <x:t xml:space="preserve">La entidad confirma las reemisiones internas.</x:t>
  </x:si>
  <x:si>
    <x:t xml:space="preserve">cerrarNoVigentes(idsNoVigentes,motivoCierre)</x:t>
  </x:si>
  <x:si>
    <x:t xml:space="preserve">Mueve a Historial los avisos que dejaron de ser vigentes, incluidos los de ciclo KM PAUSADO, sin borrarlos.</x:t>
  </x:si>
  <x:si>
    <x:t xml:space="preserve">retornarCierresAplicados()</x:t>
  </x:si>
  <x:si>
    <x:t xml:space="preserve">La entidad confirma los cierres.</x:t>
  </x:si>
  <x:si>
    <x:t xml:space="preserve">BLOQUE 8 · CANAL EXTERNO SEGÚN RF48 · SUBFLUJO REUTILIZABLE (Pasos 46–50)</x:t>
  </x:si>
  <x:si>
    <x:t xml:space="preserve">E_PreferenciaNotificacion</x:t>
  </x:si>
  <x:si>
    <x:t xml:space="preserve">consultarPreferenciasEnvioExternoUsuarios(idsUsuario,categoriasPushConfigurables)</x:t>
  </x:si>
  <x:si>
    <x:t xml:space="preserve">Consulta preferencias de PUSH únicamente para avisos MANTENIMIENTO, SOAT y KILOMETRAJE. Las notificaciones LICENCIA permanecen en la bandeja interna y pueden filtrarse, pero NO generan push ni exigen un switch de preferencia no existente en RF48.</x:t>
  </x:si>
  <x:si>
    <x:t xml:space="preserve">retornarPreferenciasExternas(preferencias,permisoDispositivo)</x:t>
  </x:si>
  <x:si>
    <x:t xml:space="preserve">Devuelve los tres valores ON/OFF de push: Mantenimiento, SOAT y Kilometraje; también permisoDispositivo. LICENCIA es solo notificación interna, por lo que no forma parte de la configuración externa ni de esta respuesta.</x:t>
  </x:si>
  <x:si>
    <x:t xml:space="preserve">determinarEnviosExternosElegibles(idsReemitibles,preferencias,permisoDispositivo)</x:t>
  </x:si>
  <x:si>
    <x:t xml:space="preserve">Evalúa envíos push únicamente para MANTENIMIENTO/SOAT/KILOMETRAJE con preferencia ON y permiso CONCEDIDO. Los avisos LICENCIA se gestionan exclusivamente en la bandeja interna (RF46/RF47/RF49) y NO son elegibles para push. La reemisión interna sigue su ciclo aunque push esté OFF.</x:t>
  </x:si>
  <x:si>
    <x:t xml:space="preserve">I_NotificacionDispositivo</x:t>
  </x:si>
  <x:si>
    <x:t xml:space="preserve">enviarPushExterno(notificacionesElegibles)</x:t>
  </x:si>
  <x:si>
    <x:t xml:space="preserve">EJECUTAR SOLO SI existe al menos una notificación elegible. El controlador entrega efectivamente el push al límite del dispositivo. El envío externo no cambia estado_gestion ni leida de E_Notificacion.</x:t>
  </x:si>
  <x:si>
    <x:t xml:space="preserve">visualizarNotificacionPush()</x:t>
  </x:si>
  <x:si>
    <x:t xml:space="preserve">El dispositivo muestra el push al usuario. Si no existen avisos elegibles, los pasos 49–50 no se ejecutan. Abrir o gestionar el aviso continúa mediante RF47 y la bandeja interna conserva su propia lógica.</x:t>
  </x:si>
  <x:si>
    <x:t xml:space="preserve">DIAGRAMA DE SECUENCIAS — RF-047-Acceder al destino de una notificación  |  EVENTO EXITOSO</x:t>
  </x:si>
  <x:si>
    <x:t xml:space="preserve">Patrón: Actor → Interfaz → Control → Entidad → Control → Interfaz → Actor  |  33 pasos  |  5 bloques | Alternativa de destino LICENCIA ver RF047_ALT_LICENCIA; no confundir con SOAT ni vehículo.</x:t>
  </x:si>
  <x:si>
    <x:t xml:space="preserve">BLOQUE 1 · SELECCIÓN Y VALIDACIÓN DE LA NOTIFICACIÓN (Pasos 1–12)</x:t>
  </x:si>
  <x:si>
    <x:t xml:space="preserve">seleccionarNotificacion(idNotificacion)</x:t>
  </x:si>
  <x:si>
    <x:t xml:space="preserve">El usuario selecciona una notificación PENDIENTE desde RF46. Historial permanece en modo de consulta.</x:t>
  </x:si>
  <x:si>
    <x:t xml:space="preserve">solicitarAccesoDestino(idUsuario,idNotificacion)</x:t>
  </x:si>
  <x:si>
    <x:t xml:space="preserve">La interfaz solicita resolver el destino sin marcar el aviso como atendido.</x:t>
  </x:si>
  <x:si>
    <x:t xml:space="preserve">consultarNotificacionUsuario(idUsuario,idNotificacion)</x:t>
  </x:si>
  <x:si>
    <x:t xml:space="preserve">Valida pertenencia y obtiene categoría, origen, idVehiculo, idAlerta, estadoGestion y leída.</x:t>
  </x:si>
  <x:si>
    <x:t xml:space="preserve">retornarNotificacion(notificacion)</x:t>
  </x:si>
  <x:si>
    <x:t xml:space="preserve">La entidad devuelve la notificación propia.</x:t>
  </x:si>
  <x:si>
    <x:t xml:space="preserve">validarNotificacionPendiente(notificacion)</x:t>
  </x:si>
  <x:si>
    <x:t xml:space="preserve">En el evento exitoso la notificación continúa PENDIENTE. Abrirla no equivale a atenderla.</x:t>
  </x:si>
  <x:si>
    <x:t xml:space="preserve">solicitarEstadoOrigenSiExiste(notificacion.idAlerta)</x:t>
  </x:si>
  <x:si>
    <x:t xml:space="preserve">Solo Mantenimiento/SOAT/LICENCIA con origen ALERTA requieren revalidar la alerta. Kilometraje con origen CICLO_KM omite esta consulta.</x:t>
  </x:si>
  <x:si>
    <x:t xml:space="preserve">consultarEstadoAlerta(idAlerta)</x:t>
  </x:si>
  <x:si>
    <x:t xml:space="preserve">Consulta el estado actual de la alerta vinculada.</x:t>
  </x:si>
  <x:si>
    <x:t xml:space="preserve">retornarEstadoAlerta(datosAlerta)</x:t>
  </x:si>
  <x:si>
    <x:t xml:space="preserve">Devuelve el estado vigente.</x:t>
  </x:si>
  <x:si>
    <x:t xml:space="preserve">retornarEstadoOrigen(datosAlerta)</x:t>
  </x:si>
  <x:si>
    <x:t xml:space="preserve">ControlAlerta devuelve el origen validado.</x:t>
  </x:si>
  <x:si>
    <x:t xml:space="preserve">validarDestinoVigente(notificacion,datosAlerta?)</x:t>
  </x:si>
  <x:si>
    <x:t xml:space="preserve">Para ALERTA solo PRÓXIMA o PENDIENTE permiten continuar. Si estuviera VENCIDA, REALIZADA o ANULADA, se deriva al cierre/Historial y no se abre un destino de acción. LICENCIA utiliza origen ALERTA pero consulta C_ControlLicencia y abre I_DetalleLicencia (RF52), sin vehículo; revisar RF047_ALT_LICENCIA.</x:t>
  </x:si>
  <x:si>
    <x:t xml:space="preserve">marcarLeidaSinAtender(idNotificacion,leida=1)</x:t>
  </x:si>
  <x:si>
    <x:t xml:space="preserve">Marca la notificación como leída, pero mantiene estadoGestion=PENDIENTE hasta que la acción real se complete.</x:t>
  </x:si>
  <x:si>
    <x:t xml:space="preserve">retornarLecturaActualizada()</x:t>
  </x:si>
  <x:si>
    <x:t xml:space="preserve">La entidad confirma la marca de lectura.</x:t>
  </x:si>
  <x:si>
    <x:t xml:space="preserve">BLOQUE 2 · RAMA KILOMETRAJE → RF14 (Pasos 13–19)</x:t>
  </x:si>
  <x:si>
    <x:t xml:space="preserve">determinarDestino(KILOMETRAJE,CICLO_KM)</x:t>
  </x:si>
  <x:si>
    <x:t xml:space="preserve">Solo se ejecuta esta rama cuando la categoría es KILOMETRAJE y el origen es CICLO_KM.</x:t>
  </x:si>
  <x:si>
    <x:t xml:space="preserve">solicitarContextoActualizacion(idUsuario,idVehiculo)</x:t>
  </x:si>
  <x:si>
    <x:t xml:space="preserve">Solicita el contexto requerido para abrir RF14.</x:t>
  </x:si>
  <x:si>
    <x:t xml:space="preserve">Consulta la última lectura efectiva del vehículo.</x:t>
  </x:si>
  <x:si>
    <x:t xml:space="preserve">retornarUltimaLectura(ultimoKilometraje,fechaLectura)</x:t>
  </x:si>
  <x:si>
    <x:t xml:space="preserve">La entidad devuelve el kilometraje vigente.</x:t>
  </x:si>
  <x:si>
    <x:t xml:space="preserve">retornarContextoActualizacion(ultimoKilometraje,fechaLectura)</x:t>
  </x:si>
  <x:si>
    <x:t xml:space="preserve">Entrega el contexto al controlador de notificaciones.</x:t>
  </x:si>
  <x:si>
    <x:t xml:space="preserve">abrirRF14(idVehiculo,ultimoKilometraje,fechaLectura,idNotificacion)</x:t>
  </x:si>
  <x:si>
    <x:t xml:space="preserve">Abre directamente RF14. Solo un guardado válido en RF14 atiende la notificación y reinicia el ciclo KM.</x:t>
  </x:si>
  <x:si>
    <x:t xml:space="preserve">visualizarFormularioActualizarKilometraje()</x:t>
  </x:si>
  <x:si>
    <x:t xml:space="preserve">El usuario visualiza el formulario de actualización de kilometraje.</x:t>
  </x:si>
  <x:si>
    <x:t xml:space="preserve">BLOQUE 3 · RAMA MANTENIMIENTO → RF24 (Pasos 20–26)</x:t>
  </x:si>
  <x:si>
    <x:t xml:space="preserve">determinarDestino(MANTENIMIENTO,ALERTA)</x:t>
  </x:si>
  <x:si>
    <x:t xml:space="preserve">Solo se ejecuta esta rama para una notificación de Mantenimiento originada por una alerta vigente.</x:t>
  </x:si>
  <x:si>
    <x:t xml:space="preserve">solicitarDetalleDestinoMantenimiento(idUsuario,idAlerta)</x:t>
  </x:si>
  <x:si>
    <x:t xml:space="preserve">Solicita el detalle vigente de la alerta para abrir RF24.</x:t>
  </x:si>
  <x:si>
    <x:t xml:space="preserve">consultarDetalleAlertaUsuario(idUsuario,idAlerta)</x:t>
  </x:si>
  <x:si>
    <x:t xml:space="preserve">Consulta la alerta y sus datos asociados.</x:t>
  </x:si>
  <x:si>
    <x:t xml:space="preserve">retornarDetalleAlerta(datosAlerta)</x:t>
  </x:si>
  <x:si>
    <x:t xml:space="preserve">La entidad devuelve la alerta PRÓXIMA o PENDIENTE.</x:t>
  </x:si>
  <x:si>
    <x:t xml:space="preserve">retornarDetalleDestinoMantenimiento(datosAlerta)</x:t>
  </x:si>
  <x:si>
    <x:t xml:space="preserve">ControlAlerta devuelve el contexto de destino.</x:t>
  </x:si>
  <x:si>
    <x:t xml:space="preserve">abrirRF24(datosAlerta,idNotificacion)</x:t>
  </x:si>
  <x:si>
    <x:t xml:space="preserve">Abre directamente el detalle de la alerta. La notificación sigue PENDIENTE hasta que la acción correspondiente quede realmente resuelta.</x:t>
  </x:si>
  <x:si>
    <x:t xml:space="preserve">visualizarDetalleAlerta()</x:t>
  </x:si>
  <x:si>
    <x:t xml:space="preserve">El usuario visualiza RF24.</x:t>
  </x:si>
  <x:si>
    <x:t xml:space="preserve">BLOQUE 4 · RAMA SOAT → DETALLE SOAT (Pasos 27–33)</x:t>
  </x:si>
  <x:si>
    <x:t xml:space="preserve">determinarDestino(SOAT,ALERTA)</x:t>
  </x:si>
  <x:si>
    <x:t xml:space="preserve">Solo se ejecuta esta rama para una notificación de SOAT originada por una alerta vigente.</x:t>
  </x:si>
  <x:si>
    <x:t xml:space="preserve">solicitarDetalleSOATDesdeNotificacion(idUsuario,idVehiculo)</x:t>
  </x:si>
  <x:si>
    <x:t xml:space="preserve">Solicita la vigencia actual del SOAT asociada al vehículo.</x:t>
  </x:si>
  <x:si>
    <x:t xml:space="preserve">Consulta la vigencia actual de SOAT.</x:t>
  </x:si>
  <x:si>
    <x:t xml:space="preserve">retornarSOATActual(soatActual)</x:t>
  </x:si>
  <x:si>
    <x:t xml:space="preserve">La entidad devuelve los datos vigentes.</x:t>
  </x:si>
  <x:si>
    <x:t xml:space="preserve">retornarDetalleSOAT(soatActual)</x:t>
  </x:si>
  <x:si>
    <x:t xml:space="preserve">ControlSOAT entrega el contexto al controlador de notificaciones.</x:t>
  </x:si>
  <x:si>
    <x:t xml:space="preserve">abrirDetalleSOAT(soatActual,idNotificacion)</x:t>
  </x:si>
  <x:si>
    <x:t xml:space="preserve">Abre directamente I_DetalleSOAT, coherente con RF32/RF33.</x:t>
  </x:si>
  <x:si>
    <x:t xml:space="preserve">El usuario visualiza el detalle de SOAT.</x:t>
  </x:si>
  <x:si>
    <x:t xml:space="preserve">BLOQUE 5 · REGLA DE ATENCIÓN</x:t>
  </x:si>
  <x:si>
    <x:t xml:space="preserve">—</x:t>
  </x:si>
  <x:si>
    <x:t xml:space="preserve">REGLA</x:t>
  </x:si>
  <x:si>
    <x:t xml:space="preserve">Abrir ≠ atender</x:t>
  </x:si>
  <x:si>
    <x:t xml:space="preserve">RF47 únicamente enruta y puede marcar leída=1. La notificación se atiende/cierra cuando el flujo de destino resuelve la acción: RF14 para Kilometraje; RF24/Mantenimiento para Mantenimiento; actualización de SOAT para SOAT. Si pasan 24 h y continúa PENDIENTE, la misma notificación puede reemitirse.</x:t>
  </x:si>
  <x:si>
    <x:t xml:space="preserve">DIAGRAMA DE SECUENCIAS — RF-048-Configurar preferencias de notificaciones externas  |  EVENTO EXITOSO</x:t>
  </x:si>
  <x:si>
    <x:t xml:space="preserve">Patrón: Actor → Interfaz → Control → Entidad → Control → Interfaz → Actor  | 21 pasos | 5 bloques | Licencia se recibe en bandeja interna. Preferencias de push permanecen solo Mantenimiento, SOAT, Kilometraje (decisión vigente). Regla ratificada: LICENCIA solo interna, sin cuarto switch push; RF46 filtra LICENCIA al calcular elegibilidad externa.</x:t>
  </x:si>
  <x:si>
    <x:t xml:space="preserve">BLOQUE 1 · NAVEGACIÓN A NOTIFICACIONES EXTERNAS (Pasos 1–7)</x:t>
  </x:si>
  <x:si>
    <x:t xml:space="preserve">La interfaz solicita Perfil.</x:t>
  </x:si>
  <x:si>
    <x:t xml:space="preserve">El controlador solicita mostrar Perfil.</x:t>
  </x:si>
  <x:si>
    <x:t xml:space="preserve">El usuario visualiza la fila Notificaciones externas, separada de Recordatorios de kilometraje (RF44).</x:t>
  </x:si>
  <x:si>
    <x:t xml:space="preserve">seleccionarNotificacionesExternas()</x:t>
  </x:si>
  <x:si>
    <x:t xml:space="preserve">El usuario pulsa la fila Notificaciones externas.</x:t>
  </x:si>
  <x:si>
    <x:t xml:space="preserve">solicitarVistaNotificacionesExternas()</x:t>
  </x:si>
  <x:si>
    <x:t xml:space="preserve">La interfaz solicita abrir la configuración de envío externo.</x:t>
  </x:si>
  <x:si>
    <x:t xml:space="preserve">I_ConfigNotificaciones</x:t>
  </x:si>
  <x:si>
    <x:t xml:space="preserve">mostrarVistaNotificacionesExternas()</x:t>
  </x:si>
  <x:si>
    <x:t xml:space="preserve">El controlador abre la vista de preferencias externas.</x:t>
  </x:si>
  <x:si>
    <x:t xml:space="preserve">BLOQUE 2 · CONSULTA DE PREFERENCIAS (Pasos 8–12)</x:t>
  </x:si>
  <x:si>
    <x:t xml:space="preserve">obtenerPreferenciasEnvioExterno(idUsuario)</x:t>
  </x:si>
  <x:si>
    <x:t xml:space="preserve">La interfaz solicita las preferencias de push por categoría.</x:t>
  </x:si>
  <x:si>
    <x:t xml:space="preserve">consultarPreferenciasEnvioUsuario(idUsuario)</x:t>
  </x:si>
  <x:si>
    <x:t xml:space="preserve">Consulta las preferencias externas por categoría y el estado del permiso del dispositivo. El registro base se crea en RF01 al registrar la cuenta; RF48 solo consulta/modifica esa configuración y no controla frecuencias ni próximo recordatorio.</x:t>
  </x:si>
  <x:si>
    <x:t xml:space="preserve">retornarPreferenciasExternas(mantenimiento,soat,kilometraje,permisoDispositivo)</x:t>
  </x:si>
  <x:si>
    <x:t xml:space="preserve">Devuelve ON/OFF de envío externo para Mantenimiento, SOAT y Kilometraje, junto con el permiso del dispositivo.</x:t>
  </x:si>
  <x:si>
    <x:t xml:space="preserve">mostrarPreferenciasExternas(preferencias)</x:t>
  </x:si>
  <x:si>
    <x:t xml:space="preserve">Solicita mostrar los tres switches por categoría.</x:t>
  </x:si>
  <x:si>
    <x:t xml:space="preserve">visualizarPreferenciasExternas()</x:t>
  </x:si>
  <x:si>
    <x:t xml:space="preserve">El usuario visualiza sus preferencias actuales.</x:t>
  </x:si>
  <x:si>
    <x:t xml:space="preserve">BLOQUE 3 · MODIFICACIÓN Y VALIDACIÓN (Pasos 13–15)</x:t>
  </x:si>
  <x:si>
    <x:t xml:space="preserve">modificarPreferenciasExternas(mantenimiento,soat,kilometraje)</x:t>
  </x:si>
  <x:si>
    <x:t xml:space="preserve">El usuario activa o desactiva el push externo por categoría.</x:t>
  </x:si>
  <x:si>
    <x:t xml:space="preserve">guardarPreferenciasExternas(idUsuario,preferencias)</x:t>
  </x:si>
  <x:si>
    <x:t xml:space="preserve">La interfaz envía la nueva configuración.</x:t>
  </x:si>
  <x:si>
    <x:t xml:space="preserve">validarPreferenciasExternas(preferencias)</x:t>
  </x:si>
  <x:si>
    <x:t xml:space="preserve">Valida valores ON/OFF. RF48 no crea notificaciones, no modifica alertas y no cambia la frecuencia de RF44.</x:t>
  </x:si>
  <x:si>
    <x:t xml:space="preserve">BLOQUE 4 · PERMISO DEL DISPOSITIVO Y PERSISTENCIA (Pasos 16–19)</x:t>
  </x:si>
  <x:si>
    <x:t xml:space="preserve">ServicioPermisosDispositivo</x:t>
  </x:si>
  <x:si>
    <x:t xml:space="preserve">consultarOSolicitarPermisoNotificacionesExternas()</x:t>
  </x:si>
  <x:si>
    <x:t xml:space="preserve">Si al menos una categoría queda ON, consulta o solicita el permiso de notificaciones del sistema operativo. Si todas quedan OFF, no requiere solicitar permiso nuevo.</x:t>
  </x:si>
  <x:si>
    <x:t xml:space="preserve">retornarPermisoNotificacionesExternas(permisoDispositivo)</x:t>
  </x:si>
  <x:si>
    <x:t xml:space="preserve">El servicio devuelve NO_SOLICITADO, CONCEDIDO o DENEGADO. El permiso se almacena junto con las preferencias externas.</x:t>
  </x:si>
  <x:si>
    <x:t xml:space="preserve">actualizarPreferenciasEnvio(idUsuario,preferencias,permisoDispositivo)</x:t>
  </x:si>
  <x:si>
    <x:t xml:space="preserve">Guarda ON/OFF por categoría y el estado del permiso. Las notificaciones internas continúan existiendo aunque una categoría quede OFF.</x:t>
  </x:si>
  <x:si>
    <x:t xml:space="preserve">retornarPreferenciasActualizadas()</x:t>
  </x:si>
  <x:si>
    <x:t xml:space="preserve">La entidad de preferencias confirma la actualización.</x:t>
  </x:si>
  <x:si>
    <x:t xml:space="preserve">BLOQUE 5 · CONFIRMACIÓN (Pasos 20–21)</x:t>
  </x:si>
  <x:si>
    <x:t xml:space="preserve">mostrarPreferenciasGuardadas(preferencias)</x:t>
  </x:si>
  <x:si>
    <x:t xml:space="preserve">Actualiza la misma pantalla con confirmación inline.</x:t>
  </x:si>
  <x:si>
    <x:t xml:space="preserve">visualizarPreferenciasGuardadas()</x:t>
  </x:si>
  <x:si>
    <x:t xml:space="preserve">El usuario visualiza la configuración guardada y, cuando corresponda, el estado del permiso del dispositivo.</x:t>
  </x:si>
  <x:si>
    <x:t xml:space="preserve">DIAGRAMA DE SECUENCIAS — RF-049-Filtrar notificaciones por categoría  |  EVENTO EXITOSO</x:t>
  </x:si>
  <x:si>
    <x:t xml:space="preserve">Patrón: Actor → Interfaz → Control → Entidad → Control → Interfaz → Actor  |  14 pasos  |  2 bloques | Añadir LICENCIA como opción de filtro interno; categoría pertenece al conductor y no necesita vehículo.</x:t>
  </x:si>
  <x:si>
    <x:t xml:space="preserve">BLOQUE 1 · FILTRAR LA PESTAÑA ACTUAL (Pasos 1–7)</x:t>
  </x:si>
  <x:si>
    <x:t xml:space="preserve">seleccionarFiltroCategoria(categoria)</x:t>
  </x:si>
  <x:si>
    <x:t xml:space="preserve">Con RF46 ya cargado, el usuario selecciona Todas, Mantenimiento, SOAT, Kilometraje o LICENCIA. Incluir LICENCIA entre las opciones, además de Todas, Mantenimiento, SOAT y Kilometraje.</x:t>
  </x:si>
  <x:si>
    <x:t xml:space="preserve">filtrarNotificaciones(idUsuario,categoria,pestanaActual)</x:t>
  </x:si>
  <x:si>
    <x:t xml:space="preserve">La interfaz envía la categoría y la pestaña actual, Pendientes o Historial.</x:t>
  </x:si>
  <x:si>
    <x:t xml:space="preserve">consultarNotificacionesPorCategoriaYPestana(idUsuario,categoria,pestanaActual)</x:t>
  </x:si>
  <x:si>
    <x:t xml:space="preserve">Consulta únicamente registros de la categoría y pestaña solicitadas. Pendientes se mantiene automáticamente por los bloques integrados de RF23 y RF44, y su reemisión de 24 h se gestiona en RF46; además RF46 puede reconciliar defensivamente la bandeja. No deben aparecer avisos cuya alerta esté VENCIDA, REALIZADA o ANULADA.</x:t>
  </x:si>
  <x:si>
    <x:t xml:space="preserve">retornarNotificacionesFiltradas(listaFiltrada)</x:t>
  </x:si>
  <x:si>
    <x:t xml:space="preserve">La entidad devuelve la lista sin modificar estados.</x:t>
  </x:si>
  <x:si>
    <x:t xml:space="preserve">ordenarPorUltimaEmisionDesc(listaFiltrada)</x:t>
  </x:si>
  <x:si>
    <x:t xml:space="preserve">Ordena la lista por la fecha de última emisión, más reciente primero.</x:t>
  </x:si>
  <x:si>
    <x:t xml:space="preserve">actualizarListaFiltrada(listaFiltrada,categoria,pestanaActual)</x:t>
  </x:si>
  <x:si>
    <x:t xml:space="preserve">Actualiza únicamente la visualización. El contador global no cambia por aplicar un filtro.</x:t>
  </x:si>
  <x:si>
    <x:t xml:space="preserve">visualizarResultadosFiltrados()</x:t>
  </x:si>
  <x:si>
    <x:t xml:space="preserve">El usuario visualiza la categoría seleccionada.</x:t>
  </x:si>
  <x:si>
    <x:t xml:space="preserve">BLOQUE 2 · CAMBIAR DE PESTAÑA CONSERVANDO EL FILTRO (Pasos 8–14)</x:t>
  </x:si>
  <x:si>
    <x:t xml:space="preserve">El usuario cambia entre Pendientes e Historial conservando el filtro.</x:t>
  </x:si>
  <x:si>
    <x:t xml:space="preserve">filtrarNotificaciones(idUsuario,categoria,pestanaDestino)</x:t>
  </x:si>
  <x:si>
    <x:t xml:space="preserve">La interfaz solicita la nueva pestaña con la misma categoría.</x:t>
  </x:si>
  <x:si>
    <x:t xml:space="preserve">consultarNotificacionesPorCategoriaYPestana(idUsuario,categoria,pestanaDestino)</x:t>
  </x:si>
  <x:si>
    <x:t xml:space="preserve">Consulta la combinación solicitada.</x:t>
  </x:si>
  <x:si>
    <x:t xml:space="preserve">La entidad devuelve los registros correspondientes.</x:t>
  </x:si>
  <x:si>
    <x:t xml:space="preserve">Ordena sin alterar estado, lectura ni atención.</x:t>
  </x:si>
  <x:si>
    <x:t xml:space="preserve">actualizarPestanaManteniendoFiltro(listaFiltrada,categoria,pestanaDestino)</x:t>
  </x:si>
  <x:si>
    <x:t xml:space="preserve">Mantiene el chip seleccionado al cambiar de pestaña.</x:t>
  </x:si>
  <x:si>
    <x:t xml:space="preserve">visualizarPestanaFiltrada()</x:t>
  </x:si>
  <x:si>
    <x:t xml:space="preserve">El usuario visualiza Pendientes o Historial con el mismo filtro. Elegir Todas elimina el filtro.</x:t>
  </x:si>
  <x:si>
    <x:t xml:space="preserve">DIAGRAMA DE SECUENCIAS — RF-050-Consultar resumen de Inicio | EVENTO EXITOSO</x:t>
  </x:si>
  <x:si>
    <x:t xml:space="preserve">Patrón: Actor → Interfaz → Control → Entidad → Control → Interfaz → Actor | 44 pasos | 7 bloques</x:t>
  </x:si>
  <x:si>
    <x:t xml:space="preserve">BLOQUE 1 · VALIDACIÓN DE SESIÓN Y OBTENCIÓN DEL USUARIO AUTENTICADO (Pasos 1–8)</x:t>
  </x:si>
  <x:si>
    <x:t xml:space="preserve">→ Llamada</x:t>
  </x:si>
  <x:si>
    <x:t xml:space="preserve">ingresarInicio()</x:t>
  </x:si>
  <x:si>
    <x:t xml:space="preserve">El usuario accede a Inicio con sesión iniciada.</x:t>
  </x:si>
  <x:si>
    <x:t xml:space="preserve">C_ControlInicio</x:t>
  </x:si>
  <x:si>
    <x:t xml:space="preserve">solicitarResumenInicio(contextoSesion)</x:t>
  </x:si>
  <x:si>
    <x:t xml:space="preserve">Solicita la carga inicial usando la sesión autenticada.</x:t>
  </x:si>
  <x:si>
    <x:t xml:space="preserve">C_ControlUsuario</x:t>
  </x:si>
  <x:si>
    <x:t xml:space="preserve">obtenerUsuarioAutenticado(contextoSesion)</x:t>
  </x:si>
  <x:si>
    <x:t xml:space="preserve">Solicita validar sesión e identidad.</x:t>
  </x:si>
  <x:si>
    <x:t xml:space="preserve">validarSesion(contextoSesion)</x:t>
  </x:si>
  <x:si>
    <x:t xml:space="preserve">Valida la sesión y obtiene idUsuario; no confía en un identificador arbitrario de la pantalla.</x:t>
  </x:si>
  <x:si>
    <x:t xml:space="preserve">Consulta nombre, estado de cuenta y referencia de foto de perfil, si existe.</x:t>
  </x:si>
  <x:si>
    <x:t xml:space="preserve">⇢ Retorno</x:t>
  </x:si>
  <x:si>
    <x:t xml:space="preserve">retornarDatosUsuario(datosUsuario)</x:t>
  </x:si>
  <x:si>
    <x:t xml:space="preserve">Devuelve los datos del usuario.</x:t>
  </x:si>
  <x:si>
    <x:t xml:space="preserve">validarCuentaActiva(datosUsuario)</x:t>
  </x:si>
  <x:si>
    <x:t xml:space="preserve">Confirma que la cuenta se encuentra activa para continuar.</x:t>
  </x:si>
  <x:si>
    <x:t xml:space="preserve">retornarUsuarioValidado(datosUsuario)</x:t>
  </x:si>
  <x:si>
    <x:t xml:space="preserve">Entrega identidad y datos válidos para el encabezado.</x:t>
  </x:si>
  <x:si>
    <x:t xml:space="preserve">BLOQUE 2 · CARGA DE VEHÍCULOS ACTIVOS Y SELECCIÓN DEL VEHÍCULO PRINCIPAL (Pasos 9–15)</x:t>
  </x:si>
  <x:si>
    <x:t xml:space="preserve">solicitarVehiculosActivosYPrincipal(idUsuario)</x:t>
  </x:si>
  <x:si>
    <x:t xml:space="preserve">Solicita únicamente vehículos ACTIVOS del usuario, de modo que tras el vencimiento de Premium y la conciliación RF30 el selector de Inicio muestre SOLO el principal activo.</x:t>
  </x:si>
  <x:si>
    <x:t xml:space="preserve">consultarVehiculosActivosYPrincipal(idUsuario)</x:t>
  </x:si>
  <x:si>
    <x:t xml:space="preserve">Devuelve id, marca, modelo, placa, estado y esPrincipal de los vehículos activos.</x:t>
  </x:si>
  <x:si>
    <x:t xml:space="preserve">validarExistenciaVehiculosActivos(listaVehiculos)</x:t>
  </x:si>
  <x:si>
    <x:t xml:space="preserve">En este flujo exitoso existe al menos un vehículo activo. Si la lista está vacía, se deriva al estado vacío definido en las reglas de RF50.</x:t>
  </x:si>
  <x:si>
    <x:t xml:space="preserve">validarEIdentificarPrincipalActivo(listaVehiculos)</x:t>
  </x:si>
  <x:si>
    <x:t xml:space="preserve">Con uno o más vehículos activos debe existir exactamente un principal activo. Si hay cero o más de uno, es una inconsistencia de datos: RF50 no elige ni corrige uno arbitrariamente.</x:t>
  </x:si>
  <x:si>
    <x:t xml:space="preserve">retornarVehiculosYPrincipal(listaVehiculos,idPrincipal)</x:t>
  </x:si>
  <x:si>
    <x:t xml:space="preserve">Entrega la lista de vehículos activos y el identificador del único principal activo.</x:t>
  </x:si>
  <x:si>
    <x:t xml:space="preserve">prepararSelectorYSeleccionInicial(listaVehiculos,idPrincipal)</x:t>
  </x:si>
  <x:si>
    <x:t xml:space="preserve">Prepara el selector con todos los vehículos ACTIVOS; tras pasar a FREE por fin de Premium, solo aparece el vehículo principal. Los secundarios se mantienen disponibles en Autos como INACTIVOS para consulta histórica.</x:t>
  </x:si>
  <x:si>
    <x:t xml:space="preserve">BLOQUE 3 · CONSULTA DE IMAGEN Y KILOMETRAJE DEL VEHÍCULO SELECCIONADO (Pasos 16–23)</x:t>
  </x:si>
  <x:si>
    <x:t xml:space="preserve">solicitarEstadoImagen(idVehiculoSeleccionado)</x:t>
  </x:si>
  <x:si>
    <x:t xml:space="preserve">Solicita la imagen vigente del vehículo seleccionado inicialmente, que corresponde al principal.</x:t>
  </x:si>
  <x:si>
    <x:t xml:space="preserve">consultarImagenPrincipal(idVehiculoSeleccionado)</x:t>
  </x:si>
  <x:si>
    <x:t xml:space="preserve">Consulta la imagen principal asociada al vehículo seleccionado.</x:t>
  </x:si>
  <x:si>
    <x:t xml:space="preserve">Devuelve imagen personalizada o ausencia de imagen personalizada.</x:t>
  </x:si>
  <x:si>
    <x:t xml:space="preserve">Permite mostrar la imagen personalizada o la imagen predeterminada.</x:t>
  </x:si>
  <x:si>
    <x:t xml:space="preserve">consultarUltimoKilometraje(idVehiculoSeleccionado)</x:t>
  </x:si>
  <x:si>
    <x:t xml:space="preserve">Solicita la última lectura efectiva del vehículo seleccionado según RF10/RF14.</x:t>
  </x:si>
  <x:si>
    <x:t xml:space="preserve">obtenerUltimoKilometraje(idVehiculoSeleccionado)</x:t>
  </x:si>
  <x:si>
    <x:t xml:space="preserve">Consulta la última lectura efectiva, usando el valor corregido cuando corresponda.</x:t>
  </x:si>
  <x:si>
    <x:t xml:space="preserve">Devuelve kilometraje actual y fecha de lectura.</x:t>
  </x:si>
  <x:si>
    <x:t xml:space="preserve">Entrega los datos del bloque Último kilometraje. RF50 no registra ni modifica lecturas.</x:t>
  </x:si>
  <x:si>
    <x:t xml:space="preserve">solicitarAlertasResumen(idUsuario,idVehiculoSeleccionado,kilometraje,fechaActual)</x:t>
  </x:si>
  <x:si>
    <x:t xml:space="preserve">prepararYRetornarAlertasResumen(listaAlertasVigentes)</x:t>
  </x:si>
  <x:si>
    <x:t xml:space="preserve">BLOQUE 5 · CONSULTA DEL ÚLTIMO MANTENIMIENTO REALIZADO (Pasos 34–37)</x:t>
  </x:si>
  <x:si>
    <x:t xml:space="preserve">consultarUltimoMantenimientoRealizado(idVehiculoSeleccionado)</x:t>
  </x:si>
  <x:si>
    <x:t xml:space="preserve">Solicita el mantenimiento válido más reciente del vehículo seleccionado.</x:t>
  </x:si>
  <x:si>
    <x:t xml:space="preserve">obtenerUltimoMantenimientoRealizado(idVehiculoSeleccionado)</x:t>
  </x:si>
  <x:si>
    <x:t xml:space="preserve">Ordena por fecha del servicio descendente, excluye anulados y aplica desempate estable por identificador si fuese necesario.</x:t>
  </x:si>
  <x:si>
    <x:t xml:space="preserve">retornarUltimoMantenimiento(datosMantenimiento)</x:t>
  </x:si>
  <x:si>
    <x:t xml:space="preserve">Devuelve id, tipo, fecha y kilometraje del servicio.</x:t>
  </x:si>
  <x:si>
    <x:t xml:space="preserve">Entrega la tarjeta del último servicio; su kilometraje histórico no sustituye la lectura actual.</x:t>
  </x:si>
  <x:si>
    <x:t xml:space="preserve">BLOQUE 6 · CONSULTA DEL CONTADOR DE NOTIFICACIONES PENDIENTES (Pasos 38–41)</x:t>
  </x:si>
  <x:si>
    <x:t xml:space="preserve">consultarTotalPendientes(idUsuario)</x:t>
  </x:si>
  <x:si>
    <x:t xml:space="preserve">Solicita el contador global de notificaciones Pendiente de atención de la cuenta.</x:t>
  </x:si>
  <x:si>
    <x:t xml:space="preserve">contarPendientesUsuario(idUsuario)</x:t>
  </x:si>
  <x:si>
    <x:t xml:space="preserve">retornarTotalPendientes(total)</x:t>
  </x:si>
  <x:si>
    <x:t xml:space="preserve">Devuelve la cantidad de notificaciones pendientes.</x:t>
  </x:si>
  <x:si>
    <x:t xml:space="preserve">Entrega el contador global sin modificar el estado de ningún aviso.</x:t>
  </x:si>
  <x:si>
    <x:t xml:space="preserve">BLOQUE 7 · INTEGRACIÓN Y PRESENTACIÓN DEL RESUMEN DE INICIO (Pasos 42–44)</x:t>
  </x:si>
  <x:si>
    <x:t xml:space="preserve">integrarResumenInicio(datosConsultados)</x:t>
  </x:si>
  <x:si>
    <x:t xml:space="preserve">mostrarResumenInicio(resumenInicio)</x:t>
  </x:si>
  <x:si>
    <x:t xml:space="preserve">visualizarResumenInicio()</x:t>
  </x:si>
  <x:si>
    <x:t xml:space="preserve">Finaliza la carga exitosa. Seleccionar un vehículo en Inicio no cambia cuál es principal ni ejecuta RF13.</x:t>
  </x:si>
  <x:si>
    <x:t xml:space="preserve">DIAGRAMA DE SECUENCIAS — RF-051 — REGISTRAR LICENCIA — EF01</x:t>
  </x:si>
  <x:si>
    <x:t xml:space="preserve">Evento exitoso RF51: Premium vigente; consultas /dni y /licencia; consentimiento; transacción atómica; alerta automática para estado VIGENTE/SUSPENDIDA/VENCIDA con fecha válida. CANCELADA/NO_DETERMINADA y errores pertenecen a escenarios alternativos.</x:t>
  </x:si>
  <x:si>
    <x:t xml:space="preserve">BLOQUE 1 · ACCESO Y VALIDACIÓN PREMIUM (Pasos 1–17)</x:t>
  </x:si>
  <x:si>
    <x:t xml:space="preserve">El conductor selecciona Perfil desde Inicio. Los datos oficiales no se podrán modificar manualmente: la consulta RF52 es solo lectura.</x:t>
  </x:si>
  <x:si>
    <x:t xml:space="preserve">Solicita abrir Perfil.</x:t>
  </x:si>
  <x:si>
    <x:t xml:space="preserve">Ordena presentar la pantalla Perfil.</x:t>
  </x:si>
  <x:si>
    <x:t xml:space="preserve">Visualiza Perfil y la opción Licencia de conducir.</x:t>
  </x:si>
  <x:si>
    <x:t xml:space="preserve">seleccionarLicenciaConducir()</x:t>
  </x:si>
  <x:si>
    <x:t xml:space="preserve">Selecciona Licencia de conducir.</x:t>
  </x:si>
  <x:si>
    <x:t xml:space="preserve">C_ControlLicencia</x:t>
  </x:si>
  <x:si>
    <x:t xml:space="preserve">solicitarAccesoRegistroLicencia(idUsuario)</x:t>
  </x:si>
  <x:si>
    <x:t xml:space="preserve">Solicita acceder al registro de licencia.</x:t>
  </x:si>
  <x:si>
    <x:t xml:space="preserve">validarPlanActivo(idUsuario)</x:t>
  </x:si>
  <x:si>
    <x:t xml:space="preserve">Solicita comprobar el plan activo del usuario.</x:t>
  </x:si>
  <x:si>
    <x:t xml:space="preserve">Consulta el tipo de plan y su estado.</x:t>
  </x:si>
  <x:si>
    <x:t xml:space="preserve">retornarValidacionPlan(PREMIUM,ACTIVA)</x:t>
  </x:si>
  <x:si>
    <x:t xml:space="preserve">Devuelve la suscripción Premium vigente.</x:t>
  </x:si>
  <x:si>
    <x:t xml:space="preserve">retornarPermisoRegistroLicencia(true)</x:t>
  </x:si>
  <x:si>
    <x:t xml:space="preserve">Confirma que el conductor tiene acceso al módulo.</x:t>
  </x:si>
  <x:si>
    <x:t xml:space="preserve">E_Conductor</x:t>
  </x:si>
  <x:si>
    <x:t xml:space="preserve">consultarConductorPorUsuario(idUsuario)</x:t>
  </x:si>
  <x:si>
    <x:t xml:space="preserve">Comprueba si ya existe conductor asociado a la cuenta.</x:t>
  </x:si>
  <x:si>
    <x:t xml:space="preserve">retornarConductor(idConductor?)</x:t>
  </x:si>
  <x:si>
    <x:t xml:space="preserve">Devuelve la identificación del conductor si existe.</x:t>
  </x:si>
  <x:si>
    <x:t xml:space="preserve">prepararConsultaDisponibilidadLicencia(idUsuario)</x:t>
  </x:si>
  <x:si>
    <x:t xml:space="preserve">Identifica el usuario autenticado y prepara la consulta por id_usuario. No presupone que exista CONDUCTOR; la consulta a LICENCIA con JOIN a CONDUCTOR devolverá vacío si no existe.</x:t>
  </x:si>
  <x:si>
    <x:t xml:space="preserve">E_Licencia</x:t>
  </x:si>
  <x:si>
    <x:t xml:space="preserve">consultarLicenciaActualPorUsuario(idUsuario)</x:t>
  </x:si>
  <x:si>
    <x:t xml:space="preserve">Consulta LICENCIA por CONDUCTOR.id_usuario=idUsuario y LICENCIA.estado_registro=ACTUAL. Incluye licencias SUSPENDIDA/CANCELADA; no filtra exclusivamente por estado=VIGENTE.</x:t>
  </x:si>
  <x:si>
    <x:t xml:space="preserve">retornarLicenciaActual(NO_REGISTRADA)</x:t>
  </x:si>
  <x:si>
    <x:t xml:space="preserve">No existe licencia ACTUAL del usuario, por lo que puede continuar RF51.</x:t>
  </x:si>
  <x:si>
    <x:t xml:space="preserve">I_RegistrarLicencia</x:t>
  </x:si>
  <x:si>
    <x:t xml:space="preserve">mostrarFormularioDNIYPrivacidad()</x:t>
  </x:si>
  <x:si>
    <x:t xml:space="preserve">Solicita el formulario del DNI y el aviso de tratamiento de datos.</x:t>
  </x:si>
  <x:si>
    <x:t xml:space="preserve">visualizarFormularioDNIYPrivacidad()</x:t>
  </x:si>
  <x:si>
    <x:t xml:space="preserve">Visualiza campo DNI, información de privacidad, casilla de aceptación y botón Continuar.</x:t>
  </x:si>
  <x:si>
    <x:t xml:space="preserve">BLOQUE 2 · INGRESO Y CONSULTA DNI (Pasos 18–25)</x:t>
  </x:si>
  <x:si>
    <x:t xml:space="preserve">ingresarDNIYAceptarConsulta(dni,aceptacion)</x:t>
  </x:si>
  <x:si>
    <x:t xml:space="preserve">Ingresa el DNI, acepta el tratamiento de datos y selecciona Continuar.</x:t>
  </x:si>
  <x:si>
    <x:t xml:space="preserve">solicitarValidacionDNI(dni,aceptacion)</x:t>
  </x:si>
  <x:si>
    <x:t xml:space="preserve">Envía el DNI y la aceptación al controlador.</x:t>
  </x:si>
  <x:si>
    <x:t xml:space="preserve">validarFormatoDNI(dni)</x:t>
  </x:si>
  <x:si>
    <x:t xml:space="preserve">Comprueba campo obligatorio, exactamente 8 dígitos numéricos, ausencia de letras, espacios y caracteres especiales.</x:t>
  </x:si>
  <x:si>
    <x:t xml:space="preserve">validarConsentimientoYLimites(dni,aceptacion,versionAviso)</x:t>
  </x:si>
  <x:si>
    <x:t xml:space="preserve">Antes de consultar datos personales, comprueba aceptación explícita de las finalidades inicial y periódica, versión exacta del aviso mostrado, sesión válida y límite de intentos/consultas. Conserva aceptación y versión de forma temporal para persistirlas solo tras confirmar RF51.</x:t>
  </x:si>
  <x:si>
    <x:t xml:space="preserve">validarRespuestaDNI(datosDNI)</x:t>
  </x:si>
  <x:si>
    <x:t xml:space="preserve">I_VerificarDigitoDNI</x:t>
  </x:si>
  <x:si>
    <x:t xml:space="preserve">mostrarFormularioVerificacionDigito()</x:t>
  </x:si>
  <x:si>
    <x:t xml:space="preserve">Solicita una nueva interfaz con campo de dígito verificador, guía visual y botón Verificar.</x:t>
  </x:si>
  <x:si>
    <x:t xml:space="preserve">visualizarFormularioDigito()</x:t>
  </x:si>
  <x:si>
    <x:t xml:space="preserve">Visualiza el formulario y la imagen referencial para localizar el dígito verificador.</x:t>
  </x:si>
  <x:si>
    <x:t xml:space="preserve">BLOQUE 3 · VERIFICACIÓN DEL DÍGITO Y CONSULTA DE LICENCIA (Pasos 26–34)</x:t>
  </x:si>
  <x:si>
    <x:t xml:space="preserve">ingresarDigitoYVerificar(digito)</x:t>
  </x:si>
  <x:si>
    <x:t xml:space="preserve">Introduce el dígito verificador y selecciona Verificar.</x:t>
  </x:si>
  <x:si>
    <x:t xml:space="preserve">solicitarVerificacionDigito(digito)</x:t>
  </x:si>
  <x:si>
    <x:t xml:space="preserve">Envía el dígito introducido al controlador.</x:t>
  </x:si>
  <x:si>
    <x:t xml:space="preserve">validarFormatoDigito(digito)</x:t>
  </x:si>
  <x:si>
    <x:t xml:space="preserve">Comprueba que no esté vacío y que contenga exactamente un carácter numérico, sin letras ni espacios.</x:t>
  </x:si>
  <x:si>
    <x:t xml:space="preserve">compararDigitoVerificador(digito,codigoVerificacion)</x:t>
  </x:si>
  <x:si>
    <x:t xml:space="preserve">validarDatosLicencia(datosLicencia)</x:t>
  </x:si>
  <x:si>
    <x:t xml:space="preserve">Confirma DNI coincidente, numero_licencia, categoria y fecha_vencimiento válida (fecha_revalidacion en BD). Si faltan datos obligatorios o el resultado no es confiable, se detiene el registro en escenario alternativo, sin inventar datos ni guardar parcial.</x:t>
  </x:si>
  <x:si>
    <x:t xml:space="preserve">normalizarDatosLicenciaParaPersistencia(datosLicencia)</x:t>
  </x:si>
  <x:si>
    <x:t xml:space="preserve">Mapea numero, categoria, fecha_vencimiento→fecha_revalidacion, restricciones y fecha_expedicion opcionales; clase=NULL si API no la separa. Conserva estado original en estado_reportado y normaliza estado reconocido; prepara fecha_ultima_consulta de respuesta exitosa y fecha_proxima_consulta=fecha_ultima_consulta+30 días; no registra datos aún.</x:t>
  </x:si>
  <x:si>
    <x:t xml:space="preserve">I_ConfirmarLicencia</x:t>
  </x:si>
  <x:si>
    <x:t xml:space="preserve">mostrarDatosLicenciaConsultada(datosLicenciaNormalizados)</x:t>
  </x:si>
  <x:si>
    <x:t xml:space="preserve">Presenta (número de licencia, DNI asociado, titular, clase/categoría, fecha de expedición si existe, fecha de vencimiento, estado y restricciones si existen).</x:t>
  </x:si>
  <x:si>
    <x:t xml:space="preserve">visualizarDatosYConfirmacion()</x:t>
  </x:si>
  <x:si>
    <x:t xml:space="preserve">Visualiza los datos consultados y las opciones Confirmar y No son mis datos.</x:t>
  </x:si>
  <x:si>
    <x:t xml:space="preserve">BLOQUE 4 · CONFIRMACIÓN Y REGISTRO TRANSACCIONAL (Pasos 35–43)</x:t>
  </x:si>
  <x:si>
    <x:t xml:space="preserve">confirmarLicenciaConsultada()</x:t>
  </x:si>
  <x:si>
    <x:t xml:space="preserve">Confirma que los datos consultados corresponden a su licencia.</x:t>
  </x:si>
  <x:si>
    <x:t xml:space="preserve">solicitarRegistroLicencia(datosConfirmados)</x:t>
  </x:si>
  <x:si>
    <x:t xml:space="preserve">Solicita registrar (DNI, número de licencia, clase/categoría, fecha de expedición disponible, fecha de vencimiento, estado y restricciones disponibles).</x:t>
  </x:si>
  <x:si>
    <x:t xml:space="preserve">validarRegistroDefinitivo(idUsuario,dni,consentimiento,versionAviso)</x:t>
  </x:si>
  <x:si>
    <x:t xml:space="preserve">Revalida sesión, suscripción PREMIUM ACTIVA no vencida, coincidencia entre DNI de respuesta y confirmado, consentimiento explícito y misma versión del aviso exhibido, vigencia de datos transitorios y titularidad; prepara verificación de unicidad definitiva dentro de la transacción.</x:t>
  </x:si>
  <x:si>
    <x:t xml:space="preserve">validarDatosYEstadoParaSeguimiento(estadoAdministrativo,fechaRevalidacion,fechaActual)</x:t>
  </x:si>
  <x:si>
    <x:t xml:space="preserve">Delimita EF01 antes de iniciar la transacción: fecha_revalidacion válida y estado administrativo reconocido VIGENTE, SUSPENDIDA o VENCIDA. Calcula la antigüedad de la fecha con las reglas temporales congeladas de RF23 y comprueba que corresponda un estado no terminal (PROGRAMADA, PROXIMA, PENDIENTE o VENCIDA aún dentro de su periodo permitido). Si el seguimiento ya habría terminado en ANULADA por antigüedad, o si la licencia es CANCELADA, NO_DETERMINADA u otro estado no elegible, se deriva al escenario alternativo de registro sin alerta activa; no se inventa fecha ni se cambia la BD. SUSPENDIDA conserva advertencia administrativa.</x:t>
  </x:si>
  <x:si>
    <x:t xml:space="preserve">iniciarTransaccionRegistroLicencia()</x:t>
  </x:si>
  <x:si>
    <x:t xml:space="preserve">Inicia UNA transacción InnoDB que abarca conductor, licencia, alerta e historial. Al insertar debe volver a comprobar los duplicados/concurrencia con las UNIQUE de CONDUCTOR(id_usuario,documento), LICENCIA(numero_licencia,licencia_actual_conductor) y ALERTA(licencia_seguimiento_vigente); ante conflicto/error se revierte toda la transacción.</x:t>
  </x:si>
  <x:si>
    <x:t xml:space="preserve">crearOAsociarConductor(idUsuario,dni,fechaConsentimiento,versionConsentimiento)</x:t>
  </x:si>
  <x:si>
    <x:t xml:space="preserve">Dentro de la misma transacción crea/reutiliza CONDUCTOR con tipo_documento=DNI y numero_documento=dni, propiedad del id_usuario autenticado; guarda consentimiento_licencia_fecha como fecha efectiva de aceptación y consentimiento_licencia_version exactamente igual al aviso aceptado. No cambia el usuario ni exige DNI en cuenta Free.</x:t>
  </x:si>
  <x:si>
    <x:t xml:space="preserve">retornarConductor(idConductor)</x:t>
  </x:si>
  <x:si>
    <x:t xml:space="preserve">Devuelve el conductor asociado.</x:t>
  </x:si>
  <x:si>
    <x:t xml:space="preserve">registrarLicencia(idConductor,datosLicenciaPersistibles)</x:t>
  </x:si>
  <x:si>
    <x:t xml:space="preserve">En la misma transacción registra id_conductor, numero_licencia, categoria, clase NULL si no disponible, fecha_expedicion NULL si vacía, fecha_revalidacion obligatoria, restricciones, estado administrativo normalizado, estado_reportado original, estado_registro=ACTUAL, fecha_ultima_consulta=fecha de éxito /licencia, fecha_proxima_consulta=última+30 días, estado_ultima_consulta=EXITOSA y fuente_consulta=JSON.pe; respeta restricciones UNIQUE y FK.</x:t>
  </x:si>
  <x:si>
    <x:t xml:space="preserve">retornarLicenciaRegistrada(idLicencia,estadoAdministrativo,fechaRevalidacion)</x:t>
  </x:si>
  <x:si>
    <x:t xml:space="preserve">Confirma que la licencia se registró correctamente y devuelve los datos necesarios para el seguimiento.</x:t>
  </x:si>
  <x:si>
    <x:t xml:space="preserve">BLOQUE 5 · ALERTA, HISTORIAL Y CONFIRMACIÓN (Pasos 44–53)</x:t>
  </x:si>
  <x:si>
    <x:t xml:space="preserve">solicitarRegistroAlertaLicencia(idLicencia,fechaRevalidacion)</x:t>
  </x:si>
  <x:si>
    <x:t xml:space="preserve">Solo en EF01 con estado administrativo elegible solicita una única alerta automática de revalidación; no crea alertas si el resultado es CANCELADA/NO_DETERMINADA y no modifica alertas SOAT o MANTENIMIENTO.</x:t>
  </x:si>
  <x:si>
    <x:t xml:space="preserve">calcularEstadoTemporalLicencia(fechaRevalidacion,fechaActual)</x:t>
  </x:si>
  <x:si>
    <x:t xml:space="preserve">Recalcula dentro de la misma operación el estado inicial según los umbrales existentes de RF23: PROGRAMADA (&gt;30 días), PROXIMA (30 a 8 días antes), PENDIENTE (de 7 días antes a 14 días después), VENCIDA (a partir del día 15 mientras no corresponda cierre terminal). EF01 continúa únicamente si el estado sigue siendo no terminal; si ahora corresponde ANULADA por antigüedad, se revierte la transacción y se aplica el escenario alternativo pertinente. No altera los estados de SOAT/mantenimiento ni el estado administrativo de LICENCIA.</x:t>
  </x:si>
  <x:si>
    <x:t xml:space="preserve">registrarAlertaAutomaticaLicencia(idLicencia,fechaObjetivo,estado,categoria='LICENCIA',origen='LICENCIA')</x:t>
  </x:si>
  <x:si>
    <x:t xml:space="preserve">Inserta con categoria=LICENCIA, origen=LICENCIA, id_licencia confirmado, id_vehiculo=NULL, id_soat=NULL, id_tipo_mantenimiento=NULL, criterio=FECHA, fecha_objetivo=fecha_revalidacion, km_objetivo=NULL, estado calculado. Cumple chk_alerta_categoria, chk_alerta_criterio, chk_alerta_licencia_solo_fecha y uq_alerta_licencia_vigente; sin modificar las otras categorías.</x:t>
  </x:si>
  <x:si>
    <x:t xml:space="preserve">retornarAlertaLicenciaRegistrada(idAlerta)</x:t>
  </x:si>
  <x:si>
    <x:t xml:space="preserve">Confirma la creación de la alerta.</x:t>
  </x:si>
  <x:si>
    <x:t xml:space="preserve">registrarEstadoInicialAlerta(idAlerta,estadoInicial)</x:t>
  </x:si>
  <x:si>
    <x:t xml:space="preserve">Dentro de la misma transacción inserta HISTORIAL_ALERTA: id_alerta creado, estado_anterior=NULL, estado_nuevo=estado inicial efectivamente guardado, origen_cambio=AUTOMATICO, motivo=Creación automática por registro de licencia, fecha_cambio=fecha actual. No genera historial distinto ni cambia las otras alertas.</x:t>
  </x:si>
  <x:si>
    <x:t xml:space="preserve">retornarHistorialInicialRegistrado(idHistorialAlerta)</x:t>
  </x:si>
  <x:si>
    <x:t xml:space="preserve">Confirma el registro de historial inicial del seguimiento de licencia.</x:t>
  </x:si>
  <x:si>
    <x:t xml:space="preserve">retornarSeguimientoLicenciaCreado(idAlerta)</x:t>
  </x:si>
  <x:si>
    <x:t xml:space="preserve">Devuelve la confirmación del seguimiento creado.</x:t>
  </x:si>
  <x:si>
    <x:t xml:space="preserve">confirmarTransaccionRegistroLicencia()</x:t>
  </x:si>
  <x:si>
    <x:t xml:space="preserve">COMMIT únicamente si CONDUCTOR, LICENCIA, ALERTA e HISTORIAL_ALERTA se guardaron correctamente y sus FK/UNIQUE se cumplieron; errores técnicos, conflicto concurrente o fallo de cualquier inserción → ROLLBACK (escenario de excepción). Las consultas HTTP a JSON.pe ya terminaron antes de BEGIN.</x:t>
  </x:si>
  <x:si>
    <x:t xml:space="preserve">mostrarRegistroLicenciaExitoso()</x:t>
  </x:si>
  <x:si>
    <x:t xml:space="preserve">Solicita presentar la confirmación del registro exitoso.</x:t>
  </x:si>
  <x:si>
    <x:t xml:space="preserve">visualizarRegistroLicenciaExitoso()</x:t>
  </x:si>
  <x:si>
    <x:t xml:space="preserve">Visualiza el registro exitoso y el seguimiento automático, con advertencia si estado administrativo SUSPENDIDA. No afirma que el dígito verificador demuestre identidad ni que la vigencia esté verificada en tiempo real.</x:t>
  </x:si>
  <x:si>
    <x:t xml:space="preserve">DIAGRAMA DE SECUENCIAS — RF-052 — CONSULTAR LICENCIA — EF01</x:t>
  </x:si>
  <x:si>
    <x:t xml:space="preserve">Evento exitoso: cuenta ACTIVA con licencia ACTUAL registrada; PREMIUM o FREE con licencia conservada. Consulta de solo lectura. RF51 sigue siendo exclusivo PREMIUM para el registro.</x:t>
  </x:si>
  <x:si>
    <x:t xml:space="preserve">BLOQUE 1 · NAVEGACIÓN Y ACCESO A CONSULTA CONSERVADA (Pasos 1–10)</x:t>
  </x:si>
  <x:si>
    <x:t xml:space="preserve">Selecciona Perfil desde Inicio.</x:t>
  </x:si>
  <x:si>
    <x:t xml:space="preserve">Solicita abrir la pantalla Perfil.</x:t>
  </x:si>
  <x:si>
    <x:t xml:space="preserve">Muestra Perfil con la opción Licencia de conducir.</x:t>
  </x:si>
  <x:si>
    <x:t xml:space="preserve">Visualiza la opción Licencia de conducir.</x:t>
  </x:si>
  <x:si>
    <x:t xml:space="preserve">Selecciona Licencia de conducir para consultar los datos guardados.</x:t>
  </x:si>
  <x:si>
    <x:t xml:space="preserve">solicitarConsultaLicencia(idUsuario)</x:t>
  </x:si>
  <x:si>
    <x:t xml:space="preserve">Solicita el detalle de la licencia vinculada al usuario autenticado.</x:t>
  </x:si>
  <x:si>
    <x:t xml:space="preserve">validarConsultaLicenciaConservada(idUsuario)</x:t>
  </x:si>
  <x:si>
    <x:t xml:space="preserve">La consulta de licencia previamente registrada es de solo lectura para una cuenta ACTIVA tanto con Premium vigente como con plan Free tras pérdida de Premium. El alta de licencia continúa restringida a Premium en RF51.</x:t>
  </x:si>
  <x:si>
    <x:t xml:space="preserve">consultarPlanEfectivoYEstadoCuenta(idUsuario)</x:t>
  </x:si>
  <x:si>
    <x:t xml:space="preserve">Consulta plan efectivo FREE/PREMIUM y comprueba que la cuenta está ACTIVA; permisos de lectura no implican permiso de registrar ni actualizar licencia.</x:t>
  </x:si>
  <x:si>
    <x:t xml:space="preserve">retornarPlanYEstadoCuenta(FREE_O_PREMIUM,ACTIVA)</x:t>
  </x:si>
  <x:si>
    <x:t xml:space="preserve">La cuenta está ACTIVA; el plan puede ser PREMIUM vigente o FREE con licencia ya registrada. El exitoso presupone registro previo; licencia inexistente pertenece a alternativo.</x:t>
  </x:si>
  <x:si>
    <x:t xml:space="preserve">retornarPermisoConsultaLicenciaConservada(true)</x:t>
  </x:si>
  <x:si>
    <x:t xml:space="preserve">Autoriza exclusivamente CONSULTA DE SOLO LECTURA de licencia propia previamente registrada. No permite crear, editar ni actualizar datos externos en plan Free.</x:t>
  </x:si>
  <x:si>
    <x:t xml:space="preserve">BLOQUE 2 · CONSULTA DE CONDUCTOR Y LICENCIA ACTUAL (Pasos 11–14)</x:t>
  </x:si>
  <x:si>
    <x:t xml:space="preserve">Obtiene el conductor del usuario autenticado (CONDUCTOR.id_usuario).</x:t>
  </x:si>
  <x:si>
    <x:t xml:space="preserve">retornarConductor(idConductor,tipoDocumento,numeroDocumento)</x:t>
  </x:si>
  <x:si>
    <x:t xml:space="preserve">Devuelve conductor y datos documentales mínimos para el detalle.</x:t>
  </x:si>
  <x:si>
    <x:t xml:space="preserve">consultarLicenciaActualPorConductor(idConductor)</x:t>
  </x:si>
  <x:si>
    <x:t xml:space="preserve">Consulta LICENCIA con estado_registro=ACTUAL; este EF01 supone registro existente.</x:t>
  </x:si>
  <x:si>
    <x:t xml:space="preserve">retornarDatosLicenciaActual(datosLicencia)</x:t>
  </x:si>
  <x:si>
    <x:t xml:space="preserve">Devuelve numero_licencia, clase opcional, categoria, fecha_expedicion opcional, fecha_revalidacion, restricciones, estado, estado_reportado, fecha_ultima_consulta y estado_ultima_consulta.</x:t>
  </x:si>
  <x:si>
    <x:t xml:space="preserve">BLOQUE 3 · CONSULTA DE SEGUIMIENTO Y PREPARACIÓN (Pasos 15–17)</x:t>
  </x:si>
  <x:si>
    <x:t xml:space="preserve">consultarSeguimientoLicenciaActivo(idLicencia)</x:t>
  </x:si>
  <x:si>
    <x:t xml:space="preserve">Busca alerta de categoría LICENCIA vinculada, si existe, en estados no terminales; no crea nuevas alertas.</x:t>
  </x:si>
  <x:si>
    <x:t xml:space="preserve">retornarSeguimientoLicencia(datosAlerta?)</x:t>
  </x:si>
  <x:si>
    <x:t xml:space="preserve">Devuelve fecha objetivo y estado temporal de alerta, o ausencia de seguimiento si corresponde.</x:t>
  </x:si>
  <x:si>
    <x:t xml:space="preserve">prepararDetalleLicenciaSoloLectura()</x:t>
  </x:si>
  <x:si>
    <x:t xml:space="preserve">Combina datos almacenados y alerta; mantiene estado administrativo separado de vigencia por fecha. Advierte SUSPENDIDA/CANCELADA y fecha de última consulta. No llama JSON.pe ni habilita edición.</x:t>
  </x:si>
  <x:si>
    <x:t xml:space="preserve">BLOQUE 4 · PRESENTACIÓN DE SOLO LECTURA (Pasos 18–19)</x:t>
  </x:si>
  <x:si>
    <x:t xml:space="preserve">I_DetalleLicencia</x:t>
  </x:si>
  <x:si>
    <x:t xml:space="preserve">mostrarDetalleLicenciaSoloLectura(datosLicencia,datosAlerta)</x:t>
  </x:si>
  <x:si>
    <x:t xml:space="preserve">Muestra licencia conservada en solo lectura a su titular con cuenta ACTIVA, con plan Premium o Free. En Free no aparecen acciones de alta, renovación o edición. Presenta datos del documento y seguimiento si existe.</x:t>
  </x:si>
  <x:si>
    <x:t xml:space="preserve">visualizarDetalleLicenciaSoloLectura()</x:t>
  </x:si>
  <x:si>
    <x:t xml:space="preserve">Visualiza licencia guardada, advertencia administrativa según estado y seguimiento si corresponde. Los datos no son una verificación en tiempo real.</x:t>
  </x:si>
  <x:si>
    <x:t xml:space="preserve">RF053 — REACTIVAR CUENTA DENTRO DE LOS 30 DÍAS CALENDARIO · EF01</x:t>
  </x:si>
  <x:si>
    <x:t xml:space="preserve">Actor: AS_Usuario | Requisito: cuenta PENDIENTE_ELIMINACION; solicitud vigente (&lt; fechaLimiteUTC); titular con credenciales y acceso al correo. OTP: 6 dígitos, 60 s, 5 intentos acumulados y bloqueo de 60 min. Resultado: cuenta ACTIVA y solicitud CANCELADA, sin sesión automática.</x:t>
  </x:si>
  <x:si>
    <x:t xml:space="preserve">N°</x:t>
  </x:si>
  <x:si>
    <x:t xml:space="preserve">Emisor / origen</x:t>
  </x:si>
  <x:si>
    <x:t xml:space="preserve">Comunicación</x:t>
  </x:si>
  <x:si>
    <x:t xml:space="preserve">Receptor / destino</x:t>
  </x:si>
  <x:si>
    <x:t xml:space="preserve">Mensaje BCE</x:t>
  </x:si>
  <x:si>
    <x:t xml:space="preserve">Regla / respuesta esperada</x:t>
  </x:si>
  <x:si>
    <x:t xml:space="preserve">BLOQUE B1 · Acceso al proceso de recuperación</x:t>
  </x:si>
  <x:si>
    <x:t xml:space="preserve">seleccionarRecuperarCuentaEliminada()</x:t>
  </x:si>
  <x:si>
    <x:t xml:space="preserve">El usuario selecciona la opción específica, disponible sin revelar si un correo existe.</x:t>
  </x:si>
  <x:si>
    <x:t xml:space="preserve">Solicita iniciar la navegación.</x:t>
  </x:si>
  <x:si>
    <x:t xml:space="preserve">C_RecuperarCuenta</x:t>
  </x:si>
  <x:si>
    <x:t xml:space="preserve">iniciarProcesoRecuperacion()</x:t>
  </x:si>
  <x:si>
    <x:t xml:space="preserve">Inicializa el flujo sin cambiar todavía ningún estado.</x:t>
  </x:si>
  <x:si>
    <x:t xml:space="preserve">I_InformacionRecuperacionCuenta</x:t>
  </x:si>
  <x:si>
    <x:t xml:space="preserve">mostrarCondicionesRecuperacion(30diasCalendario)</x:t>
  </x:si>
  <x:si>
    <x:t xml:space="preserve">Informa plazo, conservación temporal de datos, consecuencias de vencimiento y requisitos.</x:t>
  </x:si>
  <x:si>
    <x:t xml:space="preserve">visualizarInformacionRecuperacion()</x:t>
  </x:si>
  <x:si>
    <x:t xml:space="preserve">El usuario visualiza aviso y botón Recuperar cuenta.</x:t>
  </x:si>
  <x:si>
    <x:t xml:space="preserve">BLOQUE B2 · Ingreso de credenciales</x:t>
  </x:si>
  <x:si>
    <x:t xml:space="preserve">seleccionarRecuperarCuenta()</x:t>
  </x:si>
  <x:si>
    <x:t xml:space="preserve">Acepta continuar.</x:t>
  </x:si>
  <x:si>
    <x:t xml:space="preserve">solicitarFormularioCredenciales()</x:t>
  </x:si>
  <x:si>
    <x:t xml:space="preserve">Pide abrir la pantalla de credenciales.</x:t>
  </x:si>
  <x:si>
    <x:t xml:space="preserve">I_CredencialesRecuperacion</x:t>
  </x:si>
  <x:si>
    <x:t xml:space="preserve">mostrarFormularioCredenciales()</x:t>
  </x:si>
  <x:si>
    <x:t xml:space="preserve">Pantalla exclusiva para recuperación de cuenta pendiente.</x:t>
  </x:si>
  <x:si>
    <x:t xml:space="preserve">visualizarFormularioCredenciales()</x:t>
  </x:si>
  <x:si>
    <x:t xml:space="preserve">Muestra correo y contraseña.</x:t>
  </x:si>
  <x:si>
    <x:t xml:space="preserve">ingresarCredenciales(correo,contrasena)</x:t>
  </x:si>
  <x:si>
    <x:t xml:space="preserve">Ingresa los datos del titular y confirma.</x:t>
  </x:si>
  <x:si>
    <x:t xml:space="preserve">enviarCredencialesRecuperacion(datos)</x:t>
  </x:si>
  <x:si>
    <x:t xml:space="preserve">Envía credenciales al control, no directamente a la entidad.</x:t>
  </x:si>
  <x:si>
    <x:t xml:space="preserve">BLOQUE B3 · Validación de identidad, estado y plazo</x:t>
  </x:si>
  <x:si>
    <x:t xml:space="preserve">validarCredencialesRecuperacion(datos)</x:t>
  </x:si>
  <x:si>
    <x:t xml:space="preserve">Inicia validación en servidor.</x:t>
  </x:si>
  <x:si>
    <x:t xml:space="preserve">consultarCuentaPorCorreo(correo)</x:t>
  </x:si>
  <x:si>
    <x:t xml:space="preserve">Consulta registro incluso si no admite login normal.</x:t>
  </x:si>
  <x:si>
    <x:t xml:space="preserve">retornarDatosAutenticacion(idUsuario,hashContrasena,estado)</x:t>
  </x:si>
  <x:si>
    <x:t xml:space="preserve">Entrega credenciales protegidas y estado al control.</x:t>
  </x:si>
  <x:si>
    <x:t xml:space="preserve">verificarContrasena(hashContrasena,contrasena)</x:t>
  </x:si>
  <x:si>
    <x:t xml:space="preserve">Compara contraseña segura sin almacenar texto plano.</x:t>
  </x:si>
  <x:si>
    <x:t xml:space="preserve">consultarSolicitudPendiente(idUsuario)</x:t>
  </x:si>
  <x:si>
    <x:t xml:space="preserve">Busca solicitud de eliminación pendiente.</x:t>
  </x:si>
  <x:si>
    <x:t xml:space="preserve">retornarSolicitudPendiente(idSolicitud,fechaLimiteUTC,estado)</x:t>
  </x:si>
  <x:si>
    <x:t xml:space="preserve">Devuelve solicitud y fecha límite guardada en servidor.</x:t>
  </x:si>
  <x:si>
    <x:t xml:space="preserve">validarEstadoYPlazoRecuperable()</x:t>
  </x:si>
  <x:si>
    <x:t xml:space="preserve">Exige PENDIENTE_ELIMINACION, solicitud pendiente y ahoraUTC &lt; fechaLimiteUTC.</x:t>
  </x:si>
  <x:si>
    <x:t xml:space="preserve">retornarCuentaAptaParaRecuperacion(idUsuario,idSolicitud)</x:t>
  </x:si>
  <x:si>
    <x:t xml:space="preserve">No reactivar todavía.</x:t>
  </x:si>
  <x:si>
    <x:t xml:space="preserve">BLOQUE B4 · Generación y envío del código</x:t>
  </x:si>
  <x:si>
    <x:t xml:space="preserve">consultarBloqueoRecuperacion(idUsuario)</x:t>
  </x:si>
  <x:si>
    <x:t xml:space="preserve">Comprueba límite de cinco intentos y bloqueo acumulado.</x:t>
  </x:si>
  <x:si>
    <x:t xml:space="preserve">retornarEstadoIntentos(disponible)</x:t>
  </x:si>
  <x:si>
    <x:t xml:space="preserve">Sin bloqueo vigente.</x:t>
  </x:si>
  <x:si>
    <x:t xml:space="preserve">generarOTP(6digitos,60segundos)</x:t>
  </x:si>
  <x:si>
    <x:t xml:space="preserve">Código impredecible, finalidad REACTIVAR_CUENTA; cuenta intentos por usuario/finalidad.</x:t>
  </x:si>
  <x:si>
    <x:t xml:space="preserve">registrarOTPProtegido(idUsuario,REACTIVAR_CUENTA,expiracionUTC)</x:t>
  </x:si>
  <x:si>
    <x:t xml:space="preserve">Invalida OTP anterior y guarda nuevo verificador protegido; vigencia 60 segundos.</x:t>
  </x:si>
  <x:si>
    <x:t xml:space="preserve">Confirma persistencia del OTP.</x:t>
  </x:si>
  <x:si>
    <x:t xml:space="preserve">registrarCorreoOTP(idUsuario,correo,contenidoProtegido)</x:t>
  </x:si>
  <x:si>
    <x:t xml:space="preserve">Encola envío al correo ya registrado; envío externo después del COMMIT.</x:t>
  </x:si>
  <x:si>
    <x:t xml:space="preserve">retornarCorreoEncolado(idCorreo)</x:t>
  </x:si>
  <x:si>
    <x:t xml:space="preserve">Correo pendiente persistido.</x:t>
  </x:si>
  <x:si>
    <x:t xml:space="preserve">I_VerificarRecuperacionCuenta</x:t>
  </x:si>
  <x:si>
    <x:t xml:space="preserve">visualizarVerificacionOTP()</x:t>
  </x:si>
  <x:si>
    <x:t xml:space="preserve">Muestra código, temporizador y opción de reenvío controlado.</x:t>
  </x:si>
  <x:si>
    <x:t xml:space="preserve">BLOQUE B5 · Verificación del código</x:t>
  </x:si>
  <x:si>
    <x:t xml:space="preserve">ingresarCodigoYValidar(codigo)</x:t>
  </x:si>
  <x:si>
    <x:t xml:space="preserve">Código recibido en correo, validar antes de expiración.</x:t>
  </x:si>
  <x:si>
    <x:t xml:space="preserve">solicitarValidacionOTP(codigo)</x:t>
  </x:si>
  <x:si>
    <x:t xml:space="preserve">Envía OTP al servidor.</x:t>
  </x:si>
  <x:si>
    <x:t xml:space="preserve">bloquearOTPVigente(idUsuario,REACTIVAR_CUENTA)</x:t>
  </x:si>
  <x:si>
    <x:t xml:space="preserve">retornarOTPProtegido(datosCodigo,intentos)</x:t>
  </x:si>
  <x:si>
    <x:t xml:space="preserve">Devuelve estado, vencimiento, uso e intentos.</x:t>
  </x:si>
  <x:si>
    <x:t xml:space="preserve">validarOTPFinalidadVigenciaEIntentos()</x:t>
  </x:si>
  <x:si>
    <x:t xml:space="preserve">OTP correcto, vigente, no consumido, finalidad exacta, cuenta no bloqueada.</x:t>
  </x:si>
  <x:si>
    <x:t xml:space="preserve">consumirOTPAtomicamente(idCodigo)</x:t>
  </x:si>
  <x:si>
    <x:t xml:space="preserve">Se consume en transacción coordinada con reactivación o se emite autorización idempotente y segura.</x:t>
  </x:si>
  <x:si>
    <x:t xml:space="preserve">retornarOTPConsumido()</x:t>
  </x:si>
  <x:si>
    <x:t xml:space="preserve">Confirma un solo uso; fallos técnicos no computan como intento errado.</x:t>
  </x:si>
  <x:si>
    <x:t xml:space="preserve">BLOQUE B6 · Reactivación de la cuenta</x:t>
  </x:si>
  <x:si>
    <x:t xml:space="preserve">bloquearSolicitudEliminacion(idSolicitud)</x:t>
  </x:si>
  <x:si>
    <x:t xml:space="preserve">Bloqueo para impedir carrera con eliminación definitiva.</x:t>
  </x:si>
  <x:si>
    <x:t xml:space="preserve">retornarSolicitudBloqueada(datosSolicitud)</x:t>
  </x:si>
  <x:si>
    <x:t xml:space="preserve">Confirma solicitud pendiente y fecha límite.</x:t>
  </x:si>
  <x:si>
    <x:t xml:space="preserve">revalidarEstadoYPlazoActualUTC()</x:t>
  </x:si>
  <x:si>
    <x:t xml:space="preserve">Revalida ahoraUTC &lt; fechaLimiteUTC inmediatamente antes de actualizar.</x:t>
  </x:si>
  <x:si>
    <x:t xml:space="preserve">reactivarCuentaSiPendiente(idUsuario,ACTIVA)</x:t>
  </x:si>
  <x:si>
    <x:t xml:space="preserve">Cambio condicional desde PENDIENTE_ELIMINACION.</x:t>
  </x:si>
  <x:si>
    <x:t xml:space="preserve">retornarCuentaReactivada()</x:t>
  </x:si>
  <x:si>
    <x:t xml:space="preserve">Devuelve actualización realizada.</x:t>
  </x:si>
  <x:si>
    <x:t xml:space="preserve">cancelarSolicitudEliminacion(idSolicitud,CANCELADA)</x:t>
  </x:si>
  <x:si>
    <x:t xml:space="preserve">Cancela baja programada en la misma transacción.</x:t>
  </x:si>
  <x:si>
    <x:t xml:space="preserve">retornarSolicitudCancelada()</x:t>
  </x:si>
  <x:si>
    <x:t xml:space="preserve">Confirma cancelación.</x:t>
  </x:si>
  <x:si>
    <x:t xml:space="preserve">E_EstadoCuenta</x:t>
  </x:si>
  <x:si>
    <x:t xml:space="preserve">registrarEventoReactivacion(idUsuario,RF53)</x:t>
  </x:si>
  <x:si>
    <x:t xml:space="preserve">Registra auditoría sin revelar información sensible.</x:t>
  </x:si>
  <x:si>
    <x:t xml:space="preserve">retornarEventoRegistrado()</x:t>
  </x:si>
  <x:si>
    <x:t xml:space="preserve">Confirmación de auditoría.</x:t>
  </x:si>
  <x:si>
    <x:t xml:space="preserve">confirmarTransaccionReactivacion()</x:t>
  </x:si>
  <x:si>
    <x:t xml:space="preserve">COMMIT atómico: OTP consumido/cuenta activa/solicitud cancelada/auditoría; rollback en error.</x:t>
  </x:si>
  <x:si>
    <x:t xml:space="preserve">BLOQUE B7 · Confirmación y regreso</x:t>
  </x:si>
  <x:si>
    <x:t xml:space="preserve">I_CuentaRecuperada</x:t>
  </x:si>
  <x:si>
    <x:t xml:space="preserve">mostrarCuentaRecuperada()</x:t>
  </x:si>
  <x:si>
    <x:t xml:space="preserve">Solo tras confirmar transacción.</x:t>
  </x:si>
  <x:si>
    <x:t xml:space="preserve">visualizarRecuperacionExitosa()</x:t>
  </x:si>
  <x:si>
    <x:t xml:space="preserve">Confirma conservación de datos y preferencias.</x:t>
  </x:si>
  <x:si>
    <x:t xml:space="preserve">seleccionarIniciarSesion()</x:t>
  </x:si>
  <x:si>
    <x:t xml:space="preserve">Solicita regreso sin abrir sesión automáticamente.</x:t>
  </x:si>
  <x:si>
    <x:t xml:space="preserve">solicitarPantallaInicioSesion()</x:t>
  </x:si>
  <x:si>
    <x:t xml:space="preserve">Control de navegación reutilizado.</x:t>
  </x:si>
  <x:si>
    <x:t xml:space="preserve">mostrarInicioSesion()</x:t>
  </x:si>
  <x:si>
    <x:t xml:space="preserve">Retorna a interfaz ya existente.</x:t>
  </x:si>
  <x:si>
    <x:t xml:space="preserve">visualizarInicioSesion()</x:t>
  </x:si>
  <x:si>
    <x:t xml:space="preserve">Cuenta ACTIVA; inicio de sesión normal disponible.</x:t>
  </x:si>
  <x:si>
    <x:t xml:space="preserve">DIAGRAMA DE SECUENCIAS — RF-054 Registrar TIVE | EVENTO EXITOSO</x:t>
  </x:si>
  <x:si>
    <x:t xml:space="preserve">Patrón: Actor → Interfaz → Control → Entidad → Control → Interfaz → Actor | 45 pasos | 5 bloques | Foto elegida desde Galería | Confirmación I_ConfirmacionRegistroTIVE</x:t>
  </x:si>
  <x:si>
    <x:t xml:space="preserve">BLOQUE 1 · ACCESO, VALIDACIÓN DEL VIN Y DISPONIBILIDAD TIVE (Pasos 1–12)</x:t>
  </x:si>
  <x:si>
    <x:t xml:space="preserve">seleccionarRegistrarTIVE(idVehiculo)</x:t>
  </x:si>
  <x:si>
    <x:t xml:space="preserve">En I_DetalleVehiculo, si el vehículo ACTIVO carece de TIVE, la sección muestra «Aún no tienes una TIVE registrada» y únicamente el botón «Registrar TIVE».</x:t>
  </x:si>
  <x:si>
    <x:t xml:space="preserve">solicitarRegistroTIVE(idUsuario,idVehiculo)</x:t>
  </x:si>
  <x:si>
    <x:t xml:space="preserve">La interfaz solicita iniciar el registro de TIVE para el vehículo seleccionado.</x:t>
  </x:si>
  <x:si>
    <x:t xml:space="preserve">Solicita verificar propiedad y estado activo; no duplica la lógica de RF10.</x:t>
  </x:si>
  <x:si>
    <x:t xml:space="preserve">Consulta los datos actuales del vehículo, incluido numeroVin, y su estado.</x:t>
  </x:si>
  <x:si>
    <x:t xml:space="preserve">Devuelve idVehiculo, placa, marca, modelo, numeroVin (si existe) y estado.</x:t>
  </x:si>
  <x:si>
    <x:t xml:space="preserve">Valida que el vehículo pertenezca al usuario y esté ACTIVO.</x:t>
  </x:si>
  <x:si>
    <x:t xml:space="preserve">Entrega la identificación, VIN y validación de propiedad/estado al controlador de TIVE.</x:t>
  </x:si>
  <x:si>
    <x:t xml:space="preserve">verificarVINParaRegistro(datosVehiculo.numeroVin)</x:t>
  </x:si>
  <x:si>
    <x:t xml:space="preserve">retornarEstadoTIVE(NO_REGISTRADA)</x:t>
  </x:si>
  <x:si>
    <x:t xml:space="preserve">Confirma que no existe una TIVE actualmente registrada para el vehículo.</x:t>
  </x:si>
  <x:si>
    <x:t xml:space="preserve">I_RegistrarTIVE</x:t>
  </x:si>
  <x:si>
    <x:t xml:space="preserve">mostrarFormularioRegistroTIVE(datosVehiculo)</x:t>
  </x:si>
  <x:si>
    <x:t xml:space="preserve">Abre el formulario con el vehículo seleccionado automáticamente; marca, modelo, placa y VIN no vuelven a pedirse.</x:t>
  </x:si>
  <x:si>
    <x:t xml:space="preserve">visualizarFormularioRegistroTIVE()</x:t>
  </x:si>
  <x:si>
    <x:t xml:space="preserve">Muestra número de título, código de verificación y fecha de título obligatorios; imagen y sección registral adicional opcionales.</x:t>
  </x:si>
  <x:si>
    <x:t xml:space="preserve">BLOQUE 2 · FORMULARIO, CÁMARA/GALERÍA Y GUARDAR (Pasos 13–23)</x:t>
  </x:si>
  <x:si>
    <x:t xml:space="preserve">ingresarDatosTIVE(numeroTitulo,codigoVerificacion,fechaTitulo,datosRegistrales?)</x:t>
  </x:si>
  <x:si>
    <x:t xml:space="preserve">Ingresa los tres campos principales. Si desea, despliega información registral adicional, sin repetir datos generales de RF08.</x:t>
  </x:si>
  <x:si>
    <x:t xml:space="preserve">seleccionarAdjuntarImagenTIVE()</x:t>
  </x:si>
  <x:si>
    <x:t xml:space="preserve">[opt: imagen] El usuario toca Adjuntar imagen del documento; si no adjunta, el flujo continúa al botón Guardar.</x:t>
  </x:si>
  <x:si>
    <x:t xml:space="preserve">mostrarSelectorCamaraGaleria()</x:t>
  </x:si>
  <x:si>
    <x:t xml:space="preserve">[opt: imagen] Abre la pantalla de elección de fuente con opciones Cámara y Galería. Navegación/retorno es orquestado por el controlador y/o componente nativo, según el subflujo BCE_TIVE; no comunicación directa entre vistas en código.</x:t>
  </x:si>
  <x:si>
    <x:t xml:space="preserve">I_SeleccionarImagenTIVE</x:t>
  </x:si>
  <x:si>
    <x:t xml:space="preserve">visualizarOpcionesImagen()</x:t>
  </x:si>
  <x:si>
    <x:t xml:space="preserve">[opt: imagen] La interfaz muestra las dos fuentes disponibles de imagen.</x:t>
  </x:si>
  <x:si>
    <x:t xml:space="preserve">seleccionarFuenteImagen(GALERIA)</x:t>
  </x:si>
  <x:si>
    <x:t xml:space="preserve">En este escenario exitoso con foto, el usuario elige Galería y selecciona una imagen. La opción Cámara se documenta por separado como alternativa.</x:t>
  </x:si>
  <x:si>
    <x:t xml:space="preserve">ServicioMultimediaDispositivo</x:t>
  </x:si>
  <x:si>
    <x:t xml:space="preserve">abrirGaleria()</x:t>
  </x:si>
  <x:si>
    <x:t xml:space="preserve">[opt: imagen] Devuelve la fotografía capturada o el archivo elegido por el usuario.</x:t>
  </x:si>
  <x:si>
    <x:t xml:space="preserve">seleccionarUsarImagen()</x:t>
  </x:si>
  <x:si>
    <x:t xml:space="preserve">[opt: imagen] El usuario confirma que utilizará la imagen seleccionada.</x:t>
  </x:si>
  <x:si>
    <x:t xml:space="preserve">devolverImagenAlFormulario(imagen)</x:t>
  </x:si>
  <x:si>
    <x:t xml:space="preserve">[opt: imagen] Regresa al formulario sin perder los campos ya completados y deja la imagen adjunta. Navegación/retorno es orquestado por el controlador y/o componente nativo, según el subflujo BCE_TIVE; no comunicación directa entre vistas en código.</x:t>
  </x:si>
  <x:si>
    <x:t xml:space="preserve">mostrarFormularioConImagenYHabilitarGuardar()</x:t>
  </x:si>
  <x:si>
    <x:t xml:space="preserve">El formulario muestra la foto ya cargada; habilita Guardar TIVE solo cuando los tres campos obligatorios están completos y son válidos.</x:t>
  </x:si>
  <x:si>
    <x:t xml:space="preserve">seleccionarGuardarTIVE()</x:t>
  </x:si>
  <x:si>
    <x:t xml:space="preserve">El usuario pulsa Guardar TIVE cuando el formulario está listo.</x:t>
  </x:si>
  <x:si>
    <x:t xml:space="preserve">BLOQUE 3 · VALIDACIÓN DE DATOS E IMAGEN OPCIONAL (Pasos 24–29)</x:t>
  </x:si>
  <x:si>
    <x:t xml:space="preserve">validarCamposObligatoriosTIVE(datosTIVE)</x:t>
  </x:si>
  <x:si>
    <x:t xml:space="preserve">Verifica número de título, código de verificación y fecha de título.</x:t>
  </x:si>
  <x:si>
    <x:t xml:space="preserve">validarFechaTitulo(fechaTitulo,fechaActual)</x:t>
  </x:si>
  <x:si>
    <x:t xml:space="preserve">Confirma que la fecha de título sea válida y no posterior a la fecha actual.</x:t>
  </x:si>
  <x:si>
    <x:t xml:space="preserve">validarDatosRegistralesOpcionales(datosRegistrales)</x:t>
  </x:si>
  <x:si>
    <x:t xml:space="preserve">Valida zona, sede y otros datos solo si fueron informados; la zona/sede debe respetar la combinación de sede_zona de la base de datos.</x:t>
  </x:si>
  <x:si>
    <x:t xml:space="preserve">C_ValidacionImagenTIVE</x:t>
  </x:si>
  <x:si>
    <x:t xml:space="preserve">[opt: imagen] Comprueba formato, tamaño y tipo de archivo. Propuesta coherente con RF08: JPG, PNG o HEIC y máximo 5 MB.</x:t>
  </x:si>
  <x:si>
    <x:t xml:space="preserve">retornarResultadoValidacionImagen(resultado)</x:t>
  </x:si>
  <x:si>
    <x:t xml:space="preserve">[opt: imagen] Devuelve VÁLIDA. Si no se adjuntó imagen, se omiten estos dos mensajes.</x:t>
  </x:si>
  <x:si>
    <x:t xml:space="preserve">BLOQUE 4 · REGISTRO TIVE E IMAGEN (Pasos 30–37)</x:t>
  </x:si>
  <x:si>
    <x:t xml:space="preserve">C_ControlImagenTIVE</x:t>
  </x:si>
  <x:si>
    <x:t xml:space="preserve">E_ImagenTIVE</x:t>
  </x:si>
  <x:si>
    <x:t xml:space="preserve">retornarImagenTIVEGuardada(referenciaImagen)</x:t>
  </x:si>
  <x:si>
    <x:t xml:space="preserve">[opt: imagen] Confirma la referencia segura guardada y vinculada a la TIVE.</x:t>
  </x:si>
  <x:si>
    <x:t xml:space="preserve">retornarEstadoImagenTIVE(GUARDADA)</x:t>
  </x:si>
  <x:si>
    <x:t xml:space="preserve">[opt: imagen] Confirma que la TIVE y su fotografía opcional quedaron asociadas.</x:t>
  </x:si>
  <x:si>
    <x:t xml:space="preserve">BLOQUE 5 · CONFIRMACIÓN Y RETORNO A DETALLE (Pasos 38–45)</x:t>
  </x:si>
  <x:si>
    <x:t xml:space="preserve">I_ConfirmacionRegistroTIVE</x:t>
  </x:si>
  <x:si>
    <x:t xml:space="preserve">visualizarConfirmacionRegistroTIVE()</x:t>
  </x:si>
  <x:si>
    <x:t xml:space="preserve">La interfaz presenta los datos registrados y su único botón de navegación: «Ver detalle del vehículo». No reutiliza I_ConfirmacionOperacion.</x:t>
  </x:si>
  <x:si>
    <x:t xml:space="preserve">seleccionarVerDetalleVehiculo()</x:t>
  </x:si>
  <x:si>
    <x:t xml:space="preserve">El usuario pulsa el botón propio «Ver detalle del vehículo» en la confirmación de RF54.</x:t>
  </x:si>
  <x:si>
    <x:t xml:space="preserve">solicitarRetornoDetalleVehiculo(idUsuario,idVehiculo)</x:t>
  </x:si>
  <x:si>
    <x:t xml:space="preserve">La confirmación personalizada solicita recuperar el detalle completo y mostrar la TIVE recién registrada.</x:t>
  </x:si>
  <x:si>
    <x:t xml:space="preserve">Reutiliza RF10 para reconstruir el detalle actualizado de vehículo, SOAT, kilometraje y TIVE.</x:t>
  </x:si>
  <x:si>
    <x:t xml:space="preserve">Devuelve la sección TIVE en estado Registrado, con número de título y fecha.</x:t>
  </x:si>
  <x:si>
    <x:t xml:space="preserve">El controlador abre I_DetalleVehiculo con la información actualizada, sin repetir el registro de vehículo.</x:t>
  </x:si>
  <x:si>
    <x:t xml:space="preserve">visualizarDetalleConTIVERegistrada()</x:t>
  </x:si>
  <x:si>
    <x:t xml:space="preserve">La pantalla Detalle del vehículo muestra estado Registrado, número de título, fecha y los botones «Consultar TIVE» y «Editar TIVE» si está activo.</x:t>
  </x:si>
  <x:si>
    <x:t xml:space="preserve">DIAGRAMA DE SECUENCIAS — RF-055 Consultar TIVE | EVENTO EXITOSO</x:t>
  </x:si>
  <x:si>
    <x:t xml:space="preserve">Patrón: Actor → Interfaz → Control → Entidad → Control → Interfaz → Actor | 22 pasos | 4 bloques | Consulta + visor de imagen; retorna a I_DetalleTIVE</x:t>
  </x:si>
  <x:si>
    <x:t xml:space="preserve">BLOQUE 1 · Acceso y autorización (Pasos 1–7)</x:t>
  </x:si>
  <x:si>
    <x:t xml:space="preserve">seleccionarConsultarTIVE(idVehiculo)</x:t>
  </x:si>
  <x:si>
    <x:t xml:space="preserve">El botón «Consultar TIVE» solo se muestra cuando existe una TIVE REGISTRADA. El usuario lo pulsa desde I_DetalleVehiculo; con vehículo inactivo se permite consulta de solo lectura. Si no existe TIVE, únicamente se muestra «Registrar TIVE» para vehículo activo.</x:t>
  </x:si>
  <x:si>
    <x:t xml:space="preserve">solicitarConsultaTIVE(idUsuario,idVehiculo)</x:t>
  </x:si>
  <x:si>
    <x:t xml:space="preserve">La interfaz pide consultar la TIVE actual asociada al vehículo seleccionado.</x:t>
  </x:si>
  <x:si>
    <x:t xml:space="preserve">solicitarVehiculoPropioConsultable(idUsuario,idVehiculo)</x:t>
  </x:si>
  <x:si>
    <x:t xml:space="preserve">Reutiliza el control de pertenencia. Se permite consultar la TIVE de vehículos ACTIVOS e INACTIVOS.</x:t>
  </x:si>
  <x:si>
    <x:t xml:space="preserve">Devuelve identificación, VIN y estado actual; no se modifican los datos de RF08 ni RF11.</x:t>
  </x:si>
  <x:si>
    <x:t xml:space="preserve">validarAccesoConsultaVehiculo(datosVehiculo)</x:t>
  </x:si>
  <x:si>
    <x:t xml:space="preserve">Valida pertenencia del vehículo sin exigir que esté activo.</x:t>
  </x:si>
  <x:si>
    <x:t xml:space="preserve">BLOQUE 2 · Consultar TIVE e imagen existente (Pasos 8–14)</x:t>
  </x:si>
  <x:si>
    <x:t xml:space="preserve">retornarTIVEActual(datosTIVE)</x:t>
  </x:si>
  <x:si>
    <x:t xml:space="preserve">retornarReferenciaImagenTIVE(referenciaImagen)</x:t>
  </x:si>
  <x:si>
    <x:t xml:space="preserve">Devuelve la referencia válida para la vista de consulta.</x:t>
  </x:si>
  <x:si>
    <x:t xml:space="preserve">retornarImagenTIVE(referenciaImagen)</x:t>
  </x:si>
  <x:si>
    <x:t xml:space="preserve">Entrega la referencia de la foto para mostrar miniatura y visor completo.</x:t>
  </x:si>
  <x:si>
    <x:t xml:space="preserve">prepararAccionesConsultaConImagen(estadoVehiculo,referenciaImagen)</x:t>
  </x:si>
  <x:si>
    <x:t xml:space="preserve">Prepara los controles de visualización en modo de solo lectura. No permite borrar ni modificar la imagen.</x:t>
  </x:si>
  <x:si>
    <x:t xml:space="preserve">BLOQUE 3 · Mostrar información de la TIVE (Pasos 15–16)</x:t>
  </x:si>
  <x:si>
    <x:t xml:space="preserve">I_DetalleTIVE</x:t>
  </x:si>
  <x:si>
    <x:t xml:space="preserve">mostrarInformacionTIVE(datosTIVE,referenciaImagen,accionesConsulta)</x:t>
  </x:si>
  <x:si>
    <x:t xml:space="preserve">Muestra número de título, código de verificación, fecha de título, datos registrales existentes y la imagen de la TIVE.</x:t>
  </x:si>
  <x:si>
    <x:t xml:space="preserve">visualizarInformacionTIVE()</x:t>
  </x:si>
  <x:si>
    <x:t xml:space="preserve">El usuario visualiza la TIVE y encuentra el botón «Ver imagen completa».</x:t>
  </x:si>
  <x:si>
    <x:t xml:space="preserve">BLOQUE 4 · Ver imagen completa y regresar a la consulta (Pasos 17–22)</x:t>
  </x:si>
  <x:si>
    <x:t xml:space="preserve">seleccionarVerImagenCompleta()</x:t>
  </x:si>
  <x:si>
    <x:t xml:space="preserve">El usuario pulsa Ver imagen completa en Información de la TIVE.</x:t>
  </x:si>
  <x:si>
    <x:t xml:space="preserve">abrirVisorImagenTIVE(referenciaImagen)</x:t>
  </x:si>
  <x:si>
    <x:t xml:space="preserve">Abre el visor a pantalla completa, en modo lectura, conservando la referencia del documento seleccionado. Navegación/retorno es orquestado por el controlador y/o componente nativo, según el subflujo BCE_TIVE; no comunicación directa entre vistas en código.</x:t>
  </x:si>
  <x:si>
    <x:t xml:space="preserve">I_VisorImagenTIVE</x:t>
  </x:si>
  <x:si>
    <x:t xml:space="preserve">mostrarImagenTIVECompleta()</x:t>
  </x:si>
  <x:si>
    <x:t xml:space="preserve">El visor muestra la foto ampliada en modo lectura, con zoom y cierre. No incluye eliminar.</x:t>
  </x:si>
  <x:si>
    <x:t xml:space="preserve">seleccionarCerrarImagenTIVE()</x:t>
  </x:si>
  <x:si>
    <x:t xml:space="preserve">El usuario cierra el visor con X o Volver.</x:t>
  </x:si>
  <x:si>
    <x:t xml:space="preserve">regresarInformacionTIVE()</x:t>
  </x:si>
  <x:si>
    <x:t xml:space="preserve">Restablece exactamente la pantalla Información de la TIVE, con su imagen y datos consultados. Navegación/retorno es orquestado por el controlador y/o componente nativo, según el subflujo BCE_TIVE; no comunicación directa entre vistas en código.</x:t>
  </x:si>
  <x:si>
    <x:t xml:space="preserve">visualizarConsultaTIVERestaurada()</x:t>
  </x:si>
  <x:si>
    <x:t xml:space="preserve">El usuario vuelve a «Información de la TIVE» sin modificar ningún dato; finaliza el escenario exitoso de la lámina.</x:t>
  </x:si>
  <x:si>
    <x:t xml:space="preserve">DIAGRAMA DE SECUENCIAS — RF-056 Editar TIVE | EVENTO EXITOSO</x:t>
  </x:si>
  <x:si>
    <x:t xml:space="preserve">Patrón: Actor → Interfaz → Control → Entidad → Control → Interfaz → Actor | 38 pasos | 5 bloques | I_ConfirmacionEdicionTIVE | Botón Volver a la TIVE</x:t>
  </x:si>
  <x:si>
    <x:t xml:space="preserve">BLOQUE 1 · Acceder, autorizar y cargar datos e imagen actuales (Pasos 1–15)</x:t>
  </x:si>
  <x:si>
    <x:t xml:space="preserve">seleccionarEditarTIVE(idVehiculo)</x:t>
  </x:si>
  <x:si>
    <x:t xml:space="preserve">El botón «Editar TIVE» solo aparece si la TIVE está REGISTRADA y el vehículo está ACTIVO. Desde I_DetalleVehiculo, el usuario pulsa «Editar TIVE». Sin TIVE se muestra solo «Registrar TIVE»; con vehículo inactivo solo se permite «Consultar TIVE».</x:t>
  </x:si>
  <x:si>
    <x:t xml:space="preserve">solicitarEdicionTIVE(idUsuario,idVehiculo)</x:t>
  </x:si>
  <x:si>
    <x:t xml:space="preserve">Solicita editar la TIVE actual; el registro del vehículo y sus datos generales ya existen.</x:t>
  </x:si>
  <x:si>
    <x:t xml:space="preserve">Verifica nuevamente pertenencia y estado ACTIVO antes de permitir modificar el documento.</x:t>
  </x:si>
  <x:si>
    <x:t xml:space="preserve">Obtiene vehículo, VIN y estado actuales.</x:t>
  </x:si>
  <x:si>
    <x:t xml:space="preserve">La entidad devuelve los datos necesarios sin cambiar placa, VIN ni kilometraje.</x:t>
  </x:si>
  <x:si>
    <x:t xml:space="preserve">Confirma que el vehículo pertenece al usuario y se mantiene ACTIVO; si está INACTIVO, bloquea edición.</x:t>
  </x:si>
  <x:si>
    <x:t xml:space="preserve">retornarTIVEParaEdicion(datosTIVEActual)</x:t>
  </x:si>
  <x:si>
    <x:t xml:space="preserve">Devuelve número de título, código de verificación, fecha de título, información registral opcional y clave anterior.</x:t>
  </x:si>
  <x:si>
    <x:t xml:space="preserve">retornarReferenciaImagenActual(referenciaImagenActual)</x:t>
  </x:si>
  <x:si>
    <x:t xml:space="preserve">Entrega la referencia de la imagen previamente registrada.</x:t>
  </x:si>
  <x:si>
    <x:t xml:space="preserve">retornarVistaPreviaImagenActual(referenciaImagenActual)</x:t>
  </x:si>
  <x:si>
    <x:t xml:space="preserve">Devuelve la referencia al control TIVE para mostrar miniatura existente.</x:t>
  </x:si>
  <x:si>
    <x:t xml:space="preserve">I_EditarTIVE</x:t>
  </x:si>
  <x:si>
    <x:t xml:space="preserve">mostrarFormularioEdicionTIVE(datosTIVEActual,referenciaImagenActual)</x:t>
  </x:si>
  <x:si>
    <x:t xml:space="preserve">visualizarFormularioEdicionTIVE()</x:t>
  </x:si>
  <x:si>
    <x:t xml:space="preserve">El usuario visualiza el formulario con la información ya registrada.</x:t>
  </x:si>
  <x:si>
    <x:t xml:space="preserve">BLOQUE 2 · Modificar datos y pulsar Guardar cambios (Pasos 16–18)</x:t>
  </x:si>
  <x:si>
    <x:t xml:space="preserve">editarCamposPermitidos(datosModificados)</x:t>
  </x:si>
  <x:si>
    <x:t xml:space="preserve">El usuario cambia datos permitidos; conserva la imagen TIVE ya registrada en este escenario exitoso.</x:t>
  </x:si>
  <x:si>
    <x:t xml:space="preserve">mostrarFormularioEditado(datosModificados,referenciaImagenActual)</x:t>
  </x:si>
  <x:si>
    <x:t xml:space="preserve">El formulario mantiene la miniatura de la imagen anterior y muestra los datos modificados antes del guardado.</x:t>
  </x:si>
  <x:si>
    <x:t xml:space="preserve">El usuario pulsa Guardar cambios una vez que existe alguna modificación válida de la información TIVE.</x:t>
  </x:si>
  <x:si>
    <x:t xml:space="preserve">BLOQUE 3 · Validar campos e identificadores (Pasos 19–24)</x:t>
  </x:si>
  <x:si>
    <x:t xml:space="preserve">enviarEdicionTIVE(idVehiculo,codigoVerificacionAnterior,datosModificados)</x:t>
  </x:si>
  <x:si>
    <x:t xml:space="preserve">Envía los cambios del documento; en este escenario se conserva la imagen actual y no se solicita nueva foto.</x:t>
  </x:si>
  <x:si>
    <x:t xml:space="preserve">consolidarYValidarDatosTIVE(datosActuales,datosModificados)</x:t>
  </x:si>
  <x:si>
    <x:t xml:space="preserve">Consolida información previa y modificada. Verifica número de título, código de verificación y fecha de título válidos.</x:t>
  </x:si>
  <x:si>
    <x:t xml:space="preserve">Valida, cuando estén informados, los datos de zona y sede registral, partida, DUA/DAM y condición; comprueba pareja zona/sede.</x:t>
  </x:si>
  <x:si>
    <x:t xml:space="preserve">prepararActualizacionDatosTIVE(datosActuales,datosModificados)</x:t>
  </x:si>
  <x:si>
    <x:t xml:space="preserve">retornarTIVEActualizada(datosTIVEActualizada)</x:t>
  </x:si>
  <x:si>
    <x:t xml:space="preserve">BLOQUE 5 · Confirmación PERSONALIZADA y Volver a la TIVE (Pasos 27–38)</x:t>
  </x:si>
  <x:si>
    <x:t xml:space="preserve">I_ConfirmacionEdicionTIVE</x:t>
  </x:si>
  <x:si>
    <x:t xml:space="preserve">mostrarExitoEdicionTIVE(resumenActualizacion)</x:t>
  </x:si>
  <x:si>
    <x:t xml:space="preserve">Abre la pantalla PERSONALIZADA «¡TIVE actualizada!» con dos botones: «Ver detalle del vehículo» y «Volver a la TIVE».</x:t>
  </x:si>
  <x:si>
    <x:t xml:space="preserve">visualizarExitoEdicionTIVE()</x:t>
  </x:si>
  <x:si>
    <x:t xml:space="preserve">La interfaz personalizada muestra el mensaje de éxito y ambos botones; no utiliza I_ConfirmacionOperacion genérica.</x:t>
  </x:si>
  <x:si>
    <x:t xml:space="preserve">seleccionarVolverALaTIVE()</x:t>
  </x:si>
  <x:si>
    <x:t xml:space="preserve">En el escenario exitoso principal, el usuario pulsa «Volver a la TIVE». La otra opción se explica en RF56-ALT-NAVEGACIÓN.</x:t>
  </x:si>
  <x:si>
    <x:t xml:space="preserve">solicitarConsultaTIVEActualizada(idUsuario,idVehiculo)</x:t>
  </x:si>
  <x:si>
    <x:t xml:space="preserve">Solicita los datos actualizados para abrir directamente «Información de la TIVE».</x:t>
  </x:si>
  <x:si>
    <x:t xml:space="preserve">retornarTIVEActualizada(datosTIVE)</x:t>
  </x:si>
  <x:si>
    <x:t xml:space="preserve">Devuelve el título, código, fecha y datos registrales actualizados.</x:t>
  </x:si>
  <x:si>
    <x:t xml:space="preserve">La entidad devuelve la referencia sin modificar la foto.</x:t>
  </x:si>
  <x:si>
    <x:t xml:space="preserve">El controlador recibe la imagen para reconstruir correctamente la vista de consulta.</x:t>
  </x:si>
  <x:si>
    <x:t xml:space="preserve">mostrarInformacionTIVEActualizada(datosTIVE,referenciaImagenActual)</x:t>
  </x:si>
  <x:si>
    <x:t xml:space="preserve">Abre Información de la TIVE con los datos actuales y la imagen conservada de la TIVE, sin regresar primero al detalle general.</x:t>
  </x:si>
  <x:si>
    <x:t xml:space="preserve">visualizarInformacionTIVEActualizada()</x:t>
  </x:si>
  <x:si>
    <x:t xml:space="preserve">El usuario ve «Información de la TIVE» actualizada y puede consultar su imagen completa.</x:t>
  </x:si>
  <x:si>
    <x:t xml:space="preserve">RF57 – ACCEDER AL PANEL ADMINISTRATIVO | EVENTO EXITOSO</x:t>
  </x:si>
  <x:si>
    <x:t xml:space="preserve">Fuente: PDF p.1; RF02 del Excel | Punto de partida: Credenciales correctas y cuenta activa con rol ADMINISTRADOR. | 18 mensajes</x:t>
  </x:si>
  <x:si>
    <x:t xml:space="preserve">Paso</x:t>
  </x:si>
  <x:si>
    <x:t xml:space="preserve">Bloque / Escenario</x:t>
  </x:si>
  <x:si>
    <x:t xml:space="preserve">B1 · Acceso y autenticación compartida con RF02</x:t>
  </x:si>
  <x:si>
    <x:t xml:space="preserve">AS_Administrador</x:t>
  </x:si>
  <x:si>
    <x:t xml:space="preserve">ingresarCredenciales(correo,clave)</x:t>
  </x:si>
  <x:si>
    <x:t xml:space="preserve">El administrador ingresa credenciales usando el login compartido de MyCar.</x:t>
  </x:si>
  <x:si>
    <x:t xml:space="preserve">seleccionarIngresar()</x:t>
  </x:si>
  <x:si>
    <x:t xml:space="preserve">Pulsa Ingresar.</x:t>
  </x:si>
  <x:si>
    <x:t xml:space="preserve">autenticarCuenta(correo,clave)</x:t>
  </x:si>
  <x:si>
    <x:t xml:space="preserve">Remite las credenciales a la lógica ya definida en RF02.</x:t>
  </x:si>
  <x:si>
    <x:t xml:space="preserve">buscarUsuarioPorCorreo(correo)</x:t>
  </x:si>
  <x:si>
    <x:t xml:space="preserve">Localiza la cuenta y sus datos de autenticación y estado.</x:t>
  </x:si>
  <x:si>
    <x:t xml:space="preserve">◄ ─ ─ (retorno)</x:t>
  </x:si>
  <x:si>
    <x:t xml:space="preserve">retornarUsuarioYHash(datosUsuario)</x:t>
  </x:si>
  <x:si>
    <x:t xml:space="preserve">Entrega registro de cuenta y hash de contraseña.</x:t>
  </x:si>
  <x:si>
    <x:t xml:space="preserve">verificarContrasenaYEstado(clave,datosUsuario)</x:t>
  </x:si>
  <x:si>
    <x:t xml:space="preserve">Comprueba contraseña y que la cuenta esté habilitada.</x:t>
  </x:si>
  <x:si>
    <x:t xml:space="preserve">B2 · Autorización de administrador</x:t>
  </x:si>
  <x:si>
    <x:t xml:space="preserve">C_Autorizacion</x:t>
  </x:si>
  <x:si>
    <x:t xml:space="preserve">validarRolAdministrador(idUsuario)</x:t>
  </x:si>
  <x:si>
    <x:t xml:space="preserve">Solicita autorización de acceso al panel.</x:t>
  </x:si>
  <x:si>
    <x:t xml:space="preserve">consultarRolAsignado(idUsuario)</x:t>
  </x:si>
  <x:si>
    <x:t xml:space="preserve">Consulta el rol guardado en la cuenta; si se modela E_Rol, esa consulta se resuelve por relación.</x:t>
  </x:si>
  <x:si>
    <x:t xml:space="preserve">retornarRol(ADMINISTRADOR)</x:t>
  </x:si>
  <x:si>
    <x:t xml:space="preserve">Devuelve rol ADMINISTRADOR en el exitoso.</x:t>
  </x:si>
  <x:si>
    <x:t xml:space="preserve">retornarAccesoAdministrativo(PERMITIDO)</x:t>
  </x:si>
  <x:si>
    <x:t xml:space="preserve">Confirma autorización.</x:t>
  </x:si>
  <x:si>
    <x:t xml:space="preserve">crearSesionAdministrativa(idUsuario)</x:t>
  </x:si>
  <x:si>
    <x:t xml:space="preserve">Registra sesión y alcance administrativo (entidad de sesión según implementación).</x:t>
  </x:si>
  <x:si>
    <x:t xml:space="preserve">retornarSesion(idSesion)</x:t>
  </x:si>
  <x:si>
    <x:t xml:space="preserve">Entrega sesión administrativa activa.</x:t>
  </x:si>
  <x:si>
    <x:t xml:space="preserve">B3 · Presentación del panel</x:t>
  </x:si>
  <x:si>
    <x:t xml:space="preserve">I_PanelAdministrador</x:t>
  </x:si>
  <x:si>
    <x:t xml:space="preserve">mostrarPanelAdministrador(idUsuario)</x:t>
  </x:si>
  <x:si>
    <x:t xml:space="preserve">Abre panel exclusivo del rol ADMINISTRADOR.</x:t>
  </x:si>
  <x:si>
    <x:t xml:space="preserve">visualizarPanelYModulos()</x:t>
  </x:si>
  <x:si>
    <x:t xml:space="preserve">Ve accesos Usuarios, Suscripciones, Incidencias y Catálogos y un resumen administrativo.</x:t>
  </x:si>
  <x:si>
    <x:t xml:space="preserve">seleccionarModulosAdministrativos()</x:t>
  </x:si>
  <x:si>
    <x:t xml:space="preserve">Abre opciones del panel de administración.</x:t>
  </x:si>
  <x:si>
    <x:t xml:space="preserve">solicitarModulosAdmin()</x:t>
  </x:si>
  <x:si>
    <x:t xml:space="preserve">Navega a los módulos que ya están autorizados.</x:t>
  </x:si>
  <x:si>
    <x:t xml:space="preserve">I_ModulosAdministrativos</x:t>
  </x:si>
  <x:si>
    <x:t xml:space="preserve">mostrarModulos(USUARIOS,SUSCRIPCIONES,INCIDENCIAS,CATALOGOS)</x:t>
  </x:si>
  <x:si>
    <x:t xml:space="preserve">Muestra únicamente los módulos correspondientes a RF58–RF62.</x:t>
  </x:si>
  <x:si>
    <x:t xml:space="preserve">visualizarOpciones()</x:t>
  </x:si>
  <x:si>
    <x:t xml:space="preserve">Termina el exitoso con el menú disponible.</x:t>
  </x:si>
  <x:si>
    <x:t xml:space="preserve">RF57 – ACCESO DENEGADO POR ROL O CUENTA NO AUTORIZADA | ESCENARIO ALTERNO</x:t>
  </x:si>
  <x:si>
    <x:t xml:space="preserve">Fuente: Regla de seguridad RF57 | Punto de partida: Desvío después de validación de cuenta y rol de RF57. | 7 mensajes</x:t>
  </x:si>
  <x:si>
    <x:t xml:space="preserve">A1 · Cuenta sin rol administrador</x:t>
  </x:si>
  <x:si>
    <x:t xml:space="preserve">A1.01</x:t>
  </x:si>
  <x:si>
    <x:t xml:space="preserve">A1</x:t>
  </x:si>
  <x:si>
    <x:t xml:space="preserve">Evalúa rol real de la cuenta.</x:t>
  </x:si>
  <x:si>
    <x:t xml:space="preserve">A1.02</x:t>
  </x:si>
  <x:si>
    <x:t xml:space="preserve">retornarRol(USUARIO)</x:t>
  </x:si>
  <x:si>
    <x:t xml:space="preserve">Cuenta sin permisos administrativos.</x:t>
  </x:si>
  <x:si>
    <x:t xml:space="preserve">A1.03</x:t>
  </x:si>
  <x:si>
    <x:t xml:space="preserve">retornarAccesoAdministrativo(DENEGADO)</x:t>
  </x:si>
  <x:si>
    <x:t xml:space="preserve">Niega autorización sin crear sesión de administrador.</x:t>
  </x:si>
  <x:si>
    <x:t xml:space="preserve">A1.04</x:t>
  </x:si>
  <x:si>
    <x:t xml:space="preserve">I_AccesoDenegado</x:t>
  </x:si>
  <x:si>
    <x:t xml:space="preserve">mostrarAccesoDenegado()</x:t>
  </x:si>
  <x:si>
    <x:t xml:space="preserve">Muestra que la función no está autorizada; no revela información del panel.</x:t>
  </x:si>
  <x:si>
    <x:t xml:space="preserve">A1.05</x:t>
  </x:si>
  <x:si>
    <x:t xml:space="preserve">visualizarAccesoDenegado()</x:t>
  </x:si>
  <x:si>
    <x:t xml:space="preserve">El actor ve la denegación.</x:t>
  </x:si>
  <x:si>
    <x:t xml:space="preserve">A2 · Credenciales inválidas o cuenta suspendida</x:t>
  </x:si>
  <x:si>
    <x:t xml:space="preserve">A2.06</x:t>
  </x:si>
  <x:si>
    <x:t xml:space="preserve">A2</x:t>
  </x:si>
  <x:si>
    <x:t xml:space="preserve">validarContrasenaYEstado()</x:t>
  </x:si>
  <x:si>
    <x:t xml:space="preserve">Contraseña errónea o cuenta no apta.</x:t>
  </x:si>
  <x:si>
    <x:t xml:space="preserve">A2.07</x:t>
  </x:si>
  <x:si>
    <x:t xml:space="preserve">mostrarErrorAcceso()</x:t>
  </x:si>
  <x:si>
    <x:t xml:space="preserve">Mantiene al actor en login sin datos del panel.</x:t>
  </x:si>
  <x:si>
    <x:t xml:space="preserve">RF58 – CONSULTAR USUARIOS REGISTRADOS | EVENTO EXITOSO</x:t>
  </x:si>
  <x:si>
    <x:t xml:space="preserve">Fuente: PDF p.2, fila superior | Punto de partida: Sesión válida del administrador. | 27 mensajes | Plazo aplicable: 30 días calendario desde solicitud, no hábiles.</x:t>
  </x:si>
  <x:si>
    <x:t xml:space="preserve">B1 · Ingreso al listado</x:t>
  </x:si>
  <x:si>
    <x:t xml:space="preserve">seleccionarUsuarios()</x:t>
  </x:si>
  <x:si>
    <x:t xml:space="preserve">Selecciona el módulo Usuarios.</x:t>
  </x:si>
  <x:si>
    <x:t xml:space="preserve">C_ControlUsuariosAdmin</x:t>
  </x:si>
  <x:si>
    <x:t xml:space="preserve">solicitarListadoUsuarios(idAdmin)</x:t>
  </x:si>
  <x:si>
    <x:t xml:space="preserve">Solicita datos administrativos autorizados.</x:t>
  </x:si>
  <x:si>
    <x:t xml:space="preserve">validarPermiso(idAdmin,CONSULTAR_USUARIOS)</x:t>
  </x:si>
  <x:si>
    <x:t xml:space="preserve">Verifica permiso sobre consultas administrativas.</x:t>
  </x:si>
  <x:si>
    <x:t xml:space="preserve">retornarPermiso(PERMITIDO)</x:t>
  </x:si>
  <x:si>
    <x:t xml:space="preserve">Autoriza la consulta.</x:t>
  </x:si>
  <x:si>
    <x:t xml:space="preserve">listarUsuarios(pagina,orden)</x:t>
  </x:si>
  <x:si>
    <x:t xml:space="preserve">Obtiene lista paginada de cuentas y estados.</x:t>
  </x:si>
  <x:si>
    <x:t xml:space="preserve">retornarUsuarios(lista)</x:t>
  </x:si>
  <x:si>
    <x:t xml:space="preserve">Devuelve identificador, nombre, correo, rol y estado.</x:t>
  </x:si>
  <x:si>
    <x:t xml:space="preserve">I_UsuariosAdmin</x:t>
  </x:si>
  <x:si>
    <x:t xml:space="preserve">mostrarListadoYFiltros(lista)</x:t>
  </x:si>
  <x:si>
    <x:t xml:space="preserve">Presenta búsqueda y filtros Todos/Activos/Suspendidos/Pendiente eliminación/Eliminados.</x:t>
  </x:si>
  <x:si>
    <x:t xml:space="preserve">visualizarUsuarios()</x:t>
  </x:si>
  <x:si>
    <x:t xml:space="preserve">El administrador ve cuentas sin poder editarlas desde la lista.</x:t>
  </x:si>
  <x:si>
    <x:t xml:space="preserve">B2 · Búsqueda y selección</x:t>
  </x:si>
  <x:si>
    <x:t xml:space="preserve">buscarUsuario(criterio,estado)</x:t>
  </x:si>
  <x:si>
    <x:t xml:space="preserve">Ingresa nombre/correo y filtro por estado.</x:t>
  </x:si>
  <x:si>
    <x:t xml:space="preserve">solicitarBusquedaUsuarios(criterio,estado)</x:t>
  </x:si>
  <x:si>
    <x:t xml:space="preserve">Envía parámetros normalizados de consulta.</x:t>
  </x:si>
  <x:si>
    <x:t xml:space="preserve">buscarUsuarios(criterio,estado)</x:t>
  </x:si>
  <x:si>
    <x:t xml:space="preserve">Filtra sin exponer contraseñas ni historiales privados del vehículo.</x:t>
  </x:si>
  <x:si>
    <x:t xml:space="preserve">retornarCoincidencias(lista)</x:t>
  </x:si>
  <x:si>
    <x:t xml:space="preserve">Devuelve coincidencias permitidas.</x:t>
  </x:si>
  <x:si>
    <x:t xml:space="preserve">actualizarResultados(lista)</x:t>
  </x:si>
  <x:si>
    <x:t xml:space="preserve">Actualiza el listado.</x:t>
  </x:si>
  <x:si>
    <x:t xml:space="preserve">seleccionarVerDetalle(idUsuarioObjetivo)</x:t>
  </x:si>
  <x:si>
    <x:t xml:space="preserve">Selecciona una cuenta concreta.</x:t>
  </x:si>
  <x:si>
    <x:t xml:space="preserve">B3 · Detalle y estado de cuenta</x:t>
  </x:si>
  <x:si>
    <x:t xml:space="preserve">consultarDetalleAdministrativo(idUsuarioObjetivo)</x:t>
  </x:si>
  <x:si>
    <x:t xml:space="preserve">Solicita detalle administrativo de la cuenta.</x:t>
  </x:si>
  <x:si>
    <x:t xml:space="preserve">obtenerDatosAdministrativos(idUsuarioObjetivo)</x:t>
  </x:si>
  <x:si>
    <x:t xml:space="preserve">Consulta nombre, correo, estado, fechas administrativas y rol.</x:t>
  </x:si>
  <x:si>
    <x:t xml:space="preserve">retornarDatosCuenta(datos)</x:t>
  </x:si>
  <x:si>
    <x:t xml:space="preserve">Devuelve datos permitidos y, si corresponde, fechas de eliminación.</x:t>
  </x:si>
  <x:si>
    <x:t xml:space="preserve">C_ControlCuenta</x:t>
  </x:si>
  <x:si>
    <x:t xml:space="preserve">calcularEstadoYPlazo(datos)</x:t>
  </x:si>
  <x:si>
    <x:t xml:space="preserve">Calcula días calendario restantes únicamente si está PENDIENTE_ELIMINACION; política nueva que exige actualizar RF07.</x:t>
  </x:si>
  <x:si>
    <x:t xml:space="preserve">retornarEstadoYPlazo(estado,diasRestantes)</x:t>
  </x:si>
  <x:si>
    <x:t xml:space="preserve">Devuelve estado y contador en modo lectura.</x:t>
  </x:si>
  <x:si>
    <x:t xml:space="preserve">I_DetalleUsuarioAdmin</x:t>
  </x:si>
  <x:si>
    <x:t xml:space="preserve">mostrarDetalleAdministrativo(datos,estado,diasRestantes)</x:t>
  </x:si>
  <x:si>
    <x:t xml:space="preserve">Muestra información y posibles acciones según estado. El contador no es editable.</x:t>
  </x:si>
  <x:si>
    <x:t xml:space="preserve">visualizarDetalleCuenta()</x:t>
  </x:si>
  <x:si>
    <x:t xml:space="preserve">Permite revisar el detalle sin cambiar datos.</x:t>
  </x:si>
  <x:si>
    <x:t xml:space="preserve">B4 · Historial de estados de cuenta (NO catálogos)</x:t>
  </x:si>
  <x:si>
    <x:t xml:space="preserve">seleccionarVerHistorialCuenta()</x:t>
  </x:si>
  <x:si>
    <x:t xml:space="preserve">Selecciona Ver historial de cuenta.</x:t>
  </x:si>
  <x:si>
    <x:t xml:space="preserve">solicitarHistorialEstados(idUsuarioObjetivo)</x:t>
  </x:si>
  <x:si>
    <x:t xml:space="preserve">Consulta eventos administrativos asociados a la cuenta.</x:t>
  </x:si>
  <x:si>
    <x:t xml:space="preserve">consultarEventosEstado(idUsuarioObjetivo)</x:t>
  </x:si>
  <x:si>
    <x:t xml:space="preserve">Obtiene transiciones de estado de cuenta (modelo propuesto).</x:t>
  </x:si>
  <x:si>
    <x:t xml:space="preserve">retornarEventosEstado(eventos)</x:t>
  </x:si>
  <x:si>
    <x:t xml:space="preserve">Devuelve eventos, fecha y motivo permitido.</x:t>
  </x:si>
  <x:si>
    <x:t xml:space="preserve">I_HistorialEstadoCuenta</x:t>
  </x:si>
  <x:si>
    <x:t xml:space="preserve">mostrarHistorialEstados(eventos)</x:t>
  </x:si>
  <x:si>
    <x:t xml:space="preserve">Presenta línea temporal de estados de cuenta.</x:t>
  </x:si>
  <x:si>
    <x:t xml:space="preserve">visualizarHistorialEstados()</x:t>
  </x:si>
  <x:si>
    <x:t xml:space="preserve">Finaliza sin modificación de cuentas.</x:t>
  </x:si>
  <x:si>
    <x:t xml:space="preserve">RF58 – SIN RESULTADOS Y ACCESO NO PERMITIDO | ESCENARIO ALTERNO</x:t>
  </x:si>
  <x:si>
    <x:t xml:space="preserve">Fuente: PDF p.2 + permisos propuestos | Punto de partida: Desvíos de búsqueda y detalle de RF58. | 7 mensajes</x:t>
  </x:si>
  <x:si>
    <x:t xml:space="preserve">A1 · Ningún resultado</x:t>
  </x:si>
  <x:si>
    <x:t xml:space="preserve">retornarCoincidencias([])</x:t>
  </x:si>
  <x:si>
    <x:t xml:space="preserve">La búsqueda no encuentra cuentas.</x:t>
  </x:si>
  <x:si>
    <x:t xml:space="preserve">mostrarSinResultados()</x:t>
  </x:si>
  <x:si>
    <x:t xml:space="preserve">Presenta «No se encontraron usuarios»; permite limpiar filtros.</x:t>
  </x:si>
  <x:si>
    <x:t xml:space="preserve">limpiarBusqueda()</x:t>
  </x:si>
  <x:si>
    <x:t xml:space="preserve">Restablece el listado sin cambiar usuarios.</x:t>
  </x:si>
  <x:si>
    <x:t xml:space="preserve">A2 · Usuario eliminado definitivamente</x:t>
  </x:si>
  <x:si>
    <x:t xml:space="preserve">A2.04</x:t>
  </x:si>
  <x:si>
    <x:t xml:space="preserve">retornarDatosCuenta(ELIMINADA_DEFINITIVA)</x:t>
  </x:si>
  <x:si>
    <x:t xml:space="preserve">La cuenta ya superó plazo de recuperación.</x:t>
  </x:si>
  <x:si>
    <x:t xml:space="preserve">A2.05</x:t>
  </x:si>
  <x:si>
    <x:t xml:space="preserve">mostrarSoloLecturaSinReactivacion()</x:t>
  </x:si>
  <x:si>
    <x:t xml:space="preserve">Muestra histórico autorizado, sin botones de reactivación.</x:t>
  </x:si>
  <x:si>
    <x:t xml:space="preserve">A3 · Sin permiso de administración</x:t>
  </x:si>
  <x:si>
    <x:t xml:space="preserve">A3.06</x:t>
  </x:si>
  <x:si>
    <x:t xml:space="preserve">A3</x:t>
  </x:si>
  <x:si>
    <x:t xml:space="preserve">retornarPermiso(DENEGADO)</x:t>
  </x:si>
  <x:si>
    <x:t xml:space="preserve">No autoriza el acceso.</x:t>
  </x:si>
  <x:si>
    <x:t xml:space="preserve">A3.07</x:t>
  </x:si>
  <x:si>
    <x:t xml:space="preserve">No revela listado ni detalle.</x:t>
  </x:si>
  <x:si>
    <x:t xml:space="preserve">RF59 – GESTIONAR ESTADO DE CUENTA: SUSPENSIÓN AUTORIZADA | EVENTO EXITOSO</x:t>
  </x:si>
  <x:si>
    <x:t xml:space="preserve">Fuente: PDF p.2, flujo inferior izquierdo | Punto de partida: Cuenta objetivo ACTIVA; administrador con permiso de suspensión. | 20 mensajes</x:t>
  </x:si>
  <x:si>
    <x:t xml:space="preserve">B1 · Selección y estado (Pasos 1–7)</x:t>
  </x:si>
  <x:si>
    <x:t xml:space="preserve">seleccionarSuspenderCuenta(idUsuarioObjetivo)</x:t>
  </x:si>
  <x:si>
    <x:t xml:space="preserve">Desde detalle de usuario ACTIVO selecciona Suspender cuenta.</x:t>
  </x:si>
  <x:si>
    <x:t xml:space="preserve">solicitarSuspension(idAdmin,idUsuarioObjetivo)</x:t>
  </x:si>
  <x:si>
    <x:t xml:space="preserve">Solicita validaciones antes de presentar confirmación.</x:t>
  </x:si>
  <x:si>
    <x:t xml:space="preserve">validarPermisoGestionCuenta(idAdmin)</x:t>
  </x:si>
  <x:si>
    <x:t xml:space="preserve">Autorización de la acción administrativa.</x:t>
  </x:si>
  <x:si>
    <x:t xml:space="preserve">Permiso autorizado.</x:t>
  </x:si>
  <x:si>
    <x:t xml:space="preserve">consultarEstadoCuenta(idUsuarioObjetivo)</x:t>
  </x:si>
  <x:si>
    <x:t xml:space="preserve">Confirma que la cuenta existe y se encuentra ACTIVA.</x:t>
  </x:si>
  <x:si>
    <x:t xml:space="preserve">retornarEstadoCuenta(ACTIVA)</x:t>
  </x:si>
  <x:si>
    <x:t xml:space="preserve">Estado correcto para suspender.</x:t>
  </x:si>
  <x:si>
    <x:t xml:space="preserve">I_ConfirmacionEstadoCuenta</x:t>
  </x:si>
  <x:si>
    <x:t xml:space="preserve">mostrarConfirmacionSuspension()</x:t>
  </x:si>
  <x:si>
    <x:t xml:space="preserve">Presenta motivo obligatorio y botón Suspender; no muestra Eliminar ahora.</x:t>
  </x:si>
  <x:si>
    <x:t xml:space="preserve">B2 · Confirmación del motivo (Pasos 8–10)</x:t>
  </x:si>
  <x:si>
    <x:t xml:space="preserve">seleccionarMotivoYConfirmarSuspension(motivo)</x:t>
  </x:si>
  <x:si>
    <x:t xml:space="preserve">El administrador ingresa un motivo verificable y confirma.</x:t>
  </x:si>
  <x:si>
    <x:t xml:space="preserve">confirmarSuspension(idAdmin,idUsuarioObjetivo,motivo)</x:t>
  </x:si>
  <x:si>
    <x:t xml:space="preserve">Envia solicitud final.</x:t>
  </x:si>
  <x:si>
    <x:t xml:space="preserve">validarMotivoYReglas(motivo,estado)</x:t>
  </x:si>
  <x:si>
    <x:t xml:space="preserve">Revisa motivo no vacío, no suspender propia cuenta y no actuar sobre eliminado.</x:t>
  </x:si>
  <x:si>
    <x:t xml:space="preserve">B3 · Cambio y registro de responsabilidad (Pasos 11–20)</x:t>
  </x:si>
  <x:si>
    <x:t xml:space="preserve">actualizarEstadoCuenta(idUsuarioObjetivo,SUSPENDIDA)</x:t>
  </x:si>
  <x:si>
    <x:t xml:space="preserve">BEGIN transacción InnoDB: revalidar permisos, estado ACTIVA y cambio condicional a SUSPENDIDA. La actualización, invalidación de sesiones SQL y registro del evento deben ser atómicos o revertirse; no mostrar éxito antes del COMMIT.</x:t>
  </x:si>
  <x:si>
    <x:t xml:space="preserve">retornarCuentaSuspendida()</x:t>
  </x:si>
  <x:si>
    <x:t xml:space="preserve">Confirma persistencia.</x:t>
  </x:si>
  <x:si>
    <x:t xml:space="preserve">invalidarSesionesUsuario(idUsuarioObjetivo)</x:t>
  </x:si>
  <x:si>
    <x:t xml:space="preserve">Dentro de la transacción SQL, marcar las sesiones del usuario como invalidadas/revocadas. Si hubiera tokens en proveedor externo, revocarlos de forma idempotente después del COMMIT; el estado SUSPENDIDA debe bloquear todo nuevo acceso.</x:t>
  </x:si>
  <x:si>
    <x:t xml:space="preserve">retornarSesionesInvalidadas()</x:t>
  </x:si>
  <x:si>
    <x:t xml:space="preserve">Confirma cierre de sesiones.</x:t>
  </x:si>
  <x:si>
    <x:t xml:space="preserve">registrarEvento(SUSPENSION,idAdmin,motivo,fecha)</x:t>
  </x:si>
  <x:si>
    <x:t xml:space="preserve">Guarda quién, cuándo y por qué suspendió; no es historial de catálogos.</x:t>
  </x:si>
  <x:si>
    <x:t xml:space="preserve">Registrar el evento de estado y confirmar COMMIT de estado, sesiones SQL y trazabilidad solo si todas las operaciones locales fueron exitosas. Si algo falla, ROLLBACK; en caso contrario devolver confirmación.</x:t>
  </x:si>
  <x:si>
    <x:t xml:space="preserve">mostrarCuentaSuspendida()</x:t>
  </x:si>
  <x:si>
    <x:t xml:space="preserve">Muestra resultado con botón Volver al detalle.</x:t>
  </x:si>
  <x:si>
    <x:t xml:space="preserve">seleccionarVolverDetalle()</x:t>
  </x:si>
  <x:si>
    <x:t xml:space="preserve">Solicita regresar al detalle actualizado.</x:t>
  </x:si>
  <x:si>
    <x:t xml:space="preserve">solicitarVolverDetalleCuenta(idUsuarioObjetivo)</x:t>
  </x:si>
  <x:si>
    <x:t xml:space="preserve">La interfaz solicita al controlador C_ControlCuenta mediar la navegación; no invoca directamente a I_DetalleUsuarioAdmin.</x:t>
  </x:si>
  <x:si>
    <x:t xml:space="preserve">mostrarDetalle(estado=SUSPENDIDA)</x:t>
  </x:si>
  <x:si>
    <x:t xml:space="preserve">La cuenta se ve Suspendida y ofrece Reactivar con permisos. Navegación ejecutada por controlador, conforme a BCE.</x:t>
  </x:si>
  <x:si>
    <x:t xml:space="preserve">RF59 – REACTIVAR CUENTA SUSPENDIDA | ESCENARIO ALTERNO</x:t>
  </x:si>
  <x:si>
    <x:t xml:space="preserve">Fuente: PDF p.2 inferior central | Punto de partida: Se sustituye suspensión por reactivación de SUSPENDIDA (no eliminada). | 11 mensajes</x:t>
  </x:si>
  <x:si>
    <x:t xml:space="preserve">A1 · Reactivación autorizada</x:t>
  </x:si>
  <x:si>
    <x:t xml:space="preserve">seleccionarReactivarCuenta()</x:t>
  </x:si>
  <x:si>
    <x:t xml:space="preserve">Disponible solo para estado SUSPENDIDA.</x:t>
  </x:si>
  <x:si>
    <x:t xml:space="preserve">solicitarReactivacion(idAdmin,idObjetivo)</x:t>
  </x:si>
  <x:si>
    <x:t xml:space="preserve">Solicita validación del administrador y estado de la cuenta.</x:t>
  </x:si>
  <x:si>
    <x:t xml:space="preserve">consultarEstadoCuenta(idObjetivo)</x:t>
  </x:si>
  <x:si>
    <x:t xml:space="preserve">Comprueba que siga SUSPENDIDA.</x:t>
  </x:si>
  <x:si>
    <x:t xml:space="preserve">retornarEstadoCuenta(SUSPENDIDA)</x:t>
  </x:si>
  <x:si>
    <x:t xml:space="preserve">Permite seguir.</x:t>
  </x:si>
  <x:si>
    <x:t xml:space="preserve">mostrarConfirmacionReactivacion()</x:t>
  </x:si>
  <x:si>
    <x:t xml:space="preserve">Presenta campo Motivo obligatorio, botones Cancelar y Reactivar.</x:t>
  </x:si>
  <x:si>
    <x:t xml:space="preserve">A1.06</x:t>
  </x:si>
  <x:si>
    <x:t xml:space="preserve">confirmarReactivacion(motivo)</x:t>
  </x:si>
  <x:si>
    <x:t xml:space="preserve">Registra el motivo y confirma.</x:t>
  </x:si>
  <x:si>
    <x:t xml:space="preserve">A1.07</x:t>
  </x:si>
  <x:si>
    <x:t xml:space="preserve">solicitarCambioEstado(ACTIVA,motivo)</x:t>
  </x:si>
  <x:si>
    <x:t xml:space="preserve">Envia cambio autorizado.</x:t>
  </x:si>
  <x:si>
    <x:t xml:space="preserve">A1.08</x:t>
  </x:si>
  <x:si>
    <x:t xml:space="preserve">actualizarEstadoCuenta(idObjetivo,ACTIVA)</x:t>
  </x:si>
  <x:si>
    <x:t xml:space="preserve">Reactiva cuenta suspendida tras revalidar permisos.</x:t>
  </x:si>
  <x:si>
    <x:t xml:space="preserve">A1.09</x:t>
  </x:si>
  <x:si>
    <x:t xml:space="preserve">Confirma cambio.</x:t>
  </x:si>
  <x:si>
    <x:t xml:space="preserve">A1.10</x:t>
  </x:si>
  <x:si>
    <x:t xml:space="preserve">registrarEvento(REACTIVACION,idAdmin,motivo)</x:t>
  </x:si>
  <x:si>
    <x:t xml:space="preserve">Guarda acción responsable.</x:t>
  </x:si>
  <x:si>
    <x:t xml:space="preserve">A1.11</x:t>
  </x:si>
  <x:si>
    <x:t xml:space="preserve">mostrarCuentaReactivada()</x:t>
  </x:si>
  <x:si>
    <x:t xml:space="preserve">Muestra confirmación y navegación al detalle.</x:t>
  </x:si>
  <x:si>
    <x:t xml:space="preserve">RF59 – RECUPERAR SOLICITUD DE ELIMINACIÓN EN EL PLAZO | ESCENARIO ALTERNO</x:t>
  </x:si>
  <x:si>
    <x:t xml:space="preserve">Fuente: PDF p.2 inferior derecho; requiere revisar RF07 | Punto de partida: Política futura: RF07 debe cambiar; titular identificado y aún dentro de 30 días calendario. | 12 mensajes | Plazo aplicable: 30 días calendario desde solicitud, no hábiles.</x:t>
  </x:si>
  <x:si>
    <x:t xml:space="preserve">A2 · Solicitud de recuperación verificada</x:t>
  </x:si>
  <x:si>
    <x:t xml:space="preserve">Solo si PENDIENTE_ELIMINACION y plazo mayor que cero; acción de soporte no unilateral.</x:t>
  </x:si>
  <x:si>
    <x:t xml:space="preserve">solicitarAsistenciaRecuperacion(idObjetivo)</x:t>
  </x:si>
  <x:si>
    <x:t xml:space="preserve">Solicita verificar existencia de solicitud del titular.</x:t>
  </x:si>
  <x:si>
    <x:t xml:space="preserve">consultarSolicitudEliminacion(idObjetivo)</x:t>
  </x:si>
  <x:si>
    <x:t xml:space="preserve">Lee fecha, estado y titular.</x:t>
  </x:si>
  <x:si>
    <x:t xml:space="preserve">retornarSolicitudPendiente(datos)</x:t>
  </x:si>
  <x:si>
    <x:t xml:space="preserve">Devuelve fechas para cómputo de días calendario.</x:t>
  </x:si>
  <x:si>
    <x:t xml:space="preserve">verificarPlazoYTitular(datos,credencialVerificada)</x:t>
  </x:si>
  <x:si>
    <x:t xml:space="preserve">Comprueba 30 días calendario y autenticación de titular; sin estas verificaciones no recupera.</x:t>
  </x:si>
  <x:si>
    <x:t xml:space="preserve">I_ConfirmacionRecuperacionCuenta</x:t>
  </x:si>
  <x:si>
    <x:t xml:space="preserve">mostrarVerificacionYMotivo()</x:t>
  </x:si>
  <x:si>
    <x:t xml:space="preserve">Presenta motivo y constancia de verificación de titular.</x:t>
  </x:si>
  <x:si>
    <x:t xml:space="preserve">confirmarRecuperacionValidada()</x:t>
  </x:si>
  <x:si>
    <x:t xml:space="preserve">Admin confirma asistencia verificada, no elimina ni salta autenticación.</x:t>
  </x:si>
  <x:si>
    <x:t xml:space="preserve">confirmarRecuperacion(idObjetivo,idAdmin)</x:t>
  </x:si>
  <x:si>
    <x:t xml:space="preserve">Solicita cierre de la solicitud pendiente.</x:t>
  </x:si>
  <x:si>
    <x:t xml:space="preserve">reactivarCuentaYCancelarSolicitudEnTransaccion(idUsuario,solicitudId)</x:t>
  </x:si>
  <x:si>
    <x:t xml:space="preserve">Solo con titular verificado y fecha vigente: BEGIN; E_SolicitudEliminacion.estado=CANCELADA, E_Usuario.estado=ACTIVA y E_EstadoCuenta evento RECUPERACION; COMMIT atómico. Si una operación falla, ROLLBACK; impedir borrado programado.</x:t>
  </x:si>
  <x:si>
    <x:t xml:space="preserve">retornarCuentaRecuperada()</x:t>
  </x:si>
  <x:si>
    <x:t xml:space="preserve">Confirma estado ACTIVA.</x:t>
  </x:si>
  <x:si>
    <x:t xml:space="preserve">confirmarEventoRecuperacionEnMismaTransaccion(idAdmin)</x:t>
  </x:si>
  <x:si>
    <x:t xml:space="preserve">Registrar evento RECUPERACION como parte indivisible de la misma operación de reactivación y cancelación; prohibido éxito si la solicitud quedó pendiente.</x:t>
  </x:si>
  <x:si>
    <x:t xml:space="preserve">A1.12</x:t>
  </x:si>
  <x:si>
    <x:t xml:space="preserve">Muestra éxito; permite regresar al detalle.</x:t>
  </x:si>
  <x:si>
    <x:t xml:space="preserve">RF59 – BLOQUEOS: PLAZO AGOTADO, CUENTA PROPIA Y CANCELAR | ESCENARIO ALTERNO</x:t>
  </x:si>
  <x:si>
    <x:t xml:space="preserve">Fuente: RF07 actual no contempla plazo | Punto de partida: Alternativos fuera del flujo principal de RF59. | 7 mensajes</x:t>
  </x:si>
  <x:si>
    <x:t xml:space="preserve">A3 · Plazo vencido</x:t>
  </x:si>
  <x:si>
    <x:t xml:space="preserve">calcularDiasCalendarioRestantes(fechaSolicitud,calendario)</x:t>
  </x:si>
  <x:si>
    <x:t xml:space="preserve">Devuelve cero; el proceso automático marca ELIMINADA_DEFINITIVA.</x:t>
  </x:si>
  <x:si>
    <x:t xml:space="preserve">mostrarSoloLecturaSinRecuperar()</x:t>
  </x:si>
  <x:si>
    <x:t xml:space="preserve">No ofrece Recuperar ni Reactivar.</x:t>
  </x:si>
  <x:si>
    <x:t xml:space="preserve">A4 · Cuenta propia / permisos insuficientes</x:t>
  </x:si>
  <x:si>
    <x:t xml:space="preserve">A2.03</x:t>
  </x:si>
  <x:si>
    <x:t xml:space="preserve">validarCambioCuenta(idAdmin,idObjetivo)</x:t>
  </x:si>
  <x:si>
    <x:t xml:space="preserve">Bloquea autogestión privilegiada y cuentas no autorizadas.</x:t>
  </x:si>
  <x:si>
    <x:t xml:space="preserve">Devuelve denegación.</x:t>
  </x:si>
  <x:si>
    <x:t xml:space="preserve">mostrarOperacionNoPermitida()</x:t>
  </x:si>
  <x:si>
    <x:t xml:space="preserve">No altera estado.</x:t>
  </x:si>
  <x:si>
    <x:t xml:space="preserve">A5 · Cancelación</x:t>
  </x:si>
  <x:si>
    <x:t xml:space="preserve">seleccionarCancelar()</x:t>
  </x:si>
  <x:si>
    <x:t xml:space="preserve">Abandona confirmación.</x:t>
  </x:si>
  <x:si>
    <x:t xml:space="preserve">volverSinCambios()</x:t>
  </x:si>
  <x:si>
    <x:t xml:space="preserve">Cuenta permanece en estado original.</x:t>
  </x:si>
  <x:si>
    <x:t xml:space="preserve">RF60 – SUPERVISAR SUSCRIPCIONES Y VERIFICAR ESTADO | EVENTO EXITOSO</x:t>
  </x:si>
  <x:si>
    <x:t xml:space="preserve">Fuente: PDF p.3; RF28-RF30 del Excel | Punto de partida: Administrador autorizado; proveedor responde y suscripción coincide. | 36 mensajes | SUBFLUJO RF030_ALT_FIN_PREMIUM incluido. Google Play Billing actual requiere backend/verificación antes de producción.</x:t>
  </x:si>
  <x:si>
    <x:t xml:space="preserve">B1 · Lista y filtros (Pasos 1–10)</x:t>
  </x:si>
  <x:si>
    <x:t xml:space="preserve">seleccionarSuscripciones()</x:t>
  </x:si>
  <x:si>
    <x:t xml:space="preserve">Accede al módulo de supervisión.</x:t>
  </x:si>
  <x:si>
    <x:t xml:space="preserve">C_ControlSuscripcionAdmin</x:t>
  </x:si>
  <x:si>
    <x:t xml:space="preserve">solicitarListadoSuscripciones(idAdmin)</x:t>
  </x:si>
  <x:si>
    <x:t xml:space="preserve">Pide vista administrativa sin permisos de editar pagos o planes.</x:t>
  </x:si>
  <x:si>
    <x:t xml:space="preserve">listarPlanesEfectivos(pagina)</x:t>
  </x:si>
  <x:si>
    <x:t xml:space="preserve">Consulta plan actual por cuenta.</x:t>
  </x:si>
  <x:si>
    <x:t xml:space="preserve">retornarListadoSuscripciones(lista)</x:t>
  </x:si>
  <x:si>
    <x:t xml:space="preserve">Devuelve Free/Premium efectivos y fechas disponibles.</x:t>
  </x:si>
  <x:si>
    <x:t xml:space="preserve">I_SuscripcionesAdmin</x:t>
  </x:si>
  <x:si>
    <x:t xml:space="preserve">mostrarListadoFiltros(lista)</x:t>
  </x:si>
  <x:si>
    <x:t xml:space="preserve">Filtro Todas/Free/Premium y búsqueda por usuario.</x:t>
  </x:si>
  <x:si>
    <x:t xml:space="preserve">buscarSuscripcion(criterio,tipoPlan)</x:t>
  </x:si>
  <x:si>
    <x:t xml:space="preserve">Busca por nombre o correo; filtra por plan efectivo.</x:t>
  </x:si>
  <x:si>
    <x:t xml:space="preserve">filtrarSuscripciones(criterio,tipoPlan)</x:t>
  </x:si>
  <x:si>
    <x:t xml:space="preserve">Envía filtros.</x:t>
  </x:si>
  <x:si>
    <x:t xml:space="preserve">consultarSuscripcionesFiltradas(criterio,tipoPlan)</x:t>
  </x:si>
  <x:si>
    <x:t xml:space="preserve">Recupera coincidencias.</x:t>
  </x:si>
  <x:si>
    <x:t xml:space="preserve">retornarSuscripciones(lista)</x:t>
  </x:si>
  <x:si>
    <x:t xml:space="preserve">Devuelve coincidencias.</x:t>
  </x:si>
  <x:si>
    <x:t xml:space="preserve">Refresca listado.</x:t>
  </x:si>
  <x:si>
    <x:t xml:space="preserve">B2 · Consulta de detalle (Pasos 11–19)</x:t>
  </x:si>
  <x:si>
    <x:t xml:space="preserve">seleccionarVerDetalleSuscripcion(idUsuario)</x:t>
  </x:si>
  <x:si>
    <x:t xml:space="preserve">Abre detalle de la cuenta seleccionada.</x:t>
  </x:si>
  <x:si>
    <x:t xml:space="preserve">consultarDetalle(idUsuario)</x:t>
  </x:si>
  <x:si>
    <x:t xml:space="preserve">Solicita datos de solo lectura.</x:t>
  </x:si>
  <x:si>
    <x:t xml:space="preserve">consultarPlanVigencia(idUsuario)</x:t>
  </x:si>
  <x:si>
    <x:t xml:space="preserve">Consulta plan efectivo, fecha, estado de renovación.</x:t>
  </x:si>
  <x:si>
    <x:t xml:space="preserve">retornarPlanVigencia(datos)</x:t>
  </x:si>
  <x:si>
    <x:t xml:space="preserve">Devuelve fechas y estado.</x:t>
  </x:si>
  <x:si>
    <x:t xml:space="preserve">consultarUltimoPagoRegistrado(idUsuario)</x:t>
  </x:si>
  <x:si>
    <x:t xml:space="preserve">Recupera información del último pago existente; no lo modifica.</x:t>
  </x:si>
  <x:si>
    <x:t xml:space="preserve">retornarResumenPago(datosPago)</x:t>
  </x:si>
  <x:si>
    <x:t xml:space="preserve">Devuelve fecha/estado del pago disponible.</x:t>
  </x:si>
  <x:si>
    <x:t xml:space="preserve">contarVehiculosPorEstado(idUsuario)</x:t>
  </x:si>
  <x:si>
    <x:t xml:space="preserve">Cuenta activos e inactivos; no accede a documentos privados.</x:t>
  </x:si>
  <x:si>
    <x:t xml:space="preserve">retornarResumenVehiculos(activos,inactivos)</x:t>
  </x:si>
  <x:si>
    <x:t xml:space="preserve">Devuelve conteos, no documentos.</x:t>
  </x:si>
  <x:si>
    <x:t xml:space="preserve">I_DetalleSuscripcionAdmin</x:t>
  </x:si>
  <x:si>
    <x:t xml:space="preserve">mostrarDetalleSoloLectura(datos,ultimoPago,conteos)</x:t>
  </x:si>
  <x:si>
    <x:t xml:space="preserve">Muestra plan, vigencia, proveedor, último pago y resumen de vehículos.</x:t>
  </x:si>
  <x:si>
    <x:t xml:space="preserve">B3 · Verificación con Google Play (Pasos 20–27)</x:t>
  </x:si>
  <x:si>
    <x:t xml:space="preserve">seleccionarVerificarEstado()</x:t>
  </x:si>
  <x:si>
    <x:t xml:space="preserve">Solicita verificar el estado actual con Google Play.</x:t>
  </x:si>
  <x:si>
    <x:t xml:space="preserve">solicitarVerificacionSuscripcion(idUsuario)</x:t>
  </x:si>
  <x:si>
    <x:t xml:space="preserve">El backend toma credencial de la integración, nunca del cliente móvil.</x:t>
  </x:si>
  <x:si>
    <x:t xml:space="preserve">ServicioGooglePlay</x:t>
  </x:si>
  <x:si>
    <x:t xml:space="preserve">consultarEstadoSuscripcion(purchaseTokenServidor)</x:t>
  </x:si>
  <x:si>
    <x:t xml:space="preserve">Consulta segura el derecho vigente en Google Play.</x:t>
  </x:si>
  <x:si>
    <x:t xml:space="preserve">retornarEstadoProveedor(datosVerificados)</x:t>
  </x:si>
  <x:si>
    <x:t xml:space="preserve">consultarPlanEfectivoActual(idUsuario)</x:t>
  </x:si>
  <x:si>
    <x:t xml:space="preserve">Lee estado local para comparar.</x:t>
  </x:si>
  <x:si>
    <x:t xml:space="preserve">retornarEstadoLocal(datos)</x:t>
  </x:si>
  <x:si>
    <x:t xml:space="preserve">Devuelve estado registrado.</x:t>
  </x:si>
  <x:si>
    <x:t xml:space="preserve">compararProveedorConMyCar(datosVerificados,datos)</x:t>
  </x:si>
  <x:si>
    <x:t xml:space="preserve">Los estados coinciden; no necesita ajustar plan.</x:t>
  </x:si>
  <x:si>
    <x:t xml:space="preserve">I_ResultadoVerificacion</x:t>
  </x:si>
  <x:si>
    <x:t xml:space="preserve">mostrarVerificacionCoincidente()</x:t>
  </x:si>
  <x:si>
    <x:t xml:space="preserve">Muestra verificación completada, sin opción manual de activar Premium.</x:t>
  </x:si>
  <x:si>
    <x:t xml:space="preserve">B4 · Historial de plan (Pasos 28–36)</x:t>
  </x:si>
  <x:si>
    <x:t xml:space="preserve">Regresa al detalle.</x:t>
  </x:si>
  <x:si>
    <x:t xml:space="preserve">solicitarRetornoDetalleSuscripcion(idUsuario)</x:t>
  </x:si>
  <x:si>
    <x:t xml:space="preserve">La interfaz solicita al controlador C_ControlSuscripcionAdmin mediar la navegación; no invoca directamente a I_DetalleSuscripcionAdmin.</x:t>
  </x:si>
  <x:si>
    <x:t xml:space="preserve">mostrarDetalleActual()</x:t>
  </x:si>
  <x:si>
    <x:t xml:space="preserve">Abre el detalle. Navegación ejecutada por controlador, conforme a BCE.</x:t>
  </x:si>
  <x:si>
    <x:t xml:space="preserve">seleccionarVerHistorial()</x:t>
  </x:si>
  <x:si>
    <x:t xml:space="preserve">Solicita historial de cambios Free/Premium.</x:t>
  </x:si>
  <x:si>
    <x:t xml:space="preserve">solicitarHistorialSuscripcion(idUsuario)</x:t>
  </x:si>
  <x:si>
    <x:t xml:space="preserve">Pide cambios de plan y fechas disponibles.</x:t>
  </x:si>
  <x:si>
    <x:t xml:space="preserve">consultarHistorialPlanes(idUsuario)</x:t>
  </x:si>
  <x:si>
    <x:t xml:space="preserve">Obtiene periodos históricos (su persistencia requiere diseño; no equivale al historial de catálogos).</x:t>
  </x:si>
  <x:si>
    <x:t xml:space="preserve">retornarHistorialPlanes(periodos)</x:t>
  </x:si>
  <x:si>
    <x:t xml:space="preserve">Devuelve transiciones.</x:t>
  </x:si>
  <x:si>
    <x:t xml:space="preserve">I_HistorialSuscripcion</x:t>
  </x:si>
  <x:si>
    <x:t xml:space="preserve">mostrarHistorialPlanes(periodos)</x:t>
  </x:si>
  <x:si>
    <x:t xml:space="preserve">Muestra cronología de cambios sin botón de gestión de pagos.</x:t>
  </x:si>
  <x:si>
    <x:t xml:space="preserve">visualizarHistorial()</x:t>
  </x:si>
  <x:si>
    <x:t xml:space="preserve">Finaliza supervisión en solo lectura.</x:t>
  </x:si>
  <x:si>
    <x:t xml:space="preserve">RF60 – DISCREPANCIA ENTRE GOOGLE PLAY Y MYCAR | ESCENARIO ALTERNO</x:t>
  </x:si>
  <x:si>
    <x:t xml:space="preserve">Fuente: PDF p.3 recuadro inconsistencia; vincula RF61 | Punto de partida: Google Play informa Premium vigente, MyCar registra Free. | 7 mensajes</x:t>
  </x:si>
  <x:si>
    <x:t xml:space="preserve">A1 · Detectar diferencias</x:t>
  </x:si>
  <x:si>
    <x:t xml:space="preserve">retornarEstadoProveedor(PREMIUM_VIGENTE)</x:t>
  </x:si>
  <x:si>
    <x:t xml:space="preserve">Proveedor acredita Premium.</x:t>
  </x:si>
  <x:si>
    <x:t xml:space="preserve">retornarEstadoLocal(FREE)</x:t>
  </x:si>
  <x:si>
    <x:t xml:space="preserve">Cuenta MyCar todavía en Free.</x:t>
  </x:si>
  <x:si>
    <x:t xml:space="preserve">detectarInconsistencia(PREMIUM,FREE)</x:t>
  </x:si>
  <x:si>
    <x:t xml:space="preserve">Se requiere conciliación validada; el administrador no corrige manualmente.</x:t>
  </x:si>
  <x:si>
    <x:t xml:space="preserve">mostrarDiferenciaYReportar()</x:t>
  </x:si>
  <x:si>
    <x:t xml:space="preserve">Pantalla con botón «Registrar incidencia».</x:t>
  </x:si>
  <x:si>
    <x:t xml:space="preserve">seleccionarRegistrarIncidencia()</x:t>
  </x:si>
  <x:si>
    <x:t xml:space="preserve">Admin pasa a RF61.</x:t>
  </x:si>
  <x:si>
    <x:t xml:space="preserve">C_ControlIncidencia</x:t>
  </x:si>
  <x:si>
    <x:t xml:space="preserve">precargarIncidenciaSuscripcion(idUsuario,datosComparacion)</x:t>
  </x:si>
  <x:si>
    <x:t xml:space="preserve">Crea borrador sin modificar E_Suscripcion.</x:t>
  </x:si>
  <x:si>
    <x:t xml:space="preserve">I_RegistroIncidenciaAdmin</x:t>
  </x:si>
  <x:si>
    <x:t xml:space="preserve">mostrarFormularioPrecargado(origen=ADMINISTRADOR)</x:t>
  </x:si>
  <x:si>
    <x:t xml:space="preserve">Permite registrar incidencia técnica con actor autenticado.</x:t>
  </x:si>
  <x:si>
    <x:t xml:space="preserve">RF60 – PREMIUM FINALIZADO, ESTADO EFECTIVO FREE | ESCENARIO ALTERNO</x:t>
  </x:si>
  <x:si>
    <x:t xml:space="preserve">Fuente: PDF p.3 recuadro finalización | Punto de partida: Evento de baja ya procesado automáticamente por el sistema (RF30 ampliado). | 5 mensajes</x:t>
  </x:si>
  <x:si>
    <x:t xml:space="preserve">A2 · Cuenta Free con Premium anterior</x:t>
  </x:si>
  <x:si>
    <x:t xml:space="preserve">retornarPlanVigencia(FREE,PREMIUM_FINALIZADO)</x:t>
  </x:si>
  <x:si>
    <x:t xml:space="preserve">El plan actual efectivo es Free.</x:t>
  </x:si>
  <x:si>
    <x:t xml:space="preserve">retornarResumenVehiculos(1,2)</x:t>
  </x:si>
  <x:si>
    <x:t xml:space="preserve">Permanece únicamente el principal activo, los otros son históricos inactivos.</x:t>
  </x:si>
  <x:si>
    <x:t xml:space="preserve">mostrarPremiumAnteriorFinalizado()</x:t>
  </x:si>
  <x:si>
    <x:t xml:space="preserve">Muestra transición automática y conteos; no da botón Downgrade.</x:t>
  </x:si>
  <x:si>
    <x:t xml:space="preserve">A3 · Sin respuesta de proveedor</x:t>
  </x:si>
  <x:si>
    <x:t xml:space="preserve">retornarErrorVerificacion()</x:t>
  </x:si>
  <x:si>
    <x:t xml:space="preserve">El servicio no responde.</x:t>
  </x:si>
  <x:si>
    <x:t xml:space="preserve">mostrarNoVerificado()</x:t>
  </x:si>
  <x:si>
    <x:t xml:space="preserve">No supone Premium ni cambia Free; posibilidad de registrar incidencia técnica.</x:t>
  </x:si>
  <x:si>
    <x:t xml:space="preserve">RF61 – GESTIONAR INCIDENCIA REPORTADA POR USUARIO | EVENTO EXITOSO</x:t>
  </x:si>
  <x:si>
    <x:t xml:space="preserve">Flujo exitoso alineado: 60 pasos, autorización BCE explícita antes de cada mutación y transacciones atómicas de estado + evento. Validar SQL físico y alternativos antes de implementación.</x:t>
  </x:si>
  <x:si>
    <x:t xml:space="preserve">B1 · Abrir incidente y verificar identidad reportante (Pasos 1–12)</x:t>
  </x:si>
  <x:si>
    <x:t xml:space="preserve">seleccionarIncidencias()</x:t>
  </x:si>
  <x:si>
    <x:t xml:space="preserve">Ingresa al módulo de soporte.</x:t>
  </x:si>
  <x:si>
    <x:t xml:space="preserve">solicitarListadoAdmin()</x:t>
  </x:si>
  <x:si>
    <x:t xml:space="preserve">Solicita incidencias de usuarios y administradores.</x:t>
  </x:si>
  <x:si>
    <x:t xml:space="preserve">E_Incidencia</x:t>
  </x:si>
  <x:si>
    <x:t xml:space="preserve">listarIncidencias(filtros)</x:t>
  </x:si>
  <x:si>
    <x:t xml:space="preserve">Incluye código, estado, categoría, idReportante y origen.</x:t>
  </x:si>
  <x:si>
    <x:t xml:space="preserve">retornarIncidencias(lista)</x:t>
  </x:si>
  <x:si>
    <x:t xml:space="preserve">Devuelve listado.</x:t>
  </x:si>
  <x:si>
    <x:t xml:space="preserve">I_IncidenciasAdmin</x:t>
  </x:si>
  <x:si>
    <x:t xml:space="preserve">mostrarIncidencias(lista)</x:t>
  </x:si>
  <x:si>
    <x:t xml:space="preserve">Muestra filtros por estado, origen y categoría.</x:t>
  </x:si>
  <x:si>
    <x:t xml:space="preserve">seleccionarIncidencia(idIncidencia)</x:t>
  </x:si>
  <x:si>
    <x:t xml:space="preserve">Selecciona caso PENDIENTE.</x:t>
  </x:si>
  <x:si>
    <x:t xml:space="preserve">consultarIncidencia(idIncidencia)</x:t>
  </x:si>
  <x:si>
    <x:t xml:space="preserve">Solicita detalle y reportante auténtico.</x:t>
  </x:si>
  <x:si>
    <x:t xml:space="preserve">obtenerIncidencia(idIncidencia)</x:t>
  </x:si>
  <x:si>
    <x:t xml:space="preserve">Lee título, descripción, estado, reportante, evidencia, fechas.</x:t>
  </x:si>
  <x:si>
    <x:t xml:space="preserve">retornarDetalleIncidencia(datos)</x:t>
  </x:si>
  <x:si>
    <x:t xml:space="preserve">Devuelve información guardada.</x:t>
  </x:si>
  <x:si>
    <x:t xml:space="preserve">obtenerIdentidadReportante(idReportante)</x:t>
  </x:si>
  <x:si>
    <x:t xml:space="preserve">Resuelve nombre/correo del creador almacenado como FK de usuario.</x:t>
  </x:si>
  <x:si>
    <x:t xml:space="preserve">retornarIdentidad(nombre,correo,rol)</x:t>
  </x:si>
  <x:si>
    <x:t xml:space="preserve">Devuelve el correo y rol según el usuario que reportó.</x:t>
  </x:si>
  <x:si>
    <x:t xml:space="preserve">I_DetalleIncidenciaAdmin</x:t>
  </x:si>
  <x:si>
    <x:t xml:space="preserve">mostrarDetalleIncidencia(datos,reportadoPor)</x:t>
  </x:si>
  <x:si>
    <x:t xml:space="preserve">Muestra Reportado por y Origen USER/ADMIN sin permitir su edición.</x:t>
  </x:si>
  <x:si>
    <x:t xml:space="preserve">B2 · Pasar de Pendiente a En proceso (Pasos 13–24)</x:t>
  </x:si>
  <x:si>
    <x:t xml:space="preserve">seleccionarActualizarEstado()</x:t>
  </x:si>
  <x:si>
    <x:t xml:space="preserve">Pulsa Actualizar estado.</x:t>
  </x:si>
  <x:si>
    <x:t xml:space="preserve">solicitarCambioEstado(EN_PROCESO)</x:t>
  </x:si>
  <x:si>
    <x:t xml:space="preserve">Pide formulario de estado.</x:t>
  </x:si>
  <x:si>
    <x:t xml:space="preserve">I_ActualizarEstadoIncidencia</x:t>
  </x:si>
  <x:si>
    <x:t xml:space="preserve">mostrarFormularioEstado(actual=PENDIENTE)</x:t>
  </x:si>
  <x:si>
    <x:t xml:space="preserve">Muestra estado nuevo y motivo obligatorio.</x:t>
  </x:si>
  <x:si>
    <x:t xml:space="preserve">confirmarEstado(EN_PROCESO,motivo)</x:t>
  </x:si>
  <x:si>
    <x:t xml:space="preserve">El administrador justifica inicio de atención.</x:t>
  </x:si>
  <x:si>
    <x:t xml:space="preserve">cambiarEstado(idIncidencia,EN_PROCESO,motivo,idAdmin)</x:t>
  </x:si>
  <x:si>
    <x:t xml:space="preserve">Envía solicitud autorizada. Antes de cada mutación: C_Autorizacion valida GESTIONAR_INCIDENCIAS sobre el idAdmin vigente, incluso si el panel ya fue abierto.</x:t>
  </x:si>
  <x:si>
    <x:t xml:space="preserve">validarPermisoMutacion(idAdmin,GESTIONAR_INCIDENCIAS,MODIFICAR_ESTADO)</x:t>
  </x:si>
  <x:si>
    <x:t xml:space="preserve">Revalidar rol, sesión, permiso y ámbito de incidencia de idAdmin autenticado al momento de escribir; no confiar en idAdmin enviado por la interfaz.</x:t>
  </x:si>
  <x:si>
    <x:t xml:space="preserve">retornarPermisoMutacion(PERMITIDO,MODIFICAR_ESTADO)</x:t>
  </x:si>
  <x:si>
    <x:t xml:space="preserve">Permiso verificado para esta mutación. Si es denegado, no habrá escritura.</x:t>
  </x:si>
  <x:si>
    <x:t xml:space="preserve">validarTransicion(PENDIENTE,EN_PROCESO)</x:t>
  </x:si>
  <x:si>
    <x:t xml:space="preserve">Valida estado actual y motivo, sin envío de notificaciones.</x:t>
  </x:si>
  <x:si>
    <x:t xml:space="preserve">actualizarEstadoYFecha(EN_PROCESO)</x:t>
  </x:si>
  <x:si>
    <x:t xml:space="preserve">BEGIN transacción para transición PENDIENTE→EN_PROCESO; actualizar estado condicionalmente, y registrar evento en la misma transacción antes de mostrar éxito. Persiste el estado nuevo.</x:t>
  </x:si>
  <x:si>
    <x:t xml:space="preserve">confirmarEstadoActualizado()</x:t>
  </x:si>
  <x:si>
    <x:t xml:space="preserve">Devuelve estado EN_PROCESO.</x:t>
  </x:si>
  <x:si>
    <x:t xml:space="preserve">E_AvanceIncidencia</x:t>
  </x:si>
  <x:si>
    <x:t xml:space="preserve">registrarEventoEstado(idIncidencia,idAdmin,motivo)</x:t>
  </x:si>
  <x:si>
    <x:t xml:space="preserve">Misma transacción de cambio de estado: insertar evento autor/motivo/fecha y devolver confirmación tras COMMIT; si falla cualquiera de las dos operaciones, ROLLBACK. Registra quién cambió estado y por qué, en la secuencia de avances.</x:t>
  </x:si>
  <x:si>
    <x:t xml:space="preserve">retornarEventoRegistradoYCommit()</x:t>
  </x:si>
  <x:si>
    <x:t xml:space="preserve">Confirma evento y COMMIT exitoso de estado + trazabilidad; no notificar éxito antes. En error, no se continúa el evento exitoso.</x:t>
  </x:si>
  <x:si>
    <x:t xml:space="preserve">B3 · Registrar avance independiente (Pasos 25–37)</x:t>
  </x:si>
  <x:si>
    <x:t xml:space="preserve">mostrarDetalleEnProceso()</x:t>
  </x:si>
  <x:si>
    <x:t xml:space="preserve">Regresa al caso EN_PROCESO.</x:t>
  </x:si>
  <x:si>
    <x:t xml:space="preserve">seleccionarAgregarAvance()</x:t>
  </x:si>
  <x:si>
    <x:t xml:space="preserve">Pulsa Agregar avance.</x:t>
  </x:si>
  <x:si>
    <x:t xml:space="preserve">solicitarFormularioAvance()</x:t>
  </x:si>
  <x:si>
    <x:t xml:space="preserve">Inicia registro del avance.</x:t>
  </x:si>
  <x:si>
    <x:t xml:space="preserve">I_AgregarAvanceIncidencia</x:t>
  </x:si>
  <x:si>
    <x:t xml:space="preserve">mostrarCamposAvance()</x:t>
  </x:si>
  <x:si>
    <x:t xml:space="preserve">Descripción obligatoria y evidencia opcional.</x:t>
  </x:si>
  <x:si>
    <x:t xml:space="preserve">ingresarAvance(descripcion,evidencia?)</x:t>
  </x:si>
  <x:si>
    <x:t xml:space="preserve">Describe las acciones realizadas; en éxito no agrega evidencia.</x:t>
  </x:si>
  <x:si>
    <x:t xml:space="preserve">seleccionarGuardarAvance()</x:t>
  </x:si>
  <x:si>
    <x:t xml:space="preserve">Confirma avance.</x:t>
  </x:si>
  <x:si>
    <x:t xml:space="preserve">guardarAvance(idIncidencia,idAdmin,descripcion)</x:t>
  </x:si>
  <x:si>
    <x:t xml:space="preserve">La mutación continúa solo si el backend comprobó GESTIONAR_INCIDENCIAS sobre identidad de sesión y el estado vigente; la validación indicada aquí no sustituye la llamada explícita a C_Autorizacion. No cambia estado al registrar el avance.</x:t>
  </x:si>
  <x:si>
    <x:t xml:space="preserve">validarPermisoMutacion(idAdmin,GESTIONAR_INCIDENCIAS,AGREGAR_AVANCE)</x:t>
  </x:si>
  <x:si>
    <x:t xml:space="preserve">retornarPermisoMutacion(PERMITIDO,AGREGAR_AVANCE)</x:t>
  </x:si>
  <x:si>
    <x:t xml:space="preserve">validarTextoAvance(descripcion)</x:t>
  </x:si>
  <x:si>
    <x:t xml:space="preserve">Valida contenido obligatorio.</x:t>
  </x:si>
  <x:si>
    <x:t xml:space="preserve">registrarAvance(idIncidencia,idAdmin,descripcion,fecha)</x:t>
  </x:si>
  <x:si>
    <x:t xml:space="preserve">Guarda texto, fecha y administrador responsable.</x:t>
  </x:si>
  <x:si>
    <x:t xml:space="preserve">retornarAvanceRegistrado(idAvance)</x:t>
  </x:si>
  <x:si>
    <x:t xml:space="preserve">Confirma.</x:t>
  </x:si>
  <x:si>
    <x:t xml:space="preserve">mostrarNuevoAvance()</x:t>
  </x:si>
  <x:si>
    <x:t xml:space="preserve">Muestra avance en secuencia temporal.</x:t>
  </x:si>
  <x:si>
    <x:t xml:space="preserve">B4 · Documentar solución y marcar Resuelta (Pasos 38–60)</x:t>
  </x:si>
  <x:si>
    <x:t xml:space="preserve">seleccionarAgregarAvanceFinal()</x:t>
  </x:si>
  <x:si>
    <x:t xml:space="preserve">Antes de resolver, registra explicación de solución aplicada.</x:t>
  </x:si>
  <x:si>
    <x:t xml:space="preserve">solicitarFormularioAvanceFinal(idIncidencia)</x:t>
  </x:si>
  <x:si>
    <x:t xml:space="preserve">La interfaz solicita al controlador C_ControlIncidencia mediar la navegación; no invoca directamente a I_AgregarAvanceIncidencia.</x:t>
  </x:si>
  <x:si>
    <x:t xml:space="preserve">mostrarFormularioAvanceFinal()</x:t>
  </x:si>
  <x:si>
    <x:t xml:space="preserve">Abre formulario para solución final. Navegación ejecutada por controlador, conforme a BCE.</x:t>
  </x:si>
  <x:si>
    <x:t xml:space="preserve">guardarDescripcionSolucion(textoSolucion)</x:t>
  </x:si>
  <x:si>
    <x:t xml:space="preserve">Especifica cómo fue resuelto el problema.</x:t>
  </x:si>
  <x:si>
    <x:t xml:space="preserve">registrarSolucionFinal(idIncidencia,idAdmin,textoSolucion)</x:t>
  </x:si>
  <x:si>
    <x:t xml:space="preserve">La mutación continúa solo si el backend comprobó GESTIONAR_INCIDENCIAS sobre identidad de sesión y el estado vigente; la validación indicada aquí no sustituye la llamada explícita a C_Autorizacion. Valida y persiste el avance final.</x:t>
  </x:si>
  <x:si>
    <x:t xml:space="preserve">validarPermisoMutacion(idAdmin,GESTIONAR_INCIDENCIAS,DOCUMENTAR_SOLUCION)</x:t>
  </x:si>
  <x:si>
    <x:t xml:space="preserve">retornarPermisoMutacion(PERMITIDO,DOCUMENTAR_SOLUCION)</x:t>
  </x:si>
  <x:si>
    <x:t xml:space="preserve">guardarAvanceFinal(idIncidencia,idAdmin,textoSolucion)</x:t>
  </x:si>
  <x:si>
    <x:t xml:space="preserve">Guarda trazabilidad de solución.</x:t>
  </x:si>
  <x:si>
    <x:t xml:space="preserve">retornarSolucionRegistrada()</x:t>
  </x:si>
  <x:si>
    <x:t xml:space="preserve">Confirma que existe la solución documentada.</x:t>
  </x:si>
  <x:si>
    <x:t xml:space="preserve">Ahora solicita finalizar.</x:t>
  </x:si>
  <x:si>
    <x:t xml:space="preserve">solicitarFormularioCambioEstado(idIncidencia)</x:t>
  </x:si>
  <x:si>
    <x:t xml:space="preserve">La interfaz solicita al controlador C_ControlIncidencia mediar la navegación; no invoca directamente a I_ActualizarEstadoIncidencia.</x:t>
  </x:si>
  <x:si>
    <x:t xml:space="preserve">mostrarCambioEstado(actual=EN_PROCESO)</x:t>
  </x:si>
  <x:si>
    <x:t xml:space="preserve">Presenta la opción RESUELTA y motivo. Navegación ejecutada por controlador, conforme a BCE.</x:t>
  </x:si>
  <x:si>
    <x:t xml:space="preserve">confirmarEstado(RESUELTA,motivo)</x:t>
  </x:si>
  <x:si>
    <x:t xml:space="preserve">Solicita marcar resuelta.</x:t>
  </x:si>
  <x:si>
    <x:t xml:space="preserve">cambiarEstado(idIncidencia,RESUELTA,motivo,idAdmin)</x:t>
  </x:si>
  <x:si>
    <x:t xml:space="preserve">La mutación continúa solo si el backend comprobó GESTIONAR_INCIDENCIAS sobre identidad de sesión y el estado vigente; la validación indicada aquí no sustituye la llamada explícita a C_Autorizacion. Envia cambio de estado.</x:t>
  </x:si>
  <x:si>
    <x:t xml:space="preserve">validarPermisoMutacion(idAdmin,GESTIONAR_INCIDENCIAS,RESOLVER_INCIDENCIA)</x:t>
  </x:si>
  <x:si>
    <x:t xml:space="preserve">retornarPermisoMutacion(PERMITIDO,RESOLVER_INCIDENCIA)</x:t>
  </x:si>
  <x:si>
    <x:t xml:space="preserve">comprobarSolucionDocumentada(idIncidencia)</x:t>
  </x:si>
  <x:si>
    <x:t xml:space="preserve">No permite resolver sin solución guardada.</x:t>
  </x:si>
  <x:si>
    <x:t xml:space="preserve">retornarSolucionDisponible()</x:t>
  </x:si>
  <x:si>
    <x:t xml:space="preserve">Valida precondición.</x:t>
  </x:si>
  <x:si>
    <x:t xml:space="preserve">actualizarEstadoYFecha(RESUELTA,fechaResolucion)</x:t>
  </x:si>
  <x:si>
    <x:t xml:space="preserve">BEGIN transacción para transición EN_PROCESO→RESUELTA; validar estado vigente y existencia de solución, cambiar estado condicionalmente y guardar evento en una misma transacción. Actualiza estado RESUELTA; no utiliza notificaciones.</x:t>
  </x:si>
  <x:si>
    <x:t xml:space="preserve">retornarIncidenciaResuelta()</x:t>
  </x:si>
  <x:si>
    <x:t xml:space="preserve">registrarEventoEstado(idIncidencia,idAdmin,RESUELTA,motivo)</x:t>
  </x:si>
  <x:si>
    <x:t xml:space="preserve">Registra evento RESUELTA con autor/motivo en misma transacción y se confirma únicamente después de COMMIT exitoso; ante error ROLLBACK. Deja fecha, autor y motivo de resolución.</x:t>
  </x:si>
  <x:si>
    <x:t xml:space="preserve">mostrarDetalleResueltoYAvances()</x:t>
  </x:si>
  <x:si>
    <x:t xml:space="preserve">Visualiza estado RESUELTA y cronología de avances; concluye.</x:t>
  </x:si>
  <x:si>
    <x:t xml:space="preserve">RF61 – REGISTRAR UNA NUEVA INCIDENCIA INTERNA | ESCENARIO ALTERNO</x:t>
  </x:si>
  <x:si>
    <x:t xml:space="preserve">Fuente: Pantalla propuesta RF61 | Punto de partida: Administrador detecta problema sin reporte previo. | 9 mensajes</x:t>
  </x:si>
  <x:si>
    <x:t xml:space="preserve">A1 · Crear reporte desde administración</x:t>
  </x:si>
  <x:si>
    <x:t xml:space="preserve">Usa el botón + del listado.</x:t>
  </x:si>
  <x:si>
    <x:t xml:space="preserve">solicitarRegistroInterno(idAdmin)</x:t>
  </x:si>
  <x:si>
    <x:t xml:space="preserve">Se obtiene identidad desde sesión autenticada.</x:t>
  </x:si>
  <x:si>
    <x:t xml:space="preserve">mostrarFormularioInterno()</x:t>
  </x:si>
  <x:si>
    <x:t xml:space="preserve">Campos título, categoría, prioridad, descripción, imagen opcional.</x:t>
  </x:si>
  <x:si>
    <x:t xml:space="preserve">ingresarDatosIncidenciaInterna(datos)</x:t>
  </x:si>
  <x:si>
    <x:t xml:space="preserve">Completa los campos obligatorios.</x:t>
  </x:si>
  <x:si>
    <x:t xml:space="preserve">seleccionarGuardarIncidencia()</x:t>
  </x:si>
  <x:si>
    <x:t xml:space="preserve">Guarda reporte.</x:t>
  </x:si>
  <x:si>
    <x:t xml:space="preserve">registrarIncidenciaInterna(datos,idAdminSesion)</x:t>
  </x:si>
  <x:si>
    <x:t xml:space="preserve">Servidor impone idReportante=idAdmin y origen=ADMINISTRADOR.</x:t>
  </x:si>
  <x:si>
    <x:t xml:space="preserve">crearIncidencia(datos,origen=ADMINISTRADOR,estado=PENDIENTE)</x:t>
  </x:si>
  <x:si>
    <x:t xml:space="preserve">Persiste título y descripción. Reportado por no es editable.</x:t>
  </x:si>
  <x:si>
    <x:t xml:space="preserve">retornarCodigo(incId)</x:t>
  </x:si>
  <x:si>
    <x:t xml:space="preserve">Devuelve código único y estado.</x:t>
  </x:si>
  <x:si>
    <x:t xml:space="preserve">I_ConfirmacionRegistroIncidencia</x:t>
  </x:si>
  <x:si>
    <x:t xml:space="preserve">mostrarIncidenciaCreada(incId)</x:t>
  </x:si>
  <x:si>
    <x:t xml:space="preserve">Confirma registro, con botón Ver incidencia.</x:t>
  </x:si>
  <x:si>
    <x:t xml:space="preserve">RF61 – ERRORES Y CANCELACIONES EN SEGUIMIENTO | ESCENARIO ALTERNO</x:t>
  </x:si>
  <x:si>
    <x:t xml:space="preserve">Fuente: Reglas RF61 sin notificaciones | Punto de partida: Campos incompletos o estado no elegible para resolver. | 6 mensajes</x:t>
  </x:si>
  <x:si>
    <x:t xml:space="preserve">A2 · Avance vacío</x:t>
  </x:si>
  <x:si>
    <x:t xml:space="preserve">validarTextoAvance(vacio)</x:t>
  </x:si>
  <x:si>
    <x:t xml:space="preserve">Texto obligatorio ausente.</x:t>
  </x:si>
  <x:si>
    <x:t xml:space="preserve">mostrarErrorDescripcionObligatoria()</x:t>
  </x:si>
  <x:si>
    <x:t xml:space="preserve">No guarda avance ni cambia estado.</x:t>
  </x:si>
  <x:si>
    <x:t xml:space="preserve">A3 · Intento de resolver sin solución</x:t>
  </x:si>
  <x:si>
    <x:t xml:space="preserve">retornarSinSolucionDocumentada()</x:t>
  </x:si>
  <x:si>
    <x:t xml:space="preserve">No existe avance final de solución.</x:t>
  </x:si>
  <x:si>
    <x:t xml:space="preserve">mostrarErrorSolucionRequerida()</x:t>
  </x:si>
  <x:si>
    <x:t xml:space="preserve">Debe registrar solución primero.</x:t>
  </x:si>
  <x:si>
    <x:t xml:space="preserve">A4 · Cancelar actualización</x:t>
  </x:si>
  <x:si>
    <x:t xml:space="preserve">A3.05</x:t>
  </x:si>
  <x:si>
    <x:t xml:space="preserve">Abandona cambio de estado.</x:t>
  </x:si>
  <x:si>
    <x:t xml:space="preserve">retornarSinCambios()</x:t>
  </x:si>
  <x:si>
    <x:t xml:space="preserve">Mantiene estado y avances previos.</x:t>
  </x:si>
  <x:si>
    <x:t xml:space="preserve">RF62 – GESTIONAR CATÁLOGOS: REGISTRAR TIPO DE MANTENIMIENTO | EVENTO EXITOSO</x:t>
  </x:si>
  <x:si>
    <x:t xml:space="preserve">Fuente: PDF p.4; storyboard RF62 corregido | Punto de partida: Administrador autorizado; nombre válido y no duplicado. | 31 mensajes | Al registrar tipo ACTIVO aparece en RF17/RF22/RF24; los siete son semilla, no límite fijo; INACTIVOS no admiten registros nuevos.</x:t>
  </x:si>
  <x:si>
    <x:t xml:space="preserve">B1 · Acceso a catálogos</x:t>
  </x:si>
  <x:si>
    <x:t xml:space="preserve">seleccionarCatalogos()</x:t>
  </x:si>
  <x:si>
    <x:t xml:space="preserve">Ingresa a Catálogos.</x:t>
  </x:si>
  <x:si>
    <x:t xml:space="preserve">C_ControlCatalogo</x:t>
  </x:si>
  <x:si>
    <x:t xml:space="preserve">solicitarCatalogosDisponibles(idAdmin)</x:t>
  </x:si>
  <x:si>
    <x:t xml:space="preserve">Solicita catálogos configurables, según modelo real.</x:t>
  </x:si>
  <x:si>
    <x:t xml:space="preserve">validarPermiso(idAdmin,GESTIONAR_CATALOGOS)</x:t>
  </x:si>
  <x:si>
    <x:t xml:space="preserve">Verifica rol y permiso.</x:t>
  </x:si>
  <x:si>
    <x:t xml:space="preserve">Permite continuar.</x:t>
  </x:si>
  <x:si>
    <x:t xml:space="preserve">E_Catalogo</x:t>
  </x:si>
  <x:si>
    <x:t xml:space="preserve">listarCategoriasConfigurables()</x:t>
  </x:si>
  <x:si>
    <x:t xml:space="preserve">Obtiene Tipos mantenimiento, Tipos aceite, Tipos motor, Tipos combustible, Usos vehículo si existen como catálogos configurables.</x:t>
  </x:si>
  <x:si>
    <x:t xml:space="preserve">retornarCategorias(lista)</x:t>
  </x:si>
  <x:si>
    <x:t xml:space="preserve">Devuelve lista de catálogos disponibles.</x:t>
  </x:si>
  <x:si>
    <x:t xml:space="preserve">I_CatalogosAdmin</x:t>
  </x:si>
  <x:si>
    <x:t xml:space="preserve">mostrarCategorias(lista)</x:t>
  </x:si>
  <x:si>
    <x:t xml:space="preserve">Pantalla de categorías.</x:t>
  </x:si>
  <x:si>
    <x:t xml:space="preserve">seleccionarTiposMantenimiento()</x:t>
  </x:si>
  <x:si>
    <x:t xml:space="preserve">Elige un catálogo concreto.</x:t>
  </x:si>
  <x:si>
    <x:t xml:space="preserve">B2 · Ver elementos del catálogo</x:t>
  </x:si>
  <x:si>
    <x:t xml:space="preserve">consultarElementos(TIPOS_MANTENIMIENTO)</x:t>
  </x:si>
  <x:si>
    <x:t xml:space="preserve">Solicita lista de tipos activos e inactivos.</x:t>
  </x:si>
  <x:si>
    <x:t xml:space="preserve">E_CatalogoDetalle</x:t>
  </x:si>
  <x:si>
    <x:t xml:space="preserve">listarElementos(catalogoId)</x:t>
  </x:si>
  <x:si>
    <x:t xml:space="preserve">Consulta nombres y estados, SIN campo DESCRIPCION y SIN historial de modificaciones.</x:t>
  </x:si>
  <x:si>
    <x:t xml:space="preserve">retornarElementos(lista)</x:t>
  </x:si>
  <x:si>
    <x:t xml:space="preserve">Devuelve entradas del catálogo.</x:t>
  </x:si>
  <x:si>
    <x:t xml:space="preserve">I_ListaElementosCatalogo</x:t>
  </x:si>
  <x:si>
    <x:t xml:space="preserve">mostrarTiposMantenimiento(lista)</x:t>
  </x:si>
  <x:si>
    <x:t xml:space="preserve">Muestra búsqueda, + Agregar, nombres y estado.</x:t>
  </x:si>
  <x:si>
    <x:t xml:space="preserve">visualizarLista()</x:t>
  </x:si>
  <x:si>
    <x:t xml:space="preserve">El administrador revisa lista.</x:t>
  </x:si>
  <x:si>
    <x:t xml:space="preserve">B3 · Registrar elemento</x:t>
  </x:si>
  <x:si>
    <x:t xml:space="preserve">seleccionarAgregar()</x:t>
  </x:si>
  <x:si>
    <x:t xml:space="preserve">Abre Nuevo tipo de mantenimiento.</x:t>
  </x:si>
  <x:si>
    <x:t xml:space="preserve">solicitarFormularioNuevo(catalogoId)</x:t>
  </x:si>
  <x:si>
    <x:t xml:space="preserve">Solicita formulario específico.</x:t>
  </x:si>
  <x:si>
    <x:t xml:space="preserve">I_FormularioCatalogo</x:t>
  </x:si>
  <x:si>
    <x:t xml:space="preserve">mostrarFormulario(nombre,estado=ACTIVO)</x:t>
  </x:si>
  <x:si>
    <x:t xml:space="preserve">Solo Nombre* y Estado; no solicita descripción del mantenimiento.</x:t>
  </x:si>
  <x:si>
    <x:t xml:space="preserve">ingresarNombreYEstado(nombre,ACTIVO)</x:t>
  </x:si>
  <x:si>
    <x:t xml:space="preserve">Ejemplo: Cambio de correa de distribución.</x:t>
  </x:si>
  <x:si>
    <x:t xml:space="preserve">seleccionarGuardar()</x:t>
  </x:si>
  <x:si>
    <x:t xml:space="preserve">Envía formulario.</x:t>
  </x:si>
  <x:si>
    <x:t xml:space="preserve">registrarElemento(catalogoId,nombre,ACTIVO)</x:t>
  </x:si>
  <x:si>
    <x:t xml:space="preserve">Entrega datos al controlador.</x:t>
  </x:si>
  <x:si>
    <x:t xml:space="preserve">validarNombreNoVacioYNormalizar(nombre)</x:t>
  </x:si>
  <x:si>
    <x:t xml:space="preserve">Normaliza espacios y verifica nombre no vacío.</x:t>
  </x:si>
  <x:si>
    <x:t xml:space="preserve">existeElemento(catalogoId,nombreNormalizado)</x:t>
  </x:si>
  <x:si>
    <x:t xml:space="preserve">Detecta duplicados tanto activos como inactivos.</x:t>
  </x:si>
  <x:si>
    <x:t xml:space="preserve">retornarExiste(false)</x:t>
  </x:si>
  <x:si>
    <x:t xml:space="preserve">No hay duplicado.</x:t>
  </x:si>
  <x:si>
    <x:t xml:space="preserve">crearElemento(catalogoId,nombre,ACTIVO)</x:t>
  </x:si>
  <x:si>
    <x:t xml:space="preserve">Inserta el nombre y estado, sin descripción ni bitácora de cambios.</x:t>
  </x:si>
  <x:si>
    <x:t xml:space="preserve">retornarElementoCreado(idElemento)</x:t>
  </x:si>
  <x:si>
    <x:t xml:space="preserve">Confirma inserción.</x:t>
  </x:si>
  <x:si>
    <x:t xml:space="preserve">B4 · Confirmación y listado actualizado</x:t>
  </x:si>
  <x:si>
    <x:t xml:space="preserve">I_ConfirmacionCatalogo</x:t>
  </x:si>
  <x:si>
    <x:t xml:space="preserve">mostrarElementoRegistrado(nombre,ACTIVO)</x:t>
  </x:si>
  <x:si>
    <x:t xml:space="preserve">Confirmación «Tipo de mantenimiento registrado» y «Volver al listado».</x:t>
  </x:si>
  <x:si>
    <x:t xml:space="preserve">visualizarConfirmacion()</x:t>
  </x:si>
  <x:si>
    <x:t xml:space="preserve">Ve resumen de Nombre y Estado.</x:t>
  </x:si>
  <x:si>
    <x:t xml:space="preserve">seleccionarVolverListado()</x:t>
  </x:si>
  <x:si>
    <x:t xml:space="preserve">Regresa al catálogo.</x:t>
  </x:si>
  <x:si>
    <x:t xml:space="preserve">solicitarListadoActualizado(catalogoId)</x:t>
  </x:si>
  <x:si>
    <x:t xml:space="preserve">Actualiza información.</x:t>
  </x:si>
  <x:si>
    <x:t xml:space="preserve">Lee elementos actuales.</x:t>
  </x:si>
  <x:si>
    <x:t xml:space="preserve">retornarListaActualizada(lista)</x:t>
  </x:si>
  <x:si>
    <x:t xml:space="preserve">Incluye nuevo tipo.</x:t>
  </x:si>
  <x:si>
    <x:t xml:space="preserve">mostrarListadoActualizado(lista)</x:t>
  </x:si>
  <x:si>
    <x:t xml:space="preserve">El nuevo tipo aparece Activo y disponible en formularios de MyCar.</x:t>
  </x:si>
  <x:si>
    <x:t xml:space="preserve">RF62 – EDITAR NOMBRE O ESTADO DEL ELEMENTO | ESCENARIO ALTERNO</x:t>
  </x:si>
  <x:si>
    <x:t xml:space="preserve">Fuente: PDF p.4, paso 7 | Punto de partida: Elemento existente; cambio autorizado; no se edita descripción. | 13 mensajes</x:t>
  </x:si>
  <x:si>
    <x:t xml:space="preserve">A1 · Abrir edición</x:t>
  </x:si>
  <x:si>
    <x:t xml:space="preserve">seleccionarEditar(idElemento)</x:t>
  </x:si>
  <x:si>
    <x:t xml:space="preserve">Usa menú de fila y botón Editar.</x:t>
  </x:si>
  <x:si>
    <x:t xml:space="preserve">solicitarEdicionElemento(idElemento)</x:t>
  </x:si>
  <x:si>
    <x:t xml:space="preserve">Solicita datos vigentes.</x:t>
  </x:si>
  <x:si>
    <x:t xml:space="preserve">consultarElemento(idElemento)</x:t>
  </x:si>
  <x:si>
    <x:t xml:space="preserve">Lee nombre y estado.</x:t>
  </x:si>
  <x:si>
    <x:t xml:space="preserve">retornarElemento(datos)</x:t>
  </x:si>
  <x:si>
    <x:t xml:space="preserve">Devuelve valores precargados.</x:t>
  </x:si>
  <x:si>
    <x:t xml:space="preserve">mostrarFormularioEdicion(nombre,estado)</x:t>
  </x:si>
  <x:si>
    <x:t xml:space="preserve">Solo nombre y estado.</x:t>
  </x:si>
  <x:si>
    <x:t xml:space="preserve">A2 · Validación y edición</x:t>
  </x:si>
  <x:si>
    <x:t xml:space="preserve">modificarNombre(nombreNuevo)</x:t>
  </x:si>
  <x:si>
    <x:t xml:space="preserve">Cambia nombre o estado permitido.</x:t>
  </x:si>
  <x:si>
    <x:t xml:space="preserve">Confirma edición.</x:t>
  </x:si>
  <x:si>
    <x:t xml:space="preserve">A2.08</x:t>
  </x:si>
  <x:si>
    <x:t xml:space="preserve">actualizarElemento(idElemento,nombreNuevo,estado)</x:t>
  </x:si>
  <x:si>
    <x:t xml:space="preserve">Solicita actualización.</x:t>
  </x:si>
  <x:si>
    <x:t xml:space="preserve">A2.09</x:t>
  </x:si>
  <x:si>
    <x:t xml:space="preserve">verificarDuplicadoExcluyendoId(idElemento,nombreNuevo)</x:t>
  </x:si>
  <x:si>
    <x:t xml:space="preserve">Valida unicidad con excepción del propio elemento.</x:t>
  </x:si>
  <x:si>
    <x:t xml:space="preserve">A2.10</x:t>
  </x:si>
  <x:si>
    <x:t xml:space="preserve">retornarSinDuplicado()</x:t>
  </x:si>
  <x:si>
    <x:t xml:space="preserve">Permite persistir.</x:t>
  </x:si>
  <x:si>
    <x:t xml:space="preserve">A2.11</x:t>
  </x:si>
  <x:si>
    <x:t xml:space="preserve">guardarNombreYEstado(idElemento,nombreNuevo,estado)</x:t>
  </x:si>
  <x:si>
    <x:t xml:space="preserve">Actualiza solo campos del catálogo definidos; no historial de modificaciones.</x:t>
  </x:si>
  <x:si>
    <x:t xml:space="preserve">A2.12</x:t>
  </x:si>
  <x:si>
    <x:t xml:space="preserve">retornarElementoActualizado()</x:t>
  </x:si>
  <x:si>
    <x:t xml:space="preserve">Confirmación.</x:t>
  </x:si>
  <x:si>
    <x:t xml:space="preserve">A2.13</x:t>
  </x:si>
  <x:si>
    <x:t xml:space="preserve">mostrarElementoActualizado()</x:t>
  </x:si>
  <x:si>
    <x:t xml:space="preserve">Muestra éxito y Volver al listado.</x:t>
  </x:si>
  <x:si>
    <x:t xml:space="preserve">RF62 – DESACTIVAR ELEMENTO CONSERVANDO REFERENCIAS | ESCENARIO ALTERNO</x:t>
  </x:si>
  <x:si>
    <x:t xml:space="preserve">Fuente: PDF p.4, sección inferior izquierda | Punto de partida: Elemento ACTIVO existente, seleccionado en listado. | 8 mensajes</x:t>
  </x:si>
  <x:si>
    <x:t xml:space="preserve">A3 · Confirmar desactivación</x:t>
  </x:si>
  <x:si>
    <x:t xml:space="preserve">seleccionarDesactivar(idElemento)</x:t>
  </x:si>
  <x:si>
    <x:t xml:space="preserve">Abre confirmación.</x:t>
  </x:si>
  <x:si>
    <x:t xml:space="preserve">solicitarDesactivacion(idElemento)</x:t>
  </x:si>
  <x:si>
    <x:t xml:space="preserve">Solicita operación.</x:t>
  </x:si>
  <x:si>
    <x:t xml:space="preserve">I_ConfirmacionEstadoCatalogo</x:t>
  </x:si>
  <x:si>
    <x:t xml:space="preserve">mostrarConfirmacionDesactivar()</x:t>
  </x:si>
  <x:si>
    <x:t xml:space="preserve">Mensaje: no se elimina, deja de aparecer en nuevos selectores.</x:t>
  </x:si>
  <x:si>
    <x:t xml:space="preserve">confirmarDesactivar()</x:t>
  </x:si>
  <x:si>
    <x:t xml:space="preserve">desactivarElemento(idElemento)</x:t>
  </x:si>
  <x:si>
    <x:t xml:space="preserve">Solicita actualización de estado.</x:t>
  </x:si>
  <x:si>
    <x:t xml:space="preserve">actualizarEstado(idElemento,INACTIVO)</x:t>
  </x:si>
  <x:si>
    <x:t xml:space="preserve">Pasa a INACTIVO; referencias en historiales existentes se conservan.</x:t>
  </x:si>
  <x:si>
    <x:t xml:space="preserve">retornarElementoInactivo()</x:t>
  </x:si>
  <x:si>
    <x:t xml:space="preserve">mostrarElementoInactivo()</x:t>
  </x:si>
  <x:si>
    <x:t xml:space="preserve">Se sigue viendo en filtro de inactivos, no en opciones para nuevos registros.</x:t>
  </x:si>
  <x:si>
    <x:t xml:space="preserve">RF62 – REACTIVAR ELEMENTO INACTIVO | ESCENARIO ALTERNO</x:t>
  </x:si>
  <x:si>
    <x:t xml:space="preserve">Fuente: PDF p.4 sección inferior central | Punto de partida: Elemento previamente desactivado. | 8 mensajes</x:t>
  </x:si>
  <x:si>
    <x:t xml:space="preserve">A4 · Confirmar reactivación</x:t>
  </x:si>
  <x:si>
    <x:t xml:space="preserve">seleccionarReactivar(idElemento)</x:t>
  </x:si>
  <x:si>
    <x:t xml:space="preserve">Disponible cuando está INACTIVO.</x:t>
  </x:si>
  <x:si>
    <x:t xml:space="preserve">solicitarReactivacion(idElemento)</x:t>
  </x:si>
  <x:si>
    <x:t xml:space="preserve">Valida acceso y estado.</x:t>
  </x:si>
  <x:si>
    <x:t xml:space="preserve">mostrarConfirmacionReactivar()</x:t>
  </x:si>
  <x:si>
    <x:t xml:space="preserve">Botones Cancelar y Reactivar.</x:t>
  </x:si>
  <x:si>
    <x:t xml:space="preserve">confirmarReactivar()</x:t>
  </x:si>
  <x:si>
    <x:t xml:space="preserve">reactivarElemento(idElemento)</x:t>
  </x:si>
  <x:si>
    <x:t xml:space="preserve">Solicita reactivación.</x:t>
  </x:si>
  <x:si>
    <x:t xml:space="preserve">actualizarEstado(idElemento,ACTIVO)</x:t>
  </x:si>
  <x:si>
    <x:t xml:space="preserve">Vuelve a habilitar en nuevos selectores.</x:t>
  </x:si>
  <x:si>
    <x:t xml:space="preserve">retornarElementoActivo()</x:t>
  </x:si>
  <x:si>
    <x:t xml:space="preserve">mostrarElementoActivo()</x:t>
  </x:si>
  <x:si>
    <x:t xml:space="preserve">Muestra estado activo actualizado.</x:t>
  </x:si>
  <x:si>
    <x:t xml:space="preserve">RF62 – NOMBRE VACÍO, DUPLICADO, CANCELACIÓN O FALTA DE PERMISO | ESCENARIO ALTERNO</x:t>
  </x:si>
  <x:si>
    <x:t xml:space="preserve">Fuente: Pantalla formulario RF62 | Punto de partida: Desvíos de RF62 registro/edición. | 8 mensajes</x:t>
  </x:si>
  <x:si>
    <x:t xml:space="preserve">A5 · Nombre vacío</x:t>
  </x:si>
  <x:si>
    <x:t xml:space="preserve">validarNombreNoVacio(nombre)</x:t>
  </x:si>
  <x:si>
    <x:t xml:space="preserve">Nombre no válido.</x:t>
  </x:si>
  <x:si>
    <x:t xml:space="preserve">mostrarErrorNombreObligatorio()</x:t>
  </x:si>
  <x:si>
    <x:t xml:space="preserve">Mantiene formulario y resalta campo.</x:t>
  </x:si>
  <x:si>
    <x:t xml:space="preserve">A6 · Nombre ya existente</x:t>
  </x:si>
  <x:si>
    <x:t xml:space="preserve">retornarExiste(true)</x:t>
  </x:si>
  <x:si>
    <x:t xml:space="preserve">Duplicado incluso si está inactivo.</x:t>
  </x:si>
  <x:si>
    <x:t xml:space="preserve">mostrarErrorNombreDuplicado()</x:t>
  </x:si>
  <x:si>
    <x:t xml:space="preserve">Ofrece editar o reactivar registro existente; no duplica.</x:t>
  </x:si>
  <x:si>
    <x:t xml:space="preserve">A7 · Cancelar</x:t>
  </x:si>
  <x:si>
    <x:t xml:space="preserve">Cancela registro o edición.</x:t>
  </x:si>
  <x:si>
    <x:t xml:space="preserve">No modifica entidad.</x:t>
  </x:si>
  <x:si>
    <x:t xml:space="preserve">A8 · Sin permiso</x:t>
  </x:si>
  <x:si>
    <x:t xml:space="preserve">A4.07</x:t>
  </x:si>
  <x:si>
    <x:t xml:space="preserve">A4</x:t>
  </x:si>
  <x:si>
    <x:t xml:space="preserve">Acceso no autorizado.</x:t>
  </x:si>
  <x:si>
    <x:t xml:space="preserve">A4.08</x:t>
  </x:si>
  <x:si>
    <x:t xml:space="preserve">No muestra formulario.</x:t>
  </x:si>
  <x:si>
    <x:t xml:space="preserve">RF63 – REPORTAR INCIDENCIA DESDE PERFIL | EVENTO EXITOSO</x:t>
  </x:si>
  <x:si>
    <x:t xml:space="preserve">Fuente: PDF p.5 y pantalla Perfil de conversación | Punto de partida: Usuario autenticado; título, categoría y descripción válidos. | 29 mensajes | VALIDACIÓN BACKEND por operación, escritura + evento/evidencia consistente; no mostrar éxito si falla persistencia.</x:t>
  </x:si>
  <x:si>
    <x:t xml:space="preserve">B1 · Acceder al formulario (Pasos 1–5)</x:t>
  </x:si>
  <x:si>
    <x:t xml:space="preserve">seleccionarReportarIncidencia()</x:t>
  </x:si>
  <x:si>
    <x:t xml:space="preserve">Pulsa opción Ayuda y soporte → Reportar incidencia.</x:t>
  </x:si>
  <x:si>
    <x:t xml:space="preserve">solicitarFormularioUsuario(idUsuarioSesion)</x:t>
  </x:si>
  <x:si>
    <x:t xml:space="preserve">La cuenta reportante se deriva de sesión y no se escribe manualmente.</x:t>
  </x:si>
  <x:si>
    <x:t xml:space="preserve">consultarUsuarioSesion(idUsuarioSesion)</x:t>
  </x:si>
  <x:si>
    <x:t xml:space="preserve">Valida cuenta y correo del reportante.</x:t>
  </x:si>
  <x:si>
    <x:t xml:space="preserve">retornarReportante(nombre,correo,rol)</x:t>
  </x:si>
  <x:si>
    <x:t xml:space="preserve">Devuelve datos de identificación de solo lectura.</x:t>
  </x:si>
  <x:si>
    <x:t xml:space="preserve">I_RegistroIncidenciaUsuario</x:t>
  </x:si>
  <x:si>
    <x:t xml:space="preserve">mostrarFormularioYReportante(nombre,correo)</x:t>
  </x:si>
  <x:si>
    <x:t xml:space="preserve">Presenta título, categoría, descripción, evidencia opcional y reportante fijo.</x:t>
  </x:si>
  <x:si>
    <x:t xml:space="preserve">B2 · Rellenar formulario y seleccionar evidencia (Pasos 6–15)</x:t>
  </x:si>
  <x:si>
    <x:t xml:space="preserve">ingresarIncidencia(titulo,categoria,descripcion)</x:t>
  </x:si>
  <x:si>
    <x:t xml:space="preserve">Ingresa los campos obligatorios.</x:t>
  </x:si>
  <x:si>
    <x:t xml:space="preserve">seleccionarAdjuntarEvidencia()</x:t>
  </x:si>
  <x:si>
    <x:t xml:space="preserve">Decide adjuntar captura del error.</x:t>
  </x:si>
  <x:si>
    <x:t xml:space="preserve">solicitarSelectorEvidencia()</x:t>
  </x:si>
  <x:si>
    <x:t xml:space="preserve">La interfaz solicita al controlador C_ControlIncidencia mediar la navegación; no invoca directamente a I_SeleccionarEvidenciaIncidencia.</x:t>
  </x:si>
  <x:si>
    <x:t xml:space="preserve">I_SeleccionarEvidenciaIncidencia</x:t>
  </x:si>
  <x:si>
    <x:t xml:space="preserve">mostrarFuentesCamaraGaleria()</x:t>
  </x:si>
  <x:si>
    <x:t xml:space="preserve">Muestra selección de evidencia. Navegación ejecutada por controlador, conforme a BCE.</x:t>
  </x:si>
  <x:si>
    <x:t xml:space="preserve">seleccionarGaleria()</x:t>
  </x:si>
  <x:si>
    <x:t xml:space="preserve">Escoge Galería en evento exitoso con evidencia.</x:t>
  </x:si>
  <x:si>
    <x:t xml:space="preserve">Abre selector de fotos permitido.</x:t>
  </x:si>
  <x:si>
    <x:t xml:space="preserve">retornarArchivoSeleccionado(archivo)</x:t>
  </x:si>
  <x:si>
    <x:t xml:space="preserve">Devuelve captura elegida.</x:t>
  </x:si>
  <x:si>
    <x:t xml:space="preserve">Confirma evidencia.</x:t>
  </x:si>
  <x:si>
    <x:t xml:space="preserve">solicitarAdjuntarEvidenciaTemporal(archivo)</x:t>
  </x:si>
  <x:si>
    <x:t xml:space="preserve">La interfaz solicita al controlador C_ControlIncidencia mediar la navegación; no invoca directamente a I_RegistroIncidenciaUsuario.</x:t>
  </x:si>
  <x:si>
    <x:t xml:space="preserve">adjuntarArchivoAlFormulario(archivo)</x:t>
  </x:si>
  <x:si>
    <x:t xml:space="preserve">Retorna con miniatura. Navegación ejecutada por controlador, conforme a BCE.</x:t>
  </x:si>
  <x:si>
    <x:t xml:space="preserve">B3 · Guardar reporte con identidad auténtica (Pasos 16–24)</x:t>
  </x:si>
  <x:si>
    <x:t xml:space="preserve">seleccionarEnviarReporte()</x:t>
  </x:si>
  <x:si>
    <x:t xml:space="preserve">Pulsa Enviar reporte.</x:t>
  </x:si>
  <x:si>
    <x:t xml:space="preserve">registrarReporte(titulo,categoria,descripcion,archivo?)</x:t>
  </x:si>
  <x:si>
    <x:t xml:space="preserve">Solicita alta de incidencia.</x:t>
  </x:si>
  <x:si>
    <x:t xml:space="preserve">validarCamposYEvidencia()</x:t>
  </x:si>
  <x:si>
    <x:t xml:space="preserve">Valida título, categoría, descripción y archivo si existe.</x:t>
  </x:si>
  <x:si>
    <x:t xml:space="preserve">C_Sesion</x:t>
  </x:si>
  <x:si>
    <x:t xml:space="preserve">obtenerIdentidadAutenticada()</x:t>
  </x:si>
  <x:si>
    <x:t xml:space="preserve">Obtiene idUsuario del contexto seguro, no de un campo editable.</x:t>
  </x:si>
  <x:si>
    <x:t xml:space="preserve">retornarReportante(idUsuario,rol=USUARIO)</x:t>
  </x:si>
  <x:si>
    <x:t xml:space="preserve">Identifica quién creó la incidencia.</x:t>
  </x:si>
  <x:si>
    <x:t xml:space="preserve">crearIncidencia(titulo,categoria,descripcion,origen=USUARIO,idReportante,estado=PENDIENTE)</x:t>
  </x:si>
  <x:si>
    <x:t xml:space="preserve">BEGIN operación transaccional de creación: registrar incidencia PENDIENTE con reportante obtenido de sesión, vinculada a evidencia opcional. No publicar éxito hasta que la evidencia esté confirmada; si el almacenamiento es externo, usar carga temporal privada y compensación al fallar la vinculación.</x:t>
  </x:si>
  <x:si>
    <x:t xml:space="preserve">retornarIncidenciaCreada(codigo,fecha)</x:t>
  </x:si>
  <x:si>
    <x:t xml:space="preserve">Retorna identificador provisional; no representa todavía éxito definitivo mientras falte vincular evidencia obligatoriamente seleccionada. En fallo posterior, revertir incidencia o usar estado seguro documentado.</x:t>
  </x:si>
  <x:si>
    <x:t xml:space="preserve">E_EvidenciaIncidencia</x:t>
  </x:si>
  <x:si>
    <x:t xml:space="preserve">guardarEvidencia(codigo,archivo)</x:t>
  </x:si>
  <x:si>
    <x:t xml:space="preserve">Si el usuario adjuntó evidencia, persistir archivo y referencia de manera consistente con la incidencia; si servicio externo falla, revertir/compensar y no confirmar el flujo. No dejar archivos huérfanos ni incidencias incompletas presentadas como exitosas.</x:t>
  </x:si>
  <x:si>
    <x:t xml:space="preserve">retornarEvidenciaGuardada()</x:t>
  </x:si>
  <x:si>
    <x:t xml:space="preserve">Confirma la referencia de evidencia y COMMIT de datos locales; con carga externa comprobar vinculación y finalizar estado consistente antes de mostrar la confirmación. Si no se adjuntó archivo, omitir paso de evidencia, pero confirmar igualmente la transacción.</x:t>
  </x:si>
  <x:si>
    <x:t xml:space="preserve">B4 · Confirmación personalizada (Pasos 25–29)</x:t>
  </x:si>
  <x:si>
    <x:t xml:space="preserve">I_ConfirmacionIncidenciaEnviada</x:t>
  </x:si>
  <x:si>
    <x:t xml:space="preserve">mostrarIncidenciaEnviada(codigo,PENDIENTE)</x:t>
  </x:si>
  <x:si>
    <x:t xml:space="preserve">Pantalla de éxito con código y botones Ver mis incidencias / Volver al perfil.</x:t>
  </x:si>
  <x:si>
    <x:t xml:space="preserve">visualizarConfirmacionYCreador()</x:t>
  </x:si>
  <x:si>
    <x:t xml:space="preserve">Ve reporte y estado inicial sin cambiarlo.</x:t>
  </x:si>
  <x:si>
    <x:t xml:space="preserve">seleccionarVerMisIncidencias()</x:t>
  </x:si>
  <x:si>
    <x:t xml:space="preserve">En el exitoso abre RF64.</x:t>
  </x:si>
  <x:si>
    <x:t xml:space="preserve">solicitarMisIncidencias(idUsuarioSesion)</x:t>
  </x:si>
  <x:si>
    <x:t xml:space="preserve">Delega navegación a la lista propia.</x:t>
  </x:si>
  <x:si>
    <x:t xml:space="preserve">I_MisIncidencias</x:t>
  </x:si>
  <x:si>
    <x:t xml:space="preserve">mostrarMisIncidencias()</x:t>
  </x:si>
  <x:si>
    <x:t xml:space="preserve">Culmina en la lista del usuario (RF64).</x:t>
  </x:si>
  <x:si>
    <x:t xml:space="preserve">RF63 – SIN EVIDENCIA / CÁMARA / ARCHIVO INVÁLIDO | ESCENARIO ALTERNO</x:t>
  </x:si>
  <x:si>
    <x:t xml:space="preserve">Fuente: PDF p.5 | Punto de partida: Cambian solo pasos opcionales del RF63. | 8 mensajes</x:t>
  </x:si>
  <x:si>
    <x:t xml:space="preserve">A1 · Usuario no adjunta evidencia</x:t>
  </x:si>
  <x:si>
    <x:t xml:space="preserve">continuarSinEvidencia()</x:t>
  </x:si>
  <x:si>
    <x:t xml:space="preserve">Omite selector de galería; imagen opcional no impide guardar.</x:t>
  </x:si>
  <x:si>
    <x:t xml:space="preserve">registrarReporte(datos,sinArchivo)</x:t>
  </x:si>
  <x:si>
    <x:t xml:space="preserve">Continúa registro sin insertar E_EvidenciaIncidencia.</x:t>
  </x:si>
  <x:si>
    <x:t xml:space="preserve">A2 · Cámara</x:t>
  </x:si>
  <x:si>
    <x:t xml:space="preserve">seleccionarCamara()</x:t>
  </x:si>
  <x:si>
    <x:t xml:space="preserve">En lugar de galería usa cámara.</x:t>
  </x:si>
  <x:si>
    <x:t xml:space="preserve">abrirCamara()</x:t>
  </x:si>
  <x:si>
    <x:t xml:space="preserve">Solicita captura autorizada.</x:t>
  </x:si>
  <x:si>
    <x:t xml:space="preserve">retornarFotoCapturada(foto)</x:t>
  </x:si>
  <x:si>
    <x:t xml:space="preserve">Devuelve foto.</x:t>
  </x:si>
  <x:si>
    <x:t xml:space="preserve">Regresa al formulario con foto.</x:t>
  </x:si>
  <x:si>
    <x:t xml:space="preserve">A3 · Archivo inválido</x:t>
  </x:si>
  <x:si>
    <x:t xml:space="preserve">validarArchivo(formato,tamano)</x:t>
  </x:si>
  <x:si>
    <x:t xml:space="preserve">Imagen supera el límite o su formato no está permitido.</x:t>
  </x:si>
  <x:si>
    <x:t xml:space="preserve">A3.08</x:t>
  </x:si>
  <x:si>
    <x:t xml:space="preserve">mostrarErrorEvidencia()</x:t>
  </x:si>
  <x:si>
    <x:t xml:space="preserve">Conserva texto; permite quitar o cambiar archivo.</x:t>
  </x:si>
  <x:si>
    <x:t xml:space="preserve">RF63 – CAMPOS INCOMPLETOS Y CANCELACIÓN | ESCENARIO ALTERNO</x:t>
  </x:si>
  <x:si>
    <x:t xml:space="preserve">Fuente: RF63 propuesta | Punto de partida: Sin registro cuando no se cumplen requisitos. | 6 mensajes</x:t>
  </x:si>
  <x:si>
    <x:t xml:space="preserve">A4 · Campos incompletos</x:t>
  </x:si>
  <x:si>
    <x:t xml:space="preserve">validarCamposObligatorios()</x:t>
  </x:si>
  <x:si>
    <x:t xml:space="preserve">Falta título/categoría/descripción.</x:t>
  </x:si>
  <x:si>
    <x:t xml:space="preserve">mostrarErroresCampos()</x:t>
  </x:si>
  <x:si>
    <x:t xml:space="preserve">No crea E_Incidencia.</x:t>
  </x:si>
  <x:si>
    <x:t xml:space="preserve">A5 · Cancelar formulario</x:t>
  </x:si>
  <x:si>
    <x:t xml:space="preserve">Cancela reporte.</x:t>
  </x:si>
  <x:si>
    <x:t xml:space="preserve">volverPerfilSinRegistrar()</x:t>
  </x:si>
  <x:si>
    <x:t xml:space="preserve">Vuelve sin alta.</x:t>
  </x:si>
  <x:si>
    <x:t xml:space="preserve">A6 · Desde confirmación vuelve a Perfil</x:t>
  </x:si>
  <x:si>
    <x:t xml:space="preserve">seleccionarVolverPerfil()</x:t>
  </x:si>
  <x:si>
    <x:t xml:space="preserve">Se conserva incidencia ya creada.</x:t>
  </x:si>
  <x:si>
    <x:t xml:space="preserve">mostrarPerfil()</x:t>
  </x:si>
  <x:si>
    <x:t xml:space="preserve">Ruta alternativa de navegación.</x:t>
  </x:si>
  <x:si>
    <x:t xml:space="preserve">RF64 – CONSULTAR MIS INCIDENCIAS Y DETALLE CON AVANCES | EVENTO EXITOSO</x:t>
  </x:si>
  <x:si>
    <x:t xml:space="preserve">Fuente: PDF p.6 | Punto de partida: Usuario autenticado con incidencias propias registradas. | 23 mensajes</x:t>
  </x:si>
  <x:si>
    <x:t xml:space="preserve">B1 · Acceder a mis reportes (Pasos 1–7)</x:t>
  </x:si>
  <x:si>
    <x:t xml:space="preserve">seleccionarMisIncidencias()</x:t>
  </x:si>
  <x:si>
    <x:t xml:space="preserve">Pulsa Mis incidencias desde Ayuda y soporte.</x:t>
  </x:si>
  <x:si>
    <x:t xml:space="preserve">solicitarListadoPersonal(idUsuarioSesion)</x:t>
  </x:si>
  <x:si>
    <x:t xml:space="preserve">Solicita únicamente incidencias propias.</x:t>
  </x:si>
  <x:si>
    <x:t xml:space="preserve">obtenerUsuarioAutenticado()</x:t>
  </x:si>
  <x:si>
    <x:t xml:space="preserve">Resuelve el ID de la sesión.</x:t>
  </x:si>
  <x:si>
    <x:t xml:space="preserve">retornarIdUsuario(idUsuario)</x:t>
  </x:si>
  <x:si>
    <x:t xml:space="preserve">Devuelve identidad de usuario.</x:t>
  </x:si>
  <x:si>
    <x:t xml:space="preserve">listarPorReportante(idUsuario)</x:t>
  </x:si>
  <x:si>
    <x:t xml:space="preserve">Filtro obligatorio por FK del creador, nunca por correo proporcionado por el cliente.</x:t>
  </x:si>
  <x:si>
    <x:t xml:space="preserve">retornarReportesPropios(lista)</x:t>
  </x:si>
  <x:si>
    <x:t xml:space="preserve">Devuelve solo reportes del usuario.</x:t>
  </x:si>
  <x:si>
    <x:t xml:space="preserve">mostrarListadoPropio(lista)</x:t>
  </x:si>
  <x:si>
    <x:t xml:space="preserve">Muestra código, categoría, fecha y estado.</x:t>
  </x:si>
  <x:si>
    <x:t xml:space="preserve">B2 · Buscar y filtrar (Pasos 8–12)</x:t>
  </x:si>
  <x:si>
    <x:t xml:space="preserve">filtrarPorEstado(EN_PROCESO)</x:t>
  </x:si>
  <x:si>
    <x:t xml:space="preserve">Aplica filtro Todas/Pendientes/En proceso/Resueltas.</x:t>
  </x:si>
  <x:si>
    <x:t xml:space="preserve">buscarMisReportes(idUsuarioSesion,estado)</x:t>
  </x:si>
  <x:si>
    <x:t xml:space="preserve">Pide filtro respetando usuario autenticado.</x:t>
  </x:si>
  <x:si>
    <x:t xml:space="preserve">buscarPorReportanteYEstado(idUsuario,EN_PROCESO)</x:t>
  </x:si>
  <x:si>
    <x:t xml:space="preserve">Realiza consulta limitada.</x:t>
  </x:si>
  <x:si>
    <x:t xml:space="preserve">retornarCoincidenciasPropias(lista)</x:t>
  </x:si>
  <x:si>
    <x:t xml:space="preserve">actualizarListaPropia(lista)</x:t>
  </x:si>
  <x:si>
    <x:t xml:space="preserve">Presenta resultados.</x:t>
  </x:si>
  <x:si>
    <x:t xml:space="preserve">B3 · Consultar detalle y seguimiento (Pasos 13–20)</x:t>
  </x:si>
  <x:si>
    <x:t xml:space="preserve">seleccionarDetalleIncidencia(idIncidencia)</x:t>
  </x:si>
  <x:si>
    <x:t xml:space="preserve">Abre reporte seleccionado.</x:t>
  </x:si>
  <x:si>
    <x:t xml:space="preserve">consultarDetallePropio(idIncidencia,idUsuarioSesion)</x:t>
  </x:si>
  <x:si>
    <x:t xml:space="preserve">Solicita verificar pertenencia antes de mostrarlo.</x:t>
  </x:si>
  <x:si>
    <x:t xml:space="preserve">obtenerIncidenciaDelReportante(idIncidencia,idUsuario)</x:t>
  </x:si>
  <x:si>
    <x:t xml:space="preserve">Verifica FK idReportante coincide con sesión.</x:t>
  </x:si>
  <x:si>
    <x:t xml:space="preserve">retornarDetallePermitido(datos)</x:t>
  </x:si>
  <x:si>
    <x:t xml:space="preserve">Entrega código, categoría, evidencia, estado y fechas.</x:t>
  </x:si>
  <x:si>
    <x:t xml:space="preserve">listarAvances(idIncidencia)</x:t>
  </x:si>
  <x:si>
    <x:t xml:space="preserve">Obtiene seguimiento agregado por admin, sin alterar notificaciones existentes.</x:t>
  </x:si>
  <x:si>
    <x:t xml:space="preserve">retornarAvances(lista)</x:t>
  </x:si>
  <x:si>
    <x:t xml:space="preserve">Devuelve secuencia cronológica.</x:t>
  </x:si>
  <x:si>
    <x:t xml:space="preserve">I_DetalleIncidenciaUsuario</x:t>
  </x:si>
  <x:si>
    <x:t xml:space="preserve">mostrarDetalleYAvances(datos,avances)</x:t>
  </x:si>
  <x:si>
    <x:t xml:space="preserve">Presenta origen, reportado por, descripción, evidencia y línea temporal.</x:t>
  </x:si>
  <x:si>
    <x:t xml:space="preserve">visualizarSeguimiento()</x:t>
  </x:si>
  <x:si>
    <x:t xml:space="preserve">El usuario consulta el estado EN_PROCESO en solo lectura.</x:t>
  </x:si>
  <x:si>
    <x:t xml:space="preserve">B4 · Volver a la lista (Pasos 21–23)</x:t>
  </x:si>
  <x:si>
    <x:t xml:space="preserve">seleccionarVolverMisIncidencias()</x:t>
  </x:si>
  <x:si>
    <x:t xml:space="preserve">Finaliza la consulta.</x:t>
  </x:si>
  <x:si>
    <x:t xml:space="preserve">solicitarRetornoMisIncidencias(idUsuarioSesion)</x:t>
  </x:si>
  <x:si>
    <x:t xml:space="preserve">La interfaz solicita al controlador C_ControlIncidencia mediar la navegación; no invoca directamente a I_MisIncidencias.</x:t>
  </x:si>
  <x:si>
    <x:t xml:space="preserve">mostrarListadoPrevio()</x:t>
  </x:si>
  <x:si>
    <x:t xml:space="preserve">Regresa a sus reportes. Navegación ejecutada por controlador, conforme a BCE.</x:t>
  </x:si>
  <x:si>
    <x:t xml:space="preserve">RF64 – VISUALIZAR INCIDENCIA RESUELTA | ESCENARIO ALTERNO</x:t>
  </x:si>
  <x:si>
    <x:t xml:space="preserve">Fuente: PDF p.6, pantalla final | Punto de partida: La incidencia consultada ya tiene solución disponible. | 6 mensajes</x:t>
  </x:si>
  <x:si>
    <x:t xml:space="preserve">A1 · Estado RESUELTA</x:t>
  </x:si>
  <x:si>
    <x:t xml:space="preserve">retornarDetallePermitido(RESUELTA)</x:t>
  </x:si>
  <x:si>
    <x:t xml:space="preserve">Cuenta propia resuelta.</x:t>
  </x:si>
  <x:si>
    <x:t xml:space="preserve">consultarSolucionYAvances(idIncidencia)</x:t>
  </x:si>
  <x:si>
    <x:t xml:space="preserve">Obtiene último avance de solución y seguimiento.</x:t>
  </x:si>
  <x:si>
    <x:t xml:space="preserve">retornarSolucionYAvances(lista)</x:t>
  </x:si>
  <x:si>
    <x:t xml:space="preserve">Entrega contenido permitido.</x:t>
  </x:si>
  <x:si>
    <x:t xml:space="preserve">mostrarDetalleResuelto(solucion,fecha)</x:t>
  </x:si>
  <x:si>
    <x:t xml:space="preserve">Muestra estado, fecha y respuesta del soporte con botón Volver/Reportar otra.</x:t>
  </x:si>
  <x:si>
    <x:t xml:space="preserve">A2 · Reportar otra incidencia desde detalle</x:t>
  </x:si>
  <x:si>
    <x:t xml:space="preserve">seleccionarReportarOtraIncidencia()</x:t>
  </x:si>
  <x:si>
    <x:t xml:space="preserve">Abre RF63 para nuevo reporte independiente.</x:t>
  </x:si>
  <x:si>
    <x:t xml:space="preserve">mostrarFormularioNuevo()</x:t>
  </x:si>
  <x:si>
    <x:t xml:space="preserve">No reabre ni duplica la incidencia anterior.</x:t>
  </x:si>
  <x:si>
    <x:t xml:space="preserve">RF64 – SIN REPORTES Y ACCESO A REPORTE AJENO | ESCENARIO ALTERNO</x:t>
  </x:si>
  <x:si>
    <x:t xml:space="preserve">Fuente: RF64 propuesta | Punto de partida: Validación de datos y privacidad. | 4 mensajes</x:t>
  </x:si>
  <x:si>
    <x:t xml:space="preserve">A3 · Lista vacía</x:t>
  </x:si>
  <x:si>
    <x:t xml:space="preserve">retornarReportesPropios([])</x:t>
  </x:si>
  <x:si>
    <x:t xml:space="preserve">No existen reportes propios.</x:t>
  </x:si>
  <x:si>
    <x:t xml:space="preserve">mostrarSinIncidencias()</x:t>
  </x:si>
  <x:si>
    <x:t xml:space="preserve">Muestra vacío y opción Reportar incidencia.</x:t>
  </x:si>
  <x:si>
    <x:t xml:space="preserve">A4 · URL/código de incidencia de otra cuenta</x:t>
  </x:si>
  <x:si>
    <x:t xml:space="preserve">retornarSinPermiso()</x:t>
  </x:si>
  <x:si>
    <x:t xml:space="preserve">FK reportante no coincide con sesión.</x:t>
  </x:si>
  <x:si>
    <x:t xml:space="preserve">No revela contenido de la otra cuenta.</x:t>
  </x:si>
  <x:si>
    <x:t xml:space="preserve">RF014 · ALTERNATIVOS DE VISTA PREVIA DE KM</x:t>
  </x:si>
  <x:si>
    <x:t xml:space="preserve">Sin escritura antes de CONFIRMAR. Cada condición vuelve a edición o controla resultado confirmado.</x:t>
  </x:si>
  <x:si>
    <x:t xml:space="preserve">Caso</x:t>
  </x:si>
  <x:si>
    <x:t xml:space="preserve">Disparador</x:t>
  </x:si>
  <x:si>
    <x:t xml:space="preserve">Acción de controlador / interfaz</x:t>
  </x:si>
  <x:si>
    <x:t xml:space="preserve">Persistencia</x:t>
  </x:si>
  <x:si>
    <x:t xml:space="preserve">Salida</x:t>
  </x:si>
  <x:si>
    <x:t xml:space="preserve">EA01 · Volver a editar</x:t>
  </x:si>
  <x:si>
    <x:t xml:space="preserve">Usuario pulsa Volver a editar</x:t>
  </x:si>
  <x:si>
    <x:t xml:space="preserve">I_VistaPreviaKilometraje → C_ControlKilometraje → I_ActualizarKilometraje; mantener kmNuevo y kmPrevio.</x:t>
  </x:si>
  <x:si>
    <x:t xml:space="preserve">Ninguna</x:t>
  </x:si>
  <x:si>
    <x:t xml:space="preserve">Editar o cancelar libremente</x:t>
  </x:si>
  <x:si>
    <x:t xml:space="preserve">EA02 · Cancelación</x:t>
  </x:si>
  <x:si>
    <x:t xml:space="preserve">Salir del formulario o vista previa</x:t>
  </x:si>
  <x:si>
    <x:t xml:space="preserve">Descartar borrador local; no enviar comando de guardado.</x:t>
  </x:si>
  <x:si>
    <x:t xml:space="preserve">Vuelve al kilometraje vigente</x:t>
  </x:si>
  <x:si>
    <x:t xml:space="preserve">EA03 · Formato incorrecto</x:t>
  </x:si>
  <x:si>
    <x:t xml:space="preserve">Vacío, negativo, decimal o kmNuevo=kmPrevio</x:t>
  </x:si>
  <x:si>
    <x:t xml:space="preserve">Rechazar en cliente y servidor; mostrar error; no abrir vista previa.</x:t>
  </x:si>
  <x:si>
    <x:t xml:space="preserve">Permanece en edición</x:t>
  </x:si>
  <x:si>
    <x:t xml:space="preserve">EA04 · Update decreciente</x:t>
  </x:si>
  <x:si>
    <x:t xml:space="preserve">kmNuevo &lt; kmPrevio en RF14</x:t>
  </x:si>
  <x:si>
    <x:t xml:space="preserve">Derivar al modo CORRECCIÓN de RF16; no guardar como actualización normal.</x:t>
  </x:si>
  <x:si>
    <x:t xml:space="preserve">Formulario RF16</x:t>
  </x:si>
  <x:si>
    <x:t xml:space="preserve">EA05 · Dato cambió</x:t>
  </x:si>
  <x:si>
    <x:t xml:space="preserve">kmPrevio/version distinta al confirmar</x:t>
  </x:si>
  <x:si>
    <x:t xml:space="preserve">Reconsultar último km y rehacer vista previa con nuevo anterior.</x:t>
  </x:si>
  <x:si>
    <x:t xml:space="preserve">Necesita nueva confirmación</x:t>
  </x:si>
  <x:si>
    <x:t xml:space="preserve">EA06 · Doble toque</x:t>
  </x:si>
  <x:si>
    <x:t xml:space="preserve">Confirmaciones repetidas</x:t>
  </x:si>
  <x:si>
    <x:t xml:space="preserve">Idempotencia por claveOperacion, bloquear botón en cliente y deduplicar en backend.</x:t>
  </x:si>
  <x:si>
    <x:t xml:space="preserve">Máximo una lectura</x:t>
  </x:si>
  <x:si>
    <x:t xml:space="preserve">Éxito único</x:t>
  </x:si>
  <x:si>
    <x:t xml:space="preserve">EA07 · Sin conexión</x:t>
  </x:si>
  <x:si>
    <x:t xml:space="preserve">Sin respuesta del guardado</x:t>
  </x:si>
  <x:si>
    <x:t xml:space="preserve">NO anunciar éxito; consultar resultado por claveOperacion al reconectar.</x:t>
  </x:si>
  <x:si>
    <x:t xml:space="preserve">Resultado desconocido hasta consulta</x:t>
  </x:si>
  <x:si>
    <x:t xml:space="preserve">Reintentar de manera segura</x:t>
  </x:si>
  <x:si>
    <x:t xml:space="preserve">EA08 · Sin vehículo activo</x:t>
  </x:si>
  <x:si>
    <x:t xml:space="preserve">Vehículo propio pero inactivo o ajeno</x:t>
  </x:si>
  <x:si>
    <x:t xml:space="preserve">Denegar en backend incluso si pantalla estaba abierta.</x:t>
  </x:si>
  <x:si>
    <x:t xml:space="preserve">Mensaje de permiso</x:t>
  </x:si>
  <x:si>
    <x:t xml:space="preserve">RF016 · ALTERNATIVOS DE CORRECCIÓN DE KM</x:t>
  </x:si>
  <x:si>
    <x:t xml:space="preserve">Acción</x:t>
  </x:si>
  <x:si>
    <x:t xml:space="preserve">EA01 · Cancelar sin guardar</x:t>
  </x:si>
  <x:si>
    <x:t xml:space="preserve">Usuario decide cancelar la corrección desde el formulario</x:t>
  </x:si>
  <x:si>
    <x:t xml:space="preserve">Regresar a Kilometraje</x:t>
  </x:si>
  <x:si>
    <x:t xml:space="preserve">EA02 · Menor al KM previo</x:t>
  </x:si>
  <x:si>
    <x:t xml:space="preserve">KM nuevo menor a la lectura vigente errónea</x:t>
  </x:si>
  <x:si>
    <x:t xml:space="preserve">Solo al guardar</x:t>
  </x:si>
  <x:si>
    <x:t xml:space="preserve">Corrección realizada</x:t>
  </x:si>
  <x:si>
    <x:t xml:space="preserve">EA03 · Fuera de secuencia</x:t>
  </x:si>
  <x:si>
    <x:t xml:space="preserve">KM corregido inferior al antecedente histórico válido</x:t>
  </x:si>
  <x:si>
    <x:t xml:space="preserve">Permanecer en Corrección</x:t>
  </x:si>
  <x:si>
    <x:t xml:space="preserve">EA04 · Misma lectura</x:t>
  </x:si>
  <x:si>
    <x:t xml:space="preserve">KM corregido = KM previo</x:t>
  </x:si>
  <x:si>
    <x:t xml:space="preserve">Corregir KM</x:t>
  </x:si>
  <x:si>
    <x:t xml:space="preserve">EA05 · Simultaneidad</x:t>
  </x:si>
  <x:si>
    <x:t xml:space="preserve">La lectura vigente cambió antes de guardar</x:t>
  </x:si>
  <x:si>
    <x:t xml:space="preserve">Revalidar lectura y versión; bloquear e indicar que deben revisarse los datos actuales.</x:t>
  </x:si>
  <x:si>
    <x:t xml:space="preserve">Recargar KM previo</x:t>
  </x:si>
  <x:si>
    <x:t xml:space="preserve">EA06 · Falla parcial BD</x:t>
  </x:si>
  <x:si>
    <x:t xml:space="preserve">Informar fallo</x:t>
  </x:si>
  <x:si>
    <x:t xml:space="preserve">EA07 · Reenvío</x:t>
  </x:si>
  <x:si>
    <x:t xml:space="preserve">Doble toque o desconexión al guardar</x:t>
  </x:si>
  <x:si>
    <x:t xml:space="preserve">Aplicar clave de operación idempotente y consultar estado antes de reintentar.</x:t>
  </x:si>
  <x:si>
    <x:t xml:space="preserve">A lo sumo una corrección</x:t>
  </x:si>
  <x:si>
    <x:t xml:space="preserve">Mostrar resultado</x:t>
  </x:si>
  <x:si>
    <x:t xml:space="preserve">EA08 · Correcto</x:t>
  </x:si>
  <x:si>
    <x:t xml:space="preserve">KM corregido</x:t>
  </x:si>
  <x:si>
    <x:t xml:space="preserve">RF047 · DESTINO ALTERNATIVO DE NOTIFICACIÓN LICENCIA</x:t>
  </x:si>
  <x:si>
    <x:t xml:space="preserve">Reutilizar RF47: licencia personal; alertas no vinculadas a vehículo; RF52 es solo consulta.</x:t>
  </x:si>
  <x:si>
    <x:t xml:space="preserve">Origen BCE</x:t>
  </x:si>
  <x:si>
    <x:t xml:space="preserve">Destino BCE</x:t>
  </x:si>
  <x:si>
    <x:t xml:space="preserve">Mensaje / método</x:t>
  </x:si>
  <x:si>
    <x:t xml:space="preserve">Descripción</x:t>
  </x:si>
  <x:si>
    <x:t xml:space="preserve">L1</x:t>
  </x:si>
  <x:si>
    <x:t xml:space="preserve">validarCategoria(LICENCIA)</x:t>
  </x:si>
  <x:si>
    <x:t xml:space="preserve">La notificación pertenece al usuario autenticado; categoría LICENCIA y origen ALERTA.</x:t>
  </x:si>
  <x:si>
    <x:t xml:space="preserve">L2</x:t>
  </x:si>
  <x:si>
    <x:t xml:space="preserve">consultarAlertaLicenciaUsuario(idUsuario,idAlerta)</x:t>
  </x:si>
  <x:si>
    <x:t xml:space="preserve">Solo estados aún consultables conforme RF23; no asociar idVehiculo.</x:t>
  </x:si>
  <x:si>
    <x:t xml:space="preserve">L3</x:t>
  </x:si>
  <x:si>
    <x:t xml:space="preserve">consultarAlertaLicencia(idUsuario,idAlerta)</x:t>
  </x:si>
  <x:si>
    <x:t xml:space="preserve">Comprueba titularidad, tipo y estado de la alerta.</x:t>
  </x:si>
  <x:si>
    <x:t xml:space="preserve">L4</x:t>
  </x:si>
  <x:si>
    <x:t xml:space="preserve">retornarAlertaLicencia(datos)</x:t>
  </x:si>
  <x:si>
    <x:t xml:space="preserve">Datos vigentes.</x:t>
  </x:si>
  <x:si>
    <x:t xml:space="preserve">L5</x:t>
  </x:si>
  <x:si>
    <x:t xml:space="preserve">retornarOrigenLicencia(datos)</x:t>
  </x:si>
  <x:si>
    <x:t xml:space="preserve">Resuelve idLicencia y cuenta.</x:t>
  </x:si>
  <x:si>
    <x:t xml:space="preserve">L6</x:t>
  </x:si>
  <x:si>
    <x:t xml:space="preserve">consultarDetalleLicenciaDestino(idUsuario,idLicencia)</x:t>
  </x:si>
  <x:si>
    <x:t xml:space="preserve">RF52, sin modificación ni RF53.</x:t>
  </x:si>
  <x:si>
    <x:t xml:space="preserve">L7</x:t>
  </x:si>
  <x:si>
    <x:t xml:space="preserve">consultarLicenciaPorUsuario(idUsuario,idLicencia)</x:t>
  </x:si>
  <x:si>
    <x:t xml:space="preserve">Recupera licencia solo lectura.</x:t>
  </x:si>
  <x:si>
    <x:t xml:space="preserve">L8</x:t>
  </x:si>
  <x:si>
    <x:t xml:space="preserve">retornarDetalleLicencia(datos)</x:t>
  </x:si>
  <x:si>
    <x:t xml:space="preserve">Confirma licencia asociada al conductor.</x:t>
  </x:si>
  <x:si>
    <x:t xml:space="preserve">L9</x:t>
  </x:si>
  <x:si>
    <x:t xml:space="preserve">retornarDetalleLicenciaValidado(datos)</x:t>
  </x:si>
  <x:si>
    <x:t xml:space="preserve">Devuelve destino.</x:t>
  </x:si>
  <x:si>
    <x:t xml:space="preserve">L10</x:t>
  </x:si>
  <x:si>
    <x:t xml:space="preserve">abrirRF52(datosLicencia)</x:t>
  </x:si>
  <x:si>
    <x:t xml:space="preserve">Notificación se marca leída; la consulta NO equivale a resolver/renovar licencia.</x:t>
  </x:si>
  <x:si>
    <x:t xml:space="preserve">L11</x:t>
  </x:si>
  <x:si>
    <x:t xml:space="preserve">visualizarLicenciaSoloLectura()</x:t>
  </x:si>
  <x:si>
    <x:t xml:space="preserve">La renovación se consulta por API independiente; sin edición manual.</x:t>
  </x:si>
  <x:si>
    <x:t xml:space="preserve">RF030 · FIN AUTOMÁTICO PREMIUM → FREE</x:t>
  </x:si>
  <x:si>
    <x:t xml:space="preserve">Subflujo invocado por RF30: fuente confiable Google Play; acciones idempotentes con beneficio vigente.</x:t>
  </x:si>
  <x:si>
    <x:t xml:space="preserve">Regla / efecto</x:t>
  </x:si>
  <x:si>
    <x:t xml:space="preserve">D1</x:t>
  </x:si>
  <x:si>
    <x:t xml:space="preserve">Job_Suscripciones</x:t>
  </x:si>
  <x:si>
    <x:t xml:space="preserve">procesarSuscripcionesPorVencer()</x:t>
  </x:si>
  <x:si>
    <x:t xml:space="preserve">Solo cuentas ACTIVAS; proceso programado.</x:t>
  </x:si>
  <x:si>
    <x:t xml:space="preserve">D2</x:t>
  </x:si>
  <x:si>
    <x:t xml:space="preserve">consultarSuscripcionesCandidatas()</x:t>
  </x:si>
  <x:si>
    <x:t xml:space="preserve">D3</x:t>
  </x:si>
  <x:si>
    <x:t xml:space="preserve">retornarCandidatas(lista)</x:t>
  </x:si>
  <x:si>
    <x:t xml:space="preserve">Cada usuario se procesa con bloqueo o idempotencia.</x:t>
  </x:si>
  <x:si>
    <x:t xml:space="preserve">D4</x:t>
  </x:si>
  <x:si>
    <x:t xml:space="preserve">Servicio_GooglePlay</x:t>
  </x:si>
  <x:si>
    <x:t xml:space="preserve">verificarDerechoServidor(token)</x:t>
  </x:si>
  <x:si>
    <x:t xml:space="preserve">No confiar en estado Premium local, validar proveedor desde backend.</x:t>
  </x:si>
  <x:si>
    <x:t xml:space="preserve">D5</x:t>
  </x:si>
  <x:si>
    <x:t xml:space="preserve">retornarEstadoDerecho(vigente,gracia,fecha)</x:t>
  </x:si>
  <x:si>
    <x:t xml:space="preserve">D6</x:t>
  </x:si>
  <x:si>
    <x:t xml:space="preserve">actualizarPlanSiDerechoFinalizo(FREE)</x:t>
  </x:si>
  <x:si>
    <x:t xml:space="preserve">Atómico; no borrar historial.</x:t>
  </x:si>
  <x:si>
    <x:t xml:space="preserve">D7</x:t>
  </x:si>
  <x:si>
    <x:t xml:space="preserve">retornarPlanActualizado()</x:t>
  </x:si>
  <x:si>
    <x:t xml:space="preserve">Confirmar FREE solo si se verificó la pérdida definitiva del derecho.</x:t>
  </x:si>
  <x:si>
    <x:t xml:space="preserve">D8</x:t>
  </x:si>
  <x:si>
    <x:t xml:space="preserve">conciliarLimitesFree(idUsuario)</x:t>
  </x:si>
  <x:si>
    <x:t xml:space="preserve">D9</x:t>
  </x:si>
  <x:si>
    <x:t xml:space="preserve">desactivarVerificacionesPremium(idUsuario)</x:t>
  </x:si>
  <x:si>
    <x:t xml:space="preserve">Licencia sigue legible en RF52; pausa alertas y verificaciones de Premium, no elimina datos.</x:t>
  </x:si>
  <x:si>
    <x:t xml:space="preserve">D10</x:t>
  </x:si>
  <x:si>
    <x:t xml:space="preserve">conciliarNotificacionesTrasBaja(idUsuario)</x:t>
  </x:si>
  <x:si>
    <x:t xml:space="preserve">Cierra o pausa avisos que dependen de la función Premium, conservando trazabilidad.</x:t>
  </x:si>
  <x:si>
    <x:t xml:space="preserve">D11</x:t>
  </x:si>
  <x:si>
    <x:t xml:space="preserve">E_HistorialSuscripcion</x:t>
  </x:si>
  <x:si>
    <x:t xml:space="preserve">registrarTransicionPremiumAFree(idUsuario)</x:t>
  </x:si>
  <x:si>
    <x:t xml:space="preserve">Auditar idempotentemente el cambio de derecho.</x:t>
  </x:si>
  <x:si>
    <x:t xml:space="preserve">RF07/RF59 · ELIMINACIÓN DIFERIDA DE CUENTA</x:t>
  </x:si>
  <x:si>
    <x:t xml:space="preserve">Proceso automático complementario para 30 días calendario; cancelar solicitud impide eliminación posterior.</x:t>
  </x:si>
  <x:si>
    <x:t xml:space="preserve">Regla de consistencia</x:t>
  </x:si>
  <x:si>
    <x:t xml:space="preserve">P1</x:t>
  </x:si>
  <x:si>
    <x:t xml:space="preserve">Job_EliminacionCuenta</x:t>
  </x:si>
  <x:si>
    <x:t xml:space="preserve">procesarSolicitudesVencidas(fechaActual)</x:t>
  </x:si>
  <x:si>
    <x:t xml:space="preserve">Ejecutar por programación, nunca dentro del clic de RF07.</x:t>
  </x:si>
  <x:si>
    <x:t xml:space="preserve">P2</x:t>
  </x:si>
  <x:si>
    <x:t xml:space="preserve">consultarPendientesConFechaLimiteVencida(fechaActual)</x:t>
  </x:si>
  <x:si>
    <x:t xml:space="preserve">Fecha solicitud + 30 días calendario, comparar misma zona horaria normalizada.</x:t>
  </x:si>
  <x:si>
    <x:t xml:space="preserve">P3</x:t>
  </x:si>
  <x:si>
    <x:t xml:space="preserve">retornarSolicitudesPendientes()</x:t>
  </x:si>
  <x:si>
    <x:t xml:space="preserve">Excluir CANCELADA, EJECUTADA y cuentas restauradas.</x:t>
  </x:si>
  <x:si>
    <x:t xml:space="preserve">P4</x:t>
  </x:si>
  <x:si>
    <x:t xml:space="preserve">bloquearYVerificarEstado(PENDIENTE_ELIMINACION)</x:t>
  </x:si>
  <x:si>
    <x:t xml:space="preserve">Revalidar estado y titular bajo transacción/concurrencia.</x:t>
  </x:si>
  <x:si>
    <x:t xml:space="preserve">P5</x:t>
  </x:si>
  <x:si>
    <x:t xml:space="preserve">retornarEstadoYVersion()</x:t>
  </x:si>
  <x:si>
    <x:t xml:space="preserve">Si la recuperación cambió estado, omitir y no eliminar.</x:t>
  </x:si>
  <x:si>
    <x:t xml:space="preserve">P6</x:t>
  </x:si>
  <x:si>
    <x:t xml:space="preserve">revalidarSolicitudPendienteNoCancelada()</x:t>
  </x:si>
  <x:si>
    <x:t xml:space="preserve">Serializar frente a reactivación.</x:t>
  </x:si>
  <x:si>
    <x:t xml:space="preserve">P7</x:t>
  </x:si>
  <x:si>
    <x:t xml:space="preserve">retornarSolicitudVigente()</x:t>
  </x:si>
  <x:si>
    <x:t xml:space="preserve">Evitar carrera de recuperación y borrado.</x:t>
  </x:si>
  <x:si>
    <x:t xml:space="preserve">P8</x:t>
  </x:si>
  <x:si>
    <x:t xml:space="preserve">aplicarSupresionSegunPolitica()</x:t>
  </x:si>
  <x:si>
    <x:t xml:space="preserve">Supresión/anominización condicionada a obligaciones legales; revocar accesos.</x:t>
  </x:si>
  <x:si>
    <x:t xml:space="preserve">P9</x:t>
  </x:si>
  <x:si>
    <x:t xml:space="preserve">marcarEjecutada()</x:t>
  </x:si>
  <x:si>
    <x:t xml:space="preserve">Cerrar solicitud en misma transacción que el estado definitivo.</x:t>
  </x:si>
  <x:si>
    <x:t xml:space="preserve">P10</x:t>
  </x:si>
  <x:si>
    <x:t xml:space="preserve">registrarEjecucionFinal()</x:t>
  </x:si>
  <x:si>
    <x:t xml:space="preserve">Bitácora con mínima información necesaria, sin retener datos indebidamente.</x:t>
  </x:si>
  <x:si>
    <x:t xml:space="preserve">RF54/RF55 · NAVEGACIÓN BCE DE ARCHIVOS E IMÁGENES</x:t>
  </x:si>
  <x:si>
    <x:t xml:space="preserve">Desdoblamiento técnico obligatorio de las flechas que antes enlazaban dos interfaces directamente.</x:t>
  </x:si>
  <x:si>
    <x:t xml:space="preserve">Escenario</x:t>
  </x:si>
  <x:si>
    <x:t xml:space="preserve">Método</x:t>
  </x:si>
  <x:si>
    <x:t xml:space="preserve">RF54 abrir selector</x:t>
  </x:si>
  <x:si>
    <x:t xml:space="preserve">solicitarSelectorFuenteImagen()</x:t>
  </x:si>
  <x:si>
    <x:t xml:space="preserve">Interfaz solicita navegación; no invoca I_SeleccionarImagenTIVE directamente.</x:t>
  </x:si>
  <x:si>
    <x:t xml:space="preserve">RF54 mostrar selector</x:t>
  </x:si>
  <x:si>
    <x:t xml:space="preserve">Puede delegarse a componente nativo controlado; conservar validaciones de imagen.</x:t>
  </x:si>
  <x:si>
    <x:t xml:space="preserve">RF54 devolver archivo</x:t>
  </x:si>
  <x:si>
    <x:t xml:space="preserve">entregarImagenSeleccionada(imagen)</x:t>
  </x:si>
  <x:si>
    <x:t xml:space="preserve">Control recibe resultado y valida referencia segura.</x:t>
  </x:si>
  <x:si>
    <x:t xml:space="preserve">RF54 restaurar</x:t>
  </x:si>
  <x:si>
    <x:t xml:space="preserve">restaurarFormularioConImagen(imagen)</x:t>
  </x:si>
  <x:si>
    <x:t xml:space="preserve">Mantener campos sin perder información.</x:t>
  </x:si>
  <x:si>
    <x:t xml:space="preserve">RF55 abrir visor</x:t>
  </x:si>
  <x:si>
    <x:t xml:space="preserve">solicitarVerImagen(referenciaImagen)</x:t>
  </x:si>
  <x:si>
    <x:t xml:space="preserve">No interfaz→interfaz.</x:t>
  </x:si>
  <x:si>
    <x:t xml:space="preserve">RF55 mostrar visor</x:t>
  </x:si>
  <x:si>
    <x:t xml:space="preserve">mostrarImagenSoloLectura()</x:t>
  </x:si>
  <x:si>
    <x:t xml:space="preserve">Visor a pantalla completa.</x:t>
  </x:si>
  <x:si>
    <x:t xml:space="preserve">RF55 volver</x:t>
  </x:si>
  <x:si>
    <x:t xml:space="preserve">solicitarRegresarDetalle()</x:t>
  </x:si>
  <x:si>
    <x:t xml:space="preserve">Control recibe acción Atrás.</x:t>
  </x:si>
  <x:si>
    <x:t xml:space="preserve">RF55 restaurar</x:t>
  </x:si>
  <x:si>
    <x:t xml:space="preserve">mostrarDetalleConImagen()</x:t>
  </x:si>
  <x:si>
    <x:t xml:space="preserve">Retorna a Información TIVE.</x:t>
  </x:si>
  <x:si>
    <x:t xml:space="preserve">MYCAR · CONTRATOS Y REGLAS UNIFICADAS</x:t>
  </x:si>
  <x:si>
    <x:t xml:space="preserve">Documento vigente de precedencia para la programación; no reemplaza los diagramas completos ni el SQL físico.</x:t>
  </x:si>
  <x:si>
    <x:t xml:space="preserve">Dominio</x:t>
  </x:si>
  <x:si>
    <x:t xml:space="preserve">Regla vigente</x:t>
  </x:si>
  <x:si>
    <x:t xml:space="preserve">RF dependientes</x:t>
  </x:si>
  <x:si>
    <x:t xml:space="preserve">Invariante de implementación</x:t>
  </x:si>
  <x:si>
    <x:t xml:space="preserve">Estado / pendiente</x:t>
  </x:si>
  <x:si>
    <x:t xml:space="preserve">Cuentas</x:t>
  </x:si>
  <x:si>
    <x:t xml:space="preserve">30 días CALENDARIO</x:t>
  </x:si>
  <x:si>
    <x:t xml:space="preserve">RF07 / RF58 / RF59 / RF53</x:t>
  </x:si>
  <x:si>
    <x:t xml:space="preserve">Una solicitud se cancela dentro de la misma transacción que reactiva la cuenta.</x:t>
  </x:si>
  <x:si>
    <x:t xml:space="preserve">Aplicada; privacidad y baja definitiva requieren revisión legal.</x:t>
  </x:si>
  <x:si>
    <x:t xml:space="preserve">Estados cuenta</x:t>
  </x:si>
  <x:si>
    <x:t xml:space="preserve">ACTIVA / SUSPENDIDA / PENDIENTE_ELIMINACION / ELIMINADA_DEFINITIVA</x:t>
  </x:si>
  <x:si>
    <x:t xml:space="preserve">RF01–03/07/58–59 / RF53</x:t>
  </x:si>
  <x:si>
    <x:t xml:space="preserve">SUSPENDIDA y PENDIENTE_ELIMINACION no autorizan acceso regular; recuperación solo verificada.</x:t>
  </x:si>
  <x:si>
    <x:t xml:space="preserve">Revisar todos los EA de autenticación no adjuntos.</x:t>
  </x:si>
  <x:si>
    <x:t xml:space="preserve">Kilometraje actualizado</x:t>
  </x:si>
  <x:si>
    <x:t xml:space="preserve">Formulario km previo + km nuevo; vista previa y confirmación</x:t>
  </x:si>
  <x:si>
    <x:t xml:space="preserve">RF14</x:t>
  </x:si>
  <x:si>
    <x:t xml:space="preserve">Fecha lectura/guardado proviene del servidor; solo incremento normal.</x:t>
  </x:si>
  <x:si>
    <x:t xml:space="preserve">Aplicada.</x:t>
  </x:si>
  <x:si>
    <x:t xml:space="preserve">Kilometraje corregido</x:t>
  </x:si>
  <x:si>
    <x:t xml:space="preserve">Misma interfaz de kilometraje; km previo + nuevo; sin motivo ni Historial</x:t>
  </x:si>
  <x:si>
    <x:t xml:space="preserve">RF16</x:t>
  </x:si>
  <x:si>
    <x:t xml:space="preserve">Permite descenso legítimo y registra corrección trazable sin resetear recordatorio.</x:t>
  </x:si>
  <x:si>
    <x:t xml:space="preserve">Historial km</x:t>
  </x:si>
  <x:si>
    <x:t xml:space="preserve">Solo consulta</x:t>
  </x:si>
  <x:si>
    <x:t xml:space="preserve">RF15</x:t>
  </x:si>
  <x:si>
    <x:t xml:space="preserve">Se mantiene RF15; no es puerta obligatoria para corregir.</x:t>
  </x:si>
  <x:si>
    <x:t xml:space="preserve">Control concurrencia</x:t>
  </x:si>
  <x:si>
    <x:t xml:space="preserve">Comparación de versión e idempotencia</x:t>
  </x:si>
  <x:si>
    <x:t xml:space="preserve">RF14 / RF16</x:t>
  </x:si>
  <x:si>
    <x:t xml:space="preserve">Sin escritura ni éxito antes del segundo chequeo y confirmación.</x:t>
  </x:si>
  <x:si>
    <x:t xml:space="preserve">Diseño agregado; requiere índices reales.</x:t>
  </x:si>
  <x:si>
    <x:t xml:space="preserve">Catálogo mantenimiento</x:t>
  </x:si>
  <x:si>
    <x:t xml:space="preserve">7 tipos INICIALES + nuevos elementos ACTIVOS administrados</x:t>
  </x:si>
  <x:si>
    <x:t xml:space="preserve">RF17/22/24/62</x:t>
  </x:si>
  <x:si>
    <x:t xml:space="preserve">Tipos inactivos no se ofrecen a registros nuevos; históricos conservan FK válida.</x:t>
  </x:si>
  <x:si>
    <x:t xml:space="preserve">Revisión de catálogo modelo BD pendiente.</x:t>
  </x:si>
  <x:si>
    <x:t xml:space="preserve">Licencia</x:t>
  </x:si>
  <x:si>
    <x:t xml:space="preserve">No autorizar edición manual de datos oficiales ni reemplazo arbitrario de identidad.</x:t>
  </x:si>
  <x:si>
    <x:t xml:space="preserve">API / renovación futura por confirmar.</x:t>
  </x:si>
  <x:si>
    <x:t xml:space="preserve">Licencia y avisos</x:t>
  </x:si>
  <x:si>
    <x:t xml:space="preserve">Bandeja, destino y filtro LICENCIA; sin push toggle adicional</x:t>
  </x:si>
  <x:si>
    <x:t xml:space="preserve">RF23/46–49</x:t>
  </x:si>
  <x:si>
    <x:t xml:space="preserve">La licencia no requiere idVehiculo; la consulta no resuelve por sí sola la alerta.</x:t>
  </x:si>
  <x:si>
    <x:t xml:space="preserve">Aplicada como política de notificación interna.</x:t>
  </x:si>
  <x:si>
    <x:t xml:space="preserve">Tipos de alerta</x:t>
  </x:si>
  <x:si>
    <x:t xml:space="preserve">PROGRAMADA → PRÓXIMA → PENDIENTE → VENCIDA → REALIZADA; ANULADA técnica</x:t>
  </x:si>
  <x:si>
    <x:t xml:space="preserve">RF22–24</x:t>
  </x:si>
  <x:si>
    <x:t xml:space="preserve">Recalcular desde motor único RF23; cambios registrados en HISTORIAL_ALERTA.</x:t>
  </x:si>
  <x:si>
    <x:t xml:space="preserve">Detalles de fechas/estados deben validarse contra reglas exactas.</x:t>
  </x:si>
  <x:si>
    <x:t xml:space="preserve">Premium → Free</x:t>
  </x:si>
  <x:si>
    <x:t xml:space="preserve">Conservación de licencia previamente registrada en modo lectura tanto PREMIUM como FREE tras pérdida de derecho; RF51 registra solo con PREMIUM. Sin edición oficial por RF53.</x:t>
  </x:si>
  <x:si>
    <x:t xml:space="preserve">RF29/30/51/52/60</x:t>
  </x:si>
  <x:si>
    <x:t xml:space="preserve">Comprobar cuenta ACTIVA, titularidad y existencia de licencia previa. Con FREE solo consulta de licencia y alertas conservadas; compra Premium solo se activa con verificación oficial del token en backend.</x:t>
  </x:si>
  <x:si>
    <x:t xml:space="preserve">Alineado RF23/RF29/RF52; pendiente modelo físico y pruebas de proveedor.</x:t>
  </x:si>
  <x:si>
    <x:t xml:space="preserve">Consentimiento</x:t>
  </x:si>
  <x:si>
    <x:t xml:space="preserve">Aviso de privacidad y aceptación expresa</x:t>
  </x:si>
  <x:si>
    <x:t xml:space="preserve">RF01</x:t>
  </x:si>
  <x:si>
    <x:t xml:space="preserve">Guardado con versión y fecha del consentimiento.</x:t>
  </x:si>
  <x:si>
    <x:t xml:space="preserve">Campo físico por validar.</x:t>
  </x:si>
  <x:si>
    <x:t xml:space="preserve">Incidencias</x:t>
  </x:si>
  <x:si>
    <x:t xml:space="preserve">Permiso por mutación + transacción de estado y evento</x:t>
  </x:si>
  <x:si>
    <x:t xml:space="preserve">RF58–64</x:t>
  </x:si>
  <x:si>
    <x:t xml:space="preserve">Toda mutación administrativa revalida permisos en backend; cambios de estado y eventos se confirman en una transacción; en almacenamiento externo se requiere compensación.</x:t>
  </x:si>
  <x:si>
    <x:t xml:space="preserve">Implementación SQL por verificar.</x:t>
  </x:si>
  <x:si>
    <x:t xml:space="preserve">Reactivación RF53</x:t>
  </x:si>
  <x:si>
    <x:t xml:space="preserve">RF53 permite recuperar cuenta PENDIENTE_ELIMINACION antes de fechaLimiteUTC (30 días calendario); credenciales + OTP de 6 dígitos por 60 segundos, 5 intentos y bloqueo de 60 minutos.</x:t>
  </x:si>
  <x:si>
    <x:t xml:space="preserve">RF02 / RF03 / RF07 / RF53 / RF58 / RF59</x:t>
  </x:si>
  <x:si>
    <x:t xml:space="preserve">Estado ACTIVA + solicitud CANCELADA + OTP de uso único deben confirmarse de forma atómica; sin ingreso automático y sin restaurar beneficios Premium vencidos.</x:t>
  </x:si>
  <x:si>
    <x:t xml:space="preserve">Pendiente validar modelo físico, estados de OTP y escenarios alternativos; RF59 asistencia administrativa no sustituye RF53.</x:t>
  </x:si>
  <x:si>
    <x:t xml:space="preserve">MYCAR · BLOQUEOS Y VERIFICACIONES PENDIENTES</x:t>
  </x:si>
  <x:si>
    <x:t xml:space="preserve">No equivale a errores resueltos; el archivo no debe declararse integralmente congelado sin estas pruebas.</x:t>
  </x:si>
  <x:si>
    <x:t xml:space="preserve">ID</x:t>
  </x:si>
  <x:si>
    <x:t xml:space="preserve">Aspecto</x:t>
  </x:si>
  <x:si>
    <x:t xml:space="preserve">Evidencia faltante / riesgo</x:t>
  </x:si>
  <x:si>
    <x:t xml:space="preserve">Prueba/acción concreta</x:t>
  </x:si>
  <x:si>
    <x:t xml:space="preserve">Prioridad</x:t>
  </x:si>
  <x:si>
    <x:t xml:space="preserve">P001</x:t>
  </x:si>
  <x:si>
    <x:t xml:space="preserve">Escenarios alternativos RF01–RF56</x:t>
  </x:si>
  <x:si>
    <x:t xml:space="preserve">El consolidado no incluye todos los EA independientes originales.</x:t>
  </x:si>
  <x:si>
    <x:t xml:space="preserve">Adjuntar sus diagramas para certificar exhaustividad y comprobar que no usan la navegación Km antigua.</x:t>
  </x:si>
  <x:si>
    <x:t xml:space="preserve">Alta</x:t>
  </x:si>
  <x:si>
    <x:t xml:space="preserve">P002</x:t>
  </x:si>
  <x:si>
    <x:t xml:space="preserve">Modelo físico MySQL 8</x:t>
  </x:si>
  <x:si>
    <x:t xml:space="preserve">No se adjuntó CREATE TABLE final para todos los módulos.</x:t>
  </x:si>
  <x:si>
    <x:t xml:space="preserve">Contrastar claves FK, columnas, UNIQUE idempotencia, transacciones y estados.</x:t>
  </x:si>
  <x:si>
    <x:t xml:space="preserve">P003</x:t>
  </x:si>
  <x:si>
    <x:t xml:space="preserve">JSON.pe licencia</x:t>
  </x:si>
  <x:si>
    <x:t xml:space="preserve">Campos/estados/credenciales y servicios reales de /dni y /licencia no probados.</x:t>
  </x:si>
  <x:si>
    <x:t xml:space="preserve">Probar respuestas reales y manejo de ERROR, SUSPENDIDA, CANCELADA y datos nulos.</x:t>
  </x:si>
  <x:si>
    <x:t xml:space="preserve">P004</x:t>
  </x:si>
  <x:si>
    <x:t xml:space="preserve">Google Play / proveedor cobro</x:t>
  </x:si>
  <x:si>
    <x:t xml:space="preserve">RF29/30/60 se basan en Google Play; backend y política distribución no están verificados.</x:t>
  </x:si>
  <x:si>
    <x:t xml:space="preserve">Validar proveedor seleccionado y conciliación de derecho.</x:t>
  </x:si>
  <x:si>
    <x:t xml:space="preserve">P005</x:t>
  </x:si>
  <x:si>
    <x:t xml:space="preserve">Renovación licencia</x:t>
  </x:si>
  <x:si>
    <x:t xml:space="preserve">Definir fuente confiable de renovación y fecha revalidación; solo lectura en RF52.</x:t>
  </x:si>
  <x:si>
    <x:t xml:space="preserve">Media</x:t>
  </x:si>
  <x:si>
    <x:t xml:space="preserve">P006</x:t>
  </x:si>
  <x:si>
    <x:t xml:space="preserve">Automatismos de cuenta</x:t>
  </x:si>
  <x:si>
    <x:t xml:space="preserve">Se añadió subflujo 30 días para implementación, no probado con BD real.</x:t>
  </x:si>
  <x:si>
    <x:t xml:space="preserve">Prueba transaccional de carrera entre recuperación y eliminación automática.</x:t>
  </x:si>
  <x:si>
    <x:t xml:space="preserve">P007</x:t>
  </x:si>
  <x:si>
    <x:t xml:space="preserve">Las tablas físicas pueden continuar limitando siete tipos.</x:t>
  </x:si>
  <x:si>
    <x:t xml:space="preserve">Convertir en catálogo activo administrable; mapear anteriores y respetar históricos.</x:t>
  </x:si>
  <x:si>
    <x:t xml:space="preserve">P008</x:t>
  </x:si>
  <x:si>
    <x:t xml:space="preserve">UML admins RF59–64</x:t>
  </x:si>
  <x:si>
    <x:t xml:space="preserve">Autorización BCE explícita y transacciones documentadas en RF61 exitoso; persisten revisión de alternativos y confirmación de modelo SQL real.</x:t>
  </x:si>
  <x:si>
    <x:t xml:space="preserve">Validar contra base física permisos/PK/FK e invariantes de transacción; revisar los EA administrativos antes de implementar.</x:t>
  </x:si>
  <x:si>
    <x:t xml:space="preserve">P009</x:t>
  </x:si>
  <x:si>
    <x:t xml:space="preserve">Prototipo Figma</x:t>
  </x:si>
  <x:si>
    <x:t xml:space="preserve">No se adjuntó versión actual para comparar la UX corregida.</x:t>
  </x:si>
  <x:si>
    <x:t xml:space="preserve">Actualizar vista previa Km y eliminación de selector Historial para corregir.</x:t>
  </x:si>
  <x:si>
    <x:t xml:space="preserve">P010</x:t>
  </x:si>
  <x:si>
    <x:t xml:space="preserve">Cuenta y privacidad</x:t>
  </x:si>
  <x:si>
    <x:t xml:space="preserve">Revisión legal y política de retención de datos / derechos del titular no aportadas.</x:t>
  </x:si>
  <x:si>
    <x:t xml:space="preserve">Validar textos y tratamiento en entorno de producción.</x:t>
  </x:si>
  <x:si>
    <x:t xml:space="preserve">MYCAR · ESTADO DOCUMENTAL DE CADA RF</x:t>
  </x:si>
  <x:si>
    <x:t xml:space="preserve">Estado de modificación ≠ aprobación de programación. Pendientes externos pueden bloquear la implementación.</x:t>
  </x:si>
  <x:si>
    <x:t xml:space="preserve">Requerimiento</x:t>
  </x:si>
  <x:si>
    <x:t xml:space="preserve">Hoja original</x:t>
  </x:si>
  <x:si>
    <x:t xml:space="preserve">Estado de esta revisión</x:t>
  </x:si>
  <x:si>
    <x:t xml:space="preserve">Observación</x:t>
  </x:si>
  <x:si>
    <x:t xml:space="preserve">RF02</x:t>
  </x:si>
  <x:si>
    <x:t xml:space="preserve">RF03</x:t>
  </x:si>
  <x:si>
    <x:t xml:space="preserve">RF003-E1</x:t>
  </x:si>
  <x:si>
    <x:t xml:space="preserve">REQUIERE VERIFICACIÓN</x:t>
  </x:si>
  <x:si>
    <x:t xml:space="preserve">Referencias a estados/pagos, permisos, automatismos o EA originales.</x:t>
  </x:si>
  <x:si>
    <x:t xml:space="preserve">RF04</x:t>
  </x:si>
  <x:si>
    <x:t xml:space="preserve">RF004-E1</x:t>
  </x:si>
  <x:si>
    <x:t xml:space="preserve">RF05</x:t>
  </x:si>
  <x:si>
    <x:t xml:space="preserve">RF005-E1</x:t>
  </x:si>
  <x:si>
    <x:t xml:space="preserve">SIN CAMBIO MATERIAL</x:t>
  </x:si>
  <x:si>
    <x:t xml:space="preserve">Conservar EF, sujeto a auditoría de todos los alternativos y persistencia real.</x:t>
  </x:si>
  <x:si>
    <x:t xml:space="preserve">RF06</x:t>
  </x:si>
  <x:si>
    <x:t xml:space="preserve">RF07</x:t>
  </x:si>
  <x:si>
    <x:t xml:space="preserve">RF007-E1</x:t>
  </x:si>
  <x:si>
    <x:t xml:space="preserve">ALINEADO — PENDIENTE PRUEBAS</x:t>
  </x:si>
  <x:si>
    <x:t xml:space="preserve">Cambios de coherencia aplicados; validar EA y modelo físico.</x:t>
  </x:si>
  <x:si>
    <x:t xml:space="preserve">RF08</x:t>
  </x:si>
  <x:si>
    <x:t xml:space="preserve">RF09</x:t>
  </x:si>
  <x:si>
    <x:t xml:space="preserve">RF10</x:t>
  </x:si>
  <x:si>
    <x:t xml:space="preserve">RF11</x:t>
  </x:si>
  <x:si>
    <x:t xml:space="preserve">RF011-EF1</x:t>
  </x:si>
  <x:si>
    <x:t xml:space="preserve">RF12</x:t>
  </x:si>
  <x:si>
    <x:t xml:space="preserve">RF012-EF1</x:t>
  </x:si>
  <x:si>
    <x:t xml:space="preserve">RF13</x:t>
  </x:si>
  <x:si>
    <x:t xml:space="preserve">RF013-EF1</x:t>
  </x:si>
  <x:si>
    <x:t xml:space="preserve">RF015-EF1</x:t>
  </x:si>
  <x:si>
    <x:t xml:space="preserve">ACTUALIZADO — VALIDAR BD</x:t>
  </x:si>
  <x:si>
    <x:t xml:space="preserve">RF016-EF1</x:t>
  </x:si>
  <x:si>
    <x:t xml:space="preserve">RF17</x:t>
  </x:si>
  <x:si>
    <x:t xml:space="preserve">RF18</x:t>
  </x:si>
  <x:si>
    <x:t xml:space="preserve">RF19</x:t>
  </x:si>
  <x:si>
    <x:t xml:space="preserve">RF20</x:t>
  </x:si>
  <x:si>
    <x:t xml:space="preserve">RF21</x:t>
  </x:si>
  <x:si>
    <x:t xml:space="preserve">RF22</x:t>
  </x:si>
  <x:si>
    <x:t xml:space="preserve">RF23</x:t>
  </x:si>
  <x:si>
    <x:t xml:space="preserve">RF24</x:t>
  </x:si>
  <x:si>
    <x:t xml:space="preserve">RF25</x:t>
  </x:si>
  <x:si>
    <x:t xml:space="preserve">RF26</x:t>
  </x:si>
  <x:si>
    <x:t xml:space="preserve">RF27</x:t>
  </x:si>
  <x:si>
    <x:t xml:space="preserve">RF28</x:t>
  </x:si>
  <x:si>
    <x:t xml:space="preserve">RF028-E1</x:t>
  </x:si>
  <x:si>
    <x:t xml:space="preserve">RF29</x:t>
  </x:si>
  <x:si>
    <x:t xml:space="preserve">RF029-E1</x:t>
  </x:si>
  <x:si>
    <x:t xml:space="preserve">RF30</x:t>
  </x:si>
  <x:si>
    <x:t xml:space="preserve">RF030-E1</x:t>
  </x:si>
  <x:si>
    <x:t xml:space="preserve">RF31</x:t>
  </x:si>
  <x:si>
    <x:t xml:space="preserve">RF031-EF1</x:t>
  </x:si>
  <x:si>
    <x:t xml:space="preserve">RF32</x:t>
  </x:si>
  <x:si>
    <x:t xml:space="preserve">RF032-EF1</x:t>
  </x:si>
  <x:si>
    <x:t xml:space="preserve">RF33</x:t>
  </x:si>
  <x:si>
    <x:t xml:space="preserve">RF033-EF1</x:t>
  </x:si>
  <x:si>
    <x:t xml:space="preserve">RF34</x:t>
  </x:si>
  <x:si>
    <x:t xml:space="preserve">RF034-EF1</x:t>
  </x:si>
  <x:si>
    <x:t xml:space="preserve">RF35</x:t>
  </x:si>
  <x:si>
    <x:t xml:space="preserve">RF035-EF1</x:t>
  </x:si>
  <x:si>
    <x:t xml:space="preserve">RF36</x:t>
  </x:si>
  <x:si>
    <x:t xml:space="preserve">RF036-EF1</x:t>
  </x:si>
  <x:si>
    <x:t xml:space="preserve">RF37</x:t>
  </x:si>
  <x:si>
    <x:t xml:space="preserve">RF037-EF1</x:t>
  </x:si>
  <x:si>
    <x:t xml:space="preserve">RF38</x:t>
  </x:si>
  <x:si>
    <x:t xml:space="preserve">RF038-E1</x:t>
  </x:si>
  <x:si>
    <x:t xml:space="preserve">RF39</x:t>
  </x:si>
  <x:si>
    <x:t xml:space="preserve">RF039-E1</x:t>
  </x:si>
  <x:si>
    <x:t xml:space="preserve">RF40</x:t>
  </x:si>
  <x:si>
    <x:t xml:space="preserve">RF040-E1</x:t>
  </x:si>
  <x:si>
    <x:t xml:space="preserve">RF41</x:t>
  </x:si>
  <x:si>
    <x:t xml:space="preserve">RF041-EF1</x:t>
  </x:si>
  <x:si>
    <x:t xml:space="preserve">RF42</x:t>
  </x:si>
  <x:si>
    <x:t xml:space="preserve">RF042-EF1</x:t>
  </x:si>
  <x:si>
    <x:t xml:space="preserve">RF43</x:t>
  </x:si>
  <x:si>
    <x:t xml:space="preserve">RF043-EF1</x:t>
  </x:si>
  <x:si>
    <x:t xml:space="preserve">RF44</x:t>
  </x:si>
  <x:si>
    <x:t xml:space="preserve">RF044-EF1</x:t>
  </x:si>
  <x:si>
    <x:t xml:space="preserve">RF45</x:t>
  </x:si>
  <x:si>
    <x:t xml:space="preserve">RF045-EF1</x:t>
  </x:si>
  <x:si>
    <x:t xml:space="preserve">RF46</x:t>
  </x:si>
  <x:si>
    <x:t xml:space="preserve">RF046-EF1</x:t>
  </x:si>
  <x:si>
    <x:t xml:space="preserve">RF47</x:t>
  </x:si>
  <x:si>
    <x:t xml:space="preserve">RF047-EF1</x:t>
  </x:si>
  <x:si>
    <x:t xml:space="preserve">RF48</x:t>
  </x:si>
  <x:si>
    <x:t xml:space="preserve">RF048-EF1</x:t>
  </x:si>
  <x:si>
    <x:t xml:space="preserve">RF49</x:t>
  </x:si>
  <x:si>
    <x:t xml:space="preserve">RF049-EF1</x:t>
  </x:si>
  <x:si>
    <x:t xml:space="preserve">RF50</x:t>
  </x:si>
  <x:si>
    <x:t xml:space="preserve">RF050-EF1</x:t>
  </x:si>
  <x:si>
    <x:t xml:space="preserve">RF51</x:t>
  </x:si>
  <x:si>
    <x:t xml:space="preserve">RF051-EF1</x:t>
  </x:si>
  <x:si>
    <x:t xml:space="preserve">RF52</x:t>
  </x:si>
  <x:si>
    <x:t xml:space="preserve">RF052-EF1</x:t>
  </x:si>
  <x:si>
    <x:t xml:space="preserve">RF53</x:t>
  </x:si>
  <x:si>
    <x:t xml:space="preserve">RF053-EF1</x:t>
  </x:si>
  <x:si>
    <x:t xml:space="preserve">INCORPORADO — PENDIENTE AUDITORÍA Y PRUEBAS</x:t>
  </x:si>
  <x:si>
    <x:t xml:space="preserve">EF01 RF53: Reactivar cuenta PENDIENTE_ELIMINACION dentro de 30 días calendario, con credenciales + OTP. 51 comunicaciones BCE en siete bloques; verificar BD, alternativos y pruebas.</x:t>
  </x:si>
  <x:si>
    <x:t xml:space="preserve">RF54</x:t>
  </x:si>
  <x:si>
    <x:t xml:space="preserve">RF054-EF1</x:t>
  </x:si>
  <x:si>
    <x:t xml:space="preserve">RF55</x:t>
  </x:si>
  <x:si>
    <x:t xml:space="preserve">RF055-EF1</x:t>
  </x:si>
  <x:si>
    <x:t xml:space="preserve">RF56</x:t>
  </x:si>
  <x:si>
    <x:t xml:space="preserve">RF056-EF1</x:t>
  </x:si>
  <x:si>
    <x:t xml:space="preserve">RF57</x:t>
  </x:si>
  <x:si>
    <x:t xml:space="preserve">RF057_EXITOSO</x:t>
  </x:si>
  <x:si>
    <x:t xml:space="preserve">RF58</x:t>
  </x:si>
  <x:si>
    <x:t xml:space="preserve">RF058_EXITOSO</x:t>
  </x:si>
  <x:si>
    <x:t xml:space="preserve">RF59</x:t>
  </x:si>
  <x:si>
    <x:t xml:space="preserve">RF059_EXITOSO</x:t>
  </x:si>
  <x:si>
    <x:t xml:space="preserve">RF60</x:t>
  </x:si>
  <x:si>
    <x:t xml:space="preserve">RF060_EXITOSO</x:t>
  </x:si>
  <x:si>
    <x:t xml:space="preserve">RF61</x:t>
  </x:si>
  <x:si>
    <x:t xml:space="preserve">RF061_EXITOSO</x:t>
  </x:si>
  <x:si>
    <x:t xml:space="preserve">RF62</x:t>
  </x:si>
  <x:si>
    <x:t xml:space="preserve">RF062_EXITOSO</x:t>
  </x:si>
  <x:si>
    <x:t xml:space="preserve">RF63</x:t>
  </x:si>
  <x:si>
    <x:t xml:space="preserve">RF063_EXITOSO</x:t>
  </x:si>
  <x:si>
    <x:t xml:space="preserve">RF64</x:t>
  </x:si>
  <x:si>
    <x:t xml:space="preserve">RF064_EXITOSO</x:t>
  </x:si>
  <x:si>
    <x:t xml:space="preserve">MYCAR · BITÁCORA DE MODIFICACIONES EN EL EXCEL</x:t>
  </x:si>
  <x:si>
    <x:t xml:space="preserve">Cada fila indica una modificación. El archivo de entrada se conserva intacto.</x:t>
  </x:si>
  <x:si>
    <x:t xml:space="preserve">Hoja</x:t>
  </x:si>
  <x:si>
    <x:t xml:space="preserve">Celda/rango</x:t>
  </x:si>
  <x:si>
    <x:t xml:space="preserve">Antes (resumen)</x:t>
  </x:si>
  <x:si>
    <x:t xml:space="preserve">Después (resumen)</x:t>
  </x:si>
  <x:si>
    <x:t xml:space="preserve">Motivo</x:t>
  </x:si>
  <x:si>
    <x:t xml:space="preserve">RF relacionados</x:t>
  </x:si>
  <x:si>
    <x:t xml:space="preserve">RF014-EF1</x:t>
  </x:si>
  <x:si>
    <x:t xml:space="preserve">A1:G90</x:t>
  </x:si>
  <x:si>
    <x:t xml:space="preserve">Secuencia anterior completa</x:t>
  </x:si>
  <x:si>
    <x:t xml:space="preserve">Nueva secuencia BCE con 45 pasos en 6 bloques</x:t>
  </x:si>
  <x:si>
    <x:t xml:space="preserve">Rediseño obligatorio de kilometraje, vista previa y guardado posterior a confirmación</x:t>
  </x:si>
  <x:si>
    <x:t xml:space="preserve">RF10, RF14–16, RF23, RF44, RF46–49</x:t>
  </x:si>
  <x:si>
    <x:t xml:space="preserve">Nueva secuencia BCE con 38 pasos en 5 bloques</x:t>
  </x:si>
  <x:si>
    <x:t xml:space="preserve">Patrón: Actor → Interfaz → Control → Entidad → Control → Interfaz → Actor | 45 pasos | 6 bloques</x:t>
  </x:si>
  <x:si>
    <x:t xml:space="preserve">Eliminar obligatoriedad del Historial para corregir</x:t>
  </x:si>
  <x:si>
    <x:t xml:space="preserve">RF14, RF16</x:t>
  </x:si>
  <x:si>
    <x:t xml:space="preserve">G23</x:t>
  </x:si>
  <x:si>
    <x:t xml:space="preserve">El controlador relaciona cada lectura con sus correcciones sin eliminar ni sobrescribir el registro histórico original.</x:t>
  </x:si>
  <x:si>
    <x:t xml:space="preserve">RF15 exclusivamente consulta</x:t>
  </x:si>
  <x:si>
    <x:t xml:space="preserve">G54</x:t>
  </x:si>
  <x:si>
    <x:t xml:space="preserve">El usuario consulta el historial en modo de solo lectura; RF15 no modifica lecturas ni correcciones.</x:t>
  </x:si>
  <x:si>
    <x:t xml:space="preserve">A1:G48</x:t>
  </x:si>
  <x:si>
    <x:t xml:space="preserve">RF53 permitía edición manual de licencia</x:t>
  </x:si>
  <x:si>
    <x:t xml:space="preserve">RF53 retirado, RF51 registro + RF52 consulta</x:t>
  </x:si>
  <x:si>
    <x:t xml:space="preserve">Eliminar contradicción de edición verificada</x:t>
  </x:si>
  <x:si>
    <x:t xml:space="preserve">RF51–RF53</x:t>
  </x:si>
  <x:si>
    <x:t xml:space="preserve">C33</x:t>
  </x:si>
  <x:si>
    <x:t xml:space="preserve">Corregir origen BCE de mensaje/retorno OTP</x:t>
  </x:si>
  <x:si>
    <x:t xml:space="preserve">C35</x:t>
  </x:si>
  <x:si>
    <x:t xml:space="preserve">C38</x:t>
  </x:si>
  <x:si>
    <x:t xml:space="preserve">E38</x:t>
  </x:si>
  <x:si>
    <x:t xml:space="preserve">Corregir destino BCE de mensaje/retorno OTP</x:t>
  </x:si>
  <x:si>
    <x:t xml:space="preserve">C39</x:t>
  </x:si>
  <x:si>
    <x:t xml:space="preserve">0</x:t>
  </x:si>
  <x:si>
    <x:t xml:space="preserve">C40</x:t>
  </x:si>
  <x:si>
    <x:t xml:space="preserve">RF059_ALT_RECUPERAR</x:t>
  </x:si>
  <x:si>
    <x:t xml:space="preserve">Fuente: PDF p.2 inferior derecho; requiere revisar RF07 | Punto de partida: Política futura: RF07 debe cambiar; titular identificado y aún dentro de 30 días hábiles. | 12 mensajes</x:t>
  </x:si>
  <x:si>
    <x:t xml:space="preserve">Fuente: PDF p.2 inferior derecho; requiere revisar RF07 | Punto de partida: Política futura: RF07 debe cambiar; titular identificado y aún dentro de 30 días calendario. | 12 mensajes</x:t>
  </x:si>
  <x:si>
    <x:t xml:space="preserve">Unificar plazo de eliminación y recuperación</x:t>
  </x:si>
  <x:si>
    <x:t xml:space="preserve">RF07,RF58,RF59</x:t>
  </x:si>
  <x:si>
    <x:t xml:space="preserve">G9</x:t>
  </x:si>
  <x:si>
    <x:t xml:space="preserve">Comprueba 30 días hábiles y autenticación de titular; sin estas verificaciones no recupera.</x:t>
  </x:si>
  <x:si>
    <x:t xml:space="preserve">G24</x:t>
  </x:si>
  <x:si>
    <x:t xml:space="preserve">Calcula días hábiles restantes únicamente si está PENDIENTE_ELIMINACION; política nueva que exige actualizar RF07.</x:t>
  </x:si>
  <x:si>
    <x:t xml:space="preserve">Usar plazo calendario en interfaz</x:t>
  </x:si>
  <x:si>
    <x:t xml:space="preserve">RF58,RF59</x:t>
  </x:si>
  <x:si>
    <x:t xml:space="preserve">RF059_ALT_BLOQUEOS</x:t>
  </x:si>
  <x:si>
    <x:t xml:space="preserve">F5</x:t>
  </x:si>
  <x:si>
    <x:t xml:space="preserve">calcularDiasHabilesRestantes(fechaSolicitud,calendario)</x:t>
  </x:si>
  <x:si>
    <x:t xml:space="preserve">Calcular días naturales sin calendario laboral</x:t>
  </x:si>
  <x:si>
    <x:t xml:space="preserve">G8</x:t>
  </x:si>
  <x:si>
    <x:t xml:space="preserve">Devuelve fechas para cómputo de días hábiles.</x:t>
  </x:si>
  <x:si>
    <x:t xml:space="preserve">Unificar plazo recuperar cuenta</x:t>
  </x:si>
  <x:si>
    <x:t xml:space="preserve">RF07,RF59</x:t>
  </x:si>
  <x:si>
    <x:t xml:space="preserve">Unificar política del plazo</x:t>
  </x:si>
  <x:si>
    <x:t xml:space="preserve">Fuente: PDF p.2, fila superior | Punto de partida: Sesión válida del administrador. | 27 mensajes</x:t>
  </x:si>
  <x:si>
    <x:t xml:space="preserve">F13</x:t>
  </x:si>
  <x:si>
    <x:t xml:space="preserve">restablecerEstadoCuenta(ACTIVA)</x:t>
  </x:si>
  <x:si>
    <x:t xml:space="preserve">Recuperación debe cancelar solicitud y bitácora de forma atómica</x:t>
  </x:si>
  <x:si>
    <x:t xml:space="preserve">G13</x:t>
  </x:si>
  <x:si>
    <x:t xml:space="preserve">Cancela eliminación pendiente antes del límite.</x:t>
  </x:si>
  <x:si>
    <x:t xml:space="preserve">F15</x:t>
  </x:si>
  <x:si>
    <x:t xml:space="preserve">registrarEvento(RECUPERACION,idAdmin)</x:t>
  </x:si>
  <x:si>
    <x:t xml:space="preserve">G15</x:t>
  </x:si>
  <x:si>
    <x:t xml:space="preserve">Registra el acto de recuperación.</x:t>
  </x:si>
  <x:si>
    <x:t xml:space="preserve">RF001-E1</x:t>
  </x:si>
  <x:si>
    <x:t xml:space="preserve">El controlador llama al formulario estableciendo Contraseña y Confirmar contraseña en estado visual OCULTA.</x:t>
  </x:si>
  <x:si>
    <x:t xml:space="preserve">El controlador llama al formulario estableciendo Contraseña y Confirmar contraseña en estado visual OCULTA. Mostrar sección «Privacidad y tratamiento de datos» antes de Crear cuenta, con aviso legal y consentimiento explícito separado; no preseleccionado.</x:t>
  </x:si>
  <x:si>
    <x:t xml:space="preserve">Agregar consentimiento explícito de privacidad al registro</x:t>
  </x:si>
  <x:si>
    <x:t xml:space="preserve">RF01,RF07</x:t>
  </x:si>
  <x:si>
    <x:t xml:space="preserve">G11</x:t>
  </x:si>
  <x:si>
    <x:t xml:space="preserve">El usuario ingresa los datos requeridos. Contraseña y Confirmar contraseña permanecen inicialmente ocultas y, opcionalmente, el usuario puede seleccionar el ícono para mostrar u ocultar el campo contraseña.</x:t>
  </x:si>
  <x:si>
    <x:t xml:space="preserve">El usuario ingresa los datos requeridos. Contraseña y Confirmar contraseña permanecen inicialmente ocultas y, opcionalmente, el usuario puede seleccionar el ícono para mostrar u ocultar el campo contraseña. Antes de enviar se exige aceptación explícita registrada; campos de registro no cambian.</x:t>
  </x:si>
  <x:si>
    <x:t xml:space="preserve">G16</x:t>
  </x:si>
  <x:si>
    <x:t xml:space="preserve">El usuario solicita finalmente crear la cuenta.</x:t>
  </x:si>
  <x:si>
    <x:t xml:space="preserve">El usuario solicita finalmente crear la cuenta. Bloquear creación si falta consentimiento; guardar versión y fecha/hora de aceptación de privacidad durante registro en backend.</x:t>
  </x:si>
  <x:si>
    <x:t xml:space="preserve">G29</x:t>
  </x:si>
  <x:si>
    <x:t xml:space="preserve">El control entrega al registro exactamente los 7 tipos permitidos, una vez filtrado el catálogo activo; se excluye Inspección técnica.</x:t>
  </x:si>
  <x:si>
    <x:t xml:space="preserve">El control entrega al registro 7 tipos iniciales más tipos adicionales ACTIVOS autorizados por RF62 iniciales más tipos adicionales ACTIVOS autorizados por RF62, una vez filtrado el catálogo activo; se excluye Inspección técnica.</x:t>
  </x:si>
  <x:si>
    <x:t xml:space="preserve">El catálogo activo RF62 amplía los siete tipos iniciales, excluyendo desactivados</x:t>
  </x:si>
  <x:si>
    <x:t xml:space="preserve">RF17,RF22,RF24,RF62</x:t>
  </x:si>
  <x:si>
    <x:t xml:space="preserve">G39</x:t>
  </x:si>
  <x:si>
    <x:t xml:space="preserve">Conserva UNA sola tarjeta de «Kilometraje al momento del servicio» (solo lectura) y «Actualizar km». Fecha obligatoria, 7 tipos, aceite de referencia y Otro condicional. Al seleccionar una fecha ANTERIOR a la lectura mostrada debe comprobarse una lectura histó</x:t>
  </x:si>
  <x:si>
    <x:t xml:space="preserve">Conserva UNA sola tarjeta de «Kilometraje al momento del servicio» (solo lectura) y «Actualizar km». Fecha obligatoria, 7 tipos iniciales más tipos adicionales ACTIVOS autorizados por RF62, aceite de referencia y Otro condicional. Al seleccionar una fecha ANTERIOR a la lectura mostrada debe comprobarse una lectura histórica de esa fecha o capturarse el km real del servicio mediante el subflujo de</x:t>
  </x:si>
  <x:si>
    <x:t xml:space="preserve">102 mensajes · 8 bloques · 7 tipos · OTRO y sugerencias · DATOS ACTUALES: fecha automática + km RF14 (solo lectura) · Sin actualizar km desde RF22</x:t>
  </x:si>
  <x:si>
    <x:t xml:space="preserve">102 mensajes · 8 bloques · 7 tipos iniciales más tipos adicionales ACTIVOS autorizados por RF62 · OTRO y sugerencias · DATOS ACTUALES: fecha automática + km RF14 (solo lectura) · Sin actualizar km desde RF22</x:t>
  </x:si>
  <x:si>
    <x:t xml:space="preserve">G25</x:t>
  </x:si>
  <x:si>
    <x:t xml:space="preserve">Alertas solicita al controlador responsable del catálogo validar el tipo de mantenimiento seleccionado. La validación contempla pertenencia al catálogo de siete tipos permitido en RF17, no solo estado ACTIVO.</x:t>
  </x:si>
  <x:si>
    <x:t xml:space="preserve">Alertas solicita al controlador responsable del catálogo validar el tipo de mantenimiento seleccionado. La validación contempla 7 tipos iniciales más tipos adicionales ACTIVOS autorizados por RF62 iniciales más tipos adicionales ACTIVOS autorizados por RF62 permitido en RF17, no solo estado ACTIVO.</x:t>
  </x:si>
  <x:si>
    <x:t xml:space="preserve">G56</x:t>
  </x:si>
  <x:si>
    <x:t xml:space="preserve">Antes del guardado, consulta al controlador dueño del catálogo para comprobar que el tipo tomado de la alerta exista, corresponda a uno de los siete tipos admitidos y permanezca ACTIVO para registrar un NUEVO mantenimiento. La consulta a E_TipoMantenimiento qu</x:t>
  </x:si>
  <x:si>
    <x:t xml:space="preserve">Antes del guardado, consulta al controlador dueño del catálogo para comprobar que el tipo tomado de la alerta exista, corresponda a 7 tipos iniciales más tipos adicionales ACTIVOS autorizados por RF62 iniciales más tipos adicionales ACTIVOS autorizados por RF62 y permanezca ACTIVO para registrar un NUEVO mantenimiento. La consulta a E_TipoMantenimiento queda encapsulada en este método del catálogo</x:t>
  </x:si>
  <x:si>
    <x:t xml:space="preserve">Fuente: PDF p.4; storyboard RF62 corregido | Punto de partida: Administrador autorizado; nombre válido y no duplicado. | 31 mensajes</x:t>
  </x:si>
  <x:si>
    <x:t xml:space="preserve">Sincronizar catálogo administrable</x:t>
  </x:si>
  <x:si>
    <x:t xml:space="preserve">El control entrega al registro 7 tipos iniciales más tipos adicionales ACTIVOS autorizados por RF62 iniciales más tipos adicionales ACTIVOS autorizados por RF62, una vez filtrado el catálogo activo; se excluye Inspección técnica. Los siete tipos son iniciales, no límite rígido; cualquier alta adicional requiere estar ACTIVA según RF62.</x:t>
  </x:si>
  <x:si>
    <x:t xml:space="preserve">Sincronización de catálogo</x:t>
  </x:si>
  <x:si>
    <x:t xml:space="preserve">G10</x:t>
  </x:si>
  <x:si>
    <x:t xml:space="preserve">Para Mantenimiento/SOAT solicita los estados actuales de sus alertas. Kilometraje no usa E_Alerta para su ciclo de recordatorio.</x:t>
  </x:si>
  <x:si>
    <x:t xml:space="preserve">Para Mantenimiento/SOAT/LICENCIA solicita los estados actuales de sus alertas. Kilometraje no usa E_Alerta para su ciclo de recordatorio.</x:t>
  </x:si>
  <x:si>
    <x:t xml:space="preserve">Incluir licencia como categoría interna de notificaciones</x:t>
  </x:si>
  <x:si>
    <x:t xml:space="preserve">RF23,RF46–49,RF51–52</x:t>
  </x:si>
  <x:si>
    <x:t xml:space="preserve">G14</x:t>
  </x:si>
  <x:si>
    <x:t xml:space="preserve">Conciliación defensiva al abrir la bandeja: solo PRÓXIMA/PENDIENTE pueden permanecer activas para Mantenimiento/SOAT. VENCIDA, REALIZADA y ANULADA deben estar en Historial. El bloque automático de RF23 mantiene esta vigencia; abrir RF46 no atiende ni dispara e</x:t>
  </x:si>
  <x:si>
    <x:t xml:space="preserve">G36</x:t>
  </x:si>
  <x:si>
    <x:t xml:space="preserve">Para Mantenimiento/SOAT obtiene el estado actual de la alerta.</x:t>
  </x:si>
  <x:si>
    <x:t xml:space="preserve">G58</x:t>
  </x:si>
  <x:si>
    <x:t xml:space="preserve">Devuelve ON/OFF por Mantenimiento, SOAT y Kilometraje, junto con el estado del permiso del dispositivo.</x:t>
  </x:si>
  <x:si>
    <x:t xml:space="preserve">Devuelve ON/OFF por Mantenimiento, SOAT, Kilometraje y LICENCIA, junto con el estado del permiso del dispositivo.</x:t>
  </x:si>
  <x:si>
    <x:t xml:space="preserve">Solo Mantenimiento/SOAT con origen ALERTA requieren revalidar la alerta. Kilometraje con origen CICLO_KM omite esta consulta.</x:t>
  </x:si>
  <x:si>
    <x:t xml:space="preserve">G5</x:t>
  </x:si>
  <x:si>
    <x:t xml:space="preserve">Con RF46 ya cargado, el usuario selecciona Todas, Mantenimiento, SOAT o Kilometraje.</x:t>
  </x:si>
  <x:si>
    <x:t xml:space="preserve">Con RF46 ya cargado, el usuario selecciona Todas, Mantenimiento, SOAT, Kilometraje o LICENCIA.</x:t>
  </x:si>
  <x:si>
    <x:t xml:space="preserve">Patrón: Actor → Interfaz → Control → Entidad → Control → Interfaz → Actor + subflujos automáticos de sincronización y push  |  50 pasos  |  8 bloques</x:t>
  </x:si>
  <x:si>
    <x:t xml:space="preserve">Integración de categoría LICENCIA</x:t>
  </x:si>
  <x:si>
    <x:t xml:space="preserve">RF23,RF47–49</x:t>
  </x:si>
  <x:si>
    <x:t xml:space="preserve">Patrón: Actor → Interfaz → Control → Entidad → Control → Interfaz → Actor  |  33 pasos  |  5 bloques</x:t>
  </x:si>
  <x:si>
    <x:t xml:space="preserve">Nuevo destino notificación licencia</x:t>
  </x:si>
  <x:si>
    <x:t xml:space="preserve">RF23,RF51–52</x:t>
  </x:si>
  <x:si>
    <x:t xml:space="preserve">Patrón: Actor → Interfaz → Control → Entidad → Control → Interfaz → Actor  | 21 pasos | 5 bloques</x:t>
  </x:si>
  <x:si>
    <x:t xml:space="preserve">Patrón: Actor → Interfaz → Control → Entidad → Control → Interfaz → Actor  | 21 pasos | 5 bloques | Licencia se recibe en bandeja interna. Preferencias de push permanecen solo Mantenimiento, SOAT, Kilometraje (decisión vigente).</x:t>
  </x:si>
  <x:si>
    <x:t xml:space="preserve">No inventar cuarta preferencia push</x:t>
  </x:si>
  <x:si>
    <x:t xml:space="preserve">RF46–49,RF51</x:t>
  </x:si>
  <x:si>
    <x:t xml:space="preserve">Patrón: Actor → Interfaz → Control → Entidad → Control → Interfaz → Actor  |  14 pasos  |  2 bloques</x:t>
  </x:si>
  <x:si>
    <x:t xml:space="preserve">Completar filtro por categoría</x:t>
  </x:si>
  <x:si>
    <x:t xml:space="preserve">RF23,RF46–47</x:t>
  </x:si>
  <x:si>
    <x:t xml:space="preserve">Para ALERTA solo PRÓXIMA o PENDIENTE permiten continuar. Si estuviera VENCIDA, REALIZADA o ANULADA, se deriva al cierre/Historial y no se abre un destino de acción.</x:t>
  </x:si>
  <x:si>
    <x:t xml:space="preserve">Regla cruzada obligatoria</x:t>
  </x:si>
  <x:si>
    <x:t xml:space="preserve">Dependencias del RF</x:t>
  </x:si>
  <x:si>
    <x:t xml:space="preserve">El conductor selecciona Perfil desde Inicio.</x:t>
  </x:si>
  <x:si>
    <x:t xml:space="preserve">El conductor selecciona Perfil desde Inicio. Los datos oficiales no se podrán modificar manualmente: RF53 retirado; RF52 solo lectura.</x:t>
  </x:si>
  <x:si>
    <x:t xml:space="preserve">G22</x:t>
  </x:si>
  <x:si>
    <x:t xml:space="preserve">Envía solicitud autorizada.</x:t>
  </x:si>
  <x:si>
    <x:t xml:space="preserve">Fuente: Flujo acordado en conversación; RF63/64 PDF p.5-6 | Punto de partida: Existe incidencia PENDIENTE creada por RF63; admin atiende y resuelve. | 48 mensajes</x:t>
  </x:si>
  <x:si>
    <x:t xml:space="preserve">Fuente: Flujo acordado en conversación; RF63/64 PDF p.5-6 | Punto de partida: Existe incidencia PENDIENTE creada por RF63; admin atiende y resuelve. | 48 mensajes | VALIDACIÓN BACKEND por operación, escritura + evento/evidencia consistente; no mostrar éxito si falla persistencia.</x:t>
  </x:si>
  <x:si>
    <x:t xml:space="preserve">Fortalecer consistencia administrativa</x:t>
  </x:si>
  <x:si>
    <x:t xml:space="preserve">Fuente: PDF p.5 y pantalla Perfil de conversación | Punto de partida: Usuario autenticado; título, categoría y descripción válidos. | 27 mensajes</x:t>
  </x:si>
  <x:si>
    <x:t xml:space="preserve">Fuente: PDF p.5 y pantalla Perfil de conversación | Punto de partida: Usuario autenticado; título, categoría y descripción válidos. | 27 mensajes | VALIDACIÓN BACKEND por operación, escritura + evento/evidencia consistente; no mostrar éxito si falla persistencia.</x:t>
  </x:si>
  <x:si>
    <x:t xml:space="preserve">G20</x:t>
  </x:si>
  <x:si>
    <x:t xml:space="preserve">[opt: imagen] Abre la pantalla de elección de fuente con opciones Cámara y Galería.</x:t>
  </x:si>
  <x:si>
    <x:t xml:space="preserve">Alinear navegación con BCE mediante mediación de controlador</x:t>
  </x:si>
  <x:si>
    <x:t xml:space="preserve">RF54,RF55</x:t>
  </x:si>
  <x:si>
    <x:t xml:space="preserve">E20</x:t>
  </x:si>
  <x:si>
    <x:t xml:space="preserve">Eliminar llamada directa entre interfaces</x:t>
  </x:si>
  <x:si>
    <x:t xml:space="preserve">G26</x:t>
  </x:si>
  <x:si>
    <x:t xml:space="preserve">[opt: imagen] Regresa al formulario sin perder los campos ya completados y deja la imagen adjunta.</x:t>
  </x:si>
  <x:si>
    <x:t xml:space="preserve">E26</x:t>
  </x:si>
  <x:si>
    <x:t xml:space="preserve">Eliminar retorno directo entre interfaces</x:t>
  </x:si>
  <x:si>
    <x:t xml:space="preserve">Abre el visor a pantalla completa, en modo lectura, conservando la referencia del documento seleccionado.</x:t>
  </x:si>
  <x:si>
    <x:t xml:space="preserve">E25</x:t>
  </x:si>
  <x:si>
    <x:t xml:space="preserve">G28</x:t>
  </x:si>
  <x:si>
    <x:t xml:space="preserve">Restablece exactamente la pantalla Información de la TIVE, con su imagen y datos consultados.</x:t>
  </x:si>
  <x:si>
    <x:t xml:space="preserve">E28</x:t>
  </x:si>
  <x:si>
    <x:t xml:space="preserve">Patrón BCE sin interacción interfaz–interfaz ni entidad–entidad | 71 pasos | 8 bloques | Requiere migración futura de estado de cuenta</x:t>
  </x:si>
  <x:si>
    <x:t xml:space="preserve">Concordancia con recuperación de cuenta</x:t>
  </x:si>
  <x:si>
    <x:t xml:space="preserve">RF58–59</x:t>
  </x:si>
  <x:si>
    <x:t xml:space="preserve">Patrón: Actor → Interfaz → Control → Entidad → Control → Interfaz → Actor  |  17 pasos  |  2 bloques</x:t>
  </x:si>
  <x:si>
    <x:t xml:space="preserve">Documentar subflujo y proveedor</x:t>
  </x:si>
  <x:si>
    <x:t xml:space="preserve">RF29,RF30,RF60</x:t>
  </x:si>
  <x:si>
    <x:t xml:space="preserve">Fuente: PDF p.3; RF28-RF30 del Excel | Punto de partida: Administrador autorizado; proveedor responde y suscripción coincide. | 35 mensajes</x:t>
  </x:si>
  <x:si>
    <x:t xml:space="preserve">Fuente: PDF p.3; RF28-RF30 del Excel | Punto de partida: Administrador autorizado; proveedor responde y suscripción coincide. | 35 mensajes | SUBFLUJO RF030_ALT_FIN_PREMIUM incluido. Google Play Billing actual requiere backend/verificación antes de producción.</x:t>
  </x:si>
  <x:si>
    <x:t xml:space="preserve">ANEXO_RF17</x:t>
  </x:si>
  <x:si>
    <x:t xml:space="preserve">Reglas, auditorías y notas conservadas de los archivos individuales. Se identifican las secciones históricas cuando corresponde.</x:t>
  </x:si>
  <x:si>
    <x:t xml:space="preserve">ANEXO HISTÓRICO / DOCUMENTAL — Las reglas vigentes están en REGLAS_TRANSVERSALES y en las hojas EF corregidas; no reimplantar datos obsoletos. Reglas, auditorías y notas conservadas de los archivos individuales. Se identifican las secciones históricas cuando corresponde.</x:t>
  </x:si>
  <x:si>
    <x:t xml:space="preserve">Precedencia de reglas actuales frente a documentos históricos</x:t>
  </x:si>
  <x:si>
    <x:t xml:space="preserve">RF17–27</x:t>
  </x:si>
  <x:si>
    <x:t xml:space="preserve">ANEXO_RF18</x:t>
  </x:si>
  <x:si>
    <x:t xml:space="preserve">ANEXO_RF19</x:t>
  </x:si>
  <x:si>
    <x:t xml:space="preserve">ANEXO_RF20</x:t>
  </x:si>
  <x:si>
    <x:t xml:space="preserve">ANEXO_RF21</x:t>
  </x:si>
  <x:si>
    <x:t xml:space="preserve">ANEXO_RF22</x:t>
  </x:si>
  <x:si>
    <x:t xml:space="preserve">ANEXO_RF23</x:t>
  </x:si>
  <x:si>
    <x:t xml:space="preserve">ANEXO_RF24</x:t>
  </x:si>
  <x:si>
    <x:t xml:space="preserve">ANEXO_RF25</x:t>
  </x:si>
  <x:si>
    <x:t xml:space="preserve">ANEXO_RF26</x:t>
  </x:si>
  <x:si>
    <x:t xml:space="preserve">ANEXO_RF27</x:t>
  </x:si>
  <x:si>
    <x:t xml:space="preserve">MYCAR · PRUEBAS MÍNIMAS DE REGRESIÓN</x:t>
  </x:si>
  <x:si>
    <x:t xml:space="preserve">Esta hoja es el control de aceptación del proyecto; ninguna prueba está marcada como aprobada sin ejecutarse.</x:t>
  </x:si>
  <x:si>
    <x:t xml:space="preserve">Prueba</x:t>
  </x:si>
  <x:si>
    <x:t xml:space="preserve">Entrada</x:t>
  </x:si>
  <x:si>
    <x:t xml:space="preserve">Resultado esperado</x:t>
  </x:si>
  <x:si>
    <x:t xml:space="preserve">Estado</x:t>
  </x:si>
  <x:si>
    <x:t xml:space="preserve">RF</x:t>
  </x:si>
  <x:si>
    <x:t xml:space="preserve">Actualizar Km</x:t>
  </x:si>
  <x:si>
    <x:t xml:space="preserve">25000→25500</x:t>
  </x:si>
  <x:si>
    <x:t xml:space="preserve">Vista previa 25000/25500; sin BD antes confirmar; un registro tras confirmación.</x:t>
  </x:si>
  <x:si>
    <x:t xml:space="preserve">PENDIENTE EJECUCIÓN</x:t>
  </x:si>
  <x:si>
    <x:t xml:space="preserve">Corregir Km</x:t>
  </x:si>
  <x:si>
    <x:t xml:space="preserve">25500→25450</x:t>
  </x:si>
  <x:si>
    <x:t xml:space="preserve">Corrección descendente válida, si es coherente con anterior histórico; auditada.</x:t>
  </x:si>
  <x:si>
    <x:t xml:space="preserve">Volver a editar</x:t>
  </x:si>
  <x:si>
    <x:t xml:space="preserve">25000→25500, cancelar preview</x:t>
  </x:si>
  <x:si>
    <x:t xml:space="preserve">0 escrituras; formulario conserva 25500.</x:t>
  </x:si>
  <x:si>
    <x:t xml:space="preserve">RF14,RF16</x:t>
  </x:si>
  <x:si>
    <x:t xml:space="preserve">Reintento tras red</x:t>
  </x:si>
  <x:si>
    <x:t xml:space="preserve">Comando duplicado con misma clave</x:t>
  </x:si>
  <x:si>
    <x:t xml:space="preserve">Máximo una lectura/corrección registrada.</x:t>
  </x:si>
  <x:si>
    <x:t xml:space="preserve">Concurrencia</x:t>
  </x:si>
  <x:si>
    <x:t xml:space="preserve">Actualizar misma versión en 2 clientes</x:t>
  </x:si>
  <x:si>
    <x:t xml:space="preserve">Segundo intento rechaza y exige vista previa con dato actual.</x:t>
  </x:si>
  <x:si>
    <x:t xml:space="preserve">Consultar Historial kilometraje</x:t>
  </x:si>
  <x:si>
    <x:t xml:space="preserve">Solo lectura; no requisito para corregir.</x:t>
  </x:si>
  <x:si>
    <x:t xml:space="preserve">RF15,RF16</x:t>
  </x:si>
  <x:si>
    <x:t xml:space="preserve">Cuenta recuperación</x:t>
  </x:si>
  <x:si>
    <x:t xml:space="preserve">Solicitud pendiente día 29 calendario</x:t>
  </x:si>
  <x:si>
    <x:t xml:space="preserve">Reactivar cuenta y cancelar solicitud atómicamente; job no elimina.</x:t>
  </x:si>
  <x:si>
    <x:t xml:space="preserve">Cuenta vencimiento</x:t>
  </x:si>
  <x:si>
    <x:t xml:space="preserve">Solicitud pendiente día 31 calendario</x:t>
  </x:si>
  <x:si>
    <x:t xml:space="preserve">Job verifica estado y solicitud no cancelada antes de supresión.</x:t>
  </x:si>
  <x:si>
    <x:t xml:space="preserve">Catálogo nuevo</x:t>
  </x:si>
  <x:si>
    <x:t xml:space="preserve">Admin registra tipo ACTIVO</x:t>
  </x:si>
  <x:si>
    <x:t xml:space="preserve">Aparece en formularios RF17/RF22/RF24; inactivo no puede seleccionarse nuevo.</x:t>
  </x:si>
  <x:si>
    <x:t xml:space="preserve">Usuario intenta editar datos RF52</x:t>
  </x:si>
  <x:si>
    <x:t xml:space="preserve">Aviso LICENCIA</x:t>
  </x:si>
  <x:si>
    <x:t xml:space="preserve">Alerta licencia propia PRÓXIMA</x:t>
  </x:si>
  <x:si>
    <x:t xml:space="preserve">Aparece en bandeja/filtro, abre RF52 sin vehículo.</x:t>
  </x:si>
  <x:si>
    <x:t xml:space="preserve">RF23,RF46–49</x:t>
  </x:si>
  <x:si>
    <x:t xml:space="preserve">Downgrade</x:t>
  </x:si>
  <x:si>
    <x:t xml:space="preserve">Premium venció sin gracia según proveedor</x:t>
  </x:si>
  <x:si>
    <x:t xml:space="preserve">Baja FREE idempotente; conserva licencia en solo lectura y pausa privilegios.</x:t>
  </x:si>
  <x:si>
    <x:t xml:space="preserve">RF30,RF60</x:t>
  </x:si>
  <x:si>
    <x:t xml:space="preserve">CAMBIOS APLICADOS — CASOS EXITOSOS</x:t>
  </x:si>
  <x:si>
    <x:t xml:space="preserve">Ajustes solicitados sobre catálogo, push, estados, RF53, navegación BCE y cierre de RF14. Original intacto.</x:t>
  </x:si>
  <x:si>
    <x:t xml:space="preserve">Celda / paso</x:t>
  </x:si>
  <x:si>
    <x:t xml:space="preserve">Problema anterior</x:t>
  </x:si>
  <x:si>
    <x:t xml:space="preserve">Corrección aplicada</x:t>
  </x:si>
  <x:si>
    <x:t xml:space="preserve">Justificación</x:t>
  </x:si>
  <x:si>
    <x:t xml:space="preserve">F28</x:t>
  </x:si>
  <x:si>
    <x:t xml:space="preserve">filtrarTiposPermitidosRF17(lista_tipos)</x:t>
  </x:si>
  <x:si>
    <x:t xml:space="preserve">filtrarTiposActivosRegistrables(lista_tipos)</x:t>
  </x:si>
  <x:si>
    <x:t xml:space="preserve">Quitar filtro cerrado de siete tipos (RF17↔RF62)</x:t>
  </x:si>
  <x:si>
    <x:t xml:space="preserve">Filtra los tipos activos a siete: Cambio de aceite, Cambio de filtros, Revisión de frenos, Neumáticos, Alineamiento y balanceo, Mantenimiento general y Otro. Excluye Inspección técnica.</x:t>
  </x:si>
  <x:si>
    <x:t xml:space="preserve">Selecciona TODOS los tipos de mantenimiento ACTIVOS habilitados para registro: los siete tipos iniciales más los incorporados por RF62. Excluye el tipo técnico Inspección técnica/CITV cuando se administra por un módulo documental distinto. No hay límite fijo de siete.</x:t>
  </x:si>
  <x:si>
    <x:t xml:space="preserve">RF17 debe aceptar catálogo ampliable</x:t>
  </x:si>
  <x:si>
    <x:t xml:space="preserve">El control entrega al registro 7 tipos iniciales más tipos adicionales ACTIVOS autorizados por RF62 iniciales más tipos adicionales ACTIVOS autorizados por RF62, una vez filtrado el catálogo activo; se excluye Inspección técnica. Los siete tipos son iniciales, no límite rígido; c</x:t>
  </x:si>
  <x:si>
    <x:t xml:space="preserve">Retorna al registro los tipos de mantenimiento ACTIVOS habilitados: siete iniciales y los adicionales creados por RF62. No se listan tipos INACTIVOS ni la inspección técnica/CITV gestionada fuera de este catálogo.</x:t>
  </x:si>
  <x:si>
    <x:t xml:space="preserve">Evitar duplicidad y contrasentido en retorno de catálogo</x:t>
  </x:si>
  <x:si>
    <x:t xml:space="preserve">F39</x:t>
  </x:si>
  <x:si>
    <x:t xml:space="preserve">mostrarFormularioRegistro(datos_vehiculo,lista_tipos_7,kilometraje_servicio,fecha_lectura,lista_talleres,tipo_aceite_registrado)</x:t>
  </x:si>
  <x:si>
    <x:t xml:space="preserve">mostrarFormularioRegistro(datos_vehiculo,lista_tipos_activos,kilometraje_servicio,fecha_lectura,lista_talleres,tipo_aceite_registrado)</x:t>
  </x:si>
  <x:si>
    <x:t xml:space="preserve">Parámetro formulario debe reflejar catálogo abierto</x:t>
  </x:si>
  <x:si>
    <x:t xml:space="preserve">Antes de autorizar el guardado, C_ValidacionMantenimiento solicita al controlador dueño del catálogo comprobar que el tipo sigue ACTIVO y pertenece a los siete permitidos de RF17/RF24. C_ControlTipoMantenimiento encapsula su consulta actual a E_TipoMantenimiento. Si no es válido,</x:t>
  </x:si>
  <x:si>
    <x:t xml:space="preserve">Antes de autorizar el guardado, C_ValidacionMantenimiento solicita al controlador dueño del catálogo comprobar que el tipo sigue ACTIVO y se encuentra habilitado dentro del catálogo activo compartido por RF17/RF22/RF24/RF62. C_ControlTipoMantenimiento encapsula su consulta actual a E_TipoMantenimiento. Si no es válido, se activa el EA y no se guarda. Se consulta el estado ACTUAL PERSISTIDO del tipo mediante E_TipoMantenimiento dentro del controlador; NO se</x:t>
  </x:si>
  <x:si>
    <x:t xml:space="preserve">Revalidación tipo abierto</x:t>
  </x:si>
  <x:si>
    <x:t xml:space="preserve">Alertas solicita al controlador responsable del catálogo los tipos de mantenimiento que pueden programarse. El catálogo de alertas de mantenimiento se restringe a los mismos siete tipos permitidos en RF17/RF24; «Inspección técnica» no es elegible aquí.</x:t>
  </x:si>
  <x:si>
    <x:t xml:space="preserve">Alertas solicita al controlador responsable los tipos de mantenimiento ACTIVOS, incluidos los siete iniciales y los adicionales habilitados por RF62. El catálogo compartido es el de RF17 y RF24. Se excluye Inspección técnica/CITV, que cuenta con tratamiento documental independiente.</x:t>
  </x:si>
  <x:si>
    <x:t xml:space="preserve">Unificar selector y validaciones RF22 con catálogo RF62</x:t>
  </x:si>
  <x:si>
    <x:t xml:space="preserve">G12</x:t>
  </x:si>
  <x:si>
    <x:t xml:space="preserve">El controlador de tipos consulta el catálogo activo. El catálogo fuente sigue siendo el de tipos activos; el filtrado a siete tipos corresponde a C_ControlTipoMantenimiento, no a E_TipoMantenimiento.</x:t>
  </x:si>
  <x:si>
    <x:t xml:space="preserve">Consulta el catálogo de tipos de mantenimiento ACTIVOS, sin restringirlo a los siete iniciales. La exclusión de servicios ajenos a mantenimiento corresponde al controlador del catálogo, no a la entidad.</x:t>
  </x:si>
  <x:si>
    <x:t xml:space="preserve">C_ControlTipoMantenimiento devuelve SOLAMENTE la intersección de tipos ACTIVOS con los siete admitidos por RF17: Cambio de aceite, Cambio de filtros, Revisión de frenos, Neumáticos, Alineamiento y balanceo, Mantenimiento general y Otro. Excluye Inspección técnica. El filtrado se</x:t>
  </x:si>
  <x:si>
    <x:t xml:space="preserve">Devuelve TODOS los tipos de mantenimiento ACTIVOS habilitados: los siete iniciales más los creados y activados mediante RF62. Excluye Inspección técnica/CITV cuando se gestiona por su módulo propio; no aplica un máximo de siete.</x:t>
  </x:si>
  <x:si>
    <x:t xml:space="preserve">Se abre «Programar mantenimiento». Vehículo ACTIVO de contexto o principal autoseleccionado; tipo por elegir. La pantalla conservará las opciones Por tiempo, Por km y Ambos; SOAT no forma parte del catálogo. El selector incluye solo esos siete tipos activos. El campo «Especificar</x:t>
  </x:si>
  <x:si>
    <x:t xml:space="preserve">Abre Programar mantenimiento con los vehículos ACTIVOS y el catálogo de tipos ACTIVOS completo. Conserva Por tiempo, Por km y Ambos; SOAT y CITV no son tipos de mantenimiento. Para OTRO conserva Especificar servicio y las sugerencias condicionales.</x:t>
  </x:si>
  <x:si>
    <x:t xml:space="preserve">Alertas solicita al controlador responsable del catálogo validar el tipo de mantenimiento seleccionado. La validación contempla 7 tipos iniciales más tipos adicionales ACTIVOS autorizados por RF62 iniciales más tipos adicionales ACTIVOS autorizados por RF62 permitido en RF17, no</x:t>
  </x:si>
  <x:si>
    <x:t xml:space="preserve">Solicita comprobar que el tipo seleccionado pertenece al catálogo compartido RF17/RF22/RF24, está ACTIVO y no es un tipo técnico ajeno; también admite nuevos tipos habilitados por RF62.</x:t>
  </x:si>
  <x:si>
    <x:t xml:space="preserve">El controlador de tipos consulta que el registro seleccionado continúe activo. La entidad devuelve el estado vigente del registro; C_ControlTipoMantenimiento aplica además la política de los siete tipos permitidos.</x:t>
  </x:si>
  <x:si>
    <x:t xml:space="preserve">Consulta el registro y su estado actualizado. C_ControlTipoMantenimiento valida existencia, ACTIVO y pertenencia al catálogo registrable ampliable, nunca solamente los siete iniciales.</x:t>
  </x:si>
  <x:si>
    <x:t xml:space="preserve">El controlador de tipos devuelve a Alertas el tipo validado, manteniendo encapsulado el acceso a la entidad. Confirma simultáneamente existencia, estado ACTIVO y pertenencia a los siete tipos admitidos por RF17/RF24.</x:t>
  </x:si>
  <x:si>
    <x:t xml:space="preserve">Retorna el tipo seleccionado tras comprobar existencia, estado ACTIVO y pertenencia al catálogo de mantenimiento compartido con RF17/RF24, incluidos los adicionales de RF62.</x:t>
  </x:si>
  <x:si>
    <x:t xml:space="preserve">G77</x:t>
  </x:si>
  <x:si>
    <x:t xml:space="preserve">Antes de persistir, solicita verificar que el tipo seleccionado siga ACTIVO y pertenezca a los tipos de mantenimiento permitidos en RF22. En este EF la respuesta es satisfactoria; una desactivación corresponde a EA12. Aplica EXACTAMENTE los siete tipos válidos de RF17/RF24, ademá</x:t>
  </x:si>
  <x:si>
    <x:t xml:space="preserve">Revalida antes de persistir que el tipo continúa ACTIVO y habilitado para mantenimiento, sea uno de los siete iniciales o uno nuevo de RF62. Inspección técnica/CITV no es seleccionable en este módulo. Si no cumple, ejecutar EA12 sin guardar.</x:t>
  </x:si>
  <x:si>
    <x:t xml:space="preserve">G80</x:t>
  </x:si>
  <x:si>
    <x:t xml:space="preserve">El controlador de alertas recibe confirmación positiva y puede seguir con la revalidación del historial opcional. El retorno positivo garantiza ACTIVO y pertenencia al mismo conjunto permitido que RF17 y RF24.</x:t>
  </x:si>
  <x:si>
    <x:t xml:space="preserve">Confirma tipo ACTIVO y habilitado en el catálogo compartido con RF17 y RF24; incluye tipos agregados mediante RF62. Solo entonces prosigue el guardado de la alerta.</x:t>
  </x:si>
  <x:si>
    <x:t xml:space="preserve">F14</x:t>
  </x:si>
  <x:si>
    <x:t xml:space="preserve">retornarTiposMantenimientoActivos(lista_tipos_permitidos_7)</x:t>
  </x:si>
  <x:si>
    <x:t xml:space="preserve">retornarTiposMantenimientoActivos(lista_tipos_registrables)</x:t>
  </x:si>
  <x:si>
    <x:t xml:space="preserve">Eliminar referencia a 7 en parámetro</x:t>
  </x:si>
  <x:si>
    <x:t xml:space="preserve">F16</x:t>
  </x:si>
  <x:si>
    <x:t xml:space="preserve">mostrarFormularioBase(lista_vehiculos,vehiculo_inicial,lista_tipos_permitidos_7)</x:t>
  </x:si>
  <x:si>
    <x:t xml:space="preserve">mostrarFormularioBase(lista_vehiculos,vehiculo_inicial,lista_tipos_registrables)</x:t>
  </x:si>
  <x:si>
    <x:t xml:space="preserve">Eliminar lista _7 en formulario</x:t>
  </x:si>
  <x:si>
    <x:t xml:space="preserve">F57</x:t>
  </x:si>
  <x:si>
    <x:t xml:space="preserve">consultarPreferenciasEnvioExternoUsuarios(idsUsuario,categorias)</x:t>
  </x:si>
  <x:si>
    <x:t xml:space="preserve">RF46 solicita únicamente categorías de push de RF48</x:t>
  </x:si>
  <x:si>
    <x:t xml:space="preserve">G57</x:t>
  </x:si>
  <x:si>
    <x:t xml:space="preserve">Consulta las preferencias externas solo para los avisos efectivamente reemitidos.</x:t>
  </x:si>
  <x:si>
    <x:t xml:space="preserve">Alinear RF46/RF48 sin inventar cuarta preferencia</x:t>
  </x:si>
  <x:si>
    <x:t xml:space="preserve">Eliminar LICENCIA de preferencias externas</x:t>
  </x:si>
  <x:si>
    <x:t xml:space="preserve">G59</x:t>
  </x:si>
  <x:si>
    <x:t xml:space="preserve">Subflujo reutilizable por RF21, RF23, RF31, RF32, RF33 y RF44 cuando una notificación se crea/reactiva, y por RF46 al reemitirla. Solo considera elegible un aviso si su categoría está ON y permisoDispositivo=CONCEDIDO. NO_SOLICITADO o DENEGADO impiden el push, pero no eliminan la</x:t>
  </x:si>
  <x:si>
    <x:t xml:space="preserve">Sincronizar elegibilidad de notificación externa</x:t>
  </x:si>
  <x:si>
    <x:t xml:space="preserve">Reforzar contrato RF46–RF48</x:t>
  </x:si>
  <x:si>
    <x:t xml:space="preserve">G30</x:t>
  </x:si>
  <x:si>
    <x:t xml:space="preserve">Consulta si el correo ya se encuentra registrado en alguna cuenta, sin importar si su estado es ACTIVA o ELIMINADA.</x:t>
  </x:si>
  <x:si>
    <x:t xml:space="preserve">Consulta la disponibilidad del correo considerando las cuentas conservadas en cualquier estado: ACTIVA, SUSPENDIDA, PENDIENTE_ELIMINACION y ELIMINADA_DEFINITIVA. No permite reutilizar un correo asociado a una cuenta recuperable o suspendida.</x:t>
  </x:si>
  <x:si>
    <x:t xml:space="preserve">Unificar estados de cuenta</x:t>
  </x:si>
  <x:si>
    <x:t xml:space="preserve">G31</x:t>
  </x:si>
  <x:si>
    <x:t xml:space="preserve">En el evento exitoso, la entidad confirma que no existe ninguna cuenta ACTIVA ni ELIMINADA asociada al correo, por lo que el correo está disponible para registrar una nueva cuenta.</x:t>
  </x:si>
  <x:si>
    <x:t xml:space="preserve">La consulta confirma que el correo NO está asociado a ninguna cuenta conservada, incluidos estados ACTIVA, SUSPENDIDA, PENDIENTE_ELIMINACION y ELIMINADA_DEFINITIVA. La cuenta queda disponible para nueva alta.</x:t>
  </x:si>
  <x:si>
    <x:t xml:space="preserve">Unificar disponibilidad del correo</x:t>
  </x:si>
  <x:si>
    <x:t xml:space="preserve">RF002-E1</x:t>
  </x:si>
  <x:si>
    <x:t xml:space="preserve">Consulta la cuenta asociada al correo ingresado, independientemente de que su estado sea ACTIVA o ELIMINADA.</x:t>
  </x:si>
  <x:si>
    <x:t xml:space="preserve">Busca el usuario por correo sin filtrar estado; el registro puede hallarse en ACTIVA, SUSPENDIDA, PENDIENTE_ELIMINACION y ELIMINADA_DEFINITIVA. La autorización para iniciar sesión se decide tras validar credenciales y estado.</x:t>
  </x:si>
  <x:si>
    <x:t xml:space="preserve">Unificar estados RF02</x:t>
  </x:si>
  <x:si>
    <x:t xml:space="preserve">La entidad devuelve los datos necesarios para verificar la existencia de la cuenta, la contraseña protegida y el estado ACTIVA o ELIMINADA.</x:t>
  </x:si>
  <x:si>
    <x:t xml:space="preserve">Devuelve existencia, id, hash de contraseña y estado de cuenta según catálogo ACTIVA, SUSPENDIDA, PENDIENTE_ELIMINACION y ELIMINADA_DEFINITIVA. El acceso se autoriza exclusivamente si es ACTIVA.</x:t>
  </x:si>
  <x:si>
    <x:t xml:space="preserve">Comprueba que la cuenta se encuentre exclusivamente en estado ACTIVA. Una cuenta ELIMINADA no puede iniciar sesión.</x:t>
  </x:si>
  <x:si>
    <x:t xml:space="preserve">Solo una cuenta ACTIVA puede iniciar sesión. SUSPENDIDA, PENDIENTE_ELIMINACION y ELIMINADA_DEFINITIVA no pueden obtener sesión. La recuperación de una cuenta pendiente de eliminación tiene su propio flujo autorizado (RF59); no se permite acceso directo.</x:t>
  </x:si>
  <x:si>
    <x:t xml:space="preserve">Estados no activos bloquean sesión</x:t>
  </x:si>
  <x:si>
    <x:t xml:space="preserve">Consulta la cuenta asociada al correo, independientemente de que su estado sea ACTIVA o ELIMINADA.</x:t>
  </x:si>
  <x:si>
    <x:t xml:space="preserve">Unificar estados RF03</x:t>
  </x:si>
  <x:si>
    <x:t xml:space="preserve">Comprueba que la cuenta se encuentre exclusivamente en estado ACTIVA. Una cuenta ELIMINADA no puede recuperar acceso ni generar un código de recuperación.</x:t>
  </x:si>
  <x:si>
    <x:t xml:space="preserve">Aclarar recuperación de contraseña vs cuenta</x:t>
  </x:si>
  <x:si>
    <x:t xml:space="preserve">La entidad devuelve ACTIVA o ELIMINADA para cada cuenta consultada.</x:t>
  </x:si>
  <x:si>
    <x:t xml:space="preserve">La entidad devuelve el estado real de cada usuario según el catálogo ACTIVA, SUSPENDIDA, PENDIENTE_ELIMINACION y ELIMINADA_DEFINITIVA. El motor de alertas continuará únicamente con cuentas ACTIVA y omitirá el resto, sin modificar alertas históricas.</x:t>
  </x:si>
  <x:si>
    <x:t xml:space="preserve">Unificar estados del motor automático</x:t>
  </x:si>
  <x:si>
    <x:t xml:space="preserve">G103</x:t>
  </x:si>
  <x:si>
    <x:t xml:space="preserve">El conductor consulta su alerta personal sin id_vehiculo. Termina el flujo de consulta de la pestaña LICENCIA. El motor 37–69 permanece autónomo; RF46/RF53 y la BD física tienen dependencias externas pendientes. El acceso a esta consulta fue validado para PREMIUM ACTIVA; FREE/no</x:t>
  </x:si>
  <x:si>
    <x:t xml:space="preserve">El conductor consulta su alerta personal sin id_vehiculo. Termina el flujo de consulta de la pestaña LICENCIA. El motor 37–69 permanece autónomo; RF46/RF52 y la BD física tienen dependencias de integración pendientes; RF53 está retirado y no constituye un destino. El acceso a esta consulta fue validado para PREMIUM ACTIVA; FREE/no vigente es escenario alternativo.</x:t>
  </x:si>
  <x:si>
    <x:t xml:space="preserve">Eliminar dependencia obsoleta a RF53</x:t>
  </x:si>
  <x:si>
    <x:t xml:space="preserve">A50</x:t>
  </x:si>
  <x:si>
    <x:t xml:space="preserve">BLOQUE 6 · Confirmación y regreso a gestión de kilometraje (Pasos 42–45)</x:t>
  </x:si>
  <x:si>
    <x:t xml:space="preserve">BLOQUE 6 · Confirmación y regreso a gestión de kilometraje (Pasos 42–49)</x:t>
  </x:si>
  <x:si>
    <x:t xml:space="preserve">Corregir rango del último bloque RF14</x:t>
  </x:si>
  <x:si>
    <x:t xml:space="preserve">Recuperar dato vigente del backend al regresar.</x:t>
  </x:si>
  <x:si>
    <x:t xml:space="preserve">La interfaz solicita al control releer el dato vigente, incluso tras el retorno de la confirmación; no modifica la BD. Debe mostrar el resultado en el mismo módulo.</x:t>
  </x:si>
  <x:si>
    <x:t xml:space="preserve">Completar cierre del flujo después de refresco</x:t>
  </x:si>
  <x:si>
    <x:t xml:space="preserve">Paso 19</x:t>
  </x:si>
  <x:si>
    <x:t xml:space="preserve">I_ConfirmacionEstadoCuenta -&gt; I_DetalleUsuarioAdmin</x:t>
  </x:si>
  <x:si>
    <x:t xml:space="preserve">I_ConfirmacionEstadoCuenta -&gt; C_ControlCuenta -&gt; I_DetalleUsuarioAdmin</x:t>
  </x:si>
  <x:si>
    <x:t xml:space="preserve">Sustituir comunicación directa interfaz–interfaz por intermediación de control</x:t>
  </x:si>
  <x:si>
    <x:t xml:space="preserve">Paso 29</x:t>
  </x:si>
  <x:si>
    <x:t xml:space="preserve">I_ResultadoVerificacion -&gt; I_DetalleSuscripcionAdmin</x:t>
  </x:si>
  <x:si>
    <x:t xml:space="preserve">I_ResultadoVerificacion -&gt; C_ControlSuscripcionAdmin -&gt; I_DetalleSuscripcionAdmin</x:t>
  </x:si>
  <x:si>
    <x:t xml:space="preserve">Paso 34</x:t>
  </x:si>
  <x:si>
    <x:t xml:space="preserve">I_DetalleIncidenciaAdmin -&gt; I_AgregarAvanceIncidencia</x:t>
  </x:si>
  <x:si>
    <x:t xml:space="preserve">I_DetalleIncidenciaAdmin -&gt; C_ControlIncidencia -&gt; I_AgregarAvanceIncidencia</x:t>
  </x:si>
  <x:si>
    <x:t xml:space="preserve">Paso 40</x:t>
  </x:si>
  <x:si>
    <x:t xml:space="preserve">I_DetalleIncidenciaAdmin -&gt; I_ActualizarEstadoIncidencia</x:t>
  </x:si>
  <x:si>
    <x:t xml:space="preserve">I_DetalleIncidenciaAdmin -&gt; C_ControlIncidencia -&gt; I_ActualizarEstadoIncidencia</x:t>
  </x:si>
  <x:si>
    <x:t xml:space="preserve">Paso 8</x:t>
  </x:si>
  <x:si>
    <x:t xml:space="preserve">I_RegistroIncidenciaUsuario -&gt; I_SeleccionarEvidenciaIncidencia</x:t>
  </x:si>
  <x:si>
    <x:t xml:space="preserve">I_RegistroIncidenciaUsuario -&gt; C_ControlIncidencia -&gt; I_SeleccionarEvidenciaIncidencia</x:t>
  </x:si>
  <x:si>
    <x:t xml:space="preserve">Paso 13</x:t>
  </x:si>
  <x:si>
    <x:t xml:space="preserve">I_SeleccionarEvidenciaIncidencia -&gt; I_RegistroIncidenciaUsuario</x:t>
  </x:si>
  <x:si>
    <x:t xml:space="preserve">I_SeleccionarEvidenciaIncidencia -&gt; C_ControlIncidencia -&gt; I_RegistroIncidenciaUsuario</x:t>
  </x:si>
  <x:si>
    <x:t xml:space="preserve">Paso 22</x:t>
  </x:si>
  <x:si>
    <x:t xml:space="preserve">I_DetalleIncidenciaUsuario -&gt; I_MisIncidencias</x:t>
  </x:si>
  <x:si>
    <x:t xml:space="preserve">I_DetalleIncidenciaUsuario -&gt; C_ControlIncidencia -&gt; I_MisIncidencias</x:t>
  </x:si>
  <x:si>
    <x:t xml:space="preserve">Paso 46</x:t>
  </x:si>
  <x:si>
    <x:t xml:space="preserve">Solicitud de refresco sin respuesta</x:t>
  </x:si>
  <x:si>
    <x:t xml:space="preserve">C_ControlKilometraje -&gt; E_Kilometraje: consultarKilometrajeVigente(idVehiculo)</x:t>
  </x:si>
  <x:si>
    <x:t xml:space="preserve">Mostrar el valor vigente tras guardar</x:t>
  </x:si>
  <x:si>
    <x:t xml:space="preserve">Paso 47</x:t>
  </x:si>
  <x:si>
    <x:t xml:space="preserve">E_Kilometraje -&gt; C_ControlKilometraje: retornarKilometrajeVigente(kmActual)</x:t>
  </x:si>
  <x:si>
    <x:t xml:space="preserve">Paso 48</x:t>
  </x:si>
  <x:si>
    <x:t xml:space="preserve">C_ControlKilometraje -&gt; I_ActualizarKilometraje: mostrarKilometrajeVigente(kmActual)</x:t>
  </x:si>
  <x:si>
    <x:t xml:space="preserve">Paso 49</x:t>
  </x:si>
  <x:si>
    <x:t xml:space="preserve">I_ActualizarKilometraje -&gt; AS_Usuario: visualizarKilometrajeVigente(kmActual)</x:t>
  </x:si>
  <x:si>
    <x:t xml:space="preserve">F51</x:t>
  </x:si>
  <x:si>
    <x:t xml:space="preserve">validarDatosRegistro(datos_mantenimiento,lista_tipos_7,km_servicio_validado,fecha_lectura_o_contexto)</x:t>
  </x:si>
  <x:si>
    <x:t xml:space="preserve">validarDatosRegistro(datos_mantenimiento,lista_tipos_registrables,km_servicio_validado,fecha_lectura_o_contexto)</x:t>
  </x:si>
  <x:si>
    <x:t xml:space="preserve">Parámetro de validación coherente con catálogo ampliable RF62</x:t>
  </x:si>
  <x:si>
    <x:t xml:space="preserve">Retirar alusión a RF53 fuera de hoja reservada</x:t>
  </x:si>
  <x:si>
    <x:t xml:space="preserve">Muestra número, DNI, clase si existe, categoría, expedición opcional, revalidación, restricciones opcionales, estado administrativo y última verificación; sin botón Actualizar ni referencia a RF53.</x:t>
  </x:si>
  <x:si>
    <x:t xml:space="preserve">Muestra número, DNI, clase si existe, categoría, expedición opcional, revalidación, restricciones opcionales, estado administrativo y última verificación; los datos oficiales son de solo lectura y no existe edición manual.</x:t>
  </x:si>
  <x:si>
    <x:t xml:space="preserve">Eliminar referencia textual innecesaria a RF53</x:t>
  </x:si>
  <x:si>
    <x:t xml:space="preserve">COMPROBACIÓN CRUZADA — SOLO FLUJOS EXITOSOS</x:t>
  </x:si>
  <x:si>
    <x:t xml:space="preserve">Control focalizado: estados, catálogo, push, RF53, 7 violaciones BCE y retorno de RF14. No sustituye pruebas de BD, API o escenarios alternativos.</x:t>
  </x:si>
  <x:si>
    <x:t xml:space="preserve">Hoja del flujo</x:t>
  </x:si>
  <x:si>
    <x:t xml:space="preserve">Estado de los controles revisados</x:t>
  </x:si>
  <x:si>
    <x:t xml:space="preserve">Resultado / limitación</x:t>
  </x:si>
  <x:si>
    <x:t xml:space="preserve">COHERENCIA FOCALIZADA OK</x:t>
  </x:si>
  <x:si>
    <x:t xml:space="preserve">42 mensajes. Sin errores en los criterios focalizados; no equivale a validar BD, APIs ni escenarios alternativos.</x:t>
  </x:si>
  <x:si>
    <x:t xml:space="preserve">35 mensajes. Sin errores en los criterios focalizados; no equivale a validar BD, APIs ni escenarios alternativos.</x:t>
  </x:si>
  <x:si>
    <x:t xml:space="preserve">61 mensajes. Sin errores en los criterios focalizados; no equivale a validar BD, APIs ni escenarios alternativos.</x:t>
  </x:si>
  <x:si>
    <x:t xml:space="preserve">RF006-E1</x:t>
  </x:si>
  <x:si>
    <x:t xml:space="preserve">23 mensajes. Sin errores en los criterios focalizados; no equivale a validar BD, APIs ni escenarios alternativos.</x:t>
  </x:si>
  <x:si>
    <x:t xml:space="preserve">71 mensajes. Sin errores en los criterios focalizados; no equivale a validar BD, APIs ni escenarios alternativos.</x:t>
  </x:si>
  <x:si>
    <x:t xml:space="preserve">RF008-EF1</x:t>
  </x:si>
  <x:si>
    <x:t xml:space="preserve">54 mensajes. Sin errores en los criterios focalizados; no equivale a validar BD, APIs ni escenarios alternativos.</x:t>
  </x:si>
  <x:si>
    <x:t xml:space="preserve">RF009-EF1</x:t>
  </x:si>
  <x:si>
    <x:t xml:space="preserve">49 mensajes. Sin errores en los criterios focalizados; no equivale a validar BD, APIs ni escenarios alternativos.</x:t>
  </x:si>
  <x:si>
    <x:t xml:space="preserve">RF010-EF1</x:t>
  </x:si>
  <x:si>
    <x:t xml:space="preserve">24 mensajes. Sin errores en los criterios focalizados; no equivale a validar BD, APIs ni escenarios alternativos.</x:t>
  </x:si>
  <x:si>
    <x:t xml:space="preserve">32 mensajes. Sin errores en los criterios focalizados; no equivale a validar BD, APIs ni escenarios alternativos.</x:t>
  </x:si>
  <x:si>
    <x:t xml:space="preserve">63 mensajes. Sin errores en los criterios focalizados; no equivale a validar BD, APIs ni escenarios alternativos.</x:t>
  </x:si>
  <x:si>
    <x:t xml:space="preserve">44 mensajes. Sin errores en los criterios focalizados; no equivale a validar BD, APIs ni escenarios alternativos.</x:t>
  </x:si>
  <x:si>
    <x:t xml:space="preserve">45 mensajes. Sin errores en los criterios focalizados; no equivale a validar BD, APIs ni escenarios alternativos.</x:t>
  </x:si>
  <x:si>
    <x:t xml:space="preserve">38 mensajes. Sin errores en los criterios focalizados; no equivale a validar BD, APIs ni escenarios alternativos.</x:t>
  </x:si>
  <x:si>
    <x:t xml:space="preserve">75 mensajes. Sin errores en los criterios focalizados; no equivale a validar BD, APIs ni escenarios alternativos.</x:t>
  </x:si>
  <x:si>
    <x:t xml:space="preserve">22 mensajes. Sin errores en los criterios focalizados; no equivale a validar BD, APIs ni escenarios alternativos.</x:t>
  </x:si>
  <x:si>
    <x:t xml:space="preserve">102 mensajes. Sin errores en los criterios focalizados; no equivale a validar BD, APIs ni escenarios alternativos.</x:t>
  </x:si>
  <x:si>
    <x:t xml:space="preserve">88 mensajes. Sin errores en los criterios focalizados; no equivale a validar BD, APIs ni escenarios alternativos.</x:t>
  </x:si>
  <x:si>
    <x:t xml:space="preserve">40 mensajes. Sin errores en los criterios focalizados; no equivale a validar BD, APIs ni escenarios alternativos.</x:t>
  </x:si>
  <x:si>
    <x:t xml:space="preserve">39 mensajes. Sin errores en los criterios focalizados; no equivale a validar BD, APIs ni escenarios alternativos.</x:t>
  </x:si>
  <x:si>
    <x:t xml:space="preserve">56 mensajes. Sin errores en los criterios focalizados; no equivale a validar BD, APIs ni escenarios alternativos.</x:t>
  </x:si>
  <x:si>
    <x:t xml:space="preserve">19 mensajes. Sin errores en los criterios focalizados; no equivale a validar BD, APIs ni escenarios alternativos.</x:t>
  </x:si>
  <x:si>
    <x:t xml:space="preserve">17 mensajes. Sin errores en los criterios focalizados; no equivale a validar BD, APIs ni escenarios alternativos.</x:t>
  </x:si>
  <x:si>
    <x:t xml:space="preserve">48 mensajes. Sin errores en los criterios focalizados; no equivale a validar BD, APIs ni escenarios alternativos.</x:t>
  </x:si>
  <x:si>
    <x:t xml:space="preserve">77 mensajes. Sin errores en los criterios focalizados; no equivale a validar BD, APIs ni escenarios alternativos.</x:t>
  </x:si>
  <x:si>
    <x:t xml:space="preserve">55 mensajes. Sin errores en los criterios focalizados; no equivale a validar BD, APIs ni escenarios alternativos.</x:t>
  </x:si>
  <x:si>
    <x:t xml:space="preserve">25 mensajes. Sin errores en los criterios focalizados; no equivale a validar BD, APIs ni escenarios alternativos.</x:t>
  </x:si>
  <x:si>
    <x:t xml:space="preserve">30 mensajes. Sin errores en los criterios focalizados; no equivale a validar BD, APIs ni escenarios alternativos.</x:t>
  </x:si>
  <x:si>
    <x:t xml:space="preserve">31 mensajes. Sin errores en los criterios focalizados; no equivale a validar BD, APIs ni escenarios alternativos.</x:t>
  </x:si>
  <x:si>
    <x:t xml:space="preserve">27 mensajes. Sin errores en los criterios focalizados; no equivale a validar BD, APIs ni escenarios alternativos.</x:t>
  </x:si>
  <x:si>
    <x:t xml:space="preserve">18 mensajes. Sin errores en los criterios focalizados; no equivale a validar BD, APIs ni escenarios alternativos.</x:t>
  </x:si>
  <x:si>
    <x:t xml:space="preserve">28 mensajes. Sin errores en los criterios focalizados; no equivale a validar BD, APIs ni escenarios alternativos.</x:t>
  </x:si>
  <x:si>
    <x:t xml:space="preserve">57 mensajes. Sin errores en los criterios focalizados; no equivale a validar BD, APIs ni escenarios alternativos.</x:t>
  </x:si>
  <x:si>
    <x:t xml:space="preserve">50 mensajes. Sin errores en los criterios focalizados; no equivale a validar BD, APIs ni escenarios alternativos.</x:t>
  </x:si>
  <x:si>
    <x:t xml:space="preserve">33 mensajes. Sin errores en los criterios focalizados; no equivale a validar BD, APIs ni escenarios alternativos.</x:t>
  </x:si>
  <x:si>
    <x:t xml:space="preserve">21 mensajes. Sin errores en los criterios focalizados; no equivale a validar BD, APIs ni escenarios alternativos.</x:t>
  </x:si>
  <x:si>
    <x:t xml:space="preserve">14 mensajes. Sin errores en los criterios focalizados; no equivale a validar BD, APIs ni escenarios alternativos.</x:t>
  </x:si>
  <x:si>
    <x:t xml:space="preserve">53 mensajes. Sin errores en los criterios focalizados; no equivale a validar BD, APIs ni escenarios alternativos.</x:t>
  </x:si>
  <x:si>
    <x:t xml:space="preserve">20 mensajes. Sin errores en los criterios focalizados; no equivale a validar BD, APIs ni escenarios alternativos.</x:t>
  </x:si>
  <x:si>
    <x:t xml:space="preserve">36 mensajes. Sin errores en los criterios focalizados; no equivale a validar BD, APIs ni escenarios alternativos.</x:t>
  </x:si>
  <x:si>
    <x:t xml:space="preserve">29 mensajes. Sin errores en los criterios focalizados; no equivale a validar BD, APIs ni escenarios alternativos.</x:t>
  </x:si>
  <x:si>
    <x:t xml:space="preserve">RESULTADOS</x:t>
  </x:si>
  <x:si>
    <x:t xml:space="preserve">Punto de control</x:t>
  </x:si>
  <x:si>
    <x:t xml:space="preserve">Conclusión</x:t>
  </x:si>
  <x:si>
    <x:t xml:space="preserve">Catálogo de tipos</x:t>
  </x:si>
  <x:si>
    <x:t xml:space="preserve">RF17 / RF22 / RF62</x:t>
  </x:si>
  <x:si>
    <x:t xml:space="preserve">ALINEADO</x:t>
  </x:si>
  <x:si>
    <x:t xml:space="preserve">Siete tipos iniciales más todos los tipos ACTIVOS habilitados por RF62; CITV no es tipo registrable de mantenimiento.</x:t>
  </x:si>
  <x:si>
    <x:t xml:space="preserve">PUSH</x:t>
  </x:si>
  <x:si>
    <x:t xml:space="preserve">RF46 / RF48</x:t>
  </x:si>
  <x:si>
    <x:t xml:space="preserve">Solo Mantenimiento, SOAT y Kilometraje tienen preferencias push. LICENCIA sigue disponible en la bandeja interna.</x:t>
  </x:si>
  <x:si>
    <x:t xml:space="preserve">RF01/02/03/07/23/58/59</x:t>
  </x:si>
  <x:si>
    <x:t xml:space="preserve">Catálogo ACTIVA / SUSPENDIDA / PENDIENTE_ELIMINACION / ELIMINADA_DEFINITIVA. Login y motor automático requieren ACTIVA.</x:t>
  </x:si>
  <x:si>
    <x:t xml:space="preserve">BCE</x:t>
  </x:si>
  <x:si>
    <x:t xml:space="preserve">RF59/60/61/63/64</x:t>
  </x:si>
  <x:si>
    <x:t xml:space="preserve">CORREGIDO</x:t>
  </x:si>
  <x:si>
    <x:t xml:space="preserve">Siete saltos interfaz a interfaz reemplazados por mediación de control; numeración renovada.</x:t>
  </x:si>
  <x:si>
    <x:t xml:space="preserve">KM</x:t>
  </x:si>
  <x:si>
    <x:t xml:space="preserve">Lectura de E_Kilometraje + retorno al control + actualización de interfaz + visualización por actor (pasos 46–49).</x:t>
  </x:si>
  <x:si>
    <x:t xml:space="preserve">Alcance</x:t>
  </x:si>
  <x:si>
    <x:t xml:space="preserve">Solo exitosos</x:t>
  </x:si>
  <x:si>
    <x:t xml:space="preserve">REVISIÓN FOCALIZADA</x:t>
  </x:si>
  <x:si>
    <x:t xml:space="preserve">Sin hallazgos en estos controles; no certifica flujos alternativos, modelo físico, API ni otras decisiones no revisadas.</x:t>
  </x:si>
  <x:si>
    <x:t xml:space="preserve">MYCAR · AUDITORÍA DE CASOS EXITOSOS — 20/10/2026</x:t>
  </x:si>
  <x:si>
    <x:t xml:space="preserve">RF / hoja</x:t>
  </x:si>
  <x:si>
    <x:t xml:space="preserve">Observación corregida</x:t>
  </x:si>
  <x:si>
    <x:t xml:space="preserve">Resultado / límite de certificación</x:t>
  </x:si>
  <x:si>
    <x:t xml:space="preserve">AF01</x:t>
  </x:si>
  <x:si>
    <x:t xml:space="preserve">RF07 (26,29–32)</x:t>
  </x:si>
  <x:si>
    <x:t xml:space="preserve">Orígenes/destinos de retornos y OTP transaccional incoherentes</x:t>
  </x:si>
  <x:si>
    <x:t xml:space="preserve">Corregidas flechas BCE y dueño de transacción OTP.</x:t>
  </x:si>
  <x:si>
    <x:t xml:space="preserve">AF02</x:t>
  </x:si>
  <x:si>
    <x:t xml:space="preserve">RF23 (76–79,88); RF52 (7–10,18)</x:t>
  </x:si>
  <x:si>
    <x:t xml:space="preserve">Free conservaba licencia en reglas, pero se le bloqueaba la lectura</x:t>
  </x:si>
  <x:si>
    <x:t xml:space="preserve">Consulta de licencia previa permitida en cuenta ACTIVA Free o Premium; alta solo Premium.</x:t>
  </x:si>
  <x:si>
    <x:t xml:space="preserve">AF03</x:t>
  </x:si>
  <x:si>
    <x:t xml:space="preserve">RF29 (33–43)</x:t>
  </x:si>
  <x:si>
    <x:t xml:space="preserve">Premium podía activarse por resultado del cliente sin verificación de proveedor</x:t>
  </x:si>
  <x:si>
    <x:t xml:space="preserve">Se exige verificación de compra de Google Play en servidor ANTES de registrar pago y activar.</x:t>
  </x:si>
  <x:si>
    <x:t xml:space="preserve">AF04</x:t>
  </x:si>
  <x:si>
    <x:t xml:space="preserve">RF59 (11–16)</x:t>
  </x:si>
  <x:si>
    <x:t xml:space="preserve">Suspensión podía confirmarse sin atomicidad de estado/sesiones/evento</x:t>
  </x:si>
  <x:si>
    <x:t xml:space="preserve">Se documenta transacción SQL y revocación externa posterior a COMMIT.</x:t>
  </x:si>
  <x:si>
    <x:t xml:space="preserve">AF05</x:t>
  </x:si>
  <x:si>
    <x:t xml:space="preserve">RF61 (18–60)</x:t>
  </x:si>
  <x:si>
    <x:t xml:space="preserve">Permisos administrativos solo descritos, no diagramados; eventos sin retorno COMMIT</x:t>
  </x:si>
  <x:si>
    <x:t xml:space="preserve">Se añaden llamadas BCE C_Autorizacion por operación y acuses/COMMIT transaccionales.</x:t>
  </x:si>
  <x:si>
    <x:t xml:space="preserve">AF06</x:t>
  </x:si>
  <x:si>
    <x:t xml:space="preserve">RF63 (21–24)</x:t>
  </x:si>
  <x:si>
    <x:t xml:space="preserve">Riesgo de incidencia creada antes de fallar evidencia</x:t>
  </x:si>
  <x:si>
    <x:t xml:space="preserve">Operación consistente; compensación si evidencia usa servicio externo.</x:t>
  </x:si>
  <x:si>
    <x:t xml:space="preserve">AF07</x:t>
  </x:si>
  <x:si>
    <x:t xml:space="preserve">RF14–RF16</x:t>
  </x:si>
  <x:si>
    <x:t xml:space="preserve">Vista previa obligatoria y corrección desde módulo Km</x:t>
  </x:si>
  <x:si>
    <x:t xml:space="preserve">Se conserva; no se introduce cambio funcional en estos flujos.</x:t>
  </x:si>
  <x:si>
    <x:t xml:space="preserve">AF08</x:t>
  </x:si>
  <x:si>
    <x:t xml:space="preserve">RF17/RF22/RF62</x:t>
  </x:si>
  <x:si>
    <x:t xml:space="preserve">Tipos de mantenimiento administrables</x:t>
  </x:si>
  <x:si>
    <x:t xml:space="preserve">Se mantiene el catálogo ACTIVO unificado, sin límite rígido de siete.</x:t>
  </x:si>
  <x:si>
    <x:t xml:space="preserve">AF09</x:t>
  </x:si>
  <x:si>
    <x:t xml:space="preserve">RF46–RF49</x:t>
  </x:si>
  <x:si>
    <x:t xml:space="preserve">Notificaciones internas de licencia y push</x:t>
  </x:si>
  <x:si>
    <x:t xml:space="preserve">Se mantiene política: LICENCIA solo bandeja interna; push configurable MANTENIMIENTO/SOAT/KM.</x:t>
  </x:si>
  <x:si>
    <x:t xml:space="preserve">AF10</x:t>
  </x:si>
  <x:si>
    <x:t xml:space="preserve">P01</x:t>
  </x:si>
  <x:si>
    <x:t xml:space="preserve">TODOS</x:t>
  </x:si>
  <x:si>
    <x:t xml:space="preserve">Alternativos y SQL físico no certificados</x:t>
  </x:si>
  <x:si>
    <x:t xml:space="preserve">No congelar completamente implementación ni alternativos; verificar contra modelo físico y pruebas.</x:t>
  </x:si>
  <x:si>
    <x:t xml:space="preserve">P02</x:t>
  </x:si>
  <x:si>
    <x:t xml:space="preserve">RF29/RF51</x:t>
  </x:si>
  <x:si>
    <x:t xml:space="preserve">Proveedores externos</x:t>
  </x:si>
  <x:si>
    <x:t xml:space="preserve">Requieren pruebas reales y políticas/accesos de Google Play y JSON.pe; no verificados por el archivo.</x:t>
  </x:si>
  <x:si>
    <x:t xml:space="preserve">VEREDICTO</x:t>
  </x:si>
  <x:si>
    <x:t xml:space="preserve">Documental — exitosos</x:t>
  </x:si>
  <x:si>
    <x:t xml:space="preserve">Sin los defectos anteriores tras corrección</x:t>
  </x:si>
  <x:si>
    <x:t xml:space="preserve">APTO PARA CONGELAMIENTO DOCUMENTAL PROVISIONAL de exitosos, condicionado a contrastar integraciones/modelo físico y revisar otros riesgos no descubiertos.</x:t>
  </x:si>
  <x:si>
    <x:t xml:space="preserve">Paso original</x:t>
  </x:si>
  <x:si>
    <x:t xml:space="preserve">Motivo de la corrección</x:t>
  </x:si>
  <x:si>
    <x:t xml:space="preserve">26</x:t>
  </x:si>
  <x:si>
    <x:t xml:space="preserve">El retorno de la entidad debe provenir de E_Usuario.</x:t>
  </x:si>
  <x:si>
    <x:t xml:space="preserve">29</x:t>
  </x:si>
  <x:si>
    <x:t xml:space="preserve">El propietario de la transacción OTP es C_EliminarCuenta, después del retorno de validación.</x:t>
  </x:si>
  <x:si>
    <x:t xml:space="preserve">30</x:t>
  </x:si>
  <x:si>
    <x:t xml:space="preserve">Retorno OTP al controlador que solicitó crearlo.</x:t>
  </x:si>
  <x:si>
    <x:t xml:space="preserve">31</x:t>
  </x:si>
  <x:si>
    <x:t xml:space="preserve">Registro del correo pendiente por el dueño de la transacción.</x:t>
  </x:si>
  <x:si>
    <x:t xml:space="preserve">32</x:t>
  </x:si>
  <x:si>
    <x:t xml:space="preserve">La entidad devuelve el acuse al controlador que la invocó.</x:t>
  </x:si>
  <x:si>
    <x:t xml:space="preserve">7</x:t>
  </x:si>
  <x:si>
    <x:t xml:space="preserve">Eliminar barrera Premium de la consulta de datos conservados.</x:t>
  </x:si>
  <x:si>
    <x:t xml:space="preserve">8</x:t>
  </x:si>
  <x:si>
    <x:t xml:space="preserve">Se verifica plan y estado, pero no se restringe la lectura a Premium.</x:t>
  </x:si>
  <x:si>
    <x:t xml:space="preserve">9</x:t>
  </x:si>
  <x:si>
    <x:t xml:space="preserve">Corregir retorno Premium exclusivo.</x:t>
  </x:si>
  <x:si>
    <x:t xml:space="preserve">10</x:t>
  </x:si>
  <x:si>
    <x:t xml:space="preserve">Alinear con conservación de datos al volver a Free.</x:t>
  </x:si>
  <x:si>
    <x:t xml:space="preserve">18</x:t>
  </x:si>
  <x:si>
    <x:t xml:space="preserve">Clarificar presentación para Free y Premium.</x:t>
  </x:si>
  <x:si>
    <x:t xml:space="preserve">76</x:t>
  </x:si>
  <x:si>
    <x:t xml:space="preserve">Alinear consulta de alertas de licencia con RF52 y Premium→Free.</x:t>
  </x:si>
  <x:si>
    <x:t xml:space="preserve">77</x:t>
  </x:si>
  <x:si>
    <x:t xml:space="preserve">Comprobar la regla de cuenta y plan de lectura.</x:t>
  </x:si>
  <x:si>
    <x:t xml:space="preserve">78</x:t>
  </x:si>
  <x:si>
    <x:t xml:space="preserve">El retorno no puede exigir Premium si Free conserva lectura.</x:t>
  </x:si>
  <x:si>
    <x:t xml:space="preserve">79</x:t>
  </x:si>
  <x:si>
    <x:t xml:space="preserve">Sincronizar pestaña personal con RF52.</x:t>
  </x:si>
  <x:si>
    <x:t xml:space="preserve">88</x:t>
  </x:si>
  <x:si>
    <x:t xml:space="preserve">Evitar referencia operativa a RF53 y eliminar ambigüedad Premium.</x:t>
  </x:si>
  <x:si>
    <x:t xml:space="preserve">33–43</x:t>
  </x:si>
  <x:si>
    <x:t xml:space="preserve">Rehacer confirmación de compra; verificar pago en servidor antes de activar derecho Premium.</x:t>
  </x:si>
  <x:si>
    <x:t xml:space="preserve">11</x:t>
  </x:si>
  <x:si>
    <x:t xml:space="preserve">Evitar suspensión parcial sin sesiones/auditoría.</x:t>
  </x:si>
  <x:si>
    <x:t xml:space="preserve">13</x:t>
  </x:si>
  <x:si>
    <x:t xml:space="preserve">No dejar sesiones efectivas después de suspender.</x:t>
  </x:si>
  <x:si>
    <x:t xml:space="preserve">16</x:t>
  </x:si>
  <x:si>
    <x:t xml:space="preserve">Cerrar transacción antes de éxito en suspensión.</x:t>
  </x:si>
  <x:si>
    <x:t xml:space="preserve">18–60</x:t>
  </x:si>
  <x:si>
    <x:t xml:space="preserve">Insertar llamadas de autorización para cuatro mutaciones y confirmación transaccional de cambios de estado.</x:t>
  </x:si>
  <x:si>
    <x:t xml:space="preserve">21</x:t>
  </x:si>
  <x:si>
    <x:t xml:space="preserve">Alta y evidencia deben quedar consistentes.</x:t>
  </x:si>
  <x:si>
    <x:t xml:space="preserve">22</x:t>
  </x:si>
  <x:si>
    <x:t xml:space="preserve">Evitar falso éxito intermedio.</x:t>
  </x:si>
  <x:si>
    <x:t xml:space="preserve">23</x:t>
  </x:si>
  <x:si>
    <x:t xml:space="preserve">Evitar incidencia parcial ante error de almacenamiento.</x:t>
  </x:si>
  <x:si>
    <x:t xml:space="preserve">24</x:t>
  </x:si>
  <x:si>
    <x:t xml:space="preserve">Éxito solamente después de persistencia consistente.</x:t>
  </x:si>
  <x:si>
    <x:t xml:space="preserve">HOJA</x:t>
  </x:si>
  <x:si>
    <x:t xml:space="preserve">RANGO / PASOS</x:t>
  </x:si>
  <x:si>
    <x:t xml:space="preserve">INTERVENCIÓN</x:t>
  </x:si>
  <x:si>
    <x:t xml:space="preserve">VERIFICACIÓN PENDIENTE</x:t>
  </x:si>
  <x:si>
    <x:t xml:space="preserve">EF01 · 51 mensajes / 7 bloques</x:t>
  </x:si>
  <x:si>
    <x:t xml:space="preserve">Se sustituye RF53 retirado por reactivación titular con credenciales + OTP, vigencia de 30 días calendario.</x:t>
  </x:si>
  <x:si>
    <x:t xml:space="preserve">Revisar nombres de entidades/controladores contra diseño físico.</x:t>
  </x:si>
  <x:si>
    <x:t xml:space="preserve">C33/E33; C35/E35; C37:E40</x:t>
  </x:si>
  <x:si>
    <x:t xml:space="preserve">Se corrigen seis pares de emisor/receptor BCE (incluido origen 0); se aclara retorno del código y correo encolado.</x:t>
  </x:si>
  <x:si>
    <x:t xml:space="preserve">Validar secuencia en diagrama UML y ejecución real.</x:t>
  </x:si>
  <x:si>
    <x:t xml:space="preserve">CONTROL_RF01_RF64</x:t>
  </x:si>
  <x:si>
    <x:t xml:space="preserve">Entrada RF53</x:t>
  </x:si>
  <x:si>
    <x:t xml:space="preserve">Se actualiza estado documental de retirado a incorporado pendiente auditoría.</x:t>
  </x:si>
  <x:si>
    <x:t xml:space="preserve">Auditoría de compañera y escenarios alternativos.</x:t>
  </x:si>
  <x:si>
    <x:t xml:space="preserve">REGLAS_TRANSVERSALES</x:t>
  </x:si>
  <x:si>
    <x:t xml:space="preserve">C4,C5 y fila 18</x:t>
  </x:si>
  <x:si>
    <x:t xml:space="preserve">Se incluyen RF53, plazo y reactivación transaccional.</x:t>
  </x:si>
  <x:si>
    <x:t xml:space="preserve">Auditar referencias de otras hojas y política de privacidad.</x:t>
  </x:si>
  <x:si>
    <x:t xml:space="preserve">Global</x:t>
  </x:si>
  <x:si>
    <x:t xml:space="preserve">107 hojas originales + hoja de cambios</x:t>
  </x:si>
  <x:si>
    <x:t xml:space="preserve">Se preservan las demás hojas del consolidado; RF17 y RF24 no se modifican.</x:t>
  </x:si>
  <x:si>
    <x:t xml:space="preserve">Validación final por el equipo.</x:t>
  </x:si>
  <x:si>
    <x:t xml:space="preserve">MYCAR | 4 DIAGRAMAS COMPLETOS Y ALCANCE VISUAL</x:t>
  </x:si>
  <x:si>
    <x:t xml:space="preserve">COLOR</x:t>
  </x:si>
  <x:si>
    <x:t xml:space="preserve">SIGNIFICADO</x:t>
  </x:si>
  <x:si>
    <x:t xml:space="preserve">SE IMPLEMENTA CUÁNDO</x:t>
  </x:si>
  <x:si>
    <x:t xml:space="preserve">CRITERIO</x:t>
  </x:si>
  <x:si>
    <x:t xml:space="preserve">AMARILLO</x:t>
  </x:si>
  <x:si>
    <x:t xml:space="preserve">MVP actual: paso necesario</x:t>
  </x:si>
  <x:si>
    <x:t xml:space="preserve">Miércoles 28/10/2026</x:t>
  </x:si>
  <x:si>
    <x:t xml:space="preserve">Ejecutar para RF08,09,10,14</x:t>
  </x:si>
  <x:si>
    <x:t xml:space="preserve">AZUL</x:t>
  </x:si>
  <x:si>
    <x:t xml:space="preserve">Versión completa: conservar</x:t>
  </x:si>
  <x:si>
    <x:t xml:space="preserve">Después del MVP</x:t>
  </x:si>
  <x:si>
    <x:t xml:space="preserve">No borrar; contiene referencias a módulos futuros</x:t>
  </x:si>
  <x:si>
    <x:t xml:space="preserve">AMARILLO (MVP)</x:t>
  </x:si>
  <x:si>
    <x:t xml:space="preserve">AZUL (COMPLETA)</x:t>
  </x:si>
  <x:si>
    <x:t xml:space="preserve">REGLA CENTRAL</x:t>
  </x:si>
  <x:si>
    <x:t xml:space="preserve">MVP: Free, vehículo + km inicial + recordatorio PAUSADO; futura compra Premium NO implementada</x:t>
  </x:si>
  <x:si>
    <x:t xml:space="preserve">Imagen personalizada</x:t>
  </x:si>
  <x:si>
    <x:t xml:space="preserve">idVehiculo es PK; VIN opcional y editable luego por RF11.</x:t>
  </x:si>
  <x:si>
    <x:t xml:space="preserve">Listado y filtrado con campos mínimos; SOAT/TIVE/foto opcionales</x:t>
  </x:si>
  <x:si>
    <x:t xml:space="preserve">Estados SOAT/TIVE e imágenes personalizadas</x:t>
  </x:si>
  <x:si>
    <x:t xml:space="preserve">Se conservan las consultas para las insignias de cada tarjeta.</x:t>
  </x:si>
  <x:si>
    <x:t xml:space="preserve">Detalle con campos base obligatorios; documento/foto personalizada opcionales</x:t>
  </x:si>
  <x:si>
    <x:t xml:space="preserve">SOAT/TIVE/imagen personalizada</x:t>
  </x:si>
  <x:si>
    <x:t xml:space="preserve">RF10 consulta documentos sin ser responsable de registrarlos.</x:t>
  </x:si>
  <x:si>
    <x:t xml:space="preserve">Vista previa → Continuar → COMMIT → Confirmación con 2 botones</x:t>
  </x:si>
  <x:si>
    <x:t xml:space="preserve">Conciliación/eventos alertas RF23; RF44; RF46</x:t>
  </x:si>
  <x:si>
    <x:t xml:space="preserve">Alternativos existentes</x:t>
  </x:si>
  <x:si>
    <x:t xml:space="preserve">Sin revisión ni edición en esta entrega (documentación separada de la usuaria)</x:t>
  </x:si>
  <x:si>
    <x:t xml:space="preserve">Conservar tal como estaban en la hoja existente</x:t>
  </x:si>
  <x:si>
    <x:t xml:space="preserve">No deducir reglas nuevas de RF014_ALT_PREVIA; no fue modificado.</x:t>
  </x:si>
  <x:si>
    <x:t xml:space="preserve">OBSERVACIÓN</x:t>
  </x:si>
  <x:si>
    <x:t xml:space="preserve">ACUERDO ACTUAL</x:t>
  </x:si>
  <x:si>
    <x:t xml:space="preserve">VERSIÓN FUTURA</x:t>
  </x:si>
  <x:si>
    <x:t xml:space="preserve">ATENCIÓN</x:t>
  </x:si>
  <x:si>
    <x:t xml:space="preserve">Identidad de vehículo</x:t>
  </x:si>
  <x:si>
    <x:t xml:space="preserve">idVehiculo PK estable; VIN único solo si informado</x:t>
  </x:si>
  <x:si>
    <x:t xml:space="preserve">RF11 corrige VIN</x:t>
  </x:si>
  <x:si>
    <x:t xml:space="preserve">El cambio de VIN no actualiza claves foráneas.</x:t>
  </x:si>
  <x:si>
    <x:t xml:space="preserve">Regla Free</x:t>
  </x:si>
  <x:si>
    <x:t xml:space="preserve">MVP: todo usuario nuevo FREE; máximo un vehículo REGISTRADO total, activo o inactivo</x:t>
  </x:si>
  <x:si>
    <x:t xml:space="preserve">Premium y pagos reales posteriores; propuesta de tres no confirmada</x:t>
  </x:si>
  <x:si>
    <x:t xml:space="preserve">No simular compras ni panel de aprobaciones en MVP.</x:t>
  </x:si>
  <x:si>
    <x:t xml:space="preserve">RF08 recordatorio</x:t>
  </x:si>
  <x:si>
    <x:t xml:space="preserve">Una config por vehículo PAUSADA, INTERDIARIO, próximo=NULL</x:t>
  </x:si>
  <x:si>
    <x:t xml:space="preserve">RF44 activa/reprograma cuando exista</x:t>
  </x:si>
  <x:si>
    <x:t xml:space="preserve">Misma transacción de vehículo + km inicial + configuración.</x:t>
  </x:si>
  <x:si>
    <x:t xml:space="preserve">SOAT/TIVE tarjeta</x:t>
  </x:si>
  <x:si>
    <x:t xml:space="preserve">SOAT/TIVE/foto personalizada son datos OPCIONALES del modelo de presentación, no API del MVP</x:t>
  </x:si>
  <x:si>
    <x:t xml:space="preserve">Completa: estado SOAT/TIVE real + foto desde fuente acordada</x:t>
  </x:si>
  <x:si>
    <x:t xml:space="preserve">Si el módulo falta mostrar 'Próximamente'; si existe y no hay documento usar 'NO_REGISTRADO'.</x:t>
  </x:si>
  <x:si>
    <x:t xml:space="preserve">FUENTE DE CRUCE</x:t>
  </x:si>
  <x:si>
    <x:t xml:space="preserve">QUÉ SE OBSERVÓ EN RF DE NAYU</x:t>
  </x:si>
  <x:si>
    <x:t xml:space="preserve">EFECTO SOBRE MIS DIAGRAMAS</x:t>
  </x:si>
  <x:si>
    <x:t xml:space="preserve">LÍMITE MVP</x:t>
  </x:si>
  <x:si>
    <x:t xml:space="preserve">RF17 · Registrar mantenimiento</x:t>
  </x:si>
  <x:si>
    <x:t xml:space="preserve">Usa último km del vehículo y guarda kmServicio como instantánea histórica.</x:t>
  </x:si>
  <x:si>
    <x:t xml:space="preserve">RF08 y RF14 mantienen lectura vigente, no reescriben kmServicio.</x:t>
  </x:si>
  <x:si>
    <x:t xml:space="preserve">Cuidado con talleres/repuestos aún no disponibles.</x:t>
  </x:si>
  <x:si>
    <x:t xml:space="preserve">RF18 · Historial mantenimiento</x:t>
  </x:si>
  <x:si>
    <x:t xml:space="preserve">Muestra kmServicio conservado, aunque luego cambie odómetro.</x:t>
  </x:si>
  <x:si>
    <x:t xml:space="preserve">RF14 debe agregar lecturas, no sobrescribir históricos de servicios.</x:t>
  </x:si>
  <x:si>
    <x:t xml:space="preserve">Consulta autorizada del vehículo.</x:t>
  </x:si>
  <x:si>
    <x:t xml:space="preserve">RF22 · Alerta manual</x:t>
  </x:si>
  <x:si>
    <x:t xml:space="preserve">RF22 toma la última lectura válida del vehículo, incluso si solo existe la INICIAL de RF08.</x:t>
  </x:si>
  <x:si>
    <x:t xml:space="preserve">MVP: RF08 crea km inicial; RF14 registra lecturas posteriores; ninguno crea alertas automáticamente.</x:t>
  </x:si>
  <x:si>
    <x:t xml:space="preserve">Fuente de lectura: servicio compartido de kilometraje.</x:t>
  </x:si>
  <x:si>
    <x:t xml:space="preserve">RF23 · Consulta / evaluación</x:t>
  </x:si>
  <x:si>
    <x:t xml:space="preserve">MVP propuesto por Nayu: al abrir Mis alertas se evalúan estados y, si cambian, se escriben ALERTA e HISTORIAL_ALERTA juntos.</x:t>
  </x:si>
  <x:si>
    <x:t xml:space="preserve">RF14 MVP nunca llama el bloque azul de alertas. Futuro: usa el MISMO motor de Nayu, post-COMMIT, idempotente y sin bloquear la confirmación.</x:t>
  </x:si>
  <x:si>
    <x:t xml:space="preserve">Para contrato RF23: POST/operación explícita de sincronización, luego GET de lectura. Validar con Nayu.</x:t>
  </x:si>
  <x:si>
    <x:t xml:space="preserve">RF50 · Inicio (futuro)</x:t>
  </x:si>
  <x:si>
    <x:t xml:space="preserve">El libro general tiene referencias a escrituras al cargar Inicio (pasos 25–32).</x:t>
  </x:si>
  <x:si>
    <x:t xml:space="preserve">Regla vigente: RF50 solo consulta; revisar ese diagrama después.</x:t>
  </x:si>
  <x:si>
    <x:t xml:space="preserve">Fuera de estos 4 RF.</x:t>
  </x:si>
  <x:si>
    <x:t xml:space="preserve">DECISIÓN MVP DE INTEGRACIÓN</x:t>
  </x:si>
  <x:si>
    <x:t xml:space="preserve">RF14 guarda kilometraje; RF23 sincroniza alertas al abrir Mis alertas.</x:t>
  </x:si>
  <x:si>
    <x:t xml:space="preserve">Si no cambia estado, no escribir ni añadir historial. Si falla RF23, RF14 no se revierte.</x:t>
  </x:si>
  <x:si>
    <x:t xml:space="preserve">Confirmar contrato de RF23 con Nayu.</x:t>
  </x:si>
  <x:si>
    <x:t xml:space="preserve">FUTURO - EVENTOS</x:t>
  </x:si>
  <x:si>
    <x:t xml:space="preserve">RF14 puede disparar evaluación por evento de km tras COMMIT utilizando el motor único de Nayu.</x:t>
  </x:si>
  <x:si>
    <x:t xml:space="preserve">Evitar duplicados con transiciones condicionales e idempotencia; no generar un evaluador paralelo.</x:t>
  </x:si>
  <x:si>
    <x:t xml:space="preserve">Mantener en azul; no ejecutar este miércoles.</x:t>
  </x:si>
  <x:si>
    <x:t xml:space="preserve">INSTRUCCIONES</x:t>
  </x:si>
  <x:si>
    <x:t xml:space="preserve">RF08/09/10/14: diagrama íntegro, H define MVP/COMPLETA.</x:t>
  </x:si>
  <x:si>
    <x:t xml:space="preserve">Alternativos separados: no cambiados.</x:t>
  </x:si>
  <x:si>
    <x:t xml:space="preserve">ÁREA</x:t>
  </x:si>
  <x:si>
    <x:t xml:space="preserve">ACUERDO O PREGUNTA</x:t>
  </x:si>
  <x:si>
    <x:t xml:space="preserve">PROPUESTA / REGLA ACTUAL</x:t>
  </x:si>
  <x:si>
    <x:t xml:space="preserve">QUIÉN DEBE CONFIRMAR</x:t>
  </x:si>
  <x:si>
    <x:t xml:space="preserve">ESTADO</x:t>
  </x:si>
  <x:si>
    <x:t xml:space="preserve">MVP PLAN</x:t>
  </x:si>
  <x:si>
    <x:t xml:space="preserve">Plan de cuenta inicial</x:t>
  </x:si>
  <x:si>
    <x:t xml:space="preserve">Elsa + Sebastián</x:t>
  </x:si>
  <x:si>
    <x:t xml:space="preserve">Cupo de RF08</x:t>
  </x:si>
  <x:si>
    <x:t xml:space="preserve">Francesca + Sebastián</x:t>
  </x:si>
  <x:si>
    <x:t xml:space="preserve">RF08 BD</x:t>
  </x:si>
  <x:si>
    <x:t xml:space="preserve">Identificador</x:t>
  </x:si>
  <x:si>
    <x:t xml:space="preserve">VEHICULO.idVehiculo PK autogenerado estable. VIN NULL permitido y UNIQUE cuando exista; PLACA globalmente UNIQUE (A1B234).</x:t>
  </x:si>
  <x:si>
    <x:t xml:space="preserve">Francesca</x:t>
  </x:si>
  <x:si>
    <x:t xml:space="preserve">ACORDADO</x:t>
  </x:si>
  <x:si>
    <x:t xml:space="preserve">Guardado transaccional</x:t>
  </x:si>
  <x:si>
    <x:t xml:space="preserve">Francesca + Elsa</x:t>
  </x:si>
  <x:si>
    <x:t xml:space="preserve">RF14 UI</x:t>
  </x:si>
  <x:si>
    <x:t xml:space="preserve">Navegación después de guardar</x:t>
  </x:si>
  <x:si>
    <x:t xml:space="preserve">RF09/RF10 UI</x:t>
  </x:si>
  <x:si>
    <x:t xml:space="preserve">SOAT / TIVE en tarjetas</x:t>
  </x:si>
  <x:si>
    <x:t xml:space="preserve">MVP: no llamar servicios sin implementar; marcar Próximamente/ocultar. Completa: consultar estados reales.</x:t>
  </x:si>
  <x:si>
    <x:t xml:space="preserve">Francesca + equipo</x:t>
  </x:si>
  <x:si>
    <x:t xml:space="preserve">ACORDADO MVP</x:t>
  </x:si>
  <x:si>
    <x:t xml:space="preserve">RF22 con RF14</x:t>
  </x:si>
  <x:si>
    <x:t xml:space="preserve">Separación de responsabilidades: RF14 registra lectura; RF23 sincroniza al abrir Mis alertas.</x:t>
  </x:si>
  <x:si>
    <x:t xml:space="preserve">Nayu + Francesca</x:t>
  </x:si>
  <x:si>
    <x:t xml:space="preserve">RF22/RF23</x:t>
  </x:si>
  <x:si>
    <x:t xml:space="preserve">Criterio/estados KM/fecha</x:t>
  </x:si>
  <x:si>
    <x:t xml:space="preserve">RF08/RF22</x:t>
  </x:si>
  <x:si>
    <x:t xml:space="preserve">Al crear vehículo, ¿nace alguna alerta?</x:t>
  </x:si>
  <x:si>
    <x:t xml:space="preserve">Francesca + Nayu</x:t>
  </x:si>
  <x:si>
    <x:t xml:space="preserve">RF14/RF23</x:t>
  </x:si>
  <x:si>
    <x:t xml:space="preserve">Errores posteriores al COMMIT</x:t>
  </x:si>
  <x:si>
    <x:t xml:space="preserve">FOTOS MVP</x:t>
  </x:si>
  <x:si>
    <x:t xml:space="preserve">Imagen del vehículo</x:t>
  </x:si>
  <x:si>
    <x:t xml:space="preserve">Default APK local; ninguna tabla PostgreSQL ni API de fotografía en MVP.</x:t>
  </x:si>
  <x:si>
    <x:t xml:space="preserve">FOTOS FUTURO</x:t>
  </x:si>
  <x:si>
    <x:t xml:space="preserve">Fuente de imagen personalizada</x:t>
  </x:si>
  <x:si>
    <x:t xml:space="preserve">Preferencia anterior: filesDir Android + referencia en Room por idVehiculo. Acordar persistencia por dispositivo o sincronización multi-dispositivo.</x:t>
  </x:si>
  <x:si>
    <x:t xml:space="preserve">PENDIENTE</x:t>
  </x:si>
  <x:si>
    <x:t xml:space="preserve">Significado E_ImagenVehiculo</x:t>
  </x:si>
  <x:si>
    <x:t xml:space="preserve">Si solo local, entidad/Repositorio Room, NO tabla PostgreSQL. Si sincronización futura, especificar servicio de medios + respaldo.</x:t>
  </x:si>
  <x:si>
    <x:t xml:space="preserve">API/MODELO</x:t>
  </x:si>
  <x:si>
    <x:t xml:space="preserve">Identidad autenticada</x:t>
  </x:si>
  <x:si>
    <x:t xml:space="preserve">Elsa + equipo</x:t>
  </x:si>
  <x:si>
    <x:t xml:space="preserve">BD TRANSVERSAL</x:t>
  </x:si>
  <x:si>
    <x:t xml:space="preserve">Claves compartidas</x:t>
  </x:si>
  <x:si>
    <x:t xml:space="preserve">Equipo</x:t>
  </x:si>
  <x:si>
    <x:t xml:space="preserve">VERSIONADO</x:t>
  </x:si>
  <x:si>
    <x:t xml:space="preserve">Evolución futura</x:t>
  </x:si>
  <x:si>
    <x:t xml:space="preserve">Mantener consultas SOAT/TIVE/fotos y motores RF44/RF46 en azul, pero no son dependencias obligatorias del MVP.</x:t>
  </x:si>
  <x:si>
    <x:t xml:space="preserve">HOJA / PASOS</x:t>
  </x:si>
  <x:si>
    <x:t xml:space="preserve">CAMBIO REALIZADO</x:t>
  </x:si>
  <x:si>
    <x:t xml:space="preserve">RF08, paso 20</x:t>
  </x:si>
  <x:si>
    <x:t xml:space="preserve">Se ratifica placa A1B234 sin guion y UNIQUE global; los alternativos externos no se editan.</x:t>
  </x:si>
  <x:si>
    <x:t xml:space="preserve">RF08, pasos 7–10</x:t>
  </x:si>
  <x:si>
    <x:t xml:space="preserve">Plan Free desde asignación de usuario, sin suscripción/Google Play; Premium sigue documentado para después.</x:t>
  </x:si>
  <x:si>
    <x:t xml:space="preserve">MVP + futuro</x:t>
  </x:si>
  <x:si>
    <x:t xml:space="preserve">RF08, pasos 17 y 32</x:t>
  </x:si>
  <x:si>
    <x:t xml:space="preserve">idOperacion viaja con intento y se utiliza para garantizar un alta única y registro atómico.</x:t>
  </x:si>
  <x:si>
    <x:t xml:space="preserve">RF08, alternativa Ir inicio</x:t>
  </x:si>
  <x:si>
    <x:t xml:space="preserve">Se unifica I_ConfirmacionRegistroVehiculo como interfaz de salida.</x:t>
  </x:si>
  <x:si>
    <x:t xml:space="preserve">RF09, pasos 21 y 46</x:t>
  </x:si>
  <x:si>
    <x:t xml:space="preserve">Mapas SOAT/TIVE/imagen opcionales; campos de tarjetas definidos y 'Próximamente' sin módulos.</x:t>
  </x:si>
  <x:si>
    <x:t xml:space="preserve">RF10, paso 22</x:t>
  </x:si>
  <x:si>
    <x:t xml:space="preserve">Campos obligatorios/optionales del detalle explícitos; preservadas las reglas TIVE/SOAT de versión completa.</x:t>
  </x:si>
  <x:si>
    <x:t xml:space="preserve">RF14, pasos 14–17</x:t>
  </x:si>
  <x:si>
    <x:t xml:space="preserve">Vista previa permite Volver a editar y Continuar; Continuar ejecuta guardado.</x:t>
  </x:si>
  <x:si>
    <x:t xml:space="preserve">RF14, pasos 42–53</x:t>
  </x:si>
  <x:si>
    <x:t xml:space="preserve">RF14, pasos 25–41</x:t>
  </x:si>
  <x:si>
    <x:t xml:space="preserve">Se conserva integración con alertas RF23, recordatorios RF44 y notificaciones RF46 como versión completa.</x:t>
  </x:si>
  <x:si>
    <x:t xml:space="preserve">RF014_ALT_PREVIA</x:t>
  </x:si>
  <x:si>
    <x:t xml:space="preserve">Sin modificaciones por indicación de usuaria: revisa alternativos en su archivo separado.</x:t>
  </x:si>
  <x:si>
    <x:t xml:space="preserve">SIN CAMBIOS</x:t>
  </x:si>
  <x:si>
    <x:t xml:space="preserve">RF14, pasos 25–33</x:t>
  </x:si>
  <x:si>
    <x:t xml:space="preserve">Marcados expresamente SOLO COMPLETA: NO se llaman en el MVP; el único motor de Nayu puede procesarlos después del COMMIT en el futuro.</x:t>
  </x:si>
  <x:si>
    <x:t xml:space="preserve">RF14, pasos 23–24</x:t>
  </x:si>
  <x:si>
    <x:t xml:space="preserve">Aclarado que se persiste una sola lectura y no se escribe ALERTA/HISTORIAL_ALERTA.</x:t>
  </x:si>
  <x:si>
    <x:t xml:space="preserve">RF14, pasos 42/46/52</x:t>
  </x:si>
  <x:si>
    <x:t xml:space="preserve">RF08, pasos 39–40</x:t>
  </x:si>
  <x:si>
    <x:t xml:space="preserve">Lectura inicial válida como fuente para RF22/RF23; RF08 no crea alertas automáticas.</x:t>
  </x:si>
  <x:si>
    <x:t xml:space="preserve">RF14 + RF23 · Nayu</x:t>
  </x:si>
  <x:si>
    <x:t xml:space="preserve">Propuesta coordinada: sincronización al abrir Mis alertas, con estados/historial transaccionales, sin escribir a través de GET.</x:t>
  </x:si>
  <x:si>
    <x:t xml:space="preserve">PENDIENTE VALIDACIÓN API</x:t>
  </x:si>
  <x:si>
    <x:t xml:space="preserve">RF09 / RF10 / alternativos</x:t>
  </x:si>
  <x:si>
    <x:t xml:space="preserve">Sin cambios: conservar TIVE/SOAT/fotografías futuras y los alternativos existentes.</x:t>
  </x:si>
  <x:si>
    <x:t xml:space="preserve">FLUJO / RF</x:t>
  </x:si>
  <x:si>
    <x:t xml:space="preserve">DECISIÓN DE MVP (ALINEADA CON LA PROPUESTA DE NAYU)</x:t>
  </x:si>
  <x:si>
    <x:t xml:space="preserve">QUIÉN EJECUTA</x:t>
  </x:si>
  <x:si>
    <x:t xml:space="preserve">PERSISTENCIA / BD</x:t>
  </x:si>
  <x:si>
    <x:t xml:space="preserve">ESTADO / NOTA</x:t>
  </x:si>
  <x:si>
    <x:t xml:space="preserve">RF08 → KM inicial</x:t>
  </x:si>
  <x:si>
    <x:t xml:space="preserve">Alta de vehículo crea UNA primera lectura válida + una config de recordatorio INTERDIARIO/PAUSADO en la misma transacción; no genera alerta.</x:t>
  </x:si>
  <x:si>
    <x:t xml:space="preserve">Francesca · RF08</x:t>
  </x:si>
  <x:si>
    <x:t xml:space="preserve">VEHICULO + LECTURA_KILOMETRAJE + CONFIG_RECORDATORIO_KM</x:t>
  </x:si>
  <x:si>
    <x:t xml:space="preserve">AMARILLO · vigente</x:t>
  </x:si>
  <x:si>
    <x:t xml:space="preserve">RF14 → KM posterior</x:t>
  </x:si>
  <x:si>
    <x:t xml:space="preserve">Al pulsar Continuar en vista previa, revalidar km/versión, guardar una lectura idempotente y mostrar I_ConfirmacionKilometraje; no evaluar alerta.</x:t>
  </x:si>
  <x:si>
    <x:t xml:space="preserve">Francesca · RF14</x:t>
  </x:si>
  <x:si>
    <x:t xml:space="preserve">LECTURA_KILOMETRAJE (INSERT único por idOperacion)</x:t>
  </x:si>
  <x:si>
    <x:t xml:space="preserve">Solo lecturas autorizadas, sin nuevas escrituras</x:t>
  </x:si>
  <x:si>
    <x:t xml:space="preserve">RF22 → KM de referencia</x:t>
  </x:si>
  <x:si>
    <x:t xml:space="preserve">Al crear alerta por KM/AMBOS se consulta última lectura válida y efectiva, sea INICIAL (RF08) o posterior (RF14); nunca se actualiza km desde RF22.</x:t>
  </x:si>
  <x:si>
    <x:t xml:space="preserve">Nayu · RF22</x:t>
  </x:si>
  <x:si>
    <x:t xml:space="preserve">LECTURA_KILOMETRAJE (solo lectura)</x:t>
  </x:si>
  <x:si>
    <x:t xml:space="preserve">RF23 → Apertura de alertas</x:t>
  </x:si>
  <x:si>
    <x:t xml:space="preserve">Al abrir Mis alertas, comparar objetivos/umbrales con fecha y, si aplica, última lectura válida; identificar SOLO transiciones reales.</x:t>
  </x:si>
  <x:si>
    <x:t xml:space="preserve">Nayu · RF23</x:t>
  </x:si>
  <x:si>
    <x:t xml:space="preserve">ALERTA (consulta de estados y objetivos)</x:t>
  </x:si>
  <x:si>
    <x:t xml:space="preserve">RF23 → Sincronizar cambios</x:t>
  </x:si>
  <x:si>
    <x:t xml:space="preserve">Si cambia un estado, actualizar ALERTA.estado y guardar exactamente una transición en HISTORIAL_ALERTA en UNA transacción. Si no cambia, cero escrituras.</x:t>
  </x:si>
  <x:si>
    <x:t xml:space="preserve">ALERTA + HISTORIAL_ALERTA, COMMIT/ROLLBACK conjunto</x:t>
  </x:si>
  <x:si>
    <x:t xml:space="preserve">RF23 → API segura</x:t>
  </x:si>
  <x:si>
    <x:t xml:space="preserve">La operación que cambia estados debe ser explícita (propuesta: POST sincronización al entrar a Mis alertas) y luego GET para consultar la lista; GET no debe escribir.</x:t>
  </x:si>
  <x:si>
    <x:t xml:space="preserve">Nayu + Backend</x:t>
  </x:si>
  <x:si>
    <x:t xml:space="preserve">Reglas del servicio, autenticación, bloqueo/revalidación</x:t>
  </x:si>
  <x:si>
    <x:t xml:space="preserve">RF23 → Sin notificaciones</x:t>
  </x:si>
  <x:si>
    <x:t xml:space="preserve">El MVP excluye E_NOTIFICACION, push y motor automático; quedan documentados para después.</x:t>
  </x:si>
  <x:si>
    <x:t xml:space="preserve">Sin tabla de notificación obligatoria para este subflujo MVP</x:t>
  </x:si>
  <x:si>
    <x:t xml:space="preserve">AMARILLO / AZUL futuro</x:t>
  </x:si>
  <x:si>
    <x:t xml:space="preserve">RF14 → Motor automático FUTURO</x:t>
  </x:si>
  <x:si>
    <x:t xml:space="preserve">Conservar pasos 25–33 en AZUL para solicitar evaluación diferida a UN SOLO motor de Nayu post-COMMIT; el fracaso no revierte una lectura ya guardada.</x:t>
  </x:si>
  <x:si>
    <x:t xml:space="preserve">ALERTA + HISTORIAL_ALERTA (sin duplicar evaluación)</x:t>
  </x:si>
  <x:si>
    <x:t xml:space="preserve">AZUL · no ejecutar en MVP</x:t>
  </x:si>
  <x:si>
    <x:t xml:space="preserve">RF14 → Recordatorios/notif FUTURO</x:t>
  </x:si>
  <x:si>
    <x:t xml:space="preserve">Conservar pasos 34–41 en AZUL; RF44 y RF46 fuera del MVP.</x:t>
  </x:si>
  <x:si>
    <x:t xml:space="preserve">Sebastián + equipo</x:t>
  </x:si>
  <x:si>
    <x:t xml:space="preserve">CONFIG_RECORDATORIO_KM y notificaciones futuras</x:t>
  </x:si>
  <x:si>
    <x:t xml:space="preserve">RF17/18 → KM histórico</x:t>
  </x:si>
  <x:si>
    <x:t xml:space="preserve">El kilometraje de mantenimiento pertenece al evento del servicio y no debe sobrescribirse cuando RF14 registra un valor nuevo.</x:t>
  </x:si>
  <x:si>
    <x:t xml:space="preserve">Nayu · RF17/18</x:t>
  </x:si>
  <x:si>
    <x:t xml:space="preserve">MANTENIMIENTO.kilometraje_servicio</x:t>
  </x:si>
  <x:si>
    <x:t xml:space="preserve">INVARIANTE CONTRATOS</x:t>
  </x:si>
  <x:si>
    <x:t xml:space="preserve">Backend valida propietario, vehículo ACTIVO y usuario de sesión. Ninguna operación se basa en id_usuario libre enviado por Android.</x:t>
  </x:si>
  <x:si>
    <x:t xml:space="preserve">Todas</x:t>
  </x:si>
  <x:si>
    <x:t xml:space="preserve">PK/FK compartidas id_vehiculo; RNs y DTO por aprobar</x:t>
  </x:si>
  <x:si>
    <x:t xml:space="preserve">PENDIENTE 1</x:t>
  </x:si>
  <x:si>
    <x:t xml:space="preserve">Nayu confirmará los estados/umbrales oficiales y la política de cambios al abrir Mis alertas (incluido qué pasa si la sincronización falla).</x:t>
  </x:si>
  <x:si>
    <x:t xml:space="preserve">Nayu</x:t>
  </x:si>
  <x:si>
    <x:t xml:space="preserve">ALERTA, HISTORIAL_ALERTA</x:t>
  </x:si>
  <x:si>
    <x:t xml:space="preserve">PENDIENTE 2</x:t>
  </x:si>
  <x:si>
    <x:t xml:space="preserve">Acordar forma del contrato RF23 que escribe y consulta, y las estrategias de concurrencia/idempotencia para no repetir historial.</x:t>
  </x:si>
  <x:si>
    <x:t xml:space="preserve">Transacción y control de versiones/estado anterior</x:t>
  </x:si>
  <x:si>
    <x:t xml:space="preserve">PENDIENTE 3</x:t>
  </x:si>
  <x:si>
    <x:t xml:space="preserve">En los pasos RF22 29–34 cambiar en su propio diagrama 'lectura de RF14' por 'última lectura válida RF08 o RF14'. No alterar archivo de Nayu sin aprobación.</x:t>
  </x:si>
  <x:si>
    <x:t xml:space="preserve">LECTURA_KILOMETRAJE</x:t>
  </x:si>
</x:sst>
</file>

<file path=xl/styles.xml><?xml version="1.0" encoding="utf-8"?>
<x:styleSheet xmlns:x="http://schemas.openxmlformats.org/spreadsheetml/2006/main">
  <x:numFmts count="1">
    <x:numFmt numFmtId="200" formatCode="0"/>
  </x:numFmts>
  <x:fonts count="165">
    <x:font>
      <x:sz val="11"/>
      <x:color theme="1"/>
      <x:name val="Calibri"/>
    </x:font>
    <x:font>
      <x:sz val="11"/>
      <x:color theme="0"/>
      <x:name val="Calibri"/>
    </x:font>
    <x:font>
      <x:b/>
      <x:sz val="9"/>
      <x:color theme="1"/>
      <x:name val="Arial"/>
    </x:font>
    <x:font>
      <x:sz val="9"/>
      <x:color theme="1"/>
      <x:name val="Arial"/>
    </x:font>
    <x:font>
      <x:b/>
      <x:sz val="13"/>
      <x:color theme="0"/>
      <x:name val="Arial"/>
    </x:font>
    <x:font>
      <x:b/>
      <x:sz val="9"/>
      <x:color theme="0"/>
      <x:name val="Arial"/>
    </x:font>
    <x:font>
      <x:b/>
      <x:sz val="8"/>
      <x:color theme="0"/>
      <x:name val="Arial"/>
    </x:font>
    <x:font>
      <x:sz val="8"/>
      <x:color theme="1"/>
      <x:name val="Arial"/>
    </x:font>
    <x:font>
      <x:sz val="11"/>
      <x:color theme="1"/>
      <x:name val="Calibri"/>
    </x:font>
    <x:font>
      <x:sz val="11"/>
      <x:name val="Carlito"/>
    </x:font>
    <x:font>
      <x:b/>
      <x:sz val="14"/>
      <x:color rgb="FFFFFFFF"/>
      <x:name val="Arial"/>
    </x:font>
    <x:font>
      <x:b/>
      <x:i/>
      <x:sz val="10"/>
      <x:color rgb="FF000000"/>
      <x:name val="Arial"/>
    </x:font>
    <x:font>
      <x:b/>
      <x:sz val="10"/>
      <x:color rgb="FFFFFFFF"/>
      <x:name val="Arial"/>
    </x:font>
    <x:font>
      <x:b/>
      <x:sz val="10"/>
      <x:color rgb="FFFFFFFF"/>
      <x:name val="Calibri"/>
    </x:font>
    <x:font>
      <x:b/>
      <x:sz val="8"/>
      <x:color rgb="FFFFFFFF"/>
      <x:name val="Arial"/>
    </x:font>
    <x:font>
      <x:sz val="10"/>
      <x:color rgb="FF000000"/>
      <x:name val="Roboto"/>
    </x:font>
    <x:font>
      <x:sz val="10"/>
      <x:color rgb="FF000000"/>
      <x:name val="Calibri"/>
    </x:font>
    <x:font>
      <x:b/>
      <x:sz val="14"/>
      <x:color rgb="FFFFFFFF"/>
      <x:name val="Carlito"/>
    </x:font>
    <x:font>
      <x:b/>
      <x:sz val="10"/>
      <x:color rgb="FF000000"/>
      <x:name val="Carlito"/>
    </x:font>
    <x:font>
      <x:b/>
      <x:sz val="10"/>
      <x:color rgb="FFFFFFFF"/>
      <x:name val="Carlito"/>
    </x:font>
    <x:font>
      <x:sz val="10"/>
      <x:color rgb="FF000000"/>
      <x:name val="Carlito"/>
    </x:font>
    <x:font>
      <x:b/>
      <x:sz val="9"/>
      <x:color rgb="FFFFFFFF"/>
      <x:name val="Arial"/>
    </x:font>
    <x:font>
      <x:b/>
      <x:sz val="9"/>
      <x:color theme="0"/>
      <x:name val="Arial"/>
    </x:font>
    <x:font>
      <x:sz val="11"/>
      <x:color rgb="FF000000"/>
      <x:name val="Calibri"/>
    </x:font>
    <x:font>
      <x:i/>
      <x:sz val="12"/>
      <x:color rgb="FF000000"/>
      <x:name val="Arial"/>
    </x:font>
    <x:font>
      <x:i/>
      <x:sz val="12"/>
      <x:color theme="1"/>
      <x:name val="Arial"/>
    </x:font>
    <x:font>
      <x:b/>
      <x:sz val="13"/>
      <x:color rgb="FFFFFFFF"/>
      <x:name val="Arial"/>
    </x:font>
    <x:font>
      <x:b/>
      <x:sz val="9"/>
      <x:color rgb="FFFFFFFF"/>
      <x:name val="Arial"/>
    </x:font>
    <x:font>
      <x:b/>
      <x:sz val="9"/>
      <x:color rgb="FF000000"/>
      <x:name val="Arial"/>
    </x:font>
    <x:font>
      <x:sz val="11"/>
      <x:color rgb="FF000000"/>
      <x:name val="Calibri"/>
    </x:font>
    <x:font>
      <x:sz val="9"/>
      <x:color rgb="FF000000"/>
      <x:name val="Arial"/>
    </x:font>
    <x:font>
      <x:sz val="8"/>
      <x:color rgb="FF000000"/>
      <x:name val="Arial"/>
    </x:font>
    <x:font>
      <x:b/>
      <x:sz val="13"/>
      <x:color rgb="FFFFFFFF"/>
      <x:name val="Arial"/>
    </x:font>
    <x:font>
      <x:b/>
      <x:sz val="9"/>
      <x:name val="Arial"/>
    </x:font>
    <x:font>
      <x:sz val="10"/>
      <x:color rgb="FF434343"/>
      <x:name val="Roboto"/>
    </x:font>
    <x:font>
      <x:sz val="11"/>
      <x:name val="Calibri"/>
    </x:font>
    <x:font>
      <x:i/>
      <x:sz val="10"/>
      <x:color rgb="FF000000"/>
      <x:name val="Arial"/>
    </x:font>
    <x:font>
      <x:sz val="11"/>
      <x:color rgb="FF142D4E"/>
      <x:name val="Arial"/>
    </x:font>
    <x:font>
      <x:sz val="10"/>
      <x:color rgb="FF000000"/>
      <x:name val="Arial"/>
    </x:font>
    <x:font>
      <x:b/>
      <x:sz val="11"/>
      <x:color rgb="FFFFFFFF"/>
      <x:name val="Aptos Narrow"/>
    </x:font>
    <x:font>
      <x:sz val="11"/>
      <x:color rgb="FF000000"/>
      <x:name val="Aptos Narrow"/>
    </x:font>
    <x:font>
      <x:b/>
      <x:sz val="10"/>
      <x:color theme="0"/>
      <x:name val="Arial"/>
    </x:font>
    <x:font>
      <x:b/>
      <x:sz val="10"/>
      <x:color rgb="FF000000"/>
      <x:name val="Arial"/>
    </x:font>
    <x:font>
      <x:b/>
      <x:sz val="10"/>
      <x:color rgb="FF000000"/>
      <x:name val="Calibri"/>
    </x:font>
    <x:font>
      <x:b/>
      <x:sz val="12"/>
      <x:color rgb="FFFFFFFF"/>
      <x:name val="Carlito"/>
    </x:font>
    <x:font>
      <x:b/>
      <x:sz val="10"/>
      <x:color rgb="FF00B050"/>
      <x:name val="Arial"/>
    </x:font>
    <x:font>
      <x:b/>
      <x:sz val="10"/>
      <x:color rgb="FF7030A0"/>
      <x:name val="Arial"/>
    </x:font>
    <x:font>
      <x:b/>
      <x:sz val="10"/>
      <x:color rgb="FFF57C00"/>
      <x:name val="Arial"/>
    </x:font>
    <x:font>
      <x:b/>
      <x:sz val="12"/>
      <x:color rgb="FFFFFFFF"/>
      <x:name val="Arial"/>
    </x:font>
    <x:font>
      <x:b/>
      <x:sz val="10"/>
      <x:color rgb="FFF57C00"/>
      <x:name val="Calibri"/>
    </x:font>
    <x:font>
      <x:b/>
      <x:sz val="10"/>
      <x:color rgb="FF00B050"/>
      <x:name val="Calibri"/>
    </x:font>
    <x:font>
      <x:b/>
      <x:sz val="10"/>
      <x:color rgb="FF7030A0"/>
      <x:name val="Calibri"/>
    </x:font>
    <x:font>
      <x:b/>
      <x:sz val="12"/>
      <x:color theme="0"/>
      <x:name val="Arial"/>
    </x:font>
    <x:font>
      <x:i/>
      <x:sz val="11"/>
      <x:color theme="1"/>
      <x:name val="Arial"/>
    </x:font>
    <x:font>
      <x:b/>
      <x:sz val="8"/>
      <x:color rgb="FFFF0000"/>
      <x:name val="Arial"/>
    </x:font>
    <x:font>
      <x:b/>
      <x:sz val="10"/>
      <x:color theme="0"/>
      <x:name val="Calibri"/>
    </x:font>
    <x:font>
      <x:sz val="10"/>
      <x:color theme="1"/>
      <x:name val="Calibri"/>
    </x:font>
    <x:font>
      <x:sz val="10"/>
      <x:color theme="0"/>
      <x:name val="Calibri"/>
    </x:font>
    <x:font>
      <x:sz val="10"/>
      <x:name val="Calibri"/>
    </x:font>
    <x:font>
      <x:sz val="11"/>
      <x:color rgb="FF102A56"/>
      <x:name val="Carlito"/>
    </x:font>
    <x:font>
      <x:b/>
      <x:sz val="16"/>
      <x:color theme="0"/>
      <x:name val="Carlito"/>
    </x:font>
    <x:font>
      <x:b/>
      <x:sz val="11"/>
      <x:color theme="0"/>
      <x:name val="Carlito"/>
    </x:font>
    <x:font>
      <x:b/>
      <x:sz val="11"/>
      <x:color rgb="FF19406D"/>
      <x:name val="Carlito"/>
    </x:font>
    <x:font>
      <x:sz val="10"/>
      <x:color rgb="FF1B2C48"/>
      <x:name val="Carlito"/>
    </x:font>
    <x:font>
      <x:b/>
      <x:sz val="17"/>
      <x:color theme="0"/>
      <x:name val="Carlito"/>
    </x:font>
    <x:font>
      <x:b/>
      <x:sz val="10"/>
      <x:color theme="0"/>
      <x:name val="Carlito"/>
    </x:font>
    <x:font>
      <x:sz val="10"/>
      <x:color rgb="FF173765"/>
      <x:name val="Carlito"/>
    </x:font>
    <x:font>
      <x:b/>
      <x:sz val="11"/>
      <x:color rgb="FFFFFFFF"/>
      <x:name val="Carlito"/>
    </x:font>
    <x:font>
      <x:sz val="10"/>
      <x:color rgb="FF172C46"/>
      <x:name val="Carlito"/>
    </x:font>
    <x:font>
      <x:sz val="10"/>
      <x:color theme="0"/>
      <x:name val="Carlito"/>
    </x:font>
    <x:font>
      <x:i/>
      <x:sz val="11"/>
      <x:color rgb="FF163B69"/>
      <x:name val="Carlito"/>
    </x:font>
    <x:font>
      <x:b/>
      <x:sz val="11"/>
      <x:color theme="0"/>
      <x:name val="Calibri"/>
    </x:font>
    <x:font>
      <x:i/>
      <x:sz val="10"/>
      <x:color rgb="FF153C6D"/>
      <x:name val="Arial"/>
    </x:font>
    <x:font>
      <x:b/>
      <x:sz val="9"/>
      <x:color rgb="FF14355E"/>
      <x:name val="Arial"/>
    </x:font>
    <x:font>
      <x:b/>
      <x:sz val="9"/>
      <x:color rgb="FF123C73"/>
      <x:name val="Arial"/>
    </x:font>
    <x:font>
      <x:b/>
      <x:sz val="10"/>
      <x:color rgb="FF123C73"/>
      <x:name val="Roboto"/>
    </x:font>
    <x:font>
      <x:b/>
      <x:sz val="11"/>
      <x:color rgb="FF123C73"/>
      <x:name val="Calibri"/>
    </x:font>
    <x:font>
      <x:sz val="11"/>
      <x:color theme="1"/>
      <x:name val="Calibri"/>
    </x:font>
    <x:font>
      <x:sz val="11"/>
      <x:color theme="0"/>
      <x:name val="Calibri"/>
    </x:font>
    <x:font>
      <x:b/>
      <x:sz val="9"/>
      <x:color theme="1"/>
      <x:name val="Arial"/>
    </x:font>
    <x:font>
      <x:sz val="9"/>
      <x:color theme="1"/>
      <x:name val="Arial"/>
    </x:font>
    <x:font>
      <x:b/>
      <x:sz val="13"/>
      <x:color theme="0"/>
      <x:name val="Arial"/>
    </x:font>
    <x:font>
      <x:b/>
      <x:sz val="9"/>
      <x:color theme="0"/>
      <x:name val="Arial"/>
    </x:font>
    <x:font>
      <x:b/>
      <x:sz val="8"/>
      <x:color theme="0"/>
      <x:name val="Arial"/>
    </x:font>
    <x:font>
      <x:sz val="8"/>
      <x:color theme="1"/>
      <x:name val="Arial"/>
    </x:font>
    <x:font>
      <x:b/>
      <x:sz val="10"/>
      <x:color rgb="FFFFFFFF"/>
      <x:name val="Arial"/>
    </x:font>
    <x:font>
      <x:b/>
      <x:sz val="10"/>
      <x:color rgb="FFFFFFFF"/>
      <x:name val="Calibri"/>
    </x:font>
    <x:font>
      <x:sz val="10"/>
      <x:color rgb="FF000000"/>
      <x:name val="Calibri"/>
    </x:font>
    <x:font>
      <x:b/>
      <x:sz val="9"/>
      <x:color theme="0"/>
      <x:name val="Arial"/>
    </x:font>
    <x:font>
      <x:b/>
      <x:sz val="8"/>
      <x:color theme="0"/>
      <x:name val="Arial"/>
    </x:font>
    <x:font>
      <x:b/>
      <x:sz val="9"/>
      <x:color theme="1"/>
      <x:name val="Arial"/>
    </x:font>
    <x:font>
      <x:sz val="8"/>
      <x:color theme="1"/>
      <x:name val="Arial"/>
    </x:font>
    <x:font>
      <x:i/>
      <x:sz val="12"/>
      <x:color theme="1"/>
      <x:name val="Arial"/>
    </x:font>
    <x:font>
      <x:sz val="10"/>
      <x:color rgb="FF000000"/>
      <x:name val="Arial"/>
    </x:font>
    <x:font>
      <x:b/>
      <x:sz val="10"/>
      <x:color rgb="FF000000"/>
      <x:name val="Arial"/>
    </x:font>
    <x:font>
      <x:b/>
      <x:sz val="12"/>
      <x:color rgb="FFFFFFFF"/>
      <x:name val="Arial"/>
    </x:font>
    <x:font>
      <x:b/>
      <x:sz val="11"/>
      <x:color rgb="FFFFFFFF"/>
      <x:name val="Calibri"/>
    </x:font>
    <x:font>
      <x:b/>
      <x:sz val="12"/>
      <x:color rgb="FFFFFFFF"/>
      <x:name val="Calibri"/>
    </x:font>
    <x:font>
      <x:i/>
      <x:sz val="10"/>
      <x:color rgb="FFFFFFFF"/>
      <x:name val="Arial"/>
    </x:font>
    <x:font>
      <x:sz val="10"/>
      <x:color rgb="FFFFFFFF"/>
      <x:name val="Calibri"/>
    </x:font>
    <x:font>
      <x:sz val="10"/>
      <x:color rgb="FF17365D"/>
      <x:name val="Arial"/>
    </x:font>
    <x:font>
      <x:sz val="10"/>
      <x:color rgb="FF17365D"/>
      <x:name val="Calibri"/>
    </x:font>
    <x:font>
      <x:sz val="10"/>
      <x:color rgb="FF263849"/>
      <x:name val="Aptos"/>
    </x:font>
    <x:font>
      <x:b/>
      <x:sz val="10"/>
      <x:color rgb="FFFFFFFF"/>
      <x:name val="Aptos"/>
    </x:font>
    <x:font>
      <x:b/>
      <x:sz val="15"/>
      <x:color rgb="FFFFFFFF"/>
      <x:name val="Aptos"/>
    </x:font>
    <x:font>
      <x:b/>
      <x:sz val="10"/>
      <x:color rgb="FF15324B"/>
      <x:name val="Aptos"/>
    </x:font>
    <x:font>
      <x:sz val="11"/>
      <x:name val="Carlito"/>
    </x:font>
    <x:font>
      <x:b/>
      <x:sz val="13"/>
      <x:color rgb="FFFFFFFF"/>
      <x:name val="Carlito"/>
    </x:font>
    <x:font>
      <x:i/>
      <x:sz val="10"/>
      <x:color rgb="FF24476B"/>
      <x:name val="Carlito"/>
    </x:font>
    <x:font>
      <x:b/>
      <x:sz val="11"/>
      <x:color rgb="FFFFFFFF"/>
      <x:name val="Carlito"/>
    </x:font>
    <x:font>
      <x:b/>
      <x:sz val="11"/>
      <x:color rgb="FF163D61"/>
      <x:name val="Carlito"/>
    </x:font>
    <x:font>
      <x:sz val="11"/>
      <x:color rgb="FF111827"/>
      <x:name val="Carlito"/>
    </x:font>
    <x:font>
      <x:sz val="11"/>
      <x:color rgb="FFEF7D21"/>
      <x:name val="Carlito"/>
    </x:font>
    <x:font>
      <x:b/>
      <x:sz val="11"/>
      <x:name val="Carlito"/>
    </x:font>
    <x:font>
      <x:sz val="11"/>
      <x:color rgb="FF008744"/>
      <x:name val="Carlito"/>
    </x:font>
    <x:font>
      <x:sz val="11"/>
      <x:color rgb="FF7030A0"/>
      <x:name val="Carlito"/>
    </x:font>
    <x:font>
      <x:sz val="11"/>
      <x:name val="Carlito"/>
    </x:font>
    <x:font>
      <x:b/>
      <x:sz val="13"/>
      <x:color rgb="FFFFFFFF"/>
      <x:name val="Carlito"/>
    </x:font>
    <x:font>
      <x:sz val="10"/>
      <x:color rgb="FF31577E"/>
      <x:name val="Carlito"/>
    </x:font>
    <x:font>
      <x:b/>
      <x:sz val="11"/>
      <x:color rgb="FFFFFFFF"/>
      <x:name val="Carlito"/>
    </x:font>
    <x:font>
      <x:b/>
      <x:sz val="11"/>
      <x:color rgb="FF123C72"/>
      <x:name val="Carlito"/>
    </x:font>
    <x:font>
      <x:b/>
      <x:sz val="14"/>
      <x:color rgb="FFFFFFFF"/>
      <x:name val="Calibri"/>
    </x:font>
    <x:font>
      <x:b/>
      <x:sz val="10"/>
      <x:color rgb="FF0F2854"/>
      <x:name val="Carlito"/>
    </x:font>
    <x:font>
      <x:sz val="10"/>
      <x:color rgb="FF0F2854"/>
      <x:name val="Calibri"/>
    </x:font>
    <x:font>
      <x:b/>
      <x:sz val="11"/>
      <x:color rgb="FF0F2854"/>
      <x:name val="Calibri"/>
    </x:font>
    <x:font>
      <x:b/>
      <x:sz val="8"/>
      <x:color rgb="FF0F2854"/>
      <x:name val="Arial"/>
    </x:font>
    <x:font>
      <x:b/>
      <x:sz val="10"/>
      <x:color rgb="FF17243B"/>
      <x:name val="Carlito"/>
    </x:font>
    <x:font>
      <x:sz val="11"/>
      <x:color rgb="FF17243B"/>
      <x:name val="Calibri"/>
    </x:font>
    <x:font>
      <x:b/>
      <x:sz val="8"/>
      <x:color rgb="FF17243B"/>
      <x:name val="Arial"/>
    </x:font>
    <x:font>
      <x:sz val="10"/>
      <x:color rgb="FF17243B"/>
      <x:name val="Carlito"/>
    </x:font>
    <x:font>
      <x:sz val="10"/>
      <x:color rgb="FFF57C00"/>
      <x:name val="Carlito"/>
    </x:font>
    <x:font>
      <x:sz val="10"/>
      <x:color rgb="FF00B050"/>
      <x:name val="Carlito"/>
    </x:font>
    <x:font>
      <x:sz val="10"/>
      <x:color rgb="FF7030A0"/>
      <x:name val="Carlito"/>
    </x:font>
    <x:font>
      <x:sz val="11"/>
      <x:color rgb="FF00B050"/>
      <x:name val="Calibri"/>
    </x:font>
    <x:font>
      <x:sz val="11"/>
      <x:color rgb="FF7030A0"/>
      <x:name val="Calibri"/>
    </x:font>
    <x:font>
      <x:sz val="11"/>
      <x:color rgb="FFF57C00"/>
      <x:name val="Calibri"/>
    </x:font>
    <x:font>
      <x:b/>
      <x:sz val="10"/>
      <x:color rgb="FF0F2854"/>
      <x:name val="Arial"/>
    </x:font>
    <x:font>
      <x:b/>
      <x:sz val="10"/>
      <x:color rgb="FF17243B"/>
      <x:name val="Arial"/>
    </x:font>
    <x:font>
      <x:i/>
      <x:sz val="12"/>
      <x:color rgb="FF7F1D1D"/>
      <x:name val="Arial"/>
    </x:font>
    <x:font>
      <x:b/>
      <x:sz val="11"/>
      <x:color rgb="FF0F2854"/>
      <x:name val="Carlito"/>
    </x:font>
    <x:font>
      <x:sz val="11"/>
      <x:color rgb="FF17243B"/>
      <x:name val="Carlito"/>
    </x:font>
    <x:font>
      <x:sz val="11"/>
      <x:color rgb="FF0F2854"/>
      <x:name val="Calibri"/>
    </x:font>
    <x:font>
      <x:b/>
      <x:sz val="10"/>
      <x:color rgb="FFFFFFFF"/>
      <x:name val="Roboto"/>
    </x:font>
    <x:font>
      <x:b/>
      <x:sz val="9"/>
      <x:color rgb="FF1B2C43"/>
      <x:name val="Arial"/>
    </x:font>
    <x:font>
      <x:sz val="10"/>
      <x:color rgb="FF1B2C43"/>
      <x:name val="Roboto"/>
    </x:font>
    <x:font>
      <x:sz val="11"/>
      <x:color rgb="FF1B2C43"/>
      <x:name val="Calibri"/>
    </x:font>
    <x:font>
      <x:sz val="11"/>
      <x:color rgb="FF1B2C43"/>
      <x:name val="Carlito"/>
    </x:font>
    <x:font>
      <x:b/>
      <x:sz val="11"/>
      <x:color rgb="FF1B2C43"/>
      <x:name val="Carlito"/>
    </x:font>
    <x:font>
      <x:b/>
      <x:sz val="10"/>
      <x:color rgb="FF434343"/>
      <x:name val="Roboto"/>
    </x:font>
    <x:font>
      <x:b/>
      <x:sz val="11"/>
      <x:color rgb="FF000000"/>
      <x:name val="Calibri"/>
    </x:font>
    <x:font>
      <x:b/>
      <x:sz val="11"/>
      <x:color theme="1"/>
      <x:name val="Calibri"/>
    </x:font>
    <x:font>
      <x:sz val="11"/>
      <x:color rgb="FFFFFFFF"/>
      <x:name val="Calibri"/>
    </x:font>
    <x:font>
      <x:b/>
      <x:sz val="10"/>
      <x:color rgb="FF17365D"/>
      <x:name val="Carlito"/>
    </x:font>
    <x:font>
      <x:b/>
      <x:sz val="10"/>
      <x:color rgb="FF17365D"/>
      <x:name val="Calibri"/>
    </x:font>
    <x:font>
      <x:b/>
      <x:sz val="10"/>
      <x:color rgb="FF17365D"/>
      <x:name val="Arial"/>
    </x:font>
    <x:font>
      <x:b/>
      <x:sz val="11"/>
      <x:color rgb="FF17365D"/>
      <x:name val="Calibri"/>
    </x:font>
    <x:font>
      <x:b/>
      <x:sz val="8"/>
      <x:color rgb="FF17365D"/>
      <x:name val="Arial"/>
    </x:font>
    <x:font>
      <x:b/>
      <x:sz val="11"/>
      <x:color rgb="FF0B5C8D"/>
      <x:name val="Calibri"/>
    </x:font>
    <x:font>
      <x:sz val="11"/>
      <x:color rgb="FF175F42"/>
      <x:name val="Calibri"/>
    </x:font>
    <x:font>
      <x:sz val="11"/>
      <x:color rgb="FF7A4B08"/>
      <x:name val="Calibri"/>
    </x:font>
    <x:font>
      <x:b/>
      <x:sz val="15"/>
      <x:color rgb="FFFFFFFF"/>
      <x:name val="Calibri"/>
    </x:font>
    <x:font>
      <x:b/>
      <x:sz val="11"/>
      <x:color rgb="FF193C5D"/>
      <x:name val="Calibri"/>
    </x:font>
    <x:font>
      <x:sz val="10"/>
      <x:color rgb="FF17324F"/>
      <x:name val="Calibri"/>
    </x:font>
    <x:font>
      <x:sz val="11"/>
      <x:color rgb="FF17324F"/>
      <x:name val="Calibri"/>
    </x:font>
    <x:font>
      <x:b/>
      <x:sz val="11"/>
      <x:color rgb="FF7B4D13"/>
      <x:name val="Calibri"/>
    </x:font>
  </x:fonts>
  <x:fills count="101">
    <x:fill>
      <x:patternFill patternType="none"/>
    </x:fill>
    <x:fill>
      <x:patternFill patternType="gray125"/>
    </x:fill>
    <x:fill>
      <x:patternFill patternType="solid">
        <x:fgColor theme="1"/>
      </x:patternFill>
    </x:fill>
    <x:fill>
      <x:patternFill patternType="solid">
        <x:fgColor theme="0" tint="-0.04999"/>
      </x:patternFill>
    </x:fill>
    <x:fill>
      <x:patternFill patternType="solid">
        <x:fgColor rgb="FF000000"/>
      </x:patternFill>
    </x:fill>
    <x:fill>
      <x:patternFill patternType="solid">
        <x:fgColor rgb="FFFFFFFF"/>
      </x:patternFill>
    </x:fill>
    <x:fill>
      <x:patternFill patternType="solid">
        <x:fgColor rgb="FFF2F2F2"/>
      </x:patternFill>
    </x:fill>
    <x:fill>
      <x:patternFill patternType="solid">
        <x:fgColor rgb="FFF6F8F9"/>
      </x:patternFill>
    </x:fill>
    <x:fill>
      <x:patternFill patternType="solid">
        <x:fgColor rgb="FFFFFFFF"/>
      </x:patternFill>
    </x:fill>
    <x:fill>
      <x:patternFill patternType="solid">
        <x:fgColor rgb="FF000000"/>
      </x:patternFill>
    </x:fill>
    <x:fill>
      <x:patternFill patternType="solid">
        <x:fgColor rgb="FF000000"/>
      </x:patternFill>
    </x:fill>
    <x:fill>
      <x:patternFill patternType="solid">
        <x:fgColor theme="1"/>
      </x:patternFill>
    </x:fill>
    <x:fill>
      <x:patternFill patternType="solid">
        <x:fgColor rgb="FFFFFFFF"/>
      </x:patternFill>
    </x:fill>
    <x:fill>
      <x:patternFill patternType="solid">
        <x:fgColor theme="1"/>
      </x:patternFill>
    </x:fill>
    <x:fill>
      <x:patternFill patternType="solid">
        <x:fgColor rgb="FFE8F1FD"/>
      </x:patternFill>
    </x:fill>
    <x:fill>
      <x:patternFill patternType="solid">
        <x:fgColor rgb="FFF7F9FD"/>
      </x:patternFill>
    </x:fill>
    <x:fill>
      <x:patternFill patternType="solid">
        <x:fgColor rgb="FFDDEBFF"/>
      </x:patternFill>
    </x:fill>
    <x:fill>
      <x:patternFill patternType="solid">
        <x:fgColor theme="1"/>
      </x:patternFill>
    </x:fill>
    <x:fill>
      <x:patternFill patternType="solid">
        <x:fgColor rgb="FFDFECFB"/>
      </x:patternFill>
    </x:fill>
    <x:fill>
      <x:patternFill patternType="solid">
        <x:fgColor rgb="FFF4F7FC"/>
      </x:patternFill>
    </x:fill>
    <x:fill>
      <x:patternFill patternType="solid">
        <x:fgColor rgb="FFEBF4FF"/>
      </x:patternFill>
    </x:fill>
    <x:fill>
      <x:patternFill patternType="solid">
        <x:fgColor rgb="FFEAF2FB"/>
      </x:patternFill>
    </x:fill>
    <x:fill>
      <x:patternFill patternType="solid">
        <x:fgColor rgb="FFF0F6FC"/>
      </x:patternFill>
    </x:fill>
    <x:fill>
      <x:patternFill patternType="solid">
        <x:fgColor rgb="FFE8F2FF"/>
      </x:patternFill>
    </x:fill>
    <x:fill>
      <x:patternFill patternType="solid">
        <x:fgColor rgb="FF163B69"/>
      </x:patternFill>
    </x:fill>
    <x:fill>
      <x:patternFill patternType="solid">
        <x:fgColor rgb="FFF1F4F9"/>
      </x:patternFill>
    </x:fill>
    <x:fill>
      <x:patternFill patternType="solid">
        <x:fgColor rgb="FFF8FAFD"/>
      </x:patternFill>
    </x:fill>
    <x:fill>
      <x:patternFill patternType="solid">
        <x:fgColor theme="0"/>
      </x:patternFill>
    </x:fill>
    <x:fill>
      <x:patternFill patternType="solid">
        <x:fgColor rgb="FF123C73"/>
      </x:patternFill>
    </x:fill>
    <x:fill>
      <x:patternFill patternType="solid">
        <x:fgColor rgb="FFE6F0FA"/>
      </x:patternFill>
    </x:fill>
    <x:fill>
      <x:patternFill patternType="solid">
        <x:fgColor rgb="FFA9CDEA"/>
      </x:patternFill>
    </x:fill>
    <x:fill>
      <x:patternFill patternType="solid">
        <x:fgColor rgb="FFD9EAF8"/>
      </x:patternFill>
    </x:fill>
    <x:fill>
      <x:patternFill patternType="solid">
        <x:fgColor rgb="FFEDF5FF"/>
      </x:patternFill>
    </x:fill>
    <x:fill>
      <x:patternFill patternType="solid">
        <x:fgColor rgb="FFFFF2CC"/>
      </x:patternFill>
    </x:fill>
    <x:fill>
      <x:patternFill patternType="none"/>
    </x:fill>
    <x:fill>
      <x:patternFill patternType="solid">
        <x:fgColor theme="1"/>
      </x:patternFill>
    </x:fill>
    <x:fill>
      <x:patternFill patternType="solid">
        <x:fgColor theme="0" tint="-0.04999"/>
      </x:patternFill>
    </x:fill>
    <x:fill>
      <x:patternFill patternType="solid">
        <x:fgColor rgb="FF000000"/>
      </x:patternFill>
    </x:fill>
    <x:fill>
      <x:patternFill patternType="solid">
        <x:fgColor rgb="FF000000"/>
      </x:patternFill>
    </x:fill>
    <x:fill>
      <x:patternFill patternType="solid">
        <x:fgColor rgb="FFFFFFFF"/>
      </x:patternFill>
    </x:fill>
    <x:fill>
      <x:patternFill patternType="none"/>
    </x:fill>
    <x:fill>
      <x:patternFill patternType="solid">
        <x:fgColor rgb="FF15324B"/>
      </x:patternFill>
    </x:fill>
    <x:fill>
      <x:patternFill patternType="solid">
        <x:fgColor rgb="FF17688A"/>
      </x:patternFill>
    </x:fill>
    <x:fill>
      <x:patternFill patternType="solid">
        <x:fgColor rgb="FFD8E9F2"/>
      </x:patternFill>
    </x:fill>
    <x:fill>
      <x:patternFill patternType="solid">
        <x:fgColor rgb="FFF5F9FC"/>
      </x:patternFill>
    </x:fill>
    <x:fill>
      <x:patternFill patternType="solid">
        <x:fgColor rgb="FF17365D"/>
      </x:patternFill>
    </x:fill>
    <x:fill>
      <x:patternFill patternType="solid">
        <x:fgColor rgb="FFDAE8F5"/>
      </x:patternFill>
    </x:fill>
    <x:fill>
      <x:patternFill patternType="solid">
        <x:fgColor rgb="FF285A87"/>
      </x:patternFill>
    </x:fill>
    <x:fill>
      <x:patternFill patternType="solid">
        <x:fgColor rgb="FFB7D6ED"/>
      </x:patternFill>
    </x:fill>
    <x:fill>
      <x:patternFill patternType="solid">
        <x:fgColor rgb="FFFFFFFF"/>
      </x:patternFill>
    </x:fill>
    <x:fill>
      <x:patternFill patternType="solid">
        <x:fgColor rgb="FFF2F7FC"/>
      </x:patternFill>
    </x:fill>
    <x:fill>
      <x:patternFill patternType="none"/>
    </x:fill>
    <x:fill>
      <x:patternFill patternType="solid">
        <x:fgColor rgb="FF103C76"/>
      </x:patternFill>
    </x:fill>
    <x:fill>
      <x:patternFill patternType="solid">
        <x:fgColor rgb="FFEAF1F9"/>
      </x:patternFill>
    </x:fill>
    <x:fill>
      <x:patternFill patternType="solid">
        <x:fgColor rgb="FF2463A5"/>
      </x:patternFill>
    </x:fill>
    <x:fill>
      <x:patternFill patternType="solid">
        <x:fgColor rgb="FFD7E9FA"/>
      </x:patternFill>
    </x:fill>
    <x:fill>
      <x:patternFill patternType="solid">
        <x:fgColor rgb="FFF4F8FD"/>
      </x:patternFill>
    </x:fill>
    <x:fill>
      <x:patternFill patternType="solid">
        <x:fgColor rgb="FF0F2854"/>
      </x:patternFill>
    </x:fill>
    <x:fill>
      <x:patternFill patternType="solid">
        <x:fgColor rgb="FFDDEFFC"/>
      </x:patternFill>
    </x:fill>
    <x:fill>
      <x:patternFill patternType="solid">
        <x:fgColor rgb="FF1C4D8D"/>
      </x:patternFill>
    </x:fill>
    <x:fill>
      <x:patternFill patternType="solid">
        <x:fgColor rgb="FFBDE8F5"/>
      </x:patternFill>
    </x:fill>
    <x:fill>
      <x:patternFill patternType="solid">
        <x:fgColor rgb="FFFFFFFF"/>
      </x:patternFill>
    </x:fill>
    <x:fill>
      <x:patternFill patternType="solid">
        <x:fgColor rgb="FFFCE8E6"/>
      </x:patternFill>
    </x:fill>
    <x:fill>
      <x:patternFill patternType="solid">
        <x:fgColor rgb="FFBDE8F5"/>
      </x:patternFill>
    </x:fill>
    <x:fill>
      <x:patternFill patternType="solid">
        <x:fgColor rgb="FFFFFFFF"/>
      </x:patternFill>
    </x:fill>
    <x:fill>
      <x:patternFill patternType="solid">
        <x:fgColor rgb="FF0F2854"/>
      </x:patternFill>
    </x:fill>
    <x:fill>
      <x:patternFill patternType="solid">
        <x:fgColor rgb="FFDDEFFC"/>
      </x:patternFill>
    </x:fill>
    <x:fill>
      <x:patternFill patternType="solid">
        <x:fgColor rgb="FF1C4D8D"/>
      </x:patternFill>
    </x:fill>
    <x:fill>
      <x:patternFill patternType="solid">
        <x:fgColor rgb="FF183A5D"/>
      </x:patternFill>
    </x:fill>
    <x:fill>
      <x:patternFill patternType="solid">
        <x:fgColor rgb="FF143858"/>
      </x:patternFill>
    </x:fill>
    <x:fill>
      <x:patternFill patternType="solid">
        <x:fgColor rgb="FF23567E"/>
      </x:patternFill>
    </x:fill>
    <x:fill>
      <x:patternFill patternType="solid">
        <x:fgColor rgb="FFF1F6FB"/>
      </x:patternFill>
    </x:fill>
    <x:fill>
      <x:patternFill patternType="solid">
        <x:fgColor rgb="FFFFFFFF"/>
      </x:patternFill>
    </x:fill>
    <x:fill>
      <x:patternFill patternType="solid">
        <x:fgColor rgb="FFF1F6FB"/>
      </x:patternFill>
    </x:fill>
    <x:fill>
      <x:patternFill patternType="solid">
        <x:fgColor rgb="FFFFFFFF"/>
      </x:patternFill>
    </x:fill>
    <x:fill>
      <x:patternFill patternType="solid">
        <x:fgColor rgb="FFDCEAF8"/>
      </x:patternFill>
    </x:fill>
    <x:fill>
      <x:patternFill patternType="solid">
        <x:fgColor rgb="FF0F2854"/>
      </x:patternFill>
    </x:fill>
    <x:fill>
      <x:patternFill patternType="solid">
        <x:fgColor rgb="FF1C4D8D"/>
      </x:patternFill>
    </x:fill>
    <x:fill>
      <x:patternFill patternType="solid">
        <x:fgColor theme="0"/>
      </x:patternFill>
    </x:fill>
    <x:fill>
      <x:patternFill patternType="solid">
        <x:fgColor rgb="FF17365D"/>
      </x:patternFill>
    </x:fill>
    <x:fill>
      <x:patternFill patternType="solid">
        <x:fgColor rgb="FF21618C"/>
      </x:patternFill>
    </x:fill>
    <x:fill>
      <x:patternFill patternType="solid">
        <x:fgColor rgb="FFD6EAF8"/>
      </x:patternFill>
    </x:fill>
    <x:fill>
      <x:patternFill patternType="solid">
        <x:fgColor rgb="FFDBEAFE"/>
      </x:patternFill>
    </x:fill>
    <x:fill>
      <x:patternFill patternType="solid">
        <x:fgColor rgb="FF12304A"/>
      </x:patternFill>
    </x:fill>
    <x:fill>
      <x:patternFill patternType="solid">
        <x:fgColor rgb="FFE8EFF5"/>
      </x:patternFill>
    </x:fill>
    <x:fill>
      <x:patternFill patternType="solid">
        <x:fgColor rgb="FFE4F3EB"/>
      </x:patternFill>
    </x:fill>
    <x:fill>
      <x:patternFill patternType="solid">
        <x:fgColor rgb="FFFFF1D0"/>
      </x:patternFill>
    </x:fill>
    <x:fill>
      <x:patternFill patternType="solid">
        <x:fgColor rgb="FF122A4A"/>
      </x:patternFill>
    </x:fill>
    <x:fill>
      <x:patternFill patternType="solid">
        <x:fgColor rgb="FF236A8D"/>
      </x:patternFill>
    </x:fill>
    <x:fill>
      <x:patternFill patternType="solid">
        <x:fgColor rgb="FFF0F5F9"/>
      </x:patternFill>
    </x:fill>
    <x:fill>
      <x:patternFill patternType="solid">
        <x:fgColor rgb="FFDCEAF4"/>
      </x:patternFill>
    </x:fill>
    <x:fill>
      <x:patternFill patternType="solid">
        <x:fgColor rgb="FF153453"/>
      </x:patternFill>
    </x:fill>
    <x:fill>
      <x:patternFill patternType="solid">
        <x:fgColor rgb="FFEAF0F7"/>
      </x:patternFill>
    </x:fill>
    <x:fill>
      <x:patternFill patternType="solid">
        <x:fgColor rgb="FF1A446C"/>
      </x:patternFill>
    </x:fill>
    <x:fill>
      <x:patternFill patternType="solid">
        <x:fgColor rgb="FFFFF1D6"/>
      </x:patternFill>
    </x:fill>
    <x:fill>
      <x:patternFill patternType="solid">
        <x:fgColor rgb="FF17324F"/>
      </x:patternFill>
    </x:fill>
    <x:fill>
      <x:patternFill patternType="solid">
        <x:fgColor rgb="FFE7EFF8"/>
      </x:patternFill>
    </x:fill>
    <x:fill>
      <x:patternFill patternType="solid">
        <x:fgColor rgb="FF275A7B"/>
      </x:patternFill>
    </x:fill>
    <x:fill>
      <x:patternFill patternType="solid">
        <x:fgColor rgb="FFCBEAE0"/>
      </x:patternFill>
    </x:fill>
    <x:fill>
      <x:patternFill patternType="solid">
        <x:fgColor rgb="FFFDE4BA"/>
      </x:patternFill>
    </x:fill>
    <x:fill>
      <x:patternFill patternType="solid">
        <x:fgColor rgb="FFF9D5D3"/>
      </x:patternFill>
    </x:fill>
  </x:fills>
  <x:borders count="110">
    <x:border/>
    <x:border>
      <x:left style="thin">
        <x:color rgb="FFFFFFFF"/>
      </x:left>
      <x:right style="thin">
        <x:color rgb="FFFFFFFF"/>
      </x:right>
      <x:top style="thin">
        <x:color rgb="FFFFFFFF"/>
      </x:top>
      <x:bottom style="thin">
        <x:color rgb="FFFFFFFF"/>
      </x:bottom>
    </x:border>
    <x:border>
      <x:left style="thin">
        <x:color rgb="FF1F2D3D"/>
      </x:left>
      <x:right style="thin">
        <x:color rgb="FF1F2D3D"/>
      </x:right>
      <x:top style="thin">
        <x:color rgb="FF1F2D3D"/>
      </x:top>
      <x:bottom style="thin">
        <x:color rgb="FF1F2D3D"/>
      </x:bottom>
    </x:border>
    <x:border>
      <x:left style="thin">
        <x:color rgb="FFDDDDDD"/>
      </x:left>
      <x:right style="thin">
        <x:color rgb="FFDDDDDD"/>
      </x:right>
      <x:top style="thin">
        <x:color rgb="FFDDDDDD"/>
      </x:top>
      <x:bottom style="thin">
        <x:color rgb="FFDDDDDD"/>
      </x:bottom>
    </x:border>
    <x:border>
      <x:bottom style="thin">
        <x:color rgb="FFDDDDDD"/>
      </x:bottom>
    </x:border>
    <x:border>
      <x:top style="thin">
        <x:color rgb="FFDDDDDD"/>
      </x:top>
      <x:bottom style="thin">
        <x:color rgb="FFDDDDDD"/>
      </x:bottom>
    </x:border>
    <x:border>
      <x:left style="thin">
        <x:color rgb="FF1F2D3D"/>
      </x:left>
    </x:border>
    <x:border>
      <x:right style="thin">
        <x:color rgb="FFDDDDDD"/>
      </x:right>
      <x:top style="thin">
        <x:color rgb="FFDDDDDD"/>
      </x:top>
      <x:bottom style="thin">
        <x:color rgb="FFDDDDDD"/>
      </x:bottom>
    </x:border>
    <x:border>
      <x:left style="thin">
        <x:color rgb="FFDDDDDD"/>
      </x:left>
      <x:right style="thin">
        <x:color rgb="FFDDDDDD"/>
      </x:right>
      <x:bottom style="thin">
        <x:color rgb="FFDDDDDD"/>
      </x:bottom>
    </x:border>
    <x:border>
      <x:right style="thin">
        <x:color rgb="FFFFFFFF"/>
      </x:right>
      <x:top style="thin">
        <x:color rgb="FFFFFFFF"/>
      </x:top>
      <x:bottom style="thin">
        <x:color rgb="FFFFFFFF"/>
      </x:bottom>
    </x:border>
    <x:border>
      <x:left style="thin">
        <x:color rgb="FFFFFFFF"/>
      </x:left>
      <x:right style="thin">
        <x:color rgb="FFFFFFFF"/>
      </x:right>
      <x:bottom style="thin">
        <x:color rgb="FFFFFFFF"/>
      </x:bottom>
    </x:border>
    <x:border>
      <x:right style="thin">
        <x:color rgb="FFFFFFFF"/>
      </x:right>
      <x:bottom style="thin">
        <x:color rgb="FFFFFFFF"/>
      </x:bottom>
    </x:border>
    <x:border>
      <x:top style="thin">
        <x:color rgb="FF1F2D3D"/>
      </x:top>
      <x:bottom style="thin">
        <x:color rgb="FF1F2D3D"/>
      </x:bottom>
    </x:border>
    <x:border>
      <x:right style="thin">
        <x:color rgb="FF1F2D3D"/>
      </x:right>
      <x:top style="thin">
        <x:color rgb="FF1F2D3D"/>
      </x:top>
      <x:bottom style="thin">
        <x:color rgb="FF1F2D3D"/>
      </x:bottom>
    </x:border>
    <x:border>
      <x:right style="thin">
        <x:color rgb="FFDDDDDD"/>
      </x:right>
      <x:bottom style="thin">
        <x:color rgb="FFDDDDDD"/>
      </x:bottom>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right style="thin">
        <x:color rgb="FF000000"/>
      </x:right>
      <x:bottom style="thin">
        <x:color rgb="FF000000"/>
      </x:bottom>
    </x:border>
    <x:border>
      <x:left style="medium">
        <x:color rgb="FF000000"/>
      </x:left>
      <x:right style="medium">
        <x:color rgb="FF000000"/>
      </x:right>
      <x:top style="medium">
        <x:color rgb="FF000000"/>
      </x:top>
      <x:bottom style="medium">
        <x:color rgb="FF000000"/>
      </x:bottom>
    </x:border>
    <x:border>
      <x:right style="medium">
        <x:color rgb="FF000000"/>
      </x:right>
      <x:top style="medium">
        <x:color rgb="FF000000"/>
      </x:top>
      <x:bottom style="medium">
        <x:color rgb="FF000000"/>
      </x:bottom>
    </x:border>
    <x:border>
      <x:left style="medium">
        <x:color rgb="FF000000"/>
      </x:left>
      <x:right style="medium">
        <x:color rgb="FF000000"/>
      </x:right>
      <x:bottom style="medium">
        <x:color rgb="FF000000"/>
      </x:bottom>
    </x:border>
    <x:border>
      <x:right style="medium">
        <x:color rgb="FF000000"/>
      </x:right>
      <x:bottom style="medium">
        <x:color rgb="FF000000"/>
      </x:bottom>
    </x:border>
    <x:border>
      <x:left style="thin">
        <x:color indexed="64"/>
      </x:left>
      <x:right style="thin">
        <x:color indexed="64"/>
      </x:right>
      <x:top style="thin">
        <x:color indexed="64"/>
      </x:top>
      <x:bottom style="thin">
        <x:color indexed="64"/>
      </x:bottom>
    </x:border>
    <x:border>
      <x:top style="thin">
        <x:color rgb="FFFFFFFF"/>
      </x:top>
      <x:bottom style="thin">
        <x:color rgb="FFFFFFFF"/>
      </x:bottom>
    </x:border>
    <x:border>
      <x:right style="thin">
        <x:color rgb="FF000000"/>
      </x:right>
      <x:top style="thin">
        <x:color rgb="FF000000"/>
      </x:top>
    </x:border>
    <x:border>
      <x:bottom style="thin">
        <x:color rgb="FF000000"/>
      </x:bottom>
    </x:border>
    <x:border/>
    <x:border>
      <x:top style="medium">
        <x:color rgb="FF000000"/>
      </x:top>
      <x:bottom style="medium">
        <x:color rgb="FF000000"/>
      </x:bottom>
    </x:border>
    <x:border>
      <x:bottom style="medium">
        <x:color rgb="FF000000"/>
      </x:bottom>
    </x:border>
    <x:border>
      <x:top style="thin">
        <x:color rgb="FF000000"/>
      </x:top>
    </x:border>
    <x:border>
      <x:left style="medium">
        <x:color rgb="FF000000"/>
      </x:left>
      <x:right style="medium">
        <x:color rgb="FF000000"/>
      </x:right>
    </x:border>
    <x:border>
      <x:right style="medium">
        <x:color rgb="FF000000"/>
      </x:right>
    </x:border>
    <x:border>
      <x:left style="thin">
        <x:color rgb="FF000000"/>
      </x:left>
      <x:right style="thin">
        <x:color rgb="FF000000"/>
      </x:right>
      <x:top style="thin">
        <x:color rgb="FF000000"/>
      </x:top>
    </x:border>
    <x:border>
      <x:left style="thin">
        <x:color indexed="64"/>
      </x:left>
      <x:right style="thin">
        <x:color indexed="64"/>
      </x:right>
      <x:top style="thin">
        <x:color indexed="64"/>
      </x:top>
      <x:bottom style="thin">
        <x:color indexed="64"/>
      </x:bottom>
    </x:border>
    <x:border>
      <x:left style="thin">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bottom style="thin">
        <x:color rgb="FF000000"/>
      </x:bottom>
    </x:border>
    <x:border>
      <x:left style="thin">
        <x:color rgb="FF000000"/>
      </x:left>
      <x:right style="thin">
        <x:color rgb="FF000000"/>
      </x:right>
    </x:border>
    <x:border>
      <x:bottom style="thin">
        <x:color indexed="64"/>
      </x:bottom>
    </x:border>
    <x:border/>
    <x:border>
      <x:left style="thin">
        <x:color rgb="FFFFFFFF"/>
      </x:left>
      <x:right style="thin">
        <x:color rgb="FFFFFFFF"/>
      </x:right>
      <x:top style="thin">
        <x:color rgb="FFFFFFFF"/>
      </x:top>
      <x:bottom style="thin">
        <x:color rgb="FFFFFFFF"/>
      </x:bottom>
    </x:border>
    <x:border>
      <x:left style="thin">
        <x:color rgb="FF1F2D3D"/>
      </x:left>
      <x:right style="thin">
        <x:color rgb="FF1F2D3D"/>
      </x:right>
      <x:top style="thin">
        <x:color rgb="FF1F2D3D"/>
      </x:top>
      <x:bottom style="thin">
        <x:color rgb="FF1F2D3D"/>
      </x:bottom>
    </x:border>
    <x:border>
      <x:left style="thin">
        <x:color rgb="FFDDDDDD"/>
      </x:left>
      <x:right style="thin">
        <x:color rgb="FFDDDDDD"/>
      </x:right>
      <x:top style="thin">
        <x:color rgb="FFDDDDDD"/>
      </x:top>
      <x:bottom style="thin">
        <x:color rgb="FFDDDDDD"/>
      </x:bottom>
    </x:border>
    <x:border>
      <x:bottom style="thin">
        <x:color rgb="FFDDDDDD"/>
      </x:bottom>
    </x:border>
    <x:border>
      <x:top style="thin">
        <x:color rgb="FFDDDDDD"/>
      </x:top>
      <x:bottom style="thin">
        <x:color rgb="FFDDDDDD"/>
      </x:bottom>
    </x:border>
    <x:border>
      <x:left style="thin">
        <x:color rgb="FF1F2D3D"/>
      </x:left>
    </x:border>
    <x:border>
      <x:left style="thin">
        <x:color rgb="FFDDDDDD"/>
      </x:left>
      <x:right style="thin">
        <x:color rgb="FFDDDDDD"/>
      </x:right>
    </x:border>
    <x:border>
      <x:left style="thin">
        <x:color rgb="FFDDDDDD"/>
      </x:left>
      <x:top style="thin">
        <x:color rgb="FFDDDDDD"/>
      </x:top>
      <x:bottom style="thin">
        <x:color rgb="FFDDDDDD"/>
      </x:bottom>
    </x:border>
    <x:border>
      <x:right style="thin">
        <x:color rgb="FFDDDDDD"/>
      </x:right>
      <x:top style="thin">
        <x:color rgb="FFDDDDDD"/>
      </x:top>
      <x:bottom style="thin">
        <x:color rgb="FFDDDDDD"/>
      </x:bottom>
    </x:border>
    <x:border>
      <x:left style="thin">
        <x:color rgb="FFDDDDDD"/>
      </x:left>
      <x:right style="thin">
        <x:color rgb="FFDDDDDD"/>
      </x:right>
      <x:top style="thin">
        <x:color rgb="FFDDDDDD"/>
      </x:top>
    </x:border>
    <x:border>
      <x:left style="thin">
        <x:color rgb="FFDDDDDD"/>
      </x:left>
      <x:right style="thin">
        <x:color rgb="FFDDDDDD"/>
      </x:right>
      <x:bottom style="thin">
        <x:color rgb="FFDDDDDD"/>
      </x:bottom>
    </x:border>
    <x:border>
      <x:left style="thin">
        <x:color theme="0" tint="-0.15"/>
      </x:left>
      <x:right style="thin">
        <x:color theme="0" tint="-0.15"/>
      </x:right>
      <x:top style="thin">
        <x:color theme="0" tint="-0.15"/>
      </x:top>
    </x:border>
    <x:border>
      <x:left style="thin">
        <x:color theme="0" tint="-0.15"/>
      </x:left>
      <x:right style="thin">
        <x:color theme="0" tint="-0.15"/>
      </x:right>
      <x:top style="thin">
        <x:color theme="0" tint="-0.15"/>
      </x:top>
      <x:bottom style="thin">
        <x:color theme="0" tint="-0.15"/>
      </x:bottom>
    </x:border>
    <x:border>
      <x:bottom style="thin">
        <x:color rgb="FFFFFFFF"/>
      </x:bottom>
    </x:border>
    <x:border>
      <x:top style="thin">
        <x:color rgb="FF1F2D3D"/>
      </x:top>
      <x:bottom style="thin">
        <x:color rgb="FF1F2D3D"/>
      </x:bottom>
    </x:border>
    <x:border>
      <x:right style="thin">
        <x:color rgb="FF1F2D3D"/>
      </x:right>
      <x:top style="thin">
        <x:color rgb="FF1F2D3D"/>
      </x:top>
      <x:bottom style="thin">
        <x:color rgb="FF1F2D3D"/>
      </x:bottom>
    </x:border>
    <x:border/>
    <x:border/>
    <x:border/>
    <x:border/>
    <x:border/>
    <x:border/>
    <x:border>
      <x:left style="thin">
        <x:color rgb="FFDDDDDD"/>
      </x:left>
      <x:right style="thin">
        <x:color rgb="FFDDDDDD"/>
      </x:right>
      <x:top style="thin">
        <x:color rgb="FFDDDDDD"/>
      </x:top>
      <x:bottom style="thin">
        <x:color rgb="FFDDDDDD"/>
      </x:bottom>
    </x:border>
    <x:border>
      <x:left style="thin">
        <x:color rgb="FFFFFFFF"/>
      </x:left>
      <x:right style="thin">
        <x:color rgb="FFFFFFFF"/>
      </x:right>
      <x:top style="thin">
        <x:color rgb="FFFFFFFF"/>
      </x:top>
      <x:bottom style="thin">
        <x:color rgb="FFFFFFFF"/>
      </x:bottom>
    </x:border>
    <x:border>
      <x:top style="thin">
        <x:color rgb="FFDDDDDD"/>
      </x:top>
      <x:bottom style="thin">
        <x:color rgb="FFDDDDDD"/>
      </x:bottom>
    </x:border>
    <x:border>
      <x:bottom style="thin">
        <x:color rgb="FFDDDDDD"/>
      </x:bottom>
    </x:border>
    <x:border>
      <x:right style="thin">
        <x:color rgb="FFFFFFFF"/>
      </x:right>
      <x:top style="thin">
        <x:color rgb="FFFFFFFF"/>
      </x:top>
      <x:bottom style="thin">
        <x:color rgb="FFFFFFFF"/>
      </x:bottom>
    </x:border>
    <x:border>
      <x:left style="thin">
        <x:color rgb="FFFFFFFF"/>
      </x:left>
      <x:right style="thin">
        <x:color rgb="FFFFFFFF"/>
      </x:right>
      <x:bottom style="thin">
        <x:color rgb="FFFFFFFF"/>
      </x:bottom>
    </x:border>
    <x:border>
      <x:right style="thin">
        <x:color rgb="FFFFFFFF"/>
      </x:right>
      <x:bottom style="thin">
        <x:color rgb="FFFFFFFF"/>
      </x:bottom>
    </x:border>
    <x:border>
      <x:right style="thin">
        <x:color rgb="FFDDDDDD"/>
      </x:right>
      <x:top style="thin">
        <x:color rgb="FFDDDDDD"/>
      </x:top>
      <x:bottom style="thin">
        <x:color rgb="FFDDDDDD"/>
      </x:bottom>
    </x:border>
    <x:border>
      <x:left style="thin">
        <x:color rgb="FFDDDDDD"/>
      </x:left>
      <x:right style="thin">
        <x:color rgb="FFDDDDDD"/>
      </x:right>
      <x:bottom style="thin">
        <x:color rgb="FFDDDDDD"/>
      </x:bottom>
    </x:border>
    <x:border>
      <x:right style="thin">
        <x:color rgb="FFDDDDDD"/>
      </x:right>
      <x:bottom style="thin">
        <x:color rgb="FFDDDDDD"/>
      </x:bottom>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ttom style="thin">
        <x:color rgb="FF000000"/>
      </x:bottom>
    </x:border>
    <x:border>
      <x:right style="thin">
        <x:color rgb="FF000000"/>
      </x:right>
      <x:bottom style="thin">
        <x:color rgb="FF000000"/>
      </x:bottom>
    </x:border>
    <x:border>
      <x:left style="medium">
        <x:color rgb="FF000000"/>
      </x:left>
      <x:right style="medium">
        <x:color rgb="FF000000"/>
      </x:right>
      <x:top style="medium">
        <x:color rgb="FF000000"/>
      </x:top>
      <x:bottom style="medium">
        <x:color rgb="FF000000"/>
      </x:bottom>
    </x:border>
    <x:border>
      <x:right style="medium">
        <x:color rgb="FF000000"/>
      </x:right>
      <x:top style="medium">
        <x:color rgb="FF000000"/>
      </x:top>
      <x:bottom style="medium">
        <x:color rgb="FF000000"/>
      </x:bottom>
    </x:border>
    <x:border>
      <x:left style="medium">
        <x:color rgb="FF000000"/>
      </x:left>
      <x:right style="medium">
        <x:color rgb="FF000000"/>
      </x:right>
      <x:bottom style="medium">
        <x:color rgb="FF000000"/>
      </x:bottom>
    </x:border>
    <x:border>
      <x:right style="medium">
        <x:color rgb="FF000000"/>
      </x:right>
      <x:bottom style="medium">
        <x:color rgb="FF000000"/>
      </x:bottom>
    </x:border>
    <x:border>
      <x:top style="medium">
        <x:color rgb="FF000000"/>
      </x:top>
      <x:bottom style="medium">
        <x:color rgb="FF000000"/>
      </x:bottom>
    </x:border>
    <x:border>
      <x:bottom style="medium">
        <x:color rgb="FF000000"/>
      </x:bottom>
    </x:border>
    <x:border>
      <x:top style="thin">
        <x:color rgb="FF000000"/>
      </x:top>
      <x:bottom style="thin">
        <x:color rgb="FF000000"/>
      </x:bottom>
    </x:border>
    <x:border>
      <x:left style="medium">
        <x:color rgb="FF000000"/>
      </x:left>
      <x:right style="medium">
        <x:color rgb="FF000000"/>
      </x:right>
    </x:border>
    <x:border>
      <x:right style="medium">
        <x:color rgb="FF000000"/>
      </x:right>
    </x:border>
    <x:border>
      <x:bottom style="thin">
        <x:color rgb="FF000000"/>
      </x:bottom>
    </x:border>
    <x:border>
      <x:top style="thin">
        <x:color rgb="FF000000"/>
      </x:top>
    </x:border>
    <x:border>
      <x:left style="thin">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bottom style="thin">
        <x:color rgb="FF000000"/>
      </x:bottom>
    </x:border>
    <x:border>
      <x:left style="thin">
        <x:color rgb="FF000000"/>
      </x:left>
      <x:right style="thin">
        <x:color rgb="FF000000"/>
      </x:right>
    </x:border>
    <x:border>
      <x:left style="thin">
        <x:color indexed="64"/>
      </x:left>
      <x:right style="thin">
        <x:color indexed="64"/>
      </x:right>
      <x:top style="thin">
        <x:color indexed="64"/>
      </x:top>
      <x:bottom style="thin">
        <x:color indexed="64"/>
      </x:bottom>
    </x:border>
    <x:border>
      <x:left style="thin">
        <x:color rgb="FFDDDDDD"/>
      </x:left>
      <x:right style="thin">
        <x:color rgb="FFDDDDDD"/>
      </x:right>
    </x:border>
    <x:border>
      <x:left style="thin">
        <x:color rgb="FFDDDDDD"/>
      </x:left>
      <x:top style="thin">
        <x:color rgb="FFDDDDDD"/>
      </x:top>
      <x:bottom style="thin">
        <x:color rgb="FFDDDDDD"/>
      </x:bottom>
    </x:border>
    <x:border>
      <x:left style="thin">
        <x:color rgb="FFDDDDDD"/>
      </x:left>
      <x:right style="thin">
        <x:color rgb="FFDDDDDD"/>
      </x:right>
      <x:top style="thin">
        <x:color rgb="FFDDDDDD"/>
      </x:top>
    </x:border>
    <x:border>
      <x:left style="thin">
        <x:color theme="0" tint="-0.15"/>
      </x:left>
      <x:right style="thin">
        <x:color theme="0" tint="-0.15"/>
      </x:right>
      <x:top style="thin">
        <x:color theme="0" tint="-0.15"/>
      </x:top>
    </x:border>
    <x:border>
      <x:left style="thin">
        <x:color theme="0" tint="-0.15"/>
      </x:left>
      <x:right style="thin">
        <x:color theme="0" tint="-0.15"/>
      </x:right>
      <x:top style="thin">
        <x:color theme="0" tint="-0.15"/>
      </x:top>
      <x:bottom style="thin">
        <x:color theme="0" tint="-0.15"/>
      </x:bottom>
    </x:border>
    <x:border>
      <x:left style="thin">
        <x:color rgb="FF1F2D3D"/>
      </x:left>
    </x:border>
    <x:border>
      <x:top style="thin">
        <x:color rgb="FF1F2D3D"/>
      </x:top>
      <x:bottom style="thin">
        <x:color rgb="FF1F2D3D"/>
      </x:bottom>
    </x:border>
    <x:border>
      <x:right style="thin">
        <x:color rgb="FF1F2D3D"/>
      </x:right>
      <x:top style="thin">
        <x:color rgb="FF1F2D3D"/>
      </x:top>
      <x:bottom style="thin">
        <x:color rgb="FF1F2D3D"/>
      </x:bottom>
    </x:border>
    <x:border>
      <x:left style="thin">
        <x:color rgb="FF1F2D3D"/>
      </x:left>
      <x:right style="thin">
        <x:color rgb="FF1F2D3D"/>
      </x:right>
      <x:top style="thin">
        <x:color rgb="FF1F2D3D"/>
      </x:top>
      <x:bottom style="thin">
        <x:color rgb="FF1F2D3D"/>
      </x:bottom>
    </x:border>
    <x:border>
      <x:bottom style="thin">
        <x:color rgb="FFFFFFFF"/>
      </x:bottom>
    </x:border>
    <x:border>
      <x:bottom style="thin">
        <x:color indexed="64"/>
      </x:bottom>
    </x:border>
    <x:border>
      <x:left style="thin">
        <x:color rgb="FF000000"/>
      </x:left>
      <x:right style="thin">
        <x:color rgb="FF000000"/>
      </x:right>
      <x:top style="thin">
        <x:color rgb="FF000000"/>
      </x:top>
    </x:border>
    <x:border>
      <x:top style="thin">
        <x:color rgb="FFFFFFFF"/>
      </x:top>
      <x:bottom style="thin">
        <x:color rgb="FFFFFFFF"/>
      </x:bottom>
    </x:border>
    <x:border>
      <x:right style="thin">
        <x:color rgb="FF000000"/>
      </x:right>
      <x:top style="thin">
        <x:color rgb="FF000000"/>
      </x:top>
    </x:border>
  </x:borders>
  <x:cellStyleXfs count="7">
    <x:xf numFmtId="0" fontId="0" fillId="0" borderId="28"/>
    <x:xf numFmtId="0" fontId="8" fillId="0" borderId="28"/>
    <x:xf numFmtId="0" fontId="9" fillId="0" borderId="28"/>
    <x:xf numFmtId="0" fontId="5" fillId="2" borderId="1" xfId="0" applyFont="1" applyFill="1" applyBorder="1" applyAlignment="1">
      <x:alignment horizontal="center" vertical="center"/>
    </x:xf>
    <x:xf numFmtId="0" fontId="6" fillId="2" borderId="1" xfId="0" applyFont="1" applyFill="1" applyBorder="1" applyAlignment="1">
      <x:alignment horizontal="center" vertical="center"/>
    </x:xf>
    <x:xf numFmtId="0" fontId="2" fillId="0" borderId="3" xfId="0" applyFont="1" applyBorder="1" applyAlignment="1">
      <x:alignment horizontal="left" vertical="center" wrapText="1"/>
    </x:xf>
    <x:xf numFmtId="0" fontId="0" fillId="3" borderId="5" xfId="0" applyFill="1" applyBorder="1" applyAlignment="1">
      <x:alignment wrapText="1"/>
    </x:xf>
  </x:cellStyleXfs>
  <x:cellXfs count="1551">
    <x:xf numFmtId="0" fontId="0" fillId="0" borderId="0" xfId="0" applyBorder="1"/>
    <x:xf numFmtId="0" fontId="1" fillId="0" borderId="0" xfId="0" applyFont="1" applyBorder="1"/>
    <x:xf numFmtId="0" fontId="7" fillId="0" borderId="3" xfId="0" applyFont="1" applyBorder="1" applyAlignment="1">
      <x:alignment horizontal="left" vertical="center" wrapText="1"/>
    </x:xf>
    <x:xf numFmtId="0" fontId="5" fillId="2" borderId="1" xfId="0" applyFont="1" applyFill="1" applyBorder="1" applyAlignment="1">
      <x:alignment horizontal="center" vertical="center"/>
    </x:xf>
    <x:xf numFmtId="0" fontId="6" fillId="2" borderId="1" xfId="0" applyFont="1" applyFill="1" applyBorder="1" applyAlignment="1">
      <x:alignment horizontal="center" vertical="center"/>
    </x:xf>
    <x:xf numFmtId="0" fontId="2" fillId="0" borderId="3" xfId="0" applyFont="1" applyBorder="1" applyAlignment="1">
      <x:alignment horizontal="left" vertical="center" wrapText="1"/>
    </x:xf>
    <x:xf numFmtId="0" fontId="0" fillId="3" borderId="5" xfId="0" applyFill="1" applyBorder="1" applyAlignment="1">
      <x:alignment wrapText="1"/>
    </x:xf>
    <x:xf numFmtId="0" fontId="3" fillId="0" borderId="3" xfId="0" applyFont="1" applyBorder="1" applyAlignment="1">
      <x:alignment horizontal="left" vertical="center" wrapText="1"/>
    </x:xf>
    <x:xf numFmtId="0" fontId="0" fillId="0" borderId="0" xfId="0" applyBorder="1" applyAlignment="1">
      <x:alignment wrapText="1"/>
    </x:xf>
    <x:xf numFmtId="0" fontId="0" fillId="3" borderId="4" xfId="0" applyFill="1" applyBorder="1" applyAlignment="1">
      <x:alignment wrapText="1"/>
    </x:xf>
    <x:xf numFmtId="0" fontId="12" fillId="4" borderId="0" xfId="0" applyFont="1" applyFill="1" applyBorder="1" applyAlignment="1">
      <x:alignment wrapText="1"/>
    </x:xf>
    <x:xf numFmtId="0" fontId="13" fillId="4" borderId="0" xfId="0" applyFont="1" applyFill="1" applyBorder="1" applyAlignment="1">
      <x:alignment wrapText="1"/>
    </x:xf>
    <x:xf numFmtId="0" fontId="14" fillId="4" borderId="1" xfId="0" applyFont="1" applyFill="1" applyBorder="1"/>
    <x:xf numFmtId="0" fontId="14" fillId="4" borderId="9" xfId="0" applyFont="1" applyFill="1" applyBorder="1"/>
    <x:xf numFmtId="0" fontId="16" fillId="5" borderId="0" xfId="0" applyFont="1" applyFill="1" applyBorder="1" applyAlignment="1">
      <x:alignment wrapText="1"/>
    </x:xf>
    <x:xf numFmtId="0" fontId="14" fillId="4" borderId="10" xfId="0" applyFont="1" applyFill="1" applyBorder="1"/>
    <x:xf numFmtId="0" fontId="14" fillId="4" borderId="11" xfId="0" applyFont="1" applyFill="1" applyBorder="1"/>
    <x:xf numFmtId="0" fontId="19" fillId="4" borderId="0" xfId="0" applyFont="1" applyFill="1" applyBorder="1" applyAlignment="1">
      <x:alignment wrapText="1"/>
    </x:xf>
    <x:xf numFmtId="0" fontId="20" fillId="5" borderId="0" xfId="0" applyFont="1" applyFill="1" applyBorder="1" applyAlignment="1">
      <x:alignment wrapText="1"/>
    </x:xf>
    <x:xf numFmtId="0" fontId="27" fillId="4" borderId="1" xfId="0" applyFont="1" applyFill="1" applyBorder="1" applyAlignment="1">
      <x:alignment horizontal="center" vertical="center"/>
    </x:xf>
    <x:xf numFmtId="0" fontId="14" fillId="4" borderId="9" xfId="0" applyFont="1" applyFill="1" applyBorder="1" applyAlignment="1">
      <x:alignment horizontal="center" vertical="center"/>
    </x:xf>
    <x:xf numFmtId="0" fontId="27" fillId="4" borderId="10" xfId="0" applyFont="1" applyFill="1" applyBorder="1" applyAlignment="1">
      <x:alignment horizontal="center" vertical="center"/>
    </x:xf>
    <x:xf numFmtId="0" fontId="14" fillId="4" borderId="11" xfId="0" applyFont="1" applyFill="1" applyBorder="1" applyAlignment="1">
      <x:alignment horizontal="center" vertical="center"/>
    </x:xf>
    <x:xf numFmtId="0" fontId="27" fillId="4" borderId="1" xfId="0" applyFont="1" applyFill="1" applyBorder="1" applyAlignment="1">
      <x:alignment horizontal="center" vertical="center" wrapText="1"/>
    </x:xf>
    <x:xf numFmtId="0" fontId="14" fillId="4" borderId="9" xfId="0" applyFont="1" applyFill="1" applyBorder="1" applyAlignment="1">
      <x:alignment horizontal="center" vertical="center" wrapText="1"/>
    </x:xf>
    <x:xf numFmtId="0" fontId="27" fillId="4" borderId="10" xfId="0" applyFont="1" applyFill="1" applyBorder="1" applyAlignment="1">
      <x:alignment horizontal="center" vertical="center" wrapText="1"/>
    </x:xf>
    <x:xf numFmtId="0" fontId="14" fillId="4" borderId="11" xfId="0" applyFont="1" applyFill="1" applyBorder="1" applyAlignment="1">
      <x:alignment horizontal="center" vertical="center" wrapText="1"/>
    </x:xf>
    <x:xf numFmtId="0" fontId="28" fillId="0" borderId="3" xfId="0" applyFont="1" applyBorder="1" applyAlignment="1">
      <x:alignment vertical="center" wrapText="1"/>
    </x:xf>
    <x:xf numFmtId="0" fontId="29" fillId="6" borderId="4" xfId="0" applyFont="1" applyFill="1" applyBorder="1" applyAlignment="1">
      <x:alignment vertical="center" wrapText="1"/>
    </x:xf>
    <x:xf numFmtId="0" fontId="30" fillId="0" borderId="7" xfId="0" applyFont="1" applyBorder="1" applyAlignment="1">
      <x:alignment vertical="center" wrapText="1"/>
    </x:xf>
    <x:xf numFmtId="0" fontId="31" fillId="0" borderId="7" xfId="0" applyFont="1" applyBorder="1" applyAlignment="1">
      <x:alignment vertical="center" wrapText="1"/>
    </x:xf>
    <x:xf numFmtId="0" fontId="28" fillId="0" borderId="8" xfId="0" applyFont="1" applyBorder="1" applyAlignment="1">
      <x:alignment vertical="center" wrapText="1"/>
    </x:xf>
    <x:xf numFmtId="0" fontId="30" fillId="0" borderId="14" xfId="0" applyFont="1" applyBorder="1" applyAlignment="1">
      <x:alignment vertical="center" wrapText="1"/>
    </x:xf>
    <x:xf numFmtId="0" fontId="31" fillId="0" borderId="14" xfId="0" applyFont="1" applyBorder="1" applyAlignment="1">
      <x:alignment vertical="center" wrapText="1"/>
    </x:xf>
    <x:xf numFmtId="0" fontId="27" fillId="4" borderId="9" xfId="0" applyFont="1" applyFill="1" applyBorder="1" applyAlignment="1">
      <x:alignment horizontal="center" vertical="center"/>
    </x:xf>
    <x:xf numFmtId="0" fontId="29" fillId="6" borderId="5" xfId="0" applyFont="1" applyFill="1" applyBorder="1" applyAlignment="1">
      <x:alignment vertical="center" wrapText="1"/>
    </x:xf>
    <x:xf numFmtId="0" fontId="0" fillId="0" borderId="0" xfId="0" applyBorder="1" applyAlignment="1">
      <x:alignment horizontal="left" vertical="center"/>
    </x:xf>
    <x:xf numFmtId="0" fontId="21" fillId="4" borderId="15" xfId="0" applyFont="1" applyFill="1" applyBorder="1" applyAlignment="1">
      <x:alignment horizontal="left" vertical="center" wrapText="1"/>
    </x:xf>
    <x:xf numFmtId="0" fontId="21" fillId="4" borderId="16" xfId="0" applyFont="1" applyFill="1" applyBorder="1" applyAlignment="1">
      <x:alignment horizontal="left" vertical="center" wrapText="1"/>
    </x:xf>
    <x:xf numFmtId="0" fontId="33" fillId="0" borderId="18" xfId="0" applyFont="1" applyBorder="1" applyAlignment="1">
      <x:alignment horizontal="left" vertical="center" wrapText="1"/>
    </x:xf>
    <x:xf numFmtId="0" fontId="33" fillId="0" borderId="19" xfId="0" applyFont="1" applyBorder="1" applyAlignment="1">
      <x:alignment horizontal="left" vertical="center" wrapText="1"/>
    </x:xf>
    <x:xf numFmtId="0" fontId="34" fillId="7" borderId="20" xfId="0" applyFont="1" applyFill="1" applyBorder="1" applyAlignment="1">
      <x:alignment horizontal="left" vertical="center" wrapText="1"/>
    </x:xf>
    <x:xf numFmtId="0" fontId="35" fillId="0" borderId="0" xfId="0" applyFont="1" applyBorder="1" applyAlignment="1">
      <x:alignment horizontal="left" vertical="center" wrapText="1"/>
    </x:xf>
    <x:xf numFmtId="0" fontId="34" fillId="7" borderId="21" xfId="0" applyFont="1" applyFill="1" applyBorder="1" applyAlignment="1">
      <x:alignment horizontal="left" vertical="center" wrapText="1"/>
    </x:xf>
    <x:xf numFmtId="0" fontId="34" fillId="5" borderId="22" xfId="0" applyFont="1" applyFill="1" applyBorder="1" applyAlignment="1">
      <x:alignment horizontal="left" vertical="center" wrapText="1"/>
    </x:xf>
    <x:xf numFmtId="0" fontId="34" fillId="5" borderId="23" xfId="0" applyFont="1" applyFill="1" applyBorder="1" applyAlignment="1">
      <x:alignment horizontal="left" vertical="center" wrapText="1"/>
    </x:xf>
    <x:xf numFmtId="0" fontId="34" fillId="7" borderId="22" xfId="0" applyFont="1" applyFill="1" applyBorder="1" applyAlignment="1">
      <x:alignment horizontal="left" vertical="center" wrapText="1"/>
    </x:xf>
    <x:xf numFmtId="0" fontId="34" fillId="7" borderId="23" xfId="0" applyFont="1" applyFill="1" applyBorder="1" applyAlignment="1">
      <x:alignment horizontal="left" vertical="center" wrapText="1"/>
    </x:xf>
    <x:xf numFmtId="0" fontId="21" fillId="4" borderId="16" xfId="0" applyFont="1" applyFill="1" applyBorder="1" applyAlignment="1">
      <x:alignment vertical="center" wrapText="1"/>
    </x:xf>
    <x:xf numFmtId="0" fontId="34" fillId="7" borderId="20" xfId="0" applyFont="1" applyFill="1" applyBorder="1" applyAlignment="1">
      <x:alignment vertical="center" wrapText="1"/>
    </x:xf>
    <x:xf numFmtId="0" fontId="34" fillId="5" borderId="22" xfId="0" applyFont="1" applyFill="1" applyBorder="1" applyAlignment="1">
      <x:alignment vertical="center" wrapText="1"/>
    </x:xf>
    <x:xf numFmtId="0" fontId="34" fillId="7" borderId="22" xfId="0" applyFont="1" applyFill="1" applyBorder="1" applyAlignment="1">
      <x:alignment vertical="center" wrapText="1"/>
    </x:xf>
    <x:xf numFmtId="0" fontId="0" fillId="0" borderId="0" xfId="0" applyBorder="1" applyAlignment="1">
      <x:alignment horizontal="left" vertical="center" wrapText="1"/>
    </x:xf>
    <x:xf numFmtId="0" fontId="1" fillId="0" borderId="0" xfId="0" applyFont="1" applyBorder="1" applyAlignment="1">
      <x:alignment wrapText="1"/>
    </x:xf>
    <x:xf numFmtId="0" fontId="37" fillId="5" borderId="0" xfId="0" applyFont="1" applyFill="1" applyBorder="1" applyAlignment="1">
      <x:alignment wrapText="1"/>
    </x:xf>
    <x:xf numFmtId="0" fontId="1" fillId="0" borderId="0" xfId="0" applyFont="1" applyBorder="1" applyAlignment="1">
      <x:alignment horizontal="left" vertical="center" wrapText="1"/>
    </x:xf>
    <x:xf numFmtId="0" fontId="19" fillId="4" borderId="0" xfId="0" applyFont="1" applyFill="1" applyBorder="1" applyAlignment="1">
      <x:alignment horizontal="left" vertical="center" wrapText="1"/>
    </x:xf>
    <x:xf numFmtId="0" fontId="14" fillId="4" borderId="1" xfId="0" applyFont="1" applyFill="1" applyBorder="1" applyAlignment="1">
      <x:alignment horizontal="left" vertical="center" wrapText="1"/>
    </x:xf>
    <x:xf numFmtId="0" fontId="14" fillId="4" borderId="9" xfId="0" applyFont="1" applyFill="1" applyBorder="1" applyAlignment="1">
      <x:alignment horizontal="left" vertical="center" wrapText="1"/>
    </x:xf>
    <x:xf numFmtId="0" fontId="20" fillId="5" borderId="0" xfId="0" applyFont="1" applyFill="1" applyBorder="1" applyAlignment="1">
      <x:alignment horizontal="left" vertical="center" wrapText="1"/>
    </x:xf>
    <x:xf numFmtId="0" fontId="14" fillId="4" borderId="10" xfId="0" applyFont="1" applyFill="1" applyBorder="1" applyAlignment="1">
      <x:alignment horizontal="left" vertical="center" wrapText="1"/>
    </x:xf>
    <x:xf numFmtId="0" fontId="14" fillId="4" borderId="11" xfId="0" applyFont="1" applyFill="1" applyBorder="1" applyAlignment="1">
      <x:alignment horizontal="left" vertical="center" wrapText="1"/>
    </x:xf>
    <x:xf numFmtId="0" fontId="2" fillId="0" borderId="15" xfId="0" applyFont="1" applyBorder="1" applyAlignment="1">
      <x:alignment horizontal="left" vertical="center" wrapText="1"/>
    </x:xf>
    <x:xf numFmtId="0" fontId="0" fillId="3" borderId="15" xfId="0" applyFill="1" applyBorder="1" applyAlignment="1">
      <x:alignment wrapText="1"/>
    </x:xf>
    <x:xf numFmtId="0" fontId="3" fillId="0" borderId="15" xfId="0" applyFont="1" applyBorder="1" applyAlignment="1">
      <x:alignment horizontal="left" vertical="center" wrapText="1"/>
    </x:xf>
    <x:xf numFmtId="0" fontId="7" fillId="0" borderId="15" xfId="0" applyFont="1" applyBorder="1" applyAlignment="1">
      <x:alignment horizontal="left" vertical="center" wrapText="1"/>
    </x:xf>
    <x:xf numFmtId="0" fontId="34" fillId="7" borderId="15" xfId="0" applyFont="1" applyFill="1" applyBorder="1" applyAlignment="1">
      <x:alignment horizontal="left" vertical="center" wrapText="1"/>
    </x:xf>
    <x:xf numFmtId="0" fontId="35" fillId="0" borderId="15" xfId="0" applyFont="1" applyBorder="1" applyAlignment="1">
      <x:alignment horizontal="left" vertical="center" wrapText="1"/>
    </x:xf>
    <x:xf numFmtId="0" fontId="34" fillId="5" borderId="15" xfId="0" applyFont="1" applyFill="1" applyBorder="1" applyAlignment="1">
      <x:alignment horizontal="left" vertical="center" wrapText="1"/>
    </x:xf>
    <x:xf numFmtId="0" fontId="38" fillId="5" borderId="0" xfId="0" applyFont="1" applyFill="1" applyBorder="1" applyAlignment="1">
      <x:alignment wrapText="1"/>
    </x:xf>
    <x:xf numFmtId="0" fontId="40" fillId="5" borderId="0" xfId="0" applyFont="1" applyFill="1" applyBorder="1" applyAlignment="1">
      <x:alignment wrapText="1"/>
    </x:xf>
    <x:xf numFmtId="0" fontId="38" fillId="8" borderId="0" xfId="0" applyFont="1" applyFill="1" applyBorder="1" applyAlignment="1">
      <x:alignment vertical="center" wrapText="1"/>
    </x:xf>
    <x:xf numFmtId="0" fontId="16" fillId="8" borderId="0" xfId="0" applyFont="1" applyFill="1" applyBorder="1" applyAlignment="1">
      <x:alignment vertical="center" wrapText="1"/>
    </x:xf>
    <x:xf numFmtId="0" fontId="16" fillId="8" borderId="28" xfId="0" applyFont="1" applyFill="1" applyAlignment="1">
      <x:alignment vertical="center" wrapText="1"/>
    </x:xf>
    <x:xf numFmtId="0" fontId="42" fillId="8" borderId="0" xfId="0" applyFont="1" applyFill="1" applyBorder="1" applyAlignment="1">
      <x:alignment horizontal="center" vertical="center" wrapText="1"/>
    </x:xf>
    <x:xf numFmtId="0" fontId="45" fillId="8" borderId="0" xfId="0" applyFont="1" applyFill="1" applyBorder="1" applyAlignment="1">
      <x:alignment horizontal="center" vertical="center" wrapText="1"/>
    </x:xf>
    <x:xf numFmtId="0" fontId="46" fillId="8" borderId="0" xfId="0" applyFont="1" applyFill="1" applyBorder="1" applyAlignment="1">
      <x:alignment horizontal="center" vertical="center" wrapText="1"/>
    </x:xf>
    <x:xf numFmtId="0" fontId="38" fillId="8" borderId="28" xfId="0" applyFont="1" applyFill="1" applyAlignment="1">
      <x:alignment vertical="center" wrapText="1"/>
    </x:xf>
    <x:xf numFmtId="0" fontId="12" fillId="9" borderId="0" xfId="0" applyFont="1" applyFill="1" applyBorder="1" applyAlignment="1">
      <x:alignment horizontal="center" vertical="center" wrapText="1"/>
    </x:xf>
    <x:xf numFmtId="0" fontId="43" fillId="8" borderId="0" xfId="0" applyFont="1" applyFill="1" applyBorder="1" applyAlignment="1">
      <x:alignment horizontal="center" vertical="center" wrapText="1"/>
    </x:xf>
    <x:xf numFmtId="0" fontId="49" fillId="8" borderId="0" xfId="0" applyFont="1" applyFill="1" applyBorder="1" applyAlignment="1">
      <x:alignment horizontal="center" vertical="center" wrapText="1"/>
    </x:xf>
    <x:xf numFmtId="0" fontId="50" fillId="8" borderId="0" xfId="0" applyFont="1" applyFill="1" applyBorder="1" applyAlignment="1">
      <x:alignment horizontal="center" vertical="center" wrapText="1"/>
    </x:xf>
    <x:xf numFmtId="0" fontId="51" fillId="8" borderId="0" xfId="0" applyFont="1" applyFill="1" applyBorder="1" applyAlignment="1">
      <x:alignment horizontal="center" vertical="center" wrapText="1"/>
    </x:xf>
    <x:xf numFmtId="0" fontId="47" fillId="8" borderId="0" xfId="0" applyFont="1" applyFill="1" applyBorder="1" applyAlignment="1">
      <x:alignment horizontal="center" vertical="center" wrapText="1"/>
    </x:xf>
    <x:xf numFmtId="0" fontId="47" fillId="8" borderId="28" xfId="0" applyFont="1" applyFill="1" applyAlignment="1">
      <x:alignment horizontal="center" vertical="center" wrapText="1"/>
    </x:xf>
    <x:xf numFmtId="0" fontId="49" fillId="8" borderId="28" xfId="0" applyFont="1" applyFill="1" applyAlignment="1">
      <x:alignment horizontal="center" vertical="center" wrapText="1"/>
    </x:xf>
    <x:xf numFmtId="0" fontId="15" fillId="8" borderId="20" xfId="0" applyFont="1" applyFill="1" applyBorder="1" applyAlignment="1">
      <x:alignment horizontal="left" vertical="center" wrapText="1"/>
    </x:xf>
    <x:xf numFmtId="0" fontId="15" fillId="8" borderId="21" xfId="0" applyFont="1" applyFill="1" applyBorder="1" applyAlignment="1">
      <x:alignment horizontal="left" vertical="center" wrapText="1"/>
    </x:xf>
    <x:xf numFmtId="0" fontId="15" fillId="8" borderId="22" xfId="0" applyFont="1" applyFill="1" applyBorder="1" applyAlignment="1">
      <x:alignment horizontal="left" vertical="center" wrapText="1"/>
    </x:xf>
    <x:xf numFmtId="0" fontId="15" fillId="8" borderId="23" xfId="0" applyFont="1" applyFill="1" applyBorder="1" applyAlignment="1">
      <x:alignment horizontal="left" vertical="center" wrapText="1"/>
    </x:xf>
    <x:xf numFmtId="0" fontId="15" fillId="8" borderId="29" xfId="0" applyFont="1" applyFill="1" applyBorder="1" applyAlignment="1">
      <x:alignment horizontal="left" vertical="center" wrapText="1"/>
    </x:xf>
    <x:xf numFmtId="0" fontId="15" fillId="8" borderId="30" xfId="0" applyFont="1" applyFill="1" applyBorder="1" applyAlignment="1">
      <x:alignment horizontal="left" vertical="center" wrapText="1"/>
    </x:xf>
    <x:xf numFmtId="0" fontId="12" fillId="9" borderId="16" xfId="0" applyFont="1" applyFill="1" applyBorder="1" applyAlignment="1">
      <x:alignment horizontal="center" vertical="center" wrapText="1"/>
    </x:xf>
    <x:xf numFmtId="0" fontId="12" fillId="9" borderId="17" xfId="0" applyFont="1" applyFill="1" applyBorder="1" applyAlignment="1">
      <x:alignment horizontal="center" vertical="center" wrapText="1"/>
    </x:xf>
    <x:xf numFmtId="0" fontId="15" fillId="8" borderId="32" xfId="0" applyFont="1" applyFill="1" applyBorder="1" applyAlignment="1">
      <x:alignment horizontal="left" vertical="center" wrapText="1"/>
    </x:xf>
    <x:xf numFmtId="0" fontId="15" fillId="8" borderId="33" xfId="0" applyFont="1" applyFill="1" applyBorder="1" applyAlignment="1">
      <x:alignment horizontal="left" vertical="center" wrapText="1"/>
    </x:xf>
    <x:xf numFmtId="0" fontId="15" fillId="8" borderId="28" xfId="0" applyFont="1" applyFill="1" applyAlignment="1">
      <x:alignment horizontal="left" vertical="center" wrapText="1"/>
    </x:xf>
    <x:xf numFmtId="0" fontId="42" fillId="8" borderId="17" xfId="0" applyFont="1" applyFill="1" applyBorder="1" applyAlignment="1">
      <x:alignment vertical="center" wrapText="1"/>
    </x:xf>
    <x:xf numFmtId="0" fontId="45" fillId="8" borderId="17" xfId="0" applyFont="1" applyFill="1" applyBorder="1" applyAlignment="1">
      <x:alignment vertical="center" wrapText="1"/>
    </x:xf>
    <x:xf numFmtId="0" fontId="19" fillId="4" borderId="28" xfId="0" applyFont="1" applyFill="1" applyAlignment="1">
      <x:alignment wrapText="1"/>
    </x:xf>
    <x:xf numFmtId="0" fontId="41" fillId="11" borderId="0" xfId="0" applyFont="1" applyFill="1" applyBorder="1" applyAlignment="1">
      <x:alignment horizontal="center" vertical="center" wrapText="1"/>
    </x:xf>
    <x:xf numFmtId="0" fontId="35" fillId="0" borderId="0" xfId="0" applyFont="1" applyBorder="1"/>
    <x:xf numFmtId="0" fontId="5" fillId="11" borderId="18" xfId="0" applyFont="1" applyFill="1" applyBorder="1" applyAlignment="1">
      <x:alignment horizontal="center" vertical="center" wrapText="1"/>
    </x:xf>
    <x:xf numFmtId="0" fontId="5" fillId="11" borderId="19" xfId="0" applyFont="1" applyFill="1" applyBorder="1" applyAlignment="1">
      <x:alignment horizontal="center" vertical="center" wrapText="1"/>
    </x:xf>
    <x:xf numFmtId="0" fontId="19" fillId="4" borderId="28" xfId="0" applyFont="1" applyFill="1" applyAlignment="1">
      <x:alignment horizontal="left" vertical="center" wrapText="1"/>
    </x:xf>
    <x:xf numFmtId="0" fontId="12" fillId="10" borderId="28" xfId="0" applyFont="1" applyFill="1" applyAlignment="1">
      <x:alignment horizontal="left" vertical="center" wrapText="1"/>
    </x:xf>
    <x:xf numFmtId="0" fontId="14" fillId="4" borderId="1" xfId="0" applyFont="1" applyFill="1" applyBorder="1" applyAlignment="1">
      <x:alignment wrapText="1"/>
    </x:xf>
    <x:xf numFmtId="0" fontId="14" fillId="4" borderId="9" xfId="0" applyFont="1" applyFill="1" applyBorder="1" applyAlignment="1">
      <x:alignment wrapText="1"/>
    </x:xf>
    <x:xf numFmtId="0" fontId="14" fillId="4" borderId="10" xfId="0" applyFont="1" applyFill="1" applyBorder="1" applyAlignment="1">
      <x:alignment wrapText="1"/>
    </x:xf>
    <x:xf numFmtId="0" fontId="14" fillId="4" borderId="11" xfId="0" applyFont="1" applyFill="1" applyBorder="1" applyAlignment="1">
      <x:alignment wrapText="1"/>
    </x:xf>
    <x:xf numFmtId="0" fontId="43" fillId="5" borderId="0" xfId="0" applyFont="1" applyFill="1" applyBorder="1" applyAlignment="1">
      <x:alignment horizontal="center" vertical="center" wrapText="1"/>
    </x:xf>
    <x:xf numFmtId="0" fontId="49" fillId="5" borderId="0" xfId="0" applyFont="1" applyFill="1" applyBorder="1" applyAlignment="1">
      <x:alignment horizontal="center" vertical="center" wrapText="1"/>
    </x:xf>
    <x:xf numFmtId="0" fontId="50" fillId="5" borderId="0" xfId="0" applyFont="1" applyFill="1" applyBorder="1" applyAlignment="1">
      <x:alignment horizontal="center" vertical="center" wrapText="1"/>
    </x:xf>
    <x:xf numFmtId="0" fontId="16" fillId="5" borderId="0" xfId="0" applyFont="1" applyFill="1" applyBorder="1" applyAlignment="1">
      <x:alignment vertical="center" wrapText="1"/>
    </x:xf>
    <x:xf numFmtId="0" fontId="51" fillId="5" borderId="0" xfId="0" applyFont="1" applyFill="1" applyBorder="1" applyAlignment="1">
      <x:alignment horizontal="center" vertical="center" wrapText="1"/>
    </x:xf>
    <x:xf numFmtId="0" fontId="13" fillId="4" borderId="0" xfId="0" applyFont="1" applyFill="1" applyBorder="1" applyAlignment="1">
      <x:alignment horizontal="left" vertical="center" wrapText="1"/>
    </x:xf>
    <x:xf numFmtId="0" fontId="0" fillId="0" borderId="17" xfId="0" applyBorder="1" applyAlignment="1">
      <x:alignment wrapText="1"/>
    </x:xf>
    <x:xf numFmtId="0" fontId="0" fillId="0" borderId="16" xfId="0" applyBorder="1" applyAlignment="1">
      <x:alignment wrapText="1"/>
    </x:xf>
    <x:xf numFmtId="0" fontId="5" fillId="2" borderId="18" xfId="0" applyFont="1" applyFill="1" applyBorder="1" applyAlignment="1">
      <x:alignment horizontal="center" vertical="center" wrapText="1"/>
    </x:xf>
    <x:xf numFmtId="0" fontId="5" fillId="2" borderId="19" xfId="0" applyFont="1" applyFill="1" applyBorder="1" applyAlignment="1">
      <x:alignment horizontal="center" vertical="center" wrapText="1"/>
    </x:xf>
    <x:xf numFmtId="0" fontId="12" fillId="4" borderId="16" xfId="0" applyFont="1" applyFill="1" applyBorder="1" applyAlignment="1">
      <x:alignment horizontal="center" vertical="center" wrapText="1"/>
    </x:xf>
    <x:xf numFmtId="0" fontId="12" fillId="4" borderId="17" xfId="0" applyFont="1" applyFill="1" applyBorder="1" applyAlignment="1">
      <x:alignment horizontal="center" vertical="center" wrapText="1"/>
    </x:xf>
    <x:xf numFmtId="0" fontId="12" fillId="4" borderId="17" xfId="0" applyFont="1" applyFill="1" applyBorder="1" applyAlignment="1">
      <x:alignment horizontal="left" vertical="center" wrapText="1"/>
    </x:xf>
    <x:xf numFmtId="0" fontId="41" fillId="2" borderId="19" xfId="0" applyFont="1" applyFill="1" applyBorder="1" applyAlignment="1">
      <x:alignment horizontal="center" vertical="center" wrapText="1"/>
    </x:xf>
    <x:xf numFmtId="0" fontId="15" fillId="5" borderId="20" xfId="0" applyFont="1" applyFill="1" applyBorder="1" applyAlignment="1">
      <x:alignment horizontal="left" vertical="center" wrapText="1"/>
    </x:xf>
    <x:xf numFmtId="0" fontId="15" fillId="5" borderId="21" xfId="0" applyFont="1" applyFill="1" applyBorder="1" applyAlignment="1">
      <x:alignment horizontal="left" vertical="center" wrapText="1"/>
    </x:xf>
    <x:xf numFmtId="0" fontId="15" fillId="5" borderId="29" xfId="0" applyFont="1" applyFill="1" applyBorder="1" applyAlignment="1">
      <x:alignment horizontal="left" vertical="center" wrapText="1"/>
    </x:xf>
    <x:xf numFmtId="0" fontId="15" fillId="5" borderId="22" xfId="0" applyFont="1" applyFill="1" applyBorder="1" applyAlignment="1">
      <x:alignment horizontal="left" vertical="center" wrapText="1"/>
    </x:xf>
    <x:xf numFmtId="0" fontId="15" fillId="5" borderId="23" xfId="0" applyFont="1" applyFill="1" applyBorder="1" applyAlignment="1">
      <x:alignment horizontal="left" vertical="center" wrapText="1"/>
    </x:xf>
    <x:xf numFmtId="0" fontId="15" fillId="5" borderId="30" xfId="0" applyFont="1" applyFill="1" applyBorder="1" applyAlignment="1">
      <x:alignment horizontal="left" vertical="center" wrapText="1"/>
    </x:xf>
    <x:xf numFmtId="0" fontId="42" fillId="5" borderId="17" xfId="0" applyFont="1" applyFill="1" applyBorder="1" applyAlignment="1">
      <x:alignment vertical="center" wrapText="1"/>
    </x:xf>
    <x:xf numFmtId="0" fontId="45" fillId="5" borderId="17" xfId="0" applyFont="1" applyFill="1" applyBorder="1" applyAlignment="1">
      <x:alignment vertical="center" wrapText="1"/>
    </x:xf>
    <x:xf numFmtId="0" fontId="12" fillId="4" borderId="19" xfId="0" applyFont="1" applyFill="1" applyBorder="1" applyAlignment="1">
      <x:alignment horizontal="left" vertical="center" wrapText="1"/>
    </x:xf>
    <x:xf numFmtId="0" fontId="0" fillId="0" borderId="27" xfId="0" applyBorder="1" applyAlignment="1">
      <x:alignment wrapText="1"/>
    </x:xf>
    <x:xf numFmtId="0" fontId="0" fillId="0" borderId="19" xfId="0" applyBorder="1" applyAlignment="1">
      <x:alignment wrapText="1"/>
    </x:xf>
    <x:xf numFmtId="0" fontId="39" fillId="4" borderId="0" xfId="0" applyFont="1" applyFill="1" applyBorder="1" applyAlignment="1">
      <x:alignment wrapText="1"/>
    </x:xf>
    <x:xf numFmtId="0" fontId="46" fillId="5" borderId="17" xfId="0" applyFont="1" applyFill="1" applyBorder="1" applyAlignment="1">
      <x:alignment vertical="center" wrapText="1"/>
    </x:xf>
    <x:xf numFmtId="0" fontId="41" fillId="2" borderId="17" xfId="0" applyFont="1" applyFill="1" applyBorder="1" applyAlignment="1">
      <x:alignment vertical="center" wrapText="1"/>
    </x:xf>
    <x:xf numFmtId="0" fontId="47" fillId="5" borderId="17" xfId="0" applyFont="1" applyFill="1" applyBorder="1" applyAlignment="1">
      <x:alignment vertical="center" wrapText="1"/>
    </x:xf>
    <x:xf numFmtId="0" fontId="41" fillId="2" borderId="0" xfId="0" applyFont="1" applyFill="1" applyBorder="1" applyAlignment="1">
      <x:alignment horizontal="center" vertical="center" wrapText="1"/>
    </x:xf>
    <x:xf numFmtId="0" fontId="35" fillId="0" borderId="17" xfId="0" applyFont="1" applyBorder="1" applyAlignment="1">
      <x:alignment wrapText="1"/>
    </x:xf>
    <x:xf numFmtId="0" fontId="0" fillId="0" borderId="31" xfId="0" applyBorder="1" applyAlignment="1">
      <x:alignment wrapText="1"/>
    </x:xf>
    <x:xf numFmtId="0" fontId="21" fillId="4" borderId="36" xfId="0" applyFont="1" applyFill="1" applyBorder="1" applyAlignment="1">
      <x:alignment horizontal="left" vertical="center" wrapText="1"/>
    </x:xf>
    <x:xf numFmtId="0" fontId="21" fillId="4" borderId="17" xfId="0" applyFont="1" applyFill="1" applyBorder="1" applyAlignment="1">
      <x:alignment horizontal="left" vertical="center" wrapText="1"/>
    </x:xf>
    <x:xf numFmtId="0" fontId="28" fillId="5" borderId="37" xfId="0" applyFont="1" applyFill="1" applyBorder="1" applyAlignment="1">
      <x:alignment horizontal="center" vertical="center" wrapText="1"/>
    </x:xf>
    <x:xf numFmtId="0" fontId="28" fillId="5" borderId="38" xfId="0" applyFont="1" applyFill="1" applyBorder="1" applyAlignment="1">
      <x:alignment horizontal="center" vertical="center" wrapText="1"/>
    </x:xf>
    <x:xf numFmtId="0" fontId="28" fillId="5" borderId="39" xfId="0" applyFont="1" applyFill="1" applyBorder="1" applyAlignment="1">
      <x:alignment horizontal="center" vertical="center" wrapText="1"/>
    </x:xf>
    <x:xf numFmtId="0" fontId="28" fillId="5" borderId="19" xfId="0" applyFont="1" applyFill="1" applyBorder="1" applyAlignment="1">
      <x:alignment horizontal="center" vertical="center" wrapText="1"/>
    </x:xf>
    <x:xf numFmtId="0" fontId="34" fillId="7" borderId="40" xfId="0" applyFont="1" applyFill="1" applyBorder="1" applyAlignment="1">
      <x:alignment horizontal="left" vertical="center" wrapText="1"/>
    </x:xf>
    <x:xf numFmtId="0" fontId="34" fillId="7" borderId="18" xfId="0" applyFont="1" applyFill="1" applyBorder="1" applyAlignment="1">
      <x:alignment horizontal="left" vertical="center" wrapText="1"/>
    </x:xf>
    <x:xf numFmtId="0" fontId="23" fillId="5" borderId="0" xfId="0" applyFont="1" applyFill="1" applyBorder="1" applyAlignment="1">
      <x:alignment horizontal="left" vertical="center" wrapText="1"/>
    </x:xf>
    <x:xf numFmtId="0" fontId="34" fillId="7" borderId="37" xfId="0" applyFont="1" applyFill="1" applyBorder="1" applyAlignment="1">
      <x:alignment horizontal="left" vertical="center" wrapText="1"/>
    </x:xf>
    <x:xf numFmtId="0" fontId="34" fillId="7" borderId="0" xfId="0" applyFont="1" applyFill="1" applyBorder="1" applyAlignment="1">
      <x:alignment horizontal="left" vertical="center" wrapText="1"/>
    </x:xf>
    <x:xf numFmtId="0" fontId="34" fillId="7" borderId="38" xfId="0" applyFont="1" applyFill="1" applyBorder="1" applyAlignment="1">
      <x:alignment horizontal="left" vertical="center" wrapText="1"/>
    </x:xf>
    <x:xf numFmtId="0" fontId="34" fillId="7" borderId="39" xfId="0" applyFont="1" applyFill="1" applyBorder="1" applyAlignment="1">
      <x:alignment horizontal="left" vertical="center" wrapText="1"/>
    </x:xf>
    <x:xf numFmtId="0" fontId="34" fillId="7" borderId="27" xfId="0" applyFont="1" applyFill="1" applyBorder="1" applyAlignment="1">
      <x:alignment horizontal="left" vertical="center" wrapText="1"/>
    </x:xf>
    <x:xf numFmtId="0" fontId="34" fillId="7" borderId="19" xfId="0" applyFont="1" applyFill="1" applyBorder="1" applyAlignment="1">
      <x:alignment horizontal="left" vertical="center" wrapText="1"/>
    </x:xf>
    <x:xf numFmtId="0" fontId="56" fillId="0" borderId="0" xfId="0" applyFont="1" applyBorder="1" applyAlignment="1">
      <x:alignment wrapText="1"/>
    </x:xf>
    <x:xf numFmtId="0" fontId="56" fillId="0" borderId="0" xfId="0" applyFont="1" applyBorder="1"/>
    <x:xf numFmtId="0" fontId="57" fillId="0" borderId="0" xfId="0" applyFont="1" applyBorder="1"/>
    <x:xf numFmtId="0" fontId="55" fillId="2" borderId="35" xfId="0" applyFont="1" applyFill="1" applyBorder="1" applyAlignment="1">
      <x:alignment horizontal="center" vertical="center" wrapText="1"/>
    </x:xf>
    <x:xf numFmtId="0" fontId="15" fillId="5" borderId="35" xfId="0" applyFont="1" applyFill="1" applyBorder="1" applyAlignment="1">
      <x:alignment wrapText="1"/>
    </x:xf>
    <x:xf numFmtId="0" fontId="16" fillId="5" borderId="35" xfId="0" applyFont="1" applyFill="1" applyBorder="1" applyAlignment="1">
      <x:alignment wrapText="1"/>
    </x:xf>
    <x:xf numFmtId="0" fontId="12" fillId="4" borderId="35" xfId="0" applyFont="1" applyFill="1" applyBorder="1" applyAlignment="1">
      <x:alignment wrapText="1"/>
    </x:xf>
    <x:xf numFmtId="0" fontId="56" fillId="0" borderId="35" xfId="0" applyFont="1" applyBorder="1" applyAlignment="1">
      <x:alignment wrapText="1"/>
    </x:xf>
    <x:xf numFmtId="0" fontId="16" fillId="5" borderId="35" xfId="0" applyFont="1" applyFill="1" applyBorder="1" applyAlignment="1">
      <x:alignment vertical="center" wrapText="1"/>
    </x:xf>
    <x:xf numFmtId="0" fontId="15" fillId="5" borderId="35" xfId="0" applyFont="1" applyFill="1" applyBorder="1" applyAlignment="1">
      <x:alignment vertical="center" wrapText="1"/>
    </x:xf>
    <x:xf numFmtId="0" fontId="13" fillId="4" borderId="35" xfId="0" applyFont="1" applyFill="1" applyBorder="1" applyAlignment="1">
      <x:alignment horizontal="center" wrapText="1"/>
    </x:xf>
    <x:xf numFmtId="0" fontId="56" fillId="0" borderId="35" xfId="0" applyFont="1" applyBorder="1"/>
    <x:xf numFmtId="0" fontId="57" fillId="13" borderId="35" xfId="0" applyFont="1" applyFill="1" applyBorder="1" applyAlignment="1">
      <x:alignment wrapText="1"/>
    </x:xf>
    <x:xf numFmtId="0" fontId="0" fillId="0" borderId="0" xfId="0" applyBorder="1" applyAlignment="1">
      <x:alignment vertical="center" wrapText="1"/>
    </x:xf>
    <x:xf numFmtId="0" fontId="0" fillId="0" borderId="28" xfId="0"/>
    <x:xf numFmtId="0" fontId="0" fillId="0" borderId="28" xfId="0" applyAlignment="1">
      <x:alignment wrapText="1"/>
    </x:xf>
    <x:xf numFmtId="0" fontId="0" fillId="15" borderId="28" xfId="0" applyFill="1" applyAlignment="1">
      <x:alignment wrapText="1"/>
    </x:xf>
    <x:xf numFmtId="0" fontId="0" fillId="16" borderId="28" xfId="0" applyFill="1" applyAlignment="1">
      <x:alignment wrapText="1"/>
    </x:xf>
    <x:xf numFmtId="0" fontId="61" fillId="17" borderId="28" xfId="0" applyFont="1" applyFill="1"/>
    <x:xf numFmtId="0" fontId="1" fillId="17" borderId="28" xfId="0" applyFont="1" applyFill="1" applyAlignment="1">
      <x:alignment horizontal="center" wrapText="1"/>
    </x:xf>
    <x:xf numFmtId="0" fontId="63" fillId="12" borderId="28" xfId="0" applyFont="1" applyFill="1" applyAlignment="1">
      <x:alignment vertical="center" wrapText="1"/>
    </x:xf>
    <x:xf numFmtId="0" fontId="63" fillId="19" borderId="28" xfId="0" applyFont="1" applyFill="1" applyAlignment="1">
      <x:alignment vertical="center" wrapText="1"/>
    </x:xf>
    <x:xf numFmtId="0" fontId="63" fillId="20" borderId="28" xfId="0" applyFont="1" applyFill="1" applyAlignment="1">
      <x:alignment vertical="center" wrapText="1"/>
    </x:xf>
    <x:xf numFmtId="0" fontId="61" fillId="17" borderId="28" xfId="0" applyFont="1" applyFill="1" applyAlignment="1">
      <x:alignment vertical="center"/>
    </x:xf>
    <x:xf numFmtId="0" fontId="65" fillId="17" borderId="28" xfId="0" applyFont="1" applyFill="1" applyAlignment="1">
      <x:alignment horizontal="center" vertical="center" wrapText="1"/>
    </x:xf>
    <x:xf numFmtId="0" fontId="68" fillId="12" borderId="28" xfId="0" applyFont="1" applyFill="1" applyAlignment="1">
      <x:alignment vertical="center" wrapText="1"/>
    </x:xf>
    <x:xf numFmtId="0" fontId="68" fillId="22" borderId="28" xfId="0" applyFont="1" applyFill="1" applyAlignment="1">
      <x:alignment vertical="center" wrapText="1"/>
    </x:xf>
    <x:xf numFmtId="0" fontId="68" fillId="23" borderId="28" xfId="0" applyFont="1" applyFill="1" applyAlignment="1">
      <x:alignment vertical="center" wrapText="1"/>
    </x:xf>
    <x:xf numFmtId="0" fontId="61" fillId="17" borderId="28" xfId="0" applyFont="1" applyFill="1" applyAlignment="1">
      <x:alignment horizontal="center" vertical="center"/>
    </x:xf>
    <x:xf numFmtId="0" fontId="69" fillId="17" borderId="28" xfId="0" applyFont="1" applyFill="1" applyAlignment="1">
      <x:alignment horizontal="center" vertical="center" wrapText="1"/>
    </x:xf>
    <x:xf numFmtId="0" fontId="67" fillId="24" borderId="28" xfId="0" applyFont="1" applyFill="1" applyAlignment="1">
      <x:alignment horizontal="left" vertical="center" wrapText="1"/>
    </x:xf>
    <x:xf numFmtId="0" fontId="0" fillId="0" borderId="28" xfId="0" applyAlignment="1">
      <x:alignment vertical="center" wrapText="1"/>
    </x:xf>
    <x:xf numFmtId="0" fontId="0" fillId="26" borderId="28" xfId="0" applyFill="1" applyAlignment="1">
      <x:alignment vertical="center" wrapText="1"/>
    </x:xf>
    <x:xf numFmtId="0" fontId="61" fillId="17" borderId="28" xfId="0" applyFont="1" applyFill="1" applyAlignment="1">
      <x:alignment horizontal="left" vertical="center" wrapText="1"/>
    </x:xf>
    <x:xf numFmtId="0" fontId="71" fillId="17" borderId="28" xfId="0" applyFont="1" applyFill="1" applyAlignment="1">
      <x:alignment horizontal="center" vertical="center" wrapText="1"/>
    </x:xf>
    <x:xf numFmtId="0" fontId="0" fillId="27" borderId="28" xfId="0" applyFill="1" applyAlignment="1">
      <x:alignment vertical="center" wrapText="1"/>
    </x:xf>
    <x:xf numFmtId="0" fontId="71" fillId="17" borderId="35" xfId="0" applyFont="1" applyFill="1" applyBorder="1" applyAlignment="1">
      <x:alignment horizontal="center" vertical="center" wrapText="1"/>
    </x:xf>
    <x:xf numFmtId="0" fontId="0" fillId="0" borderId="35" xfId="0" applyBorder="1" applyAlignment="1">
      <x:alignment vertical="center" wrapText="1"/>
    </x:xf>
    <x:xf numFmtId="0" fontId="0" fillId="26" borderId="35" xfId="0" applyFill="1" applyBorder="1" applyAlignment="1">
      <x:alignment vertical="center" wrapText="1"/>
    </x:xf>
    <x:xf numFmtId="0" fontId="0" fillId="27" borderId="35" xfId="0" applyFill="1" applyBorder="1" applyAlignment="1">
      <x:alignment vertical="center" wrapText="1"/>
    </x:xf>
    <x:xf numFmtId="0" fontId="61" fillId="17" borderId="28" xfId="0" applyFont="1" applyFill="1" applyAlignment="1">
      <x:alignment horizontal="center" vertical="center" wrapText="1"/>
    </x:xf>
    <x:xf numFmtId="0" fontId="73" fillId="30" borderId="36" xfId="0" applyFont="1" applyFill="1" applyBorder="1" applyAlignment="1">
      <x:alignment horizontal="left" vertical="center" wrapText="1"/>
    </x:xf>
    <x:xf numFmtId="0" fontId="73" fillId="30" borderId="17" xfId="0" applyFont="1" applyFill="1" applyBorder="1" applyAlignment="1">
      <x:alignment horizontal="left" vertical="center" wrapText="1"/>
    </x:xf>
    <x:xf numFmtId="0" fontId="73" fillId="30" borderId="16" xfId="0" applyFont="1" applyFill="1" applyBorder="1" applyAlignment="1">
      <x:alignment horizontal="left" vertical="center" wrapText="1"/>
    </x:xf>
    <x:xf numFmtId="0" fontId="74" fillId="32" borderId="37" xfId="0" applyFont="1" applyFill="1" applyBorder="1" applyAlignment="1">
      <x:alignment horizontal="center" vertical="center" wrapText="1"/>
    </x:xf>
    <x:xf numFmtId="0" fontId="74" fillId="32" borderId="36" xfId="0" applyFont="1" applyFill="1" applyBorder="1" applyAlignment="1">
      <x:alignment horizontal="left" vertical="center" wrapText="1"/>
    </x:xf>
    <x:xf numFmtId="0" fontId="74" fillId="32" borderId="39" xfId="0" applyFont="1" applyFill="1" applyBorder="1" applyAlignment="1">
      <x:alignment horizontal="center" vertical="center" wrapText="1"/>
    </x:xf>
    <x:xf numFmtId="0" fontId="76" fillId="32" borderId="0" xfId="0" applyFont="1" applyFill="1" applyBorder="1" applyAlignment="1">
      <x:alignment vertical="center" wrapText="1"/>
    </x:xf>
    <x:xf numFmtId="0" fontId="16" fillId="33" borderId="24" xfId="0" applyFont="1" applyFill="1" applyBorder="1" applyAlignment="1">
      <x:alignment wrapText="1"/>
    </x:xf>
    <x:xf numFmtId="0" fontId="15" fillId="33" borderId="24" xfId="0" applyFont="1" applyFill="1" applyBorder="1" applyAlignment="1">
      <x:alignment wrapText="1"/>
    </x:xf>
    <x:xf numFmtId="0" fontId="0" fillId="33" borderId="24" xfId="0" applyFill="1" applyBorder="1" applyAlignment="1">
      <x:alignment vertical="center" wrapText="1"/>
    </x:xf>
    <x:xf numFmtId="0" fontId="0" fillId="33" borderId="0" xfId="0" applyFill="1" applyBorder="1" applyAlignment="1">
      <x:alignment vertical="center" wrapText="1"/>
    </x:xf>
    <x:xf numFmtId="0" fontId="20" fillId="33" borderId="0" xfId="0" applyFont="1" applyFill="1" applyBorder="1" applyAlignment="1">
      <x:alignment wrapText="1"/>
    </x:xf>
    <x:xf numFmtId="0" fontId="15" fillId="33" borderId="30" xfId="0" applyFont="1" applyFill="1" applyBorder="1" applyAlignment="1">
      <x:alignment horizontal="left" vertical="center" wrapText="1"/>
    </x:xf>
    <x:xf numFmtId="0" fontId="16" fillId="33" borderId="0" xfId="0" applyFont="1" applyFill="1" applyBorder="1" applyAlignment="1">
      <x:alignment vertical="center" wrapText="1"/>
    </x:xf>
    <x:xf numFmtId="0" fontId="34" fillId="33" borderId="23" xfId="0" applyFont="1" applyFill="1" applyBorder="1" applyAlignment="1">
      <x:alignment horizontal="left" vertical="center" wrapText="1"/>
    </x:xf>
    <x:xf numFmtId="0" fontId="38" fillId="33" borderId="0" xfId="0" applyFont="1" applyFill="1" applyBorder="1" applyAlignment="1">
      <x:alignment vertical="center" wrapText="1"/>
    </x:xf>
    <x:xf numFmtId="0" fontId="79" fillId="34" borderId="45" xfId="3" applyFont="1" applyFill="1" applyBorder="1" applyAlignment="1">
      <x:alignment horizontal="left" vertical="center"/>
    </x:xf>
    <x:xf numFmtId="0" fontId="80" fillId="34" borderId="45" xfId="3" applyFont="1" applyFill="1" applyBorder="1" applyAlignment="1">
      <x:alignment horizontal="left" vertical="center"/>
    </x:xf>
    <x:xf numFmtId="0" fontId="78" fillId="34" borderId="42" xfId="3" applyFont="1" applyFill="1" applyBorder="1" applyAlignment="1"/>
    <x:xf numFmtId="0" fontId="84" fillId="34" borderId="45" xfId="3" applyFont="1" applyFill="1" applyBorder="1" applyAlignment="1">
      <x:alignment horizontal="left" vertical="center" wrapText="1"/>
    </x:xf>
    <x:xf numFmtId="0" fontId="82" fillId="35" borderId="43" xfId="3" applyFont="1" applyFill="1" applyBorder="1" applyAlignment="1">
      <x:alignment horizontal="center" vertical="center"/>
    </x:xf>
    <x:xf numFmtId="0" fontId="83" fillId="35" borderId="43" xfId="3" applyFont="1" applyFill="1" applyBorder="1" applyAlignment="1">
      <x:alignment horizontal="center" vertical="center"/>
    </x:xf>
    <x:xf numFmtId="0" fontId="77" fillId="36" borderId="46" xfId="3" applyFont="1" applyFill="1" applyBorder="1" applyAlignment="1"/>
    <x:xf numFmtId="0" fontId="77" fillId="36" borderId="47" xfId="3" applyFont="1" applyFill="1" applyBorder="1" applyAlignment="1"/>
    <x:xf numFmtId="0" fontId="83" fillId="35" borderId="43" xfId="3" applyFont="1" applyFill="1" applyBorder="1" applyAlignment="1">
      <x:alignment horizontal="center" vertical="center" wrapText="1"/>
    </x:xf>
    <x:xf numFmtId="0" fontId="79" fillId="34" borderId="45" xfId="3" applyFont="1" applyFill="1" applyBorder="1" applyAlignment="1">
      <x:alignment horizontal="left" vertical="center" wrapText="1"/>
    </x:xf>
    <x:xf numFmtId="0" fontId="77" fillId="36" borderId="47" xfId="3" applyFont="1" applyFill="1" applyBorder="1" applyAlignment="1">
      <x:alignment wrapText="1"/>
    </x:xf>
    <x:xf numFmtId="0" fontId="80" fillId="34" borderId="45" xfId="3" applyFont="1" applyFill="1" applyBorder="1" applyAlignment="1">
      <x:alignment horizontal="left" vertical="center" wrapText="1"/>
    </x:xf>
    <x:xf numFmtId="0" fontId="77" fillId="34" borderId="42" xfId="3" applyFont="1" applyFill="1" applyBorder="1" applyAlignment="1">
      <x:alignment wrapText="1"/>
    </x:xf>
    <x:xf numFmtId="0" fontId="84" fillId="34" borderId="42" xfId="3" applyFont="1" applyFill="1" applyBorder="1">
      <x:alignment vertical="center" wrapText="1"/>
    </x:xf>
    <x:xf numFmtId="0" fontId="84" fillId="34" borderId="45" xfId="3" applyFont="1" applyFill="1" applyBorder="1" applyAlignment="1">
      <x:alignment horizontal="left" vertical="center"/>
    </x:xf>
    <x:xf numFmtId="0" fontId="77" fillId="36" borderId="46" xfId="3" applyFont="1" applyFill="1" applyBorder="1" applyAlignment="1">
      <x:alignment wrapText="1"/>
    </x:xf>
    <x:xf numFmtId="0" fontId="80" fillId="34" borderId="49" xfId="3" applyFont="1" applyFill="1" applyBorder="1" applyAlignment="1">
      <x:alignment horizontal="left" vertical="center" wrapText="1"/>
    </x:xf>
    <x:xf numFmtId="0" fontId="84" fillId="34" borderId="49" xfId="3" applyFont="1" applyFill="1" applyBorder="1" applyAlignment="1">
      <x:alignment horizontal="left" vertical="center" wrapText="1"/>
    </x:xf>
    <x:xf numFmtId="0" fontId="79" fillId="34" borderId="50" xfId="3" applyFont="1" applyFill="1" applyBorder="1" applyAlignment="1">
      <x:alignment horizontal="left" vertical="center" wrapText="1"/>
    </x:xf>
    <x:xf numFmtId="0" fontId="84" fillId="34" borderId="51" xfId="3" applyFont="1" applyFill="1" applyBorder="1" applyAlignment="1">
      <x:alignment horizontal="left" vertical="center" wrapText="1"/>
    </x:xf>
    <x:xf numFmtId="0" fontId="80" fillId="34" borderId="52" xfId="3" applyFont="1" applyFill="1" applyBorder="1" applyAlignment="1">
      <x:alignment horizontal="left" vertical="center" wrapText="1"/>
    </x:xf>
    <x:xf numFmtId="0" fontId="80" fillId="34" borderId="53" xfId="3" applyFont="1" applyFill="1" applyBorder="1" applyAlignment="1">
      <x:alignment horizontal="left" vertical="center" wrapText="1"/>
    </x:xf>
    <x:xf numFmtId="0" fontId="84" fillId="34" borderId="42" xfId="3" applyFont="1" applyFill="1" applyBorder="1" applyAlignment="1">
      <x:alignment vertical="top" wrapText="1"/>
    </x:xf>
    <x:xf numFmtId="0" fontId="80" fillId="34" borderId="54" xfId="3" applyFont="1" applyFill="1" applyBorder="1" applyAlignment="1">
      <x:alignment horizontal="left" vertical="center" wrapText="1"/>
    </x:xf>
    <x:xf numFmtId="0" fontId="80" fillId="34" borderId="55" xfId="3" applyFont="1" applyFill="1" applyBorder="1" applyAlignment="1">
      <x:alignment horizontal="left" vertical="center" wrapText="1"/>
    </x:xf>
    <x:xf numFmtId="0" fontId="88" fillId="35" borderId="43" xfId="3" applyFont="1" applyFill="1" applyBorder="1" applyAlignment="1">
      <x:alignment horizontal="center" vertical="center"/>
    </x:xf>
    <x:xf numFmtId="0" fontId="89" fillId="35" borderId="43" xfId="3" applyFont="1" applyFill="1" applyBorder="1" applyAlignment="1">
      <x:alignment horizontal="center" vertical="center"/>
    </x:xf>
    <x:xf numFmtId="0" fontId="90" fillId="34" borderId="45" xfId="3" applyFont="1" applyFill="1" applyBorder="1" applyAlignment="1">
      <x:alignment horizontal="left" vertical="center" wrapText="1"/>
    </x:xf>
    <x:xf numFmtId="0" fontId="91" fillId="34" borderId="45" xfId="3" applyFont="1" applyFill="1" applyBorder="1" applyAlignment="1">
      <x:alignment horizontal="left" vertical="center" wrapText="1"/>
    </x:xf>
    <x:xf numFmtId="0" fontId="91" fillId="34" borderId="49" xfId="3" applyFont="1" applyFill="1" applyBorder="1" applyAlignment="1">
      <x:alignment horizontal="left" vertical="center" wrapText="1"/>
    </x:xf>
    <x:xf numFmtId="0" fontId="96" fillId="37" borderId="42" xfId="3" applyFont="1" applyFill="1" applyBorder="1" applyAlignment="1">
      <x:alignment horizontal="center" vertical="center"/>
    </x:xf>
    <x:xf numFmtId="0" fontId="85" fillId="38" borderId="43" xfId="3" applyFont="1" applyFill="1" applyBorder="1" applyAlignment="1">
      <x:alignment horizontal="center" vertical="center" wrapText="1"/>
    </x:xf>
    <x:xf numFmtId="0" fontId="94" fillId="39" borderId="43" xfId="3" applyFont="1" applyFill="1" applyBorder="1" applyAlignment="1">
      <x:alignment horizontal="center" vertical="center" wrapText="1"/>
    </x:xf>
    <x:xf numFmtId="0" fontId="94" fillId="39" borderId="45" xfId="3" applyFont="1" applyFill="1" applyBorder="1" applyAlignment="1">
      <x:alignment horizontal="left" vertical="center" wrapText="1"/>
    </x:xf>
    <x:xf numFmtId="0" fontId="93" fillId="39" borderId="45" xfId="3" applyFont="1" applyFill="1" applyBorder="1" applyAlignment="1">
      <x:alignment horizontal="left" vertical="center" wrapText="1"/>
    </x:xf>
    <x:xf numFmtId="0" fontId="87" fillId="39" borderId="46" xfId="3" applyFont="1" applyFill="1" applyBorder="1" applyAlignment="1">
      <x:alignment horizontal="center" vertical="center" wrapText="1"/>
    </x:xf>
    <x:xf numFmtId="0" fontId="100" fillId="39" borderId="45" xfId="3" applyFont="1" applyFill="1" applyBorder="1" applyAlignment="1">
      <x:alignment horizontal="left" vertical="center" wrapText="1"/>
    </x:xf>
    <x:xf numFmtId="0" fontId="87" fillId="39" borderId="42" xfId="3" applyFont="1" applyFill="1" applyBorder="1">
      <x:alignment vertical="center" wrapText="1"/>
    </x:xf>
    <x:xf numFmtId="0" fontId="94" fillId="39" borderId="48" xfId="3" applyFont="1" applyFill="1" applyBorder="1" applyAlignment="1">
      <x:alignment horizontal="center" vertical="center" wrapText="1"/>
    </x:xf>
    <x:xf numFmtId="0" fontId="87" fillId="39" borderId="42" xfId="3" applyFont="1" applyFill="1" applyBorder="1" applyAlignment="1">
      <x:alignment horizontal="center" vertical="center" wrapText="1"/>
    </x:xf>
    <x:xf numFmtId="0" fontId="101" fillId="39" borderId="42" xfId="3" applyFont="1" applyFill="1" applyBorder="1">
      <x:alignment vertical="center" wrapText="1"/>
    </x:xf>
    <x:xf numFmtId="0" fontId="87" fillId="39" borderId="57" xfId="3" applyFont="1" applyFill="1" applyBorder="1">
      <x:alignment vertical="center" wrapText="1"/>
    </x:xf>
    <x:xf numFmtId="0" fontId="87" fillId="39" borderId="58" xfId="3" applyFont="1" applyFill="1" applyBorder="1">
      <x:alignment vertical="center" wrapText="1"/>
    </x:xf>
    <x:xf numFmtId="0" fontId="94" fillId="39" borderId="44" xfId="3" applyFont="1" applyFill="1" applyBorder="1" applyAlignment="1">
      <x:alignment horizontal="center" vertical="center" wrapText="1"/>
    </x:xf>
    <x:xf numFmtId="0" fontId="87" fillId="39" borderId="57" xfId="3" applyFont="1" applyFill="1" applyBorder="1" applyAlignment="1">
      <x:alignment horizontal="center" vertical="center" wrapText="1"/>
    </x:xf>
    <x:xf numFmtId="0" fontId="87" fillId="39" borderId="47" xfId="3" applyFont="1" applyFill="1" applyBorder="1" applyAlignment="1">
      <x:alignment horizontal="center" vertical="center" wrapText="1"/>
    </x:xf>
    <x:xf numFmtId="0" fontId="101" fillId="39" borderId="57" xfId="3" applyFont="1" applyFill="1" applyBorder="1">
      <x:alignment vertical="center" wrapText="1"/>
    </x:xf>
    <x:xf numFmtId="0" fontId="102" fillId="40" borderId="60" xfId="4" applyFont="1" applyFill="1">
      <x:alignment vertical="center" wrapText="1"/>
    </x:xf>
    <x:xf numFmtId="0" fontId="103" fillId="42" borderId="60" xfId="4" applyFont="1" applyFill="1">
      <x:alignment vertical="center" wrapText="1"/>
    </x:xf>
    <x:xf numFmtId="0" fontId="102" fillId="44" borderId="60" xfId="4" applyFont="1" applyFill="1">
      <x:alignment vertical="center" wrapText="1"/>
    </x:xf>
    <x:xf numFmtId="0" fontId="109" fillId="47" borderId="61" xfId="5" applyFont="1" applyFill="1" applyBorder="1" applyAlignment="1">
      <x:alignment horizontal="center" vertical="center"/>
    </x:xf>
    <x:xf numFmtId="0" fontId="106" fillId="49" borderId="61" xfId="5" applyFont="1" applyFill="1" applyBorder="1" applyAlignment="1">
      <x:alignment horizontal="center" wrapText="1"/>
    </x:xf>
    <x:xf numFmtId="0" fontId="106" fillId="49" borderId="61" xfId="5" applyFont="1" applyFill="1" applyBorder="1">
      <x:alignment vertical="center" wrapText="1"/>
    </x:xf>
    <x:xf numFmtId="0" fontId="111" fillId="49" borderId="61" xfId="5" applyFont="1" applyFill="1" applyBorder="1">
      <x:alignment vertical="center" wrapText="1"/>
    </x:xf>
    <x:xf numFmtId="0" fontId="112" fillId="49" borderId="61" xfId="5" applyFont="1" applyFill="1" applyBorder="1">
      <x:alignment vertical="center" wrapText="1"/>
    </x:xf>
    <x:xf numFmtId="0" fontId="113" fillId="49" borderId="61" xfId="5" applyFont="1" applyFill="1" applyBorder="1">
      <x:alignment vertical="center" wrapText="1"/>
    </x:xf>
    <x:xf numFmtId="0" fontId="114" fillId="49" borderId="61" xfId="5" applyFont="1" applyFill="1" applyBorder="1">
      <x:alignment vertical="center" wrapText="1"/>
    </x:xf>
    <x:xf numFmtId="0" fontId="115" fillId="49" borderId="61" xfId="5" applyFont="1" applyFill="1" applyBorder="1">
      <x:alignment vertical="center" wrapText="1"/>
    </x:xf>
    <x:xf numFmtId="0" fontId="106" fillId="50" borderId="61" xfId="5" applyFont="1" applyFill="1" applyBorder="1" applyAlignment="1">
      <x:alignment horizontal="center" wrapText="1"/>
    </x:xf>
    <x:xf numFmtId="0" fontId="106" fillId="50" borderId="61" xfId="5" applyFont="1" applyFill="1" applyBorder="1">
      <x:alignment vertical="center" wrapText="1"/>
    </x:xf>
    <x:xf numFmtId="0" fontId="111" fillId="50" borderId="61" xfId="5" applyFont="1" applyFill="1" applyBorder="1">
      <x:alignment vertical="center" wrapText="1"/>
    </x:xf>
    <x:xf numFmtId="0" fontId="112" fillId="50" borderId="61" xfId="5" applyFont="1" applyFill="1" applyBorder="1">
      <x:alignment vertical="center" wrapText="1"/>
    </x:xf>
    <x:xf numFmtId="0" fontId="113" fillId="50" borderId="61" xfId="5" applyFont="1" applyFill="1" applyBorder="1">
      <x:alignment vertical="center" wrapText="1"/>
    </x:xf>
    <x:xf numFmtId="0" fontId="114" fillId="50" borderId="61" xfId="5" applyFont="1" applyFill="1" applyBorder="1">
      <x:alignment vertical="center" wrapText="1"/>
    </x:xf>
    <x:xf numFmtId="0" fontId="115" fillId="50" borderId="61" xfId="5" applyFont="1" applyFill="1" applyBorder="1">
      <x:alignment vertical="center" wrapText="1"/>
    </x:xf>
    <x:xf numFmtId="0" fontId="119" fillId="54" borderId="62" xfId="6" applyFont="1" applyFill="1" applyBorder="1" applyAlignment="1"/>
    <x:xf numFmtId="0" fontId="116" fillId="51" borderId="62" xfId="6" applyFont="1" applyFill="1" applyBorder="1" applyAlignment="1">
      <x:alignment wrapText="1"/>
    </x:xf>
    <x:xf numFmtId="0" fontId="116" fillId="56" borderId="62" xfId="6" applyFont="1" applyFill="1" applyBorder="1" applyAlignment="1">
      <x:alignment wrapText="1"/>
    </x:xf>
    <x:xf numFmtId="0" fontId="0" fillId="0" borderId="63" xfId="0" applyBorder="1"/>
    <x:xf numFmtId="0" fontId="96" fillId="59" borderId="0" xfId="0" applyFont="1" applyFill="1" applyBorder="1" applyAlignment="1">
      <x:alignment wrapText="1"/>
    </x:xf>
    <x:xf numFmtId="0" fontId="20" fillId="61" borderId="0" xfId="0" applyFont="1" applyFill="1" applyBorder="1" applyAlignment="1">
      <x:alignment wrapText="1"/>
    </x:xf>
    <x:xf numFmtId="0" fontId="126" fillId="61" borderId="0" xfId="0" applyFont="1" applyFill="1" applyBorder="1" applyAlignment="1">
      <x:alignment wrapText="1"/>
    </x:xf>
    <x:xf numFmtId="0" fontId="127" fillId="61" borderId="0" xfId="0" applyFont="1" applyFill="1" applyBorder="1" applyAlignment="1">
      <x:alignment wrapText="1"/>
    </x:xf>
    <x:xf numFmtId="0" fontId="128" fillId="61" borderId="1" xfId="0" applyFont="1" applyFill="1" applyBorder="1" applyAlignment="1">
      <x:alignment wrapText="1"/>
    </x:xf>
    <x:xf numFmtId="0" fontId="128" fillId="61" borderId="9" xfId="0" applyFont="1" applyFill="1" applyBorder="1" applyAlignment="1">
      <x:alignment wrapText="1"/>
    </x:xf>
    <x:xf numFmtId="0" fontId="129" fillId="61" borderId="0" xfId="0" applyFont="1" applyFill="1" applyBorder="1" applyAlignment="1">
      <x:alignment wrapText="1"/>
    </x:xf>
    <x:xf numFmtId="0" fontId="128" fillId="61" borderId="10" xfId="0" applyFont="1" applyFill="1" applyBorder="1" applyAlignment="1">
      <x:alignment wrapText="1"/>
    </x:xf>
    <x:xf numFmtId="0" fontId="128" fillId="61" borderId="11" xfId="0" applyFont="1" applyFill="1" applyBorder="1" applyAlignment="1">
      <x:alignment wrapText="1"/>
    </x:xf>
    <x:xf numFmtId="0" fontId="23" fillId="61" borderId="0" xfId="0" applyFont="1" applyFill="1" applyBorder="1" applyAlignment="1">
      <x:alignment wrapText="1"/>
    </x:xf>
    <x:xf numFmtId="0" fontId="130" fillId="61" borderId="0" xfId="0" applyFont="1" applyFill="1" applyBorder="1" applyAlignment="1">
      <x:alignment wrapText="1"/>
    </x:xf>
    <x:xf numFmtId="0" fontId="131" fillId="61" borderId="0" xfId="0" applyFont="1" applyFill="1" applyBorder="1" applyAlignment="1">
      <x:alignment wrapText="1"/>
    </x:xf>
    <x:xf numFmtId="0" fontId="132" fillId="61" borderId="0" xfId="0" applyFont="1" applyFill="1" applyBorder="1" applyAlignment="1">
      <x:alignment wrapText="1"/>
    </x:xf>
    <x:xf numFmtId="0" fontId="133" fillId="61" borderId="0" xfId="0" applyFont="1" applyFill="1" applyBorder="1" applyAlignment="1">
      <x:alignment wrapText="1"/>
    </x:xf>
    <x:xf numFmtId="0" fontId="134" fillId="61" borderId="0" xfId="0" applyFont="1" applyFill="1" applyBorder="1" applyAlignment="1">
      <x:alignment wrapText="1"/>
    </x:xf>
    <x:xf numFmtId="0" fontId="135" fillId="61" borderId="0" xfId="0" applyFont="1" applyFill="1" applyBorder="1" applyAlignment="1">
      <x:alignment wrapText="1"/>
    </x:xf>
    <x:xf numFmtId="0" fontId="19" fillId="59" borderId="0" xfId="0" applyFont="1" applyFill="1" applyBorder="1" applyAlignment="1">
      <x:alignment wrapText="1"/>
    </x:xf>
    <x:xf numFmtId="0" fontId="137" fillId="61" borderId="0" xfId="0" applyFont="1" applyFill="1" applyBorder="1" applyAlignment="1">
      <x:alignment wrapText="1"/>
    </x:xf>
    <x:xf numFmtId="0" fontId="96" fillId="59" borderId="0" xfId="0" applyFont="1" applyFill="1" applyBorder="1"/>
    <x:xf numFmtId="0" fontId="133" fillId="0" borderId="0" xfId="0" applyFont="1" applyBorder="1" applyAlignment="1">
      <x:alignment wrapText="1"/>
    </x:xf>
    <x:xf numFmtId="0" fontId="134" fillId="0" borderId="0" xfId="0" applyFont="1" applyBorder="1" applyAlignment="1">
      <x:alignment wrapText="1"/>
    </x:xf>
    <x:xf numFmtId="0" fontId="135" fillId="0" borderId="0" xfId="0" applyFont="1" applyBorder="1" applyAlignment="1">
      <x:alignment wrapText="1"/>
    </x:xf>
    <x:xf numFmtId="0" fontId="139" fillId="63" borderId="0" xfId="0" applyFont="1" applyFill="1" applyBorder="1" applyAlignment="1">
      <x:alignment wrapText="1"/>
    </x:xf>
    <x:xf numFmtId="0" fontId="121" fillId="65" borderId="0" xfId="0" applyFont="1" applyFill="1" applyBorder="1"/>
    <x:xf numFmtId="0" fontId="141" fillId="66" borderId="0" xfId="0" applyFont="1" applyFill="1" applyBorder="1" applyAlignment="1">
      <x:alignment wrapText="1"/>
    </x:xf>
    <x:xf numFmtId="0" fontId="96" fillId="67" borderId="0" xfId="0" applyFont="1" applyFill="1" applyBorder="1"/>
    <x:xf numFmtId="0" fontId="96" fillId="69" borderId="0" xfId="0" applyFont="1" applyFill="1" applyBorder="1"/>
    <x:xf numFmtId="0" fontId="96" fillId="70" borderId="0" xfId="0" applyFont="1" applyFill="1" applyBorder="1"/>
    <x:xf numFmtId="0" fontId="143" fillId="71" borderId="19" xfId="0" applyFont="1" applyFill="1" applyBorder="1" applyAlignment="1">
      <x:alignment horizontal="center" vertical="center" wrapText="1"/>
    </x:xf>
    <x:xf numFmtId="0" fontId="144" fillId="71" borderId="20" xfId="0" applyFont="1" applyFill="1" applyBorder="1" applyAlignment="1">
      <x:alignment horizontal="left" vertical="center" wrapText="1"/>
    </x:xf>
    <x:xf numFmtId="0" fontId="145" fillId="71" borderId="0" xfId="0" applyFont="1" applyFill="1" applyBorder="1" applyAlignment="1">
      <x:alignment horizontal="left" vertical="center" wrapText="1"/>
    </x:xf>
    <x:xf numFmtId="0" fontId="144" fillId="71" borderId="21" xfId="0" applyFont="1" applyFill="1" applyBorder="1" applyAlignment="1">
      <x:alignment horizontal="left" vertical="center" wrapText="1"/>
    </x:xf>
    <x:xf numFmtId="0" fontId="143" fillId="72" borderId="19" xfId="0" applyFont="1" applyFill="1" applyBorder="1" applyAlignment="1">
      <x:alignment horizontal="center" vertical="center" wrapText="1"/>
    </x:xf>
    <x:xf numFmtId="0" fontId="144" fillId="72" borderId="22" xfId="0" applyFont="1" applyFill="1" applyBorder="1" applyAlignment="1">
      <x:alignment horizontal="left" vertical="center" wrapText="1"/>
    </x:xf>
    <x:xf numFmtId="0" fontId="145" fillId="72" borderId="0" xfId="0" applyFont="1" applyFill="1" applyBorder="1" applyAlignment="1">
      <x:alignment horizontal="left" vertical="center" wrapText="1"/>
    </x:xf>
    <x:xf numFmtId="0" fontId="144" fillId="72" borderId="23" xfId="0" applyFont="1" applyFill="1" applyBorder="1" applyAlignment="1">
      <x:alignment horizontal="left" vertical="center" wrapText="1"/>
    </x:xf>
    <x:xf numFmtId="0" fontId="144" fillId="71" borderId="22" xfId="0" applyFont="1" applyFill="1" applyBorder="1" applyAlignment="1">
      <x:alignment horizontal="left" vertical="center" wrapText="1"/>
    </x:xf>
    <x:xf numFmtId="0" fontId="144" fillId="71" borderId="23" xfId="0" applyFont="1" applyFill="1" applyBorder="1" applyAlignment="1">
      <x:alignment horizontal="left" vertical="center" wrapText="1"/>
    </x:xf>
    <x:xf numFmtId="0" fontId="144" fillId="72" borderId="20" xfId="0" applyFont="1" applyFill="1" applyBorder="1" applyAlignment="1">
      <x:alignment horizontal="left" vertical="center" wrapText="1"/>
    </x:xf>
    <x:xf numFmtId="0" fontId="144" fillId="72" borderId="21" xfId="0" applyFont="1" applyFill="1" applyBorder="1" applyAlignment="1">
      <x:alignment horizontal="left" vertical="center" wrapText="1"/>
    </x:xf>
    <x:xf numFmtId="0" fontId="143" fillId="72" borderId="15" xfId="0" applyFont="1" applyFill="1" applyBorder="1" applyAlignment="1">
      <x:alignment horizontal="left" vertical="center" wrapText="1"/>
    </x:xf>
    <x:xf numFmtId="0" fontId="145" fillId="72" borderId="17" xfId="0" applyFont="1" applyFill="1" applyBorder="1" applyAlignment="1">
      <x:alignment vertical="center" wrapText="1"/>
    </x:xf>
    <x:xf numFmtId="0" fontId="145" fillId="72" borderId="16" xfId="0" applyFont="1" applyFill="1" applyBorder="1" applyAlignment="1">
      <x:alignment vertical="center" wrapText="1"/>
    </x:xf>
    <x:xf numFmtId="0" fontId="145" fillId="72" borderId="0" xfId="0" applyFont="1" applyFill="1" applyBorder="1" applyAlignment="1">
      <x:alignment vertical="center" wrapText="1"/>
    </x:xf>
    <x:xf numFmtId="0" fontId="145" fillId="71" borderId="0" xfId="0" applyFont="1" applyFill="1" applyBorder="1" applyAlignment="1">
      <x:alignment vertical="center" wrapText="1"/>
    </x:xf>
    <x:xf numFmtId="0" fontId="146" fillId="72" borderId="0" xfId="0" applyFont="1" applyFill="1" applyBorder="1" applyAlignment="1">
      <x:alignment vertical="center" wrapText="1"/>
    </x:xf>
    <x:xf numFmtId="0" fontId="146" fillId="71" borderId="0" xfId="0" applyFont="1" applyFill="1" applyBorder="1" applyAlignment="1">
      <x:alignment vertical="center" wrapText="1"/>
    </x:xf>
    <x:xf numFmtId="0" fontId="147" fillId="72" borderId="0" xfId="0" applyFont="1" applyFill="1" applyBorder="1" applyAlignment="1">
      <x:alignment vertical="center" wrapText="1"/>
    </x:xf>
    <x:xf numFmtId="0" fontId="143" fillId="73" borderId="15" xfId="0" applyFont="1" applyFill="1" applyBorder="1" applyAlignment="1">
      <x:alignment horizontal="left" vertical="center" wrapText="1"/>
    </x:xf>
    <x:xf numFmtId="0" fontId="145" fillId="73" borderId="17" xfId="0" applyFont="1" applyFill="1" applyBorder="1" applyAlignment="1">
      <x:alignment vertical="center" wrapText="1"/>
    </x:xf>
    <x:xf numFmtId="0" fontId="145" fillId="73" borderId="16" xfId="0" applyFont="1" applyFill="1" applyBorder="1" applyAlignment="1">
      <x:alignment vertical="center" wrapText="1"/>
    </x:xf>
    <x:xf numFmtId="0" fontId="145" fillId="74" borderId="0" xfId="0" applyFont="1" applyFill="1" applyBorder="1" applyAlignment="1">
      <x:alignment vertical="center" wrapText="1"/>
    </x:xf>
    <x:xf numFmtId="0" fontId="145" fillId="73" borderId="0" xfId="0" applyFont="1" applyFill="1" applyBorder="1" applyAlignment="1">
      <x:alignment vertical="center" wrapText="1"/>
    </x:xf>
    <x:xf numFmtId="0" fontId="28" fillId="75" borderId="37" xfId="0" applyFont="1" applyFill="1" applyBorder="1" applyAlignment="1">
      <x:alignment horizontal="center" vertical="center" wrapText="1"/>
    </x:xf>
    <x:xf numFmtId="0" fontId="28" fillId="75" borderId="38" xfId="0" applyFont="1" applyFill="1" applyBorder="1" applyAlignment="1">
      <x:alignment horizontal="center" vertical="center" wrapText="1"/>
    </x:xf>
    <x:xf numFmtId="0" fontId="148" fillId="75" borderId="40" xfId="0" applyFont="1" applyFill="1" applyBorder="1" applyAlignment="1">
      <x:alignment horizontal="left" vertical="center" wrapText="1"/>
    </x:xf>
    <x:xf numFmtId="0" fontId="149" fillId="75" borderId="0" xfId="0" applyFont="1" applyFill="1" applyBorder="1" applyAlignment="1">
      <x:alignment horizontal="left" vertical="center" wrapText="1"/>
    </x:xf>
    <x:xf numFmtId="0" fontId="148" fillId="75" borderId="37" xfId="0" applyFont="1" applyFill="1" applyBorder="1" applyAlignment="1">
      <x:alignment horizontal="left" vertical="center" wrapText="1"/>
    </x:xf>
    <x:xf numFmtId="0" fontId="148" fillId="75" borderId="0" xfId="0" applyFont="1" applyFill="1" applyBorder="1" applyAlignment="1">
      <x:alignment horizontal="left" vertical="center" wrapText="1"/>
    </x:xf>
    <x:xf numFmtId="0" fontId="148" fillId="75" borderId="38" xfId="0" applyFont="1" applyFill="1" applyBorder="1" applyAlignment="1">
      <x:alignment horizontal="left" vertical="center" wrapText="1"/>
    </x:xf>
    <x:xf numFmtId="0" fontId="21" fillId="77" borderId="36" xfId="0" applyFont="1" applyFill="1" applyBorder="1" applyAlignment="1">
      <x:alignment horizontal="left" vertical="center" wrapText="1"/>
    </x:xf>
    <x:xf numFmtId="0" fontId="21" fillId="77" borderId="17" xfId="0" applyFont="1" applyFill="1" applyBorder="1" applyAlignment="1">
      <x:alignment horizontal="left" vertical="center" wrapText="1"/>
    </x:xf>
    <x:xf numFmtId="0" fontId="21" fillId="77" borderId="16" xfId="0" applyFont="1" applyFill="1" applyBorder="1" applyAlignment="1">
      <x:alignment horizontal="left" vertical="center" wrapText="1"/>
    </x:xf>
    <x:xf numFmtId="0" fontId="150" fillId="75" borderId="0" xfId="0" applyFont="1" applyFill="1" applyBorder="1" applyAlignment="1">
      <x:alignment wrapText="1"/>
    </x:xf>
    <x:xf numFmtId="0" fontId="151" fillId="76" borderId="0" xfId="0" applyFont="1" applyFill="1" applyBorder="1" applyAlignment="1">
      <x:alignment wrapText="1"/>
    </x:xf>
    <x:xf numFmtId="0" fontId="77" fillId="34" borderId="57" xfId="3" applyFont="1" applyFill="1" applyBorder="1" applyAlignment="1"/>
    <x:xf numFmtId="0" fontId="77" fillId="34" borderId="58" xfId="3" applyFont="1" applyFill="1" applyBorder="1" applyAlignment="1"/>
    <x:xf numFmtId="0" fontId="82" fillId="35" borderId="44" xfId="3" applyFont="1" applyFill="1" applyBorder="1" applyAlignment="1">
      <x:alignment horizontal="left" vertical="center"/>
    </x:xf>
    <x:xf numFmtId="0" fontId="92" fillId="34" borderId="59" xfId="3" applyFont="1" applyFill="1" applyBorder="1" applyAlignment="1">
      <x:alignment horizontal="center" vertical="center"/>
    </x:xf>
    <x:xf numFmtId="0" fontId="78" fillId="34" borderId="42" xfId="3" applyFont="1" applyFill="1" applyBorder="1" applyAlignment="1"/>
    <x:xf numFmtId="0" fontId="77" fillId="34" borderId="42" xfId="3" applyFont="1" applyFill="1" applyBorder="1" applyAlignment="1"/>
    <x:xf numFmtId="0" fontId="7" fillId="0" borderId="3" xfId="0" applyFont="1" applyBorder="1" applyAlignment="1">
      <x:alignment horizontal="left" vertical="center" wrapText="1"/>
    </x:xf>
    <x:xf numFmtId="0" fontId="77" fillId="34" borderId="58" xfId="0" applyFont="1" applyFill="1" applyBorder="1"/>
    <x:xf numFmtId="0" fontId="88" fillId="35" borderId="44" xfId="0" applyFont="1" applyFill="1" applyBorder="1" applyAlignment="1">
      <x:alignment horizontal="left" vertical="center"/>
    </x:xf>
    <x:xf numFmtId="0" fontId="81" fillId="35" borderId="59" xfId="3" applyFont="1" applyFill="1" applyBorder="1" applyAlignment="1">
      <x:alignment horizontal="center" vertical="center"/>
    </x:xf>
    <x:xf numFmtId="0" fontId="88" fillId="35" borderId="44" xfId="3" applyFont="1" applyFill="1" applyBorder="1" applyAlignment="1">
      <x:alignment horizontal="left" vertical="center"/>
    </x:xf>
    <x:xf numFmtId="0" fontId="88" fillId="35" borderId="48" xfId="3" applyFont="1" applyFill="1" applyBorder="1" applyAlignment="1">
      <x:alignment horizontal="left" vertical="center"/>
    </x:xf>
    <x:xf numFmtId="0" fontId="92" fillId="34" borderId="56" xfId="3" applyFont="1" applyFill="1" applyBorder="1" applyAlignment="1">
      <x:alignment horizontal="center" vertical="center"/>
    </x:xf>
    <x:xf numFmtId="0" fontId="77" fillId="34" borderId="56" xfId="3" applyFont="1" applyFill="1" applyBorder="1" applyAlignment="1"/>
    <x:xf numFmtId="0" fontId="95" fillId="38" borderId="42" xfId="3" applyFont="1" applyFill="1" applyBorder="1" applyAlignment="1">
      <x:alignment horizontal="center" vertical="center" wrapText="1"/>
    </x:xf>
    <x:xf numFmtId="0" fontId="97" fillId="38" borderId="42" xfId="3" applyFont="1" applyFill="1" applyBorder="1" applyAlignment="1">
      <x:alignment wrapText="1"/>
    </x:xf>
    <x:xf numFmtId="0" fontId="98" fillId="38" borderId="42" xfId="3" applyFont="1" applyFill="1" applyBorder="1" applyAlignment="1">
      <x:alignment horizontal="center" vertical="center" wrapText="1"/>
    </x:xf>
    <x:xf numFmtId="0" fontId="99" fillId="38" borderId="42" xfId="3" applyFont="1" applyFill="1" applyBorder="1" applyAlignment="1">
      <x:alignment wrapText="1"/>
    </x:xf>
    <x:xf numFmtId="0" fontId="85" fillId="38" borderId="44" xfId="3" applyFont="1" applyFill="1" applyBorder="1" applyAlignment="1">
      <x:alignment horizontal="left" vertical="center" wrapText="1"/>
    </x:xf>
    <x:xf numFmtId="0" fontId="86" fillId="38" borderId="57" xfId="3" applyFont="1" applyFill="1" applyBorder="1" applyAlignment="1">
      <x:alignment wrapText="1"/>
    </x:xf>
    <x:xf numFmtId="0" fontId="86" fillId="38" borderId="58" xfId="3" applyFont="1" applyFill="1" applyBorder="1" applyAlignment="1">
      <x:alignment wrapText="1"/>
    </x:xf>
    <x:xf numFmtId="0" fontId="85" fillId="38" borderId="48" xfId="3" applyFont="1" applyFill="1" applyBorder="1" applyAlignment="1">
      <x:alignment horizontal="left" vertical="center" wrapText="1"/>
    </x:xf>
    <x:xf numFmtId="0" fontId="86" fillId="38" borderId="42" xfId="3" applyFont="1" applyFill="1" applyBorder="1" applyAlignment="1">
      <x:alignment wrapText="1"/>
    </x:xf>
    <x:xf numFmtId="0" fontId="85" fillId="38" borderId="43" xfId="3" applyFont="1" applyFill="1" applyBorder="1" applyAlignment="1">
      <x:alignment horizontal="left" vertical="center" wrapText="1"/>
    </x:xf>
    <x:xf numFmtId="0" fontId="85" fillId="38" borderId="45" xfId="3" applyFont="1" applyFill="1" applyBorder="1" applyAlignment="1">
      <x:alignment horizontal="left" vertical="center" wrapText="1"/>
    </x:xf>
    <x:xf numFmtId="0" fontId="86" fillId="38" borderId="46" xfId="3" applyFont="1" applyFill="1" applyBorder="1" applyAlignment="1">
      <x:alignment horizontal="left" wrapText="1"/>
    </x:xf>
    <x:xf numFmtId="0" fontId="86" fillId="38" borderId="47" xfId="3" applyFont="1" applyFill="1" applyBorder="1" applyAlignment="1">
      <x:alignment horizontal="left" wrapText="1"/>
    </x:xf>
    <x:xf numFmtId="0" fontId="86" fillId="38" borderId="42" xfId="3" applyFont="1" applyFill="1" applyBorder="1" applyAlignment="1"/>
    <x:xf numFmtId="0" fontId="58" fillId="0" borderId="41" xfId="0" applyFont="1" applyBorder="1" applyAlignment="1">
      <x:alignment horizontal="center"/>
    </x:xf>
    <x:xf numFmtId="0" fontId="55" fillId="2" borderId="35" xfId="0" applyFont="1" applyFill="1" applyBorder="1" applyAlignment="1">
      <x:alignment horizontal="center" vertical="center" wrapText="1"/>
    </x:xf>
    <x:xf numFmtId="0" fontId="16" fillId="5" borderId="35" xfId="0" applyFont="1" applyFill="1" applyBorder="1" applyAlignment="1">
      <x:alignment wrapText="1"/>
    </x:xf>
    <x:xf numFmtId="0" fontId="15" fillId="5" borderId="35" xfId="0" applyFont="1" applyFill="1" applyBorder="1" applyAlignment="1">
      <x:alignment wrapText="1"/>
    </x:xf>
    <x:xf numFmtId="0" fontId="12" fillId="4" borderId="0" xfId="0" applyFont="1" applyFill="1" applyBorder="1" applyAlignment="1">
      <x:alignment wrapText="1"/>
    </x:xf>
    <x:xf numFmtId="0" fontId="57" fillId="0" borderId="0" xfId="0" applyFont="1" applyBorder="1" applyAlignment="1">
      <x:alignment wrapText="1"/>
    </x:xf>
    <x:xf numFmtId="0" fontId="56" fillId="0" borderId="0" xfId="0" applyFont="1" applyBorder="1" applyAlignment="1">
      <x:alignment wrapText="1"/>
    </x:xf>
    <x:xf numFmtId="0" fontId="11" fillId="5" borderId="0" xfId="0" applyFont="1" applyFill="1" applyBorder="1" applyAlignment="1">
      <x:alignment wrapText="1"/>
    </x:xf>
    <x:xf numFmtId="0" fontId="12" fillId="4" borderId="35" xfId="0" applyFont="1" applyFill="1" applyBorder="1" applyAlignment="1">
      <x:alignment wrapText="1"/>
    </x:xf>
    <x:xf numFmtId="0" fontId="57" fillId="0" borderId="35" xfId="0" applyFont="1" applyBorder="1" applyAlignment="1">
      <x:alignment wrapText="1"/>
    </x:xf>
    <x:xf numFmtId="0" fontId="56" fillId="0" borderId="35" xfId="0" applyFont="1" applyBorder="1" applyAlignment="1">
      <x:alignment wrapText="1"/>
    </x:xf>
    <x:xf numFmtId="0" fontId="61" fillId="17" borderId="28" xfId="0" applyFont="1" applyFill="1"/>
    <x:xf numFmtId="0" fontId="60" fillId="17" borderId="28" xfId="0" applyFont="1" applyFill="1"/>
    <x:xf numFmtId="0" fontId="59" fillId="14" borderId="28" xfId="0" applyFont="1" applyFill="1"/>
    <x:xf numFmtId="0" fontId="61" fillId="17" borderId="28" xfId="0" applyFont="1" applyFill="1" applyAlignment="1">
      <x:alignment vertical="center"/>
    </x:xf>
    <x:xf numFmtId="0" fontId="64" fillId="17" borderId="28" xfId="0" applyFont="1" applyFill="1" applyAlignment="1">
      <x:alignment horizontal="center" vertical="center"/>
    </x:xf>
    <x:xf numFmtId="0" fontId="62" fillId="18" borderId="28" xfId="0" applyFont="1" applyFill="1" applyAlignment="1">
      <x:alignment horizontal="center" vertical="center"/>
    </x:xf>
    <x:xf numFmtId="0" fontId="65" fillId="17" borderId="28" xfId="0" applyFont="1" applyFill="1" applyAlignment="1">
      <x:alignment vertical="center"/>
    </x:xf>
    <x:xf numFmtId="0" fontId="66" fillId="21" borderId="28" xfId="0" applyFont="1" applyFill="1" applyAlignment="1">
      <x:alignment vertical="center"/>
    </x:xf>
    <x:xf numFmtId="0" fontId="67" fillId="17" borderId="35" xfId="0" applyFont="1" applyFill="1" applyBorder="1" applyAlignment="1">
      <x:alignment vertical="center" wrapText="1"/>
    </x:xf>
    <x:xf numFmtId="0" fontId="44" fillId="9" borderId="28" xfId="0" applyFont="1" applyFill="1" applyAlignment="1">
      <x:alignment horizontal="center" vertical="center" wrapText="1"/>
    </x:xf>
    <x:xf numFmtId="0" fontId="0" fillId="0" borderId="0" xfId="0" applyBorder="1" applyAlignment="1">
      <x:alignment horizontal="center"/>
    </x:xf>
    <x:xf numFmtId="0" fontId="70" fillId="25" borderId="28" xfId="0" applyFont="1" applyFill="1" applyAlignment="1">
      <x:alignment horizontal="center"/>
    </x:xf>
    <x:xf numFmtId="0" fontId="61" fillId="17" borderId="28" xfId="0" applyFont="1" applyFill="1" applyAlignment="1">
      <x:alignment vertical="center" wrapText="1"/>
    </x:xf>
    <x:xf numFmtId="0" fontId="61" fillId="17" borderId="35" xfId="0" applyFont="1" applyFill="1" applyBorder="1" applyAlignment="1">
      <x:alignment vertical="center" wrapText="1"/>
    </x:xf>
    <x:xf numFmtId="0" fontId="17" fillId="4" borderId="28" xfId="0" applyFont="1" applyFill="1" applyAlignment="1">
      <x:alignment horizontal="center" vertical="center" wrapText="1"/>
    </x:xf>
    <x:xf numFmtId="0" fontId="1" fillId="0" borderId="0" xfId="0" applyFont="1" applyBorder="1" applyAlignment="1">
      <x:alignment horizontal="center" vertical="center"/>
    </x:xf>
    <x:xf numFmtId="0" fontId="0" fillId="0" borderId="0" xfId="0" applyBorder="1" applyAlignment="1">
      <x:alignment horizontal="center" vertical="center"/>
    </x:xf>
    <x:xf numFmtId="0" fontId="70" fillId="25" borderId="28" xfId="0" applyFont="1" applyFill="1"/>
    <x:xf numFmtId="0" fontId="125" fillId="60" borderId="10" xfId="0" applyFont="1" applyFill="1" applyBorder="1" applyAlignment="1">
      <x:alignment wrapText="1"/>
    </x:xf>
    <x:xf numFmtId="0" fontId="125" fillId="60" borderId="11" xfId="0" applyFont="1" applyFill="1" applyBorder="1" applyAlignment="1">
      <x:alignment wrapText="1"/>
    </x:xf>
    <x:xf numFmtId="0" fontId="122" fillId="60" borderId="0" xfId="0" applyFont="1" applyFill="1" applyBorder="1" applyAlignment="1">
      <x:alignment wrapText="1"/>
    </x:xf>
    <x:xf numFmtId="0" fontId="128" fillId="61" borderId="10" xfId="0" applyFont="1" applyFill="1" applyBorder="1" applyAlignment="1">
      <x:alignment wrapText="1"/>
    </x:xf>
    <x:xf numFmtId="0" fontId="128" fillId="61" borderId="11" xfId="0" applyFont="1" applyFill="1" applyBorder="1" applyAlignment="1">
      <x:alignment wrapText="1"/>
    </x:xf>
    <x:xf numFmtId="0" fontId="129" fillId="61" borderId="0" xfId="0" applyFont="1" applyFill="1" applyBorder="1" applyAlignment="1">
      <x:alignment wrapText="1"/>
    </x:xf>
    <x:xf numFmtId="0" fontId="132" fillId="61" borderId="0" xfId="0" applyFont="1" applyFill="1" applyBorder="1" applyAlignment="1">
      <x:alignment wrapText="1"/>
    </x:xf>
    <x:xf numFmtId="0" fontId="17" fillId="57" borderId="0" xfId="0" applyFont="1" applyFill="1" applyBorder="1" applyAlignment="1">
      <x:alignment wrapText="1"/>
    </x:xf>
    <x:xf numFmtId="0" fontId="121" fillId="57" borderId="0" xfId="0" applyFont="1" applyFill="1" applyBorder="1" applyAlignment="1">
      <x:alignment wrapText="1"/>
    </x:xf>
    <x:xf numFmtId="0" fontId="122" fillId="58" borderId="0" xfId="0" applyFont="1" applyFill="1" applyBorder="1" applyAlignment="1">
      <x:alignment wrapText="1"/>
    </x:xf>
    <x:xf numFmtId="0" fontId="123" fillId="58" borderId="0" xfId="0" applyFont="1" applyFill="1" applyBorder="1" applyAlignment="1">
      <x:alignment wrapText="1"/>
    </x:xf>
    <x:xf numFmtId="0" fontId="126" fillId="61" borderId="0" xfId="0" applyFont="1" applyFill="1" applyBorder="1" applyAlignment="1">
      <x:alignment wrapText="1"/>
    </x:xf>
    <x:xf numFmtId="0" fontId="127" fillId="61" borderId="0" xfId="0" applyFont="1" applyFill="1" applyBorder="1" applyAlignment="1">
      <x:alignment wrapText="1"/>
    </x:xf>
    <x:xf numFmtId="0" fontId="23" fillId="61" borderId="0" xfId="0" applyFont="1" applyFill="1" applyBorder="1" applyAlignment="1">
      <x:alignment wrapText="1"/>
    </x:xf>
    <x:xf numFmtId="0" fontId="130" fillId="61" borderId="0" xfId="0" applyFont="1" applyFill="1" applyBorder="1" applyAlignment="1">
      <x:alignment wrapText="1"/>
    </x:xf>
    <x:xf numFmtId="0" fontId="131" fillId="61" borderId="0" xfId="0" applyFont="1" applyFill="1" applyBorder="1" applyAlignment="1">
      <x:alignment wrapText="1"/>
    </x:xf>
    <x:xf numFmtId="0" fontId="124" fillId="60" borderId="0" xfId="0" applyFont="1" applyFill="1" applyBorder="1" applyAlignment="1">
      <x:alignment wrapText="1"/>
    </x:xf>
    <x:xf numFmtId="0" fontId="19" fillId="4" borderId="28" xfId="0" applyFont="1" applyFill="1" applyAlignment="1">
      <x:alignment wrapText="1"/>
    </x:xf>
    <x:xf numFmtId="0" fontId="0" fillId="0" borderId="0" xfId="0" applyBorder="1"/>
    <x:xf numFmtId="0" fontId="17" fillId="4" borderId="28" xfId="0" applyFont="1" applyFill="1" applyAlignment="1">
      <x:alignment wrapText="1"/>
    </x:xf>
    <x:xf numFmtId="0" fontId="18" fillId="5" borderId="28" xfId="0" applyFont="1" applyFill="1" applyAlignment="1">
      <x:alignment wrapText="1"/>
    </x:xf>
    <x:xf numFmtId="0" fontId="136" fillId="60" borderId="0" xfId="0" applyFont="1" applyFill="1" applyBorder="1" applyAlignment="1">
      <x:alignment wrapText="1"/>
    </x:xf>
    <x:xf numFmtId="0" fontId="14" fillId="4" borderId="10" xfId="0" applyFont="1" applyFill="1" applyBorder="1" applyAlignment="1">
      <x:alignment wrapText="1"/>
    </x:xf>
    <x:xf numFmtId="0" fontId="14" fillId="4" borderId="11" xfId="0" applyFont="1" applyFill="1" applyBorder="1" applyAlignment="1">
      <x:alignment wrapText="1"/>
    </x:xf>
    <x:xf numFmtId="0" fontId="20" fillId="5" borderId="0" xfId="0" applyFont="1" applyFill="1" applyBorder="1" applyAlignment="1">
      <x:alignment wrapText="1"/>
    </x:xf>
    <x:xf numFmtId="0" fontId="105" fillId="43" borderId="60" xfId="4" applyFont="1" applyFill="1" applyBorder="1" applyAlignment="1">
      <x:alignment vertical="center" wrapText="1"/>
    </x:xf>
    <x:xf numFmtId="0" fontId="104" fillId="41" borderId="60" xfId="4" applyFont="1" applyFill="1" applyBorder="1" applyAlignment="1">
      <x:alignment vertical="center" wrapText="1"/>
    </x:xf>
    <x:xf numFmtId="0" fontId="32" fillId="4" borderId="28" xfId="0" applyFont="1" applyFill="1" applyAlignment="1">
      <x:alignment horizontal="left" vertical="center" wrapText="1"/>
    </x:xf>
    <x:xf numFmtId="0" fontId="0" fillId="0" borderId="0" xfId="0" applyBorder="1" applyAlignment="1">
      <x:alignment horizontal="left" vertical="center"/>
    </x:xf>
    <x:xf numFmtId="0" fontId="24" fillId="0" borderId="28" xfId="0" applyFont="1" applyAlignment="1">
      <x:alignment horizontal="left" vertical="center" wrapText="1"/>
    </x:xf>
    <x:xf numFmtId="0" fontId="21" fillId="4" borderId="18" xfId="0" applyFont="1" applyFill="1" applyBorder="1" applyAlignment="1">
      <x:alignment horizontal="left" vertical="center" wrapText="1"/>
    </x:xf>
    <x:xf numFmtId="0" fontId="0" fillId="0" borderId="27" xfId="0" applyBorder="1"/>
    <x:xf numFmtId="0" fontId="0" fillId="0" borderId="19" xfId="0" applyBorder="1"/>
    <x:xf numFmtId="0" fontId="21" fillId="4" borderId="34" xfId="0" applyFont="1" applyFill="1" applyBorder="1" applyAlignment="1">
      <x:alignment horizontal="left" vertical="center" wrapText="1"/>
    </x:xf>
    <x:xf numFmtId="0" fontId="21" fillId="68" borderId="15" xfId="0" applyFont="1" applyFill="1" applyBorder="1" applyAlignment="1">
      <x:alignment horizontal="left" vertical="center" wrapText="1"/>
    </x:xf>
    <x:xf numFmtId="0" fontId="96" fillId="68" borderId="17" xfId="0" applyFont="1" applyFill="1" applyBorder="1"/>
    <x:xf numFmtId="0" fontId="96" fillId="68" borderId="16" xfId="0" applyFont="1" applyFill="1" applyBorder="1"/>
    <x:xf numFmtId="0" fontId="21" fillId="68" borderId="19" xfId="0" applyFont="1" applyFill="1" applyBorder="1" applyAlignment="1">
      <x:alignment horizontal="center" vertical="center" wrapText="1"/>
    </x:xf>
    <x:xf numFmtId="0" fontId="142" fillId="68" borderId="22" xfId="0" applyFont="1" applyFill="1" applyBorder="1" applyAlignment="1">
      <x:alignment horizontal="left" vertical="center" wrapText="1"/>
    </x:xf>
    <x:xf numFmtId="0" fontId="96" fillId="68" borderId="0" xfId="0" applyFont="1" applyFill="1" applyBorder="1" applyAlignment="1">
      <x:alignment horizontal="left" vertical="center" wrapText="1"/>
    </x:xf>
    <x:xf numFmtId="0" fontId="142" fillId="68" borderId="23" xfId="0" applyFont="1" applyFill="1" applyBorder="1" applyAlignment="1">
      <x:alignment horizontal="left" vertical="center" wrapText="1"/>
    </x:xf>
    <x:xf numFmtId="0" fontId="96" fillId="68" borderId="0" xfId="0" applyFont="1" applyFill="1" applyBorder="1"/>
    <x:xf numFmtId="0" fontId="0" fillId="0" borderId="0" xfId="0" applyBorder="1" applyAlignment="1">
      <x:alignment horizontal="left" vertical="center" wrapText="1"/>
    </x:xf>
    <x:xf numFmtId="0" fontId="21" fillId="4" borderId="15" xfId="0" applyFont="1" applyFill="1" applyBorder="1" applyAlignment="1">
      <x:alignment horizontal="left" vertical="center" wrapText="1"/>
    </x:xf>
    <x:xf numFmtId="0" fontId="0" fillId="0" borderId="17" xfId="0" applyBorder="1"/>
    <x:xf numFmtId="0" fontId="0" fillId="0" borderId="16" xfId="0" applyBorder="1"/>
    <x:xf numFmtId="0" fontId="0" fillId="0" borderId="0" xfId="0" applyBorder="1" applyAlignment="1">
      <x:alignment wrapText="1"/>
    </x:xf>
    <x:xf numFmtId="0" fontId="26" fillId="4" borderId="0" xfId="0" applyFont="1" applyFill="1" applyBorder="1" applyAlignment="1">
      <x:alignment horizontal="left" vertical="center" wrapText="1"/>
    </x:xf>
    <x:xf numFmtId="0" fontId="24" fillId="0" borderId="0" xfId="0" applyFont="1" applyBorder="1" applyAlignment="1">
      <x:alignment horizontal="left" vertical="center" wrapText="1"/>
    </x:xf>
    <x:xf numFmtId="0" fontId="0" fillId="0" borderId="17" xfId="0" applyBorder="1" applyAlignment="1">
      <x:alignment wrapText="1"/>
    </x:xf>
    <x:xf numFmtId="0" fontId="0" fillId="0" borderId="16" xfId="0" applyBorder="1" applyAlignment="1">
      <x:alignment wrapText="1"/>
    </x:xf>
    <x:xf numFmtId="0" fontId="5" fillId="2" borderId="18" xfId="0" applyFont="1" applyFill="1" applyBorder="1" applyAlignment="1">
      <x:alignment horizontal="center" vertical="center" wrapText="1"/>
    </x:xf>
    <x:xf numFmtId="0" fontId="5" fillId="2" borderId="19" xfId="0" applyFont="1" applyFill="1" applyBorder="1" applyAlignment="1">
      <x:alignment horizontal="center" vertical="center" wrapText="1"/>
    </x:xf>
    <x:xf numFmtId="0" fontId="34" fillId="7" borderId="20" xfId="0" applyFont="1" applyFill="1" applyBorder="1" applyAlignment="1">
      <x:alignment horizontal="left" vertical="center" wrapText="1"/>
    </x:xf>
    <x:xf numFmtId="0" fontId="35" fillId="0" borderId="0" xfId="0" applyFont="1" applyBorder="1" applyAlignment="1">
      <x:alignment horizontal="left" vertical="center" wrapText="1"/>
    </x:xf>
    <x:xf numFmtId="0" fontId="34" fillId="7" borderId="20" xfId="0" applyFont="1" applyFill="1" applyBorder="1" applyAlignment="1">
      <x:alignment vertical="center" wrapText="1"/>
    </x:xf>
    <x:xf numFmtId="0" fontId="34" fillId="7" borderId="21" xfId="0" applyFont="1" applyFill="1" applyBorder="1" applyAlignment="1">
      <x:alignment horizontal="left" vertical="center" wrapText="1"/>
    </x:xf>
    <x:xf numFmtId="0" fontId="34" fillId="5" borderId="22" xfId="0" applyFont="1" applyFill="1" applyBorder="1" applyAlignment="1">
      <x:alignment horizontal="left" vertical="center" wrapText="1"/>
    </x:xf>
    <x:xf numFmtId="0" fontId="34" fillId="5" borderId="22" xfId="0" applyFont="1" applyFill="1" applyBorder="1" applyAlignment="1">
      <x:alignment vertical="center" wrapText="1"/>
    </x:xf>
    <x:xf numFmtId="0" fontId="34" fillId="5" borderId="23" xfId="0" applyFont="1" applyFill="1" applyBorder="1" applyAlignment="1">
      <x:alignment horizontal="left" vertical="center" wrapText="1"/>
    </x:xf>
    <x:xf numFmtId="0" fontId="41" fillId="2" borderId="19" xfId="0" applyFont="1" applyFill="1" applyBorder="1" applyAlignment="1">
      <x:alignment horizontal="center" vertical="center" wrapText="1"/>
    </x:xf>
    <x:xf numFmtId="0" fontId="15" fillId="5" borderId="22" xfId="0" applyFont="1" applyFill="1" applyBorder="1" applyAlignment="1">
      <x:alignment horizontal="left" vertical="center" wrapText="1"/>
    </x:xf>
    <x:xf numFmtId="0" fontId="43" fillId="5" borderId="0" xfId="0" applyFont="1" applyFill="1" applyBorder="1" applyAlignment="1">
      <x:alignment horizontal="center" vertical="center" wrapText="1"/>
    </x:xf>
    <x:xf numFmtId="0" fontId="15" fillId="5" borderId="23" xfId="0" applyFont="1" applyFill="1" applyBorder="1" applyAlignment="1">
      <x:alignment horizontal="left" vertical="center" wrapText="1"/>
    </x:xf>
    <x:xf numFmtId="0" fontId="15" fillId="5" borderId="30" xfId="0" applyFont="1" applyFill="1" applyBorder="1" applyAlignment="1">
      <x:alignment horizontal="left" vertical="center" wrapText="1"/>
    </x:xf>
    <x:xf numFmtId="0" fontId="48" fillId="4" borderId="0" xfId="0" applyFont="1" applyFill="1" applyBorder="1" applyAlignment="1">
      <x:alignment horizontal="left" vertical="center" wrapText="1"/>
    </x:xf>
    <x:xf numFmtId="0" fontId="36" fillId="5" borderId="0" xfId="0" applyFont="1" applyFill="1" applyBorder="1" applyAlignment="1">
      <x:alignment horizontal="left" vertical="center" wrapText="1"/>
    </x:xf>
    <x:xf numFmtId="0" fontId="12" fillId="4" borderId="17" xfId="0" applyFont="1" applyFill="1" applyBorder="1" applyAlignment="1">
      <x:alignment horizontal="left" vertical="center" wrapText="1"/>
    </x:xf>
    <x:xf numFmtId="0" fontId="49" fillId="5" borderId="0" xfId="0" applyFont="1" applyFill="1" applyBorder="1" applyAlignment="1">
      <x:alignment horizontal="center" vertical="center" wrapText="1"/>
    </x:xf>
    <x:xf numFmtId="0" fontId="51" fillId="5" borderId="0" xfId="0" applyFont="1" applyFill="1" applyBorder="1" applyAlignment="1">
      <x:alignment horizontal="center" vertical="center" wrapText="1"/>
    </x:xf>
    <x:xf numFmtId="0" fontId="16" fillId="5" borderId="0" xfId="0" applyFont="1" applyFill="1" applyBorder="1" applyAlignment="1">
      <x:alignment vertical="center" wrapText="1"/>
    </x:xf>
    <x:xf numFmtId="0" fontId="50" fillId="5" borderId="0" xfId="0" applyFont="1" applyFill="1" applyBorder="1" applyAlignment="1">
      <x:alignment horizontal="center" vertical="center" wrapText="1"/>
    </x:xf>
    <x:xf numFmtId="0" fontId="21" fillId="4" borderId="6" xfId="0" applyFont="1" applyFill="1" applyBorder="1" applyAlignment="1">
      <x:alignment vertical="center"/>
    </x:xf>
    <x:xf numFmtId="0" fontId="26" fillId="4" borderId="28" xfId="0" applyFont="1" applyFill="1" applyAlignment="1">
      <x:alignment horizontal="center" vertical="center"/>
    </x:xf>
    <x:xf numFmtId="0" fontId="21" fillId="4" borderId="2" xfId="0" applyFont="1" applyFill="1" applyBorder="1"/>
    <x:xf numFmtId="0" fontId="0" fillId="0" borderId="12" xfId="0" applyBorder="1"/>
    <x:xf numFmtId="0" fontId="0" fillId="0" borderId="13" xfId="0" applyBorder="1"/>
    <x:xf numFmtId="0" fontId="24" fillId="0" borderId="28" xfId="0" applyFont="1" applyAlignment="1">
      <x:alignment horizontal="center" vertical="center"/>
    </x:xf>
    <x:xf numFmtId="0" fontId="22" fillId="2" borderId="2" xfId="0" applyFont="1" applyFill="1" applyBorder="1" applyAlignment="1">
      <x:alignment horizontal="left" vertical="center"/>
    </x:xf>
    <x:xf numFmtId="0" fontId="4" fillId="2" borderId="28" xfId="0" applyFont="1" applyFill="1" applyAlignment="1">
      <x:alignment horizontal="center" vertical="center"/>
    </x:xf>
    <x:xf numFmtId="0" fontId="25" fillId="0" borderId="28" xfId="0" applyFont="1" applyAlignment="1">
      <x:alignment horizontal="center" vertical="center"/>
    </x:xf>
    <x:xf numFmtId="0" fontId="6" fillId="2" borderId="2" xfId="0" applyFont="1" applyFill="1" applyBorder="1" applyAlignment="1">
      <x:alignment horizontal="left" vertical="center"/>
    </x:xf>
    <x:xf numFmtId="0" fontId="52" fillId="2" borderId="28" xfId="0" applyFont="1" applyFill="1" applyAlignment="1">
      <x:alignment horizontal="center" vertical="center"/>
    </x:xf>
    <x:xf numFmtId="0" fontId="54" fillId="2" borderId="2" xfId="0" applyFont="1" applyFill="1" applyBorder="1" applyAlignment="1">
      <x:alignment horizontal="left" vertical="center"/>
    </x:xf>
    <x:xf numFmtId="0" fontId="53" fillId="0" borderId="28" xfId="0" applyFont="1" applyAlignment="1">
      <x:alignment horizontal="center" vertical="center"/>
    </x:xf>
    <x:xf numFmtId="0" fontId="39" fillId="4" borderId="0" xfId="0" applyFont="1" applyFill="1" applyBorder="1" applyAlignment="1">
      <x:alignment wrapText="1"/>
    </x:xf>
    <x:xf numFmtId="0" fontId="1" fillId="0" borderId="0" xfId="0" applyFont="1" applyBorder="1" applyAlignment="1">
      <x:alignment wrapText="1"/>
    </x:xf>
    <x:xf numFmtId="0" fontId="10" fillId="4" borderId="0" xfId="0" applyFont="1" applyFill="1" applyBorder="1" applyAlignment="1">
      <x:alignment wrapText="1"/>
    </x:xf>
    <x:xf numFmtId="0" fontId="14" fillId="4" borderId="1" xfId="0" applyFont="1" applyFill="1" applyBorder="1" applyAlignment="1">
      <x:alignment wrapText="1"/>
    </x:xf>
    <x:xf numFmtId="0" fontId="0" fillId="0" borderId="25" xfId="0" applyBorder="1" applyAlignment="1">
      <x:alignment wrapText="1"/>
    </x:xf>
    <x:xf numFmtId="0" fontId="0" fillId="0" borderId="9" xfId="0" applyBorder="1" applyAlignment="1">
      <x:alignment wrapText="1"/>
    </x:xf>
    <x:xf numFmtId="0" fontId="19" fillId="4" borderId="0" xfId="0" applyFont="1" applyFill="1" applyBorder="1" applyAlignment="1">
      <x:alignment wrapText="1"/>
    </x:xf>
    <x:xf numFmtId="0" fontId="17" fillId="4" borderId="0" xfId="0" applyFont="1" applyFill="1" applyBorder="1" applyAlignment="1">
      <x:alignment wrapText="1"/>
    </x:xf>
    <x:xf numFmtId="0" fontId="18" fillId="5" borderId="0" xfId="0" applyFont="1" applyFill="1" applyBorder="1" applyAlignment="1">
      <x:alignment wrapText="1"/>
    </x:xf>
    <x:xf numFmtId="0" fontId="14" fillId="4" borderId="9" xfId="0" applyFont="1" applyFill="1" applyBorder="1" applyAlignment="1">
      <x:alignment wrapText="1"/>
    </x:xf>
    <x:xf numFmtId="0" fontId="12" fillId="4" borderId="19" xfId="0" applyFont="1" applyFill="1" applyBorder="1" applyAlignment="1">
      <x:alignment horizontal="left" vertical="center" wrapText="1"/>
    </x:xf>
    <x:xf numFmtId="0" fontId="0" fillId="0" borderId="27" xfId="0" applyBorder="1" applyAlignment="1">
      <x:alignment wrapText="1"/>
    </x:xf>
    <x:xf numFmtId="0" fontId="0" fillId="0" borderId="19" xfId="0" applyBorder="1" applyAlignment="1">
      <x:alignment wrapText="1"/>
    </x:xf>
    <x:xf numFmtId="0" fontId="13" fillId="4" borderId="0" xfId="0" applyFont="1" applyFill="1" applyBorder="1" applyAlignment="1">
      <x:alignment horizontal="left" vertical="center" wrapText="1"/>
    </x:xf>
    <x:xf numFmtId="0" fontId="14" fillId="4" borderId="10" xfId="0" applyFont="1" applyFill="1" applyBorder="1" applyAlignment="1">
      <x:alignment horizontal="left" vertical="center" wrapText="1"/>
    </x:xf>
    <x:xf numFmtId="0" fontId="14" fillId="4" borderId="11" xfId="0" applyFont="1" applyFill="1" applyBorder="1" applyAlignment="1">
      <x:alignment horizontal="left" vertical="center" wrapText="1"/>
    </x:xf>
    <x:xf numFmtId="0" fontId="20" fillId="5" borderId="0" xfId="0" applyFont="1" applyFill="1" applyBorder="1" applyAlignment="1">
      <x:alignment horizontal="left" vertical="center" wrapText="1"/>
    </x:xf>
    <x:xf numFmtId="0" fontId="17" fillId="4" borderId="0" xfId="0" applyFont="1" applyFill="1" applyBorder="1" applyAlignment="1">
      <x:alignment horizontal="left" vertical="center" wrapText="1"/>
    </x:xf>
    <x:xf numFmtId="0" fontId="1" fillId="0" borderId="0" xfId="0" applyFont="1" applyBorder="1" applyAlignment="1">
      <x:alignment horizontal="left" vertical="center" wrapText="1"/>
    </x:xf>
    <x:xf numFmtId="0" fontId="18" fillId="5" borderId="0" xfId="0" applyFont="1" applyFill="1" applyBorder="1" applyAlignment="1">
      <x:alignment horizontal="left" vertical="center" wrapText="1"/>
    </x:xf>
    <x:xf numFmtId="0" fontId="19" fillId="4" borderId="0" xfId="0" applyFont="1" applyFill="1" applyBorder="1" applyAlignment="1">
      <x:alignment horizontal="left" vertical="center" wrapText="1"/>
    </x:xf>
    <x:xf numFmtId="0" fontId="41" fillId="2" borderId="0" xfId="0" applyFont="1" applyFill="1" applyBorder="1" applyAlignment="1">
      <x:alignment horizontal="center" vertical="center" wrapText="1"/>
    </x:xf>
    <x:xf numFmtId="0" fontId="13" fillId="9" borderId="28" xfId="0" applyFont="1" applyFill="1" applyAlignment="1">
      <x:alignment horizontal="left" vertical="center" wrapText="1"/>
    </x:xf>
    <x:xf numFmtId="0" fontId="12" fillId="9" borderId="19" xfId="0" applyFont="1" applyFill="1" applyBorder="1" applyAlignment="1">
      <x:alignment horizontal="left" vertical="center" wrapText="1"/>
    </x:xf>
    <x:xf numFmtId="0" fontId="48" fillId="9" borderId="28" xfId="0" applyFont="1" applyFill="1" applyAlignment="1">
      <x:alignment horizontal="left" vertical="center" wrapText="1"/>
    </x:xf>
    <x:xf numFmtId="0" fontId="12" fillId="9" borderId="17" xfId="0" applyFont="1" applyFill="1" applyBorder="1" applyAlignment="1">
      <x:alignment horizontal="left" vertical="center" wrapText="1"/>
    </x:xf>
    <x:xf numFmtId="0" fontId="36" fillId="8" borderId="28" xfId="0" applyFont="1" applyFill="1" applyAlignment="1">
      <x:alignment horizontal="left" vertical="center" wrapText="1"/>
    </x:xf>
    <x:xf numFmtId="0" fontId="41" fillId="11" borderId="0" xfId="0" applyFont="1" applyFill="1" applyBorder="1" applyAlignment="1">
      <x:alignment horizontal="center" vertical="center" wrapText="1"/>
    </x:xf>
    <x:xf numFmtId="0" fontId="38" fillId="8" borderId="0" xfId="0" applyFont="1" applyFill="1" applyBorder="1" applyAlignment="1">
      <x:alignment vertical="center" wrapText="1"/>
    </x:xf>
    <x:xf numFmtId="0" fontId="45" fillId="8" borderId="0" xfId="0" applyFont="1" applyFill="1" applyBorder="1" applyAlignment="1">
      <x:alignment horizontal="center" vertical="center" wrapText="1"/>
    </x:xf>
    <x:xf numFmtId="0" fontId="41" fillId="9" borderId="28" xfId="0" applyFont="1" applyFill="1" applyAlignment="1">
      <x:alignment horizontal="left" vertical="center" wrapText="1"/>
    </x:xf>
    <x:xf numFmtId="0" fontId="12" fillId="10" borderId="28" xfId="0" applyFont="1" applyFill="1" applyAlignment="1">
      <x:alignment horizontal="left" vertical="center" wrapText="1"/>
    </x:xf>
    <x:xf numFmtId="0" fontId="110" fillId="48" borderId="61" xfId="5" applyFont="1" applyFill="1" applyBorder="1" applyAlignment="1">
      <x:alignment vertical="center" wrapText="1"/>
    </x:xf>
    <x:xf numFmtId="0" fontId="107" fillId="45" borderId="61" xfId="5" applyFont="1" applyFill="1" applyBorder="1" applyAlignment="1">
      <x:alignment vertical="center"/>
    </x:xf>
    <x:xf numFmtId="0" fontId="108" fillId="46" borderId="61" xfId="5" applyFont="1" applyFill="1" applyBorder="1" applyAlignment="1">
      <x:alignment vertical="center"/>
    </x:xf>
    <x:xf numFmtId="0" fontId="21" fillId="4" borderId="36" xfId="0" applyFont="1" applyFill="1" applyBorder="1" applyAlignment="1">
      <x:alignment horizontal="left" vertical="center" wrapText="1"/>
    </x:xf>
    <x:xf numFmtId="0" fontId="21" fillId="4" borderId="16" xfId="0" applyFont="1" applyFill="1" applyBorder="1" applyAlignment="1">
      <x:alignment horizontal="left" vertical="center" wrapText="1"/>
    </x:xf>
    <x:xf numFmtId="0" fontId="21" fillId="4" borderId="17" xfId="0" applyFont="1" applyFill="1" applyBorder="1" applyAlignment="1">
      <x:alignment horizontal="left" vertical="center" wrapText="1"/>
    </x:xf>
    <x:xf numFmtId="0" fontId="10" fillId="76" borderId="0" xfId="0" applyFont="1" applyFill="1" applyBorder="1" applyAlignment="1">
      <x:alignment horizontal="left" vertical="center" wrapText="1"/>
    </x:xf>
    <x:xf numFmtId="0" fontId="138" fillId="62" borderId="0" xfId="0" applyFont="1" applyFill="1" applyBorder="1" applyAlignment="1">
      <x:alignment horizontal="left" vertical="center" wrapText="1"/>
    </x:xf>
    <x:xf numFmtId="0" fontId="74" fillId="31" borderId="37" xfId="0" applyFont="1" applyFill="1" applyBorder="1" applyAlignment="1">
      <x:alignment horizontal="center" vertical="center" wrapText="1"/>
    </x:xf>
    <x:xf numFmtId="0" fontId="74" fillId="31" borderId="38" xfId="0" applyFont="1" applyFill="1" applyBorder="1" applyAlignment="1">
      <x:alignment horizontal="center" vertical="center" wrapText="1"/>
    </x:xf>
    <x:xf numFmtId="0" fontId="75" fillId="31" borderId="40" xfId="0" applyFont="1" applyFill="1" applyBorder="1" applyAlignment="1">
      <x:alignment horizontal="left" vertical="center" wrapText="1"/>
    </x:xf>
    <x:xf numFmtId="0" fontId="76" fillId="31" borderId="0" xfId="0" applyFont="1" applyFill="1" applyBorder="1" applyAlignment="1">
      <x:alignment horizontal="left" vertical="center" wrapText="1"/>
    </x:xf>
    <x:xf numFmtId="0" fontId="75" fillId="31" borderId="37" xfId="0" applyFont="1" applyFill="1" applyBorder="1" applyAlignment="1">
      <x:alignment horizontal="left" vertical="center" wrapText="1"/>
    </x:xf>
    <x:xf numFmtId="0" fontId="75" fillId="31" borderId="0" xfId="0" applyFont="1" applyFill="1" applyBorder="1" applyAlignment="1">
      <x:alignment horizontal="left" vertical="center" wrapText="1"/>
    </x:xf>
    <x:xf numFmtId="0" fontId="75" fillId="31" borderId="38" xfId="0" applyFont="1" applyFill="1" applyBorder="1" applyAlignment="1">
      <x:alignment horizontal="left" vertical="center" wrapText="1"/>
    </x:xf>
    <x:xf numFmtId="0" fontId="76" fillId="31" borderId="0" xfId="0" applyFont="1" applyFill="1" applyBorder="1" applyAlignment="1">
      <x:alignment vertical="center" wrapText="1"/>
    </x:xf>
    <x:xf numFmtId="0" fontId="10" fillId="28" borderId="0" xfId="0" applyFont="1" applyFill="1" applyBorder="1" applyAlignment="1">
      <x:alignment horizontal="left" vertical="center" wrapText="1"/>
    </x:xf>
    <x:xf numFmtId="0" fontId="72" fillId="29" borderId="0" xfId="0" applyFont="1" applyFill="1" applyBorder="1" applyAlignment="1">
      <x:alignment horizontal="left" vertical="center" wrapText="1"/>
    </x:xf>
    <x:xf numFmtId="0" fontId="74" fillId="31" borderId="36" xfId="0" applyFont="1" applyFill="1" applyBorder="1" applyAlignment="1">
      <x:alignment horizontal="left" vertical="center" wrapText="1"/>
    </x:xf>
    <x:xf numFmtId="0" fontId="74" fillId="31" borderId="16" xfId="0" applyFont="1" applyFill="1" applyBorder="1" applyAlignment="1">
      <x:alignment horizontal="left" vertical="center" wrapText="1"/>
    </x:xf>
    <x:xf numFmtId="0" fontId="74" fillId="31" borderId="15" xfId="0" applyFont="1" applyFill="1" applyBorder="1" applyAlignment="1">
      <x:alignment horizontal="left" vertical="center" wrapText="1"/>
    </x:xf>
    <x:xf numFmtId="0" fontId="74" fillId="31" borderId="17" xfId="0" applyFont="1" applyFill="1" applyBorder="1" applyAlignment="1">
      <x:alignment horizontal="left" vertical="center" wrapText="1"/>
    </x:xf>
    <x:xf numFmtId="0" fontId="117" fillId="52" borderId="62" xfId="6" applyFont="1" applyFill="1" applyBorder="1" applyAlignment="1"/>
    <x:xf numFmtId="0" fontId="118" fillId="53" borderId="62" xfId="6" applyFont="1" applyFill="1" applyBorder="1" applyAlignment="1">
      <x:alignment wrapText="1"/>
    </x:xf>
    <x:xf numFmtId="0" fontId="120" fillId="55" borderId="62" xfId="6" applyFont="1" applyFill="1" applyBorder="1" applyAlignment="1">
      <x:alignment wrapText="1"/>
    </x:xf>
    <x:xf numFmtId="0" fontId="139" fillId="63" borderId="0" xfId="0" applyFont="1" applyFill="1" applyBorder="1" applyAlignment="1">
      <x:alignment wrapText="1"/>
    </x:xf>
    <x:xf numFmtId="0" fontId="67" fillId="68" borderId="0" xfId="0" applyFont="1" applyFill="1" applyBorder="1" applyAlignment="1">
      <x:alignment wrapText="1"/>
    </x:xf>
    <x:xf numFmtId="0" fontId="140" fillId="64" borderId="0" xfId="0" applyFont="1" applyFill="1" applyBorder="1" applyAlignment="1">
      <x:alignment wrapText="1"/>
    </x:xf>
    <x:xf numFmtId="0" fontId="121" fillId="57" borderId="0" xfId="0" applyFont="1" applyFill="1" applyBorder="1"/>
    <x:xf numFmtId="0" fontId="124" fillId="60" borderId="0" xfId="0" applyFont="1" applyFill="1" applyBorder="1"/>
    <x:xf numFmtId="0" fontId="8" fillId="0" borderId="28" xfId="0" applyFont="1" applyAlignment="1">
      <x:alignment vertical="center" wrapText="1"/>
    </x:xf>
    <x:xf numFmtId="0" fontId="12" fillId="78" borderId="0" xfId="0" applyFont="1" applyFill="1" applyBorder="1" applyAlignment="1">
      <x:alignment wrapText="1"/>
    </x:xf>
    <x:xf numFmtId="0" fontId="1" fillId="78" borderId="0" xfId="0" applyFont="1" applyFill="1" applyBorder="1" applyAlignment="1">
      <x:alignment wrapText="1"/>
    </x:xf>
    <x:xf numFmtId="0" fontId="0" fillId="78" borderId="0" xfId="0" applyFill="1" applyBorder="1" applyAlignment="1">
      <x:alignment wrapText="1"/>
    </x:xf>
    <x:xf numFmtId="0" fontId="14" fillId="78" borderId="1" xfId="0" applyFont="1" applyFill="1" applyBorder="1" applyAlignment="1">
      <x:alignment wrapText="1"/>
    </x:xf>
    <x:xf numFmtId="0" fontId="14" fillId="78" borderId="9" xfId="0" applyFont="1" applyFill="1" applyBorder="1" applyAlignment="1">
      <x:alignment wrapText="1"/>
    </x:xf>
    <x:xf numFmtId="0" fontId="20" fillId="78" borderId="0" xfId="0" applyFont="1" applyFill="1" applyBorder="1" applyAlignment="1">
      <x:alignment wrapText="1"/>
    </x:xf>
    <x:xf numFmtId="0" fontId="14" fillId="78" borderId="10" xfId="0" applyFont="1" applyFill="1" applyBorder="1" applyAlignment="1">
      <x:alignment wrapText="1"/>
    </x:xf>
    <x:xf numFmtId="0" fontId="14" fillId="78" borderId="11" xfId="0" applyFont="1" applyFill="1" applyBorder="1" applyAlignment="1">
      <x:alignment wrapText="1"/>
    </x:xf>
    <x:xf numFmtId="0" fontId="20" fillId="78" borderId="0" xfId="0" applyFont="1" applyFill="1" applyBorder="1" applyAlignment="1">
      <x:alignment wrapText="1"/>
    </x:xf>
    <x:xf numFmtId="0" fontId="14" fillId="78" borderId="10" xfId="0" applyFont="1" applyFill="1" applyBorder="1" applyAlignment="1">
      <x:alignment wrapText="1"/>
    </x:xf>
    <x:xf numFmtId="0" fontId="14" fillId="78" borderId="11" xfId="0" applyFont="1" applyFill="1" applyBorder="1" applyAlignment="1">
      <x:alignment wrapText="1"/>
    </x:xf>
    <x:xf numFmtId="0" fontId="16" fillId="78" borderId="0" xfId="0" applyFont="1" applyFill="1" applyBorder="1" applyAlignment="1">
      <x:alignment wrapText="1"/>
    </x:xf>
    <x:xf numFmtId="0" fontId="0" fillId="78" borderId="0" xfId="0" applyFill="1" applyBorder="1"/>
    <x:xf numFmtId="0" fontId="0" fillId="0" borderId="31" xfId="0" applyBorder="1" applyAlignment="1">
      <x:alignment vertical="center"/>
    </x:xf>
    <x:xf numFmtId="0" fontId="0" fillId="0" borderId="26" xfId="0" applyBorder="1" applyAlignment="1">
      <x:alignment vertical="center"/>
    </x:xf>
    <x:xf numFmtId="0" fontId="0" fillId="3" borderId="15" xfId="0" applyFill="1" applyBorder="1" applyAlignment="1">
      <x:alignment vertical="center" wrapText="1"/>
    </x:xf>
    <x:xf numFmtId="0" fontId="0" fillId="0" borderId="27" xfId="0" applyBorder="1" applyAlignment="1">
      <x:alignment vertical="center"/>
    </x:xf>
    <x:xf numFmtId="0" fontId="0" fillId="0" borderId="19" xfId="0" applyBorder="1" applyAlignment="1">
      <x:alignment vertical="center"/>
    </x:xf>
    <x:xf numFmtId="0" fontId="2" fillId="75" borderId="36" xfId="0" applyFont="1" applyFill="1" applyBorder="1" applyAlignment="1">
      <x:alignment horizontal="left" vertical="center" wrapText="1"/>
    </x:xf>
    <x:xf numFmtId="0" fontId="2" fillId="75" borderId="16" xfId="0" applyFont="1" applyFill="1" applyBorder="1" applyAlignment="1">
      <x:alignment horizontal="left" vertical="center" wrapText="1"/>
    </x:xf>
    <x:xf numFmtId="0" fontId="2" fillId="75" borderId="15" xfId="0" applyFont="1" applyFill="1" applyBorder="1" applyAlignment="1">
      <x:alignment horizontal="left" vertical="center" wrapText="1"/>
    </x:xf>
    <x:xf numFmtId="0" fontId="2" fillId="75" borderId="17" xfId="0" applyFont="1" applyFill="1" applyBorder="1" applyAlignment="1">
      <x:alignment horizontal="left" vertical="center" wrapText="1"/>
    </x:xf>
    <x:xf numFmtId="0" fontId="0" fillId="0" borderId="64" xfId="0" applyNumberFormat="1" applyFont="1" applyFill="1" applyBorder="1"/>
    <x:xf numFmtId="0" fontId="1" fillId="0" borderId="64" xfId="0" applyNumberFormat="1" applyFont="1" applyFill="1" applyBorder="1"/>
    <x:xf numFmtId="0" fontId="7" fillId="0" borderId="65" xfId="0" applyNumberFormat="1" applyFont="1" applyFill="1" applyBorder="1" applyAlignment="1">
      <x:alignment horizontal="left" vertical="center" wrapText="1"/>
    </x:xf>
    <x:xf numFmtId="0" fontId="5" fillId="2" borderId="66" xfId="0" applyNumberFormat="1" applyFont="1" applyFill="1" applyBorder="1" applyAlignment="1">
      <x:alignment horizontal="center" vertical="center"/>
    </x:xf>
    <x:xf numFmtId="0" fontId="6" fillId="2" borderId="66" xfId="0" applyNumberFormat="1" applyFont="1" applyFill="1" applyBorder="1" applyAlignment="1">
      <x:alignment horizontal="center" vertical="center"/>
    </x:xf>
    <x:xf numFmtId="0" fontId="2" fillId="0" borderId="65" xfId="0" applyNumberFormat="1" applyFont="1" applyFill="1" applyBorder="1" applyAlignment="1">
      <x:alignment horizontal="left" vertical="center" wrapText="1"/>
    </x:xf>
    <x:xf numFmtId="0" fontId="0" fillId="3" borderId="67" xfId="0" applyNumberFormat="1" applyFont="1" applyFill="1" applyBorder="1" applyAlignment="1">
      <x:alignment wrapText="1"/>
    </x:xf>
    <x:xf numFmtId="0" fontId="3" fillId="0" borderId="65" xfId="0" applyNumberFormat="1" applyFont="1" applyFill="1" applyBorder="1" applyAlignment="1">
      <x:alignment horizontal="left" vertical="center" wrapText="1"/>
    </x:xf>
    <x:xf numFmtId="0" fontId="0" fillId="0" borderId="64" xfId="0" applyNumberFormat="1" applyFont="1" applyFill="1" applyBorder="1" applyAlignment="1">
      <x:alignment wrapText="1"/>
    </x:xf>
    <x:xf numFmtId="0" fontId="0" fillId="3" borderId="68" xfId="0" applyNumberFormat="1" applyFont="1" applyFill="1" applyBorder="1" applyAlignment="1">
      <x:alignment wrapText="1"/>
    </x:xf>
    <x:xf numFmtId="0" fontId="12" fillId="4" borderId="64" xfId="0" applyNumberFormat="1" applyFont="1" applyFill="1" applyBorder="1" applyAlignment="1">
      <x:alignment wrapText="1"/>
    </x:xf>
    <x:xf numFmtId="0" fontId="13" fillId="4" borderId="64" xfId="0" applyNumberFormat="1" applyFont="1" applyFill="1" applyBorder="1" applyAlignment="1">
      <x:alignment wrapText="1"/>
    </x:xf>
    <x:xf numFmtId="0" fontId="14" fillId="4" borderId="66" xfId="0" applyNumberFormat="1" applyFont="1" applyFill="1" applyBorder="1"/>
    <x:xf numFmtId="0" fontId="14" fillId="4" borderId="69" xfId="0" applyNumberFormat="1" applyFont="1" applyFill="1" applyBorder="1"/>
    <x:xf numFmtId="0" fontId="16" fillId="5" borderId="64" xfId="0" applyNumberFormat="1" applyFont="1" applyFill="1" applyBorder="1" applyAlignment="1">
      <x:alignment wrapText="1"/>
    </x:xf>
    <x:xf numFmtId="0" fontId="14" fillId="4" borderId="70" xfId="0" applyNumberFormat="1" applyFont="1" applyFill="1" applyBorder="1"/>
    <x:xf numFmtId="0" fontId="14" fillId="4" borderId="71" xfId="0" applyNumberFormat="1" applyFont="1" applyFill="1" applyBorder="1"/>
    <x:xf numFmtId="0" fontId="19" fillId="4" borderId="64" xfId="0" applyNumberFormat="1" applyFont="1" applyFill="1" applyBorder="1" applyAlignment="1">
      <x:alignment wrapText="1"/>
    </x:xf>
    <x:xf numFmtId="0" fontId="20" fillId="5" borderId="64" xfId="0" applyNumberFormat="1" applyFont="1" applyFill="1" applyBorder="1" applyAlignment="1">
      <x:alignment wrapText="1"/>
    </x:xf>
    <x:xf numFmtId="0" fontId="21" fillId="4" borderId="66" xfId="0" applyNumberFormat="1" applyFont="1" applyFill="1" applyBorder="1" applyAlignment="1">
      <x:alignment horizontal="center" vertical="center"/>
    </x:xf>
    <x:xf numFmtId="0" fontId="14" fillId="4" borderId="69" xfId="0" applyNumberFormat="1" applyFont="1" applyFill="1" applyBorder="1" applyAlignment="1">
      <x:alignment horizontal="center" vertical="center"/>
    </x:xf>
    <x:xf numFmtId="0" fontId="21" fillId="4" borderId="70" xfId="0" applyNumberFormat="1" applyFont="1" applyFill="1" applyBorder="1" applyAlignment="1">
      <x:alignment horizontal="center" vertical="center"/>
    </x:xf>
    <x:xf numFmtId="0" fontId="14" fillId="4" borderId="71" xfId="0" applyNumberFormat="1" applyFont="1" applyFill="1" applyBorder="1" applyAlignment="1">
      <x:alignment horizontal="center" vertical="center"/>
    </x:xf>
    <x:xf numFmtId="0" fontId="21" fillId="4" borderId="66" xfId="0" applyNumberFormat="1" applyFont="1" applyFill="1" applyBorder="1" applyAlignment="1">
      <x:alignment horizontal="center" vertical="center" wrapText="1"/>
    </x:xf>
    <x:xf numFmtId="0" fontId="14" fillId="4" borderId="69" xfId="0" applyNumberFormat="1" applyFont="1" applyFill="1" applyBorder="1" applyAlignment="1">
      <x:alignment horizontal="center" vertical="center" wrapText="1"/>
    </x:xf>
    <x:xf numFmtId="0" fontId="21" fillId="4" borderId="70" xfId="0" applyNumberFormat="1" applyFont="1" applyFill="1" applyBorder="1" applyAlignment="1">
      <x:alignment horizontal="center" vertical="center" wrapText="1"/>
    </x:xf>
    <x:xf numFmtId="0" fontId="14" fillId="4" borderId="71" xfId="0" applyNumberFormat="1" applyFont="1" applyFill="1" applyBorder="1" applyAlignment="1">
      <x:alignment horizontal="center" vertical="center" wrapText="1"/>
    </x:xf>
    <x:xf numFmtId="0" fontId="28" fillId="0" borderId="65" xfId="0" applyNumberFormat="1" applyFont="1" applyFill="1" applyBorder="1" applyAlignment="1">
      <x:alignment vertical="center" wrapText="1"/>
    </x:xf>
    <x:xf numFmtId="0" fontId="23" fillId="6" borderId="68" xfId="0" applyNumberFormat="1" applyFont="1" applyFill="1" applyBorder="1" applyAlignment="1">
      <x:alignment vertical="center" wrapText="1"/>
    </x:xf>
    <x:xf numFmtId="0" fontId="30" fillId="0" borderId="72" xfId="0" applyNumberFormat="1" applyFont="1" applyFill="1" applyBorder="1" applyAlignment="1">
      <x:alignment vertical="center" wrapText="1"/>
    </x:xf>
    <x:xf numFmtId="0" fontId="31" fillId="0" borderId="72" xfId="0" applyNumberFormat="1" applyFont="1" applyFill="1" applyBorder="1" applyAlignment="1">
      <x:alignment vertical="center" wrapText="1"/>
    </x:xf>
    <x:xf numFmtId="0" fontId="28" fillId="0" borderId="73" xfId="0" applyNumberFormat="1" applyFont="1" applyFill="1" applyBorder="1" applyAlignment="1">
      <x:alignment vertical="center" wrapText="1"/>
    </x:xf>
    <x:xf numFmtId="0" fontId="30" fillId="0" borderId="74" xfId="0" applyNumberFormat="1" applyFont="1" applyFill="1" applyBorder="1" applyAlignment="1">
      <x:alignment vertical="center" wrapText="1"/>
    </x:xf>
    <x:xf numFmtId="0" fontId="31" fillId="0" borderId="74" xfId="0" applyNumberFormat="1" applyFont="1" applyFill="1" applyBorder="1" applyAlignment="1">
      <x:alignment vertical="center" wrapText="1"/>
    </x:xf>
    <x:xf numFmtId="0" fontId="21" fillId="4" borderId="69" xfId="0" applyNumberFormat="1" applyFont="1" applyFill="1" applyBorder="1" applyAlignment="1">
      <x:alignment horizontal="center" vertical="center"/>
    </x:xf>
    <x:xf numFmtId="0" fontId="23" fillId="6" borderId="67" xfId="0" applyNumberFormat="1" applyFont="1" applyFill="1" applyBorder="1" applyAlignment="1">
      <x:alignment vertical="center" wrapText="1"/>
    </x:xf>
    <x:xf numFmtId="0" fontId="0" fillId="0" borderId="64" xfId="0" applyNumberFormat="1" applyFont="1" applyFill="1" applyBorder="1" applyAlignment="1">
      <x:alignment horizontal="left" vertical="center"/>
    </x:xf>
    <x:xf numFmtId="0" fontId="21" fillId="4" borderId="75" xfId="0" applyNumberFormat="1" applyFont="1" applyFill="1" applyBorder="1" applyAlignment="1">
      <x:alignment horizontal="left" vertical="center" wrapText="1"/>
    </x:xf>
    <x:xf numFmtId="0" fontId="21" fillId="4" borderId="76" xfId="0" applyNumberFormat="1" applyFont="1" applyFill="1" applyBorder="1" applyAlignment="1">
      <x:alignment horizontal="left" vertical="center" wrapText="1"/>
    </x:xf>
    <x:xf numFmtId="0" fontId="33" fillId="0" borderId="77" xfId="0" applyNumberFormat="1" applyFont="1" applyFill="1" applyBorder="1" applyAlignment="1">
      <x:alignment horizontal="left" vertical="center" wrapText="1"/>
    </x:xf>
    <x:xf numFmtId="0" fontId="33" fillId="0" borderId="78" xfId="0" applyNumberFormat="1" applyFont="1" applyFill="1" applyBorder="1" applyAlignment="1">
      <x:alignment horizontal="left" vertical="center" wrapText="1"/>
    </x:xf>
    <x:xf numFmtId="0" fontId="34" fillId="7" borderId="79" xfId="0" applyNumberFormat="1" applyFont="1" applyFill="1" applyBorder="1" applyAlignment="1">
      <x:alignment horizontal="left" vertical="center" wrapText="1"/>
    </x:xf>
    <x:xf numFmtId="0" fontId="35" fillId="0" borderId="64" xfId="0" applyNumberFormat="1" applyFont="1" applyFill="1" applyBorder="1" applyAlignment="1">
      <x:alignment horizontal="left" vertical="center" wrapText="1"/>
    </x:xf>
    <x:xf numFmtId="0" fontId="34" fillId="7" borderId="80" xfId="0" applyNumberFormat="1" applyFont="1" applyFill="1" applyBorder="1" applyAlignment="1">
      <x:alignment horizontal="left" vertical="center" wrapText="1"/>
    </x:xf>
    <x:xf numFmtId="0" fontId="34" fillId="5" borderId="81" xfId="0" applyNumberFormat="1" applyFont="1" applyFill="1" applyBorder="1" applyAlignment="1">
      <x:alignment horizontal="left" vertical="center" wrapText="1"/>
    </x:xf>
    <x:xf numFmtId="0" fontId="34" fillId="5" borderId="82" xfId="0" applyNumberFormat="1" applyFont="1" applyFill="1" applyBorder="1" applyAlignment="1">
      <x:alignment horizontal="left" vertical="center" wrapText="1"/>
    </x:xf>
    <x:xf numFmtId="0" fontId="34" fillId="7" borderId="81" xfId="0" applyNumberFormat="1" applyFont="1" applyFill="1" applyBorder="1" applyAlignment="1">
      <x:alignment horizontal="left" vertical="center" wrapText="1"/>
    </x:xf>
    <x:xf numFmtId="0" fontId="34" fillId="7" borderId="82" xfId="0" applyNumberFormat="1" applyFont="1" applyFill="1" applyBorder="1" applyAlignment="1">
      <x:alignment horizontal="left" vertical="center" wrapText="1"/>
    </x:xf>
    <x:xf numFmtId="0" fontId="21" fillId="4" borderId="76" xfId="0" applyNumberFormat="1" applyFont="1" applyFill="1" applyBorder="1" applyAlignment="1">
      <x:alignment vertical="center" wrapText="1"/>
    </x:xf>
    <x:xf numFmtId="0" fontId="34" fillId="7" borderId="79" xfId="0" applyNumberFormat="1" applyFont="1" applyFill="1" applyBorder="1" applyAlignment="1">
      <x:alignment vertical="center" wrapText="1"/>
    </x:xf>
    <x:xf numFmtId="0" fontId="34" fillId="5" borderId="81" xfId="0" applyNumberFormat="1" applyFont="1" applyFill="1" applyBorder="1" applyAlignment="1">
      <x:alignment vertical="center" wrapText="1"/>
    </x:xf>
    <x:xf numFmtId="0" fontId="34" fillId="7" borderId="81" xfId="0" applyNumberFormat="1" applyFont="1" applyFill="1" applyBorder="1" applyAlignment="1">
      <x:alignment vertical="center" wrapText="1"/>
    </x:xf>
    <x:xf numFmtId="0" fontId="0" fillId="0" borderId="64" xfId="0" applyNumberFormat="1" applyFont="1" applyFill="1" applyBorder="1" applyAlignment="1">
      <x:alignment horizontal="left" vertical="center" wrapText="1"/>
    </x:xf>
    <x:xf numFmtId="0" fontId="1" fillId="0" borderId="64" xfId="0" applyNumberFormat="1" applyFont="1" applyFill="1" applyBorder="1" applyAlignment="1">
      <x:alignment wrapText="1"/>
    </x:xf>
    <x:xf numFmtId="0" fontId="37" fillId="5" borderId="64" xfId="0" applyNumberFormat="1" applyFont="1" applyFill="1" applyBorder="1" applyAlignment="1">
      <x:alignment wrapText="1"/>
    </x:xf>
    <x:xf numFmtId="0" fontId="1" fillId="0" borderId="64" xfId="0" applyNumberFormat="1" applyFont="1" applyFill="1" applyBorder="1" applyAlignment="1">
      <x:alignment horizontal="left" vertical="center" wrapText="1"/>
    </x:xf>
    <x:xf numFmtId="0" fontId="19" fillId="4" borderId="64" xfId="0" applyNumberFormat="1" applyFont="1" applyFill="1" applyBorder="1" applyAlignment="1">
      <x:alignment horizontal="left" vertical="center" wrapText="1"/>
    </x:xf>
    <x:xf numFmtId="0" fontId="14" fillId="4" borderId="66" xfId="0" applyNumberFormat="1" applyFont="1" applyFill="1" applyBorder="1" applyAlignment="1">
      <x:alignment horizontal="left" vertical="center" wrapText="1"/>
    </x:xf>
    <x:xf numFmtId="0" fontId="14" fillId="4" borderId="69" xfId="0" applyNumberFormat="1" applyFont="1" applyFill="1" applyBorder="1" applyAlignment="1">
      <x:alignment horizontal="left" vertical="center" wrapText="1"/>
    </x:xf>
    <x:xf numFmtId="0" fontId="20" fillId="5" borderId="64" xfId="0" applyNumberFormat="1" applyFont="1" applyFill="1" applyBorder="1" applyAlignment="1">
      <x:alignment horizontal="left" vertical="center" wrapText="1"/>
    </x:xf>
    <x:xf numFmtId="0" fontId="14" fillId="4" borderId="70" xfId="0" applyNumberFormat="1" applyFont="1" applyFill="1" applyBorder="1" applyAlignment="1">
      <x:alignment horizontal="left" vertical="center" wrapText="1"/>
    </x:xf>
    <x:xf numFmtId="0" fontId="14" fillId="4" borderId="71" xfId="0" applyNumberFormat="1" applyFont="1" applyFill="1" applyBorder="1" applyAlignment="1">
      <x:alignment horizontal="left" vertical="center" wrapText="1"/>
    </x:xf>
    <x:xf numFmtId="0" fontId="2" fillId="0" borderId="75" xfId="0" applyNumberFormat="1" applyFont="1" applyFill="1" applyBorder="1" applyAlignment="1">
      <x:alignment horizontal="left" vertical="center" wrapText="1"/>
    </x:xf>
    <x:xf numFmtId="0" fontId="0" fillId="3" borderId="75" xfId="0" applyNumberFormat="1" applyFont="1" applyFill="1" applyBorder="1" applyAlignment="1">
      <x:alignment wrapText="1"/>
    </x:xf>
    <x:xf numFmtId="0" fontId="3" fillId="0" borderId="75" xfId="0" applyNumberFormat="1" applyFont="1" applyFill="1" applyBorder="1" applyAlignment="1">
      <x:alignment horizontal="left" vertical="center" wrapText="1"/>
    </x:xf>
    <x:xf numFmtId="0" fontId="7" fillId="0" borderId="75" xfId="0" applyNumberFormat="1" applyFont="1" applyFill="1" applyBorder="1" applyAlignment="1">
      <x:alignment horizontal="left" vertical="center" wrapText="1"/>
    </x:xf>
    <x:xf numFmtId="0" fontId="34" fillId="7" borderId="75" xfId="0" applyNumberFormat="1" applyFont="1" applyFill="1" applyBorder="1" applyAlignment="1">
      <x:alignment horizontal="left" vertical="center" wrapText="1"/>
    </x:xf>
    <x:xf numFmtId="0" fontId="35" fillId="0" borderId="75" xfId="0" applyNumberFormat="1" applyFont="1" applyFill="1" applyBorder="1" applyAlignment="1">
      <x:alignment horizontal="left" vertical="center" wrapText="1"/>
    </x:xf>
    <x:xf numFmtId="0" fontId="34" fillId="5" borderId="75" xfId="0" applyNumberFormat="1" applyFont="1" applyFill="1" applyBorder="1" applyAlignment="1">
      <x:alignment horizontal="left" vertical="center" wrapText="1"/>
    </x:xf>
    <x:xf numFmtId="0" fontId="38" fillId="5" borderId="64" xfId="0" applyNumberFormat="1" applyFont="1" applyFill="1" applyBorder="1" applyAlignment="1">
      <x:alignment wrapText="1"/>
    </x:xf>
    <x:xf numFmtId="0" fontId="40" fillId="5" borderId="64" xfId="0" applyNumberFormat="1" applyFont="1" applyFill="1" applyBorder="1" applyAlignment="1">
      <x:alignment wrapText="1"/>
    </x:xf>
    <x:xf numFmtId="0" fontId="38" fillId="5" borderId="64" xfId="0" applyNumberFormat="1" applyFont="1" applyFill="1" applyBorder="1" applyAlignment="1">
      <x:alignment vertical="center" wrapText="1"/>
    </x:xf>
    <x:xf numFmtId="0" fontId="16" fillId="5" borderId="64" xfId="0" applyNumberFormat="1" applyFont="1" applyFill="1" applyBorder="1" applyAlignment="1">
      <x:alignment vertical="center" wrapText="1"/>
    </x:xf>
    <x:xf numFmtId="0" fontId="42" fillId="5" borderId="64" xfId="0" applyNumberFormat="1" applyFont="1" applyFill="1" applyBorder="1" applyAlignment="1">
      <x:alignment horizontal="center" vertical="center" wrapText="1"/>
    </x:xf>
    <x:xf numFmtId="0" fontId="45" fillId="5" borderId="64" xfId="0" applyNumberFormat="1" applyFont="1" applyFill="1" applyBorder="1" applyAlignment="1">
      <x:alignment horizontal="center" vertical="center" wrapText="1"/>
    </x:xf>
    <x:xf numFmtId="0" fontId="46" fillId="5" borderId="64" xfId="0" applyNumberFormat="1" applyFont="1" applyFill="1" applyBorder="1" applyAlignment="1">
      <x:alignment horizontal="center" vertical="center" wrapText="1"/>
    </x:xf>
    <x:xf numFmtId="0" fontId="12" fillId="4" borderId="64" xfId="0" applyNumberFormat="1" applyFont="1" applyFill="1" applyBorder="1" applyAlignment="1">
      <x:alignment horizontal="center" vertical="center" wrapText="1"/>
    </x:xf>
    <x:xf numFmtId="0" fontId="43" fillId="5" borderId="64" xfId="0" applyNumberFormat="1" applyFont="1" applyFill="1" applyBorder="1" applyAlignment="1">
      <x:alignment horizontal="center" vertical="center" wrapText="1"/>
    </x:xf>
    <x:xf numFmtId="0" fontId="49" fillId="5" borderId="64" xfId="0" applyNumberFormat="1" applyFont="1" applyFill="1" applyBorder="1" applyAlignment="1">
      <x:alignment horizontal="center" vertical="center" wrapText="1"/>
    </x:xf>
    <x:xf numFmtId="0" fontId="50" fillId="5" borderId="64" xfId="0" applyNumberFormat="1" applyFont="1" applyFill="1" applyBorder="1" applyAlignment="1">
      <x:alignment horizontal="center" vertical="center" wrapText="1"/>
    </x:xf>
    <x:xf numFmtId="0" fontId="51" fillId="5" borderId="64" xfId="0" applyNumberFormat="1" applyFont="1" applyFill="1" applyBorder="1" applyAlignment="1">
      <x:alignment horizontal="center" vertical="center" wrapText="1"/>
    </x:xf>
    <x:xf numFmtId="0" fontId="47" fillId="5" borderId="64" xfId="0" applyNumberFormat="1" applyFont="1" applyFill="1" applyBorder="1" applyAlignment="1">
      <x:alignment horizontal="center" vertical="center" wrapText="1"/>
    </x:xf>
    <x:xf numFmtId="0" fontId="15" fillId="5" borderId="79" xfId="0" applyNumberFormat="1" applyFont="1" applyFill="1" applyBorder="1" applyAlignment="1">
      <x:alignment horizontal="left" vertical="center" wrapText="1"/>
    </x:xf>
    <x:xf numFmtId="0" fontId="15" fillId="5" borderId="80" xfId="0" applyNumberFormat="1" applyFont="1" applyFill="1" applyBorder="1" applyAlignment="1">
      <x:alignment horizontal="left" vertical="center" wrapText="1"/>
    </x:xf>
    <x:xf numFmtId="0" fontId="15" fillId="5" borderId="81" xfId="0" applyNumberFormat="1" applyFont="1" applyFill="1" applyBorder="1" applyAlignment="1">
      <x:alignment horizontal="left" vertical="center" wrapText="1"/>
    </x:xf>
    <x:xf numFmtId="0" fontId="15" fillId="5" borderId="82" xfId="0" applyNumberFormat="1" applyFont="1" applyFill="1" applyBorder="1" applyAlignment="1">
      <x:alignment horizontal="left" vertical="center" wrapText="1"/>
    </x:xf>
    <x:xf numFmtId="0" fontId="15" fillId="5" borderId="83" xfId="0" applyNumberFormat="1" applyFont="1" applyFill="1" applyBorder="1" applyAlignment="1">
      <x:alignment horizontal="left" vertical="center" wrapText="1"/>
    </x:xf>
    <x:xf numFmtId="0" fontId="15" fillId="5" borderId="84" xfId="0" applyNumberFormat="1" applyFont="1" applyFill="1" applyBorder="1" applyAlignment="1">
      <x:alignment horizontal="left" vertical="center" wrapText="1"/>
    </x:xf>
    <x:xf numFmtId="0" fontId="12" fillId="4" borderId="76" xfId="0" applyNumberFormat="1" applyFont="1" applyFill="1" applyBorder="1" applyAlignment="1">
      <x:alignment horizontal="center" vertical="center" wrapText="1"/>
    </x:xf>
    <x:xf numFmtId="0" fontId="12" fillId="4" borderId="85" xfId="0" applyNumberFormat="1" applyFont="1" applyFill="1" applyBorder="1" applyAlignment="1">
      <x:alignment horizontal="center" vertical="center" wrapText="1"/>
    </x:xf>
    <x:xf numFmtId="0" fontId="15" fillId="5" borderId="86" xfId="0" applyNumberFormat="1" applyFont="1" applyFill="1" applyBorder="1" applyAlignment="1">
      <x:alignment horizontal="left" vertical="center" wrapText="1"/>
    </x:xf>
    <x:xf numFmtId="0" fontId="15" fillId="5" borderId="87" xfId="0" applyNumberFormat="1" applyFont="1" applyFill="1" applyBorder="1" applyAlignment="1">
      <x:alignment horizontal="left" vertical="center" wrapText="1"/>
    </x:xf>
    <x:xf numFmtId="0" fontId="15" fillId="5" borderId="64" xfId="0" applyNumberFormat="1" applyFont="1" applyFill="1" applyBorder="1" applyAlignment="1">
      <x:alignment horizontal="left" vertical="center" wrapText="1"/>
    </x:xf>
    <x:xf numFmtId="0" fontId="42" fillId="5" borderId="85" xfId="0" applyNumberFormat="1" applyFont="1" applyFill="1" applyBorder="1" applyAlignment="1">
      <x:alignment vertical="center" wrapText="1"/>
    </x:xf>
    <x:xf numFmtId="0" fontId="45" fillId="5" borderId="85" xfId="0" applyNumberFormat="1" applyFont="1" applyFill="1" applyBorder="1" applyAlignment="1">
      <x:alignment vertical="center" wrapText="1"/>
    </x:xf>
    <x:xf numFmtId="0" fontId="41" fillId="2" borderId="64" xfId="0" applyNumberFormat="1" applyFont="1" applyFill="1" applyBorder="1" applyAlignment="1">
      <x:alignment horizontal="center" vertical="center" wrapText="1"/>
    </x:xf>
    <x:xf numFmtId="0" fontId="35" fillId="0" borderId="64" xfId="0" applyNumberFormat="1" applyFont="1" applyFill="1" applyBorder="1"/>
    <x:xf numFmtId="0" fontId="5" fillId="2" borderId="77" xfId="0" applyNumberFormat="1" applyFont="1" applyFill="1" applyBorder="1" applyAlignment="1">
      <x:alignment horizontal="center" vertical="center" wrapText="1"/>
    </x:xf>
    <x:xf numFmtId="0" fontId="5" fillId="2" borderId="78" xfId="0" applyNumberFormat="1" applyFont="1" applyFill="1" applyBorder="1" applyAlignment="1">
      <x:alignment horizontal="center" vertical="center" wrapText="1"/>
    </x:xf>
    <x:xf numFmtId="0" fontId="12" fillId="4" borderId="64" xfId="0" applyNumberFormat="1" applyFont="1" applyFill="1" applyBorder="1" applyAlignment="1">
      <x:alignment horizontal="left" vertical="center" wrapText="1"/>
    </x:xf>
    <x:xf numFmtId="0" fontId="14" fillId="4" borderId="66" xfId="0" applyNumberFormat="1" applyFont="1" applyFill="1" applyBorder="1" applyAlignment="1">
      <x:alignment wrapText="1"/>
    </x:xf>
    <x:xf numFmtId="0" fontId="14" fillId="4" borderId="69" xfId="0" applyNumberFormat="1" applyFont="1" applyFill="1" applyBorder="1" applyAlignment="1">
      <x:alignment wrapText="1"/>
    </x:xf>
    <x:xf numFmtId="0" fontId="14" fillId="4" borderId="70" xfId="0" applyNumberFormat="1" applyFont="1" applyFill="1" applyBorder="1" applyAlignment="1">
      <x:alignment wrapText="1"/>
    </x:xf>
    <x:xf numFmtId="0" fontId="14" fillId="4" borderId="71" xfId="0" applyNumberFormat="1" applyFont="1" applyFill="1" applyBorder="1" applyAlignment="1">
      <x:alignment wrapText="1"/>
    </x:xf>
    <x:xf numFmtId="0" fontId="13" fillId="4" borderId="64" xfId="0" applyNumberFormat="1" applyFont="1" applyFill="1" applyBorder="1" applyAlignment="1">
      <x:alignment horizontal="left" vertical="center" wrapText="1"/>
    </x:xf>
    <x:xf numFmtId="0" fontId="0" fillId="0" borderId="85" xfId="0" applyNumberFormat="1" applyFont="1" applyFill="1" applyBorder="1" applyAlignment="1">
      <x:alignment wrapText="1"/>
    </x:xf>
    <x:xf numFmtId="0" fontId="0" fillId="0" borderId="76" xfId="0" applyNumberFormat="1" applyFont="1" applyFill="1" applyBorder="1" applyAlignment="1">
      <x:alignment wrapText="1"/>
    </x:xf>
    <x:xf numFmtId="0" fontId="12" fillId="4" borderId="85" xfId="0" applyNumberFormat="1" applyFont="1" applyFill="1" applyBorder="1" applyAlignment="1">
      <x:alignment horizontal="left" vertical="center" wrapText="1"/>
    </x:xf>
    <x:xf numFmtId="0" fontId="41" fillId="2" borderId="78" xfId="0" applyNumberFormat="1" applyFont="1" applyFill="1" applyBorder="1" applyAlignment="1">
      <x:alignment horizontal="center" vertical="center" wrapText="1"/>
    </x:xf>
    <x:xf numFmtId="0" fontId="12" fillId="4" borderId="78" xfId="0" applyNumberFormat="1" applyFont="1" applyFill="1" applyBorder="1" applyAlignment="1">
      <x:alignment horizontal="left" vertical="center" wrapText="1"/>
    </x:xf>
    <x:xf numFmtId="0" fontId="0" fillId="0" borderId="88" xfId="0" applyNumberFormat="1" applyFont="1" applyFill="1" applyBorder="1" applyAlignment="1">
      <x:alignment wrapText="1"/>
    </x:xf>
    <x:xf numFmtId="0" fontId="0" fillId="0" borderId="78" xfId="0" applyNumberFormat="1" applyFont="1" applyFill="1" applyBorder="1" applyAlignment="1">
      <x:alignment wrapText="1"/>
    </x:xf>
    <x:xf numFmtId="0" fontId="39" fillId="4" borderId="64" xfId="0" applyNumberFormat="1" applyFont="1" applyFill="1" applyBorder="1" applyAlignment="1">
      <x:alignment wrapText="1"/>
    </x:xf>
    <x:xf numFmtId="0" fontId="46" fillId="5" borderId="85" xfId="0" applyNumberFormat="1" applyFont="1" applyFill="1" applyBorder="1" applyAlignment="1">
      <x:alignment vertical="center" wrapText="1"/>
    </x:xf>
    <x:xf numFmtId="0" fontId="41" fillId="2" borderId="85" xfId="0" applyNumberFormat="1" applyFont="1" applyFill="1" applyBorder="1" applyAlignment="1">
      <x:alignment vertical="center" wrapText="1"/>
    </x:xf>
    <x:xf numFmtId="0" fontId="47" fillId="5" borderId="85" xfId="0" applyNumberFormat="1" applyFont="1" applyFill="1" applyBorder="1" applyAlignment="1">
      <x:alignment vertical="center" wrapText="1"/>
    </x:xf>
    <x:xf numFmtId="0" fontId="35" fillId="0" borderId="85" xfId="0" applyNumberFormat="1" applyFont="1" applyFill="1" applyBorder="1" applyAlignment="1">
      <x:alignment wrapText="1"/>
    </x:xf>
    <x:xf numFmtId="0" fontId="0" fillId="0" borderId="89" xfId="0" applyNumberFormat="1" applyFont="1" applyFill="1" applyBorder="1" applyAlignment="1">
      <x:alignment wrapText="1"/>
    </x:xf>
    <x:xf numFmtId="0" fontId="21" fillId="4" borderId="90" xfId="0" applyNumberFormat="1" applyFont="1" applyFill="1" applyBorder="1" applyAlignment="1">
      <x:alignment horizontal="left" vertical="center" wrapText="1"/>
    </x:xf>
    <x:xf numFmtId="0" fontId="21" fillId="4" borderId="85" xfId="0" applyNumberFormat="1" applyFont="1" applyFill="1" applyBorder="1" applyAlignment="1">
      <x:alignment horizontal="left" vertical="center" wrapText="1"/>
    </x:xf>
    <x:xf numFmtId="0" fontId="28" fillId="5" borderId="91" xfId="0" applyNumberFormat="1" applyFont="1" applyFill="1" applyBorder="1" applyAlignment="1">
      <x:alignment horizontal="center" vertical="center" wrapText="1"/>
    </x:xf>
    <x:xf numFmtId="0" fontId="28" fillId="5" borderId="92" xfId="0" applyNumberFormat="1" applyFont="1" applyFill="1" applyBorder="1" applyAlignment="1">
      <x:alignment horizontal="center" vertical="center" wrapText="1"/>
    </x:xf>
    <x:xf numFmtId="0" fontId="28" fillId="5" borderId="93" xfId="0" applyNumberFormat="1" applyFont="1" applyFill="1" applyBorder="1" applyAlignment="1">
      <x:alignment horizontal="center" vertical="center" wrapText="1"/>
    </x:xf>
    <x:xf numFmtId="0" fontId="28" fillId="5" borderId="78" xfId="0" applyNumberFormat="1" applyFont="1" applyFill="1" applyBorder="1" applyAlignment="1">
      <x:alignment horizontal="center" vertical="center" wrapText="1"/>
    </x:xf>
    <x:xf numFmtId="0" fontId="34" fillId="7" borderId="94" xfId="0" applyNumberFormat="1" applyFont="1" applyFill="1" applyBorder="1" applyAlignment="1">
      <x:alignment horizontal="left" vertical="center" wrapText="1"/>
    </x:xf>
    <x:xf numFmtId="0" fontId="34" fillId="7" borderId="77" xfId="0" applyNumberFormat="1" applyFont="1" applyFill="1" applyBorder="1" applyAlignment="1">
      <x:alignment horizontal="left" vertical="center" wrapText="1"/>
    </x:xf>
    <x:xf numFmtId="0" fontId="23" fillId="5" borderId="64" xfId="0" applyNumberFormat="1" applyFont="1" applyFill="1" applyBorder="1" applyAlignment="1">
      <x:alignment horizontal="left" vertical="center" wrapText="1"/>
    </x:xf>
    <x:xf numFmtId="0" fontId="34" fillId="7" borderId="91" xfId="0" applyNumberFormat="1" applyFont="1" applyFill="1" applyBorder="1" applyAlignment="1">
      <x:alignment horizontal="left" vertical="center" wrapText="1"/>
    </x:xf>
    <x:xf numFmtId="0" fontId="34" fillId="7" borderId="64" xfId="0" applyNumberFormat="1" applyFont="1" applyFill="1" applyBorder="1" applyAlignment="1">
      <x:alignment horizontal="left" vertical="center" wrapText="1"/>
    </x:xf>
    <x:xf numFmtId="0" fontId="34" fillId="7" borderId="92" xfId="0" applyNumberFormat="1" applyFont="1" applyFill="1" applyBorder="1" applyAlignment="1">
      <x:alignment horizontal="left" vertical="center" wrapText="1"/>
    </x:xf>
    <x:xf numFmtId="0" fontId="34" fillId="7" borderId="93" xfId="0" applyNumberFormat="1" applyFont="1" applyFill="1" applyBorder="1" applyAlignment="1">
      <x:alignment horizontal="left" vertical="center" wrapText="1"/>
    </x:xf>
    <x:xf numFmtId="0" fontId="34" fillId="7" borderId="88" xfId="0" applyNumberFormat="1" applyFont="1" applyFill="1" applyBorder="1" applyAlignment="1">
      <x:alignment horizontal="left" vertical="center" wrapText="1"/>
    </x:xf>
    <x:xf numFmtId="0" fontId="34" fillId="7" borderId="78" xfId="0" applyNumberFormat="1" applyFont="1" applyFill="1" applyBorder="1" applyAlignment="1">
      <x:alignment horizontal="left" vertical="center" wrapText="1"/>
    </x:xf>
    <x:xf numFmtId="0" fontId="56" fillId="0" borderId="64" xfId="0" applyNumberFormat="1" applyFont="1" applyFill="1" applyBorder="1" applyAlignment="1">
      <x:alignment wrapText="1"/>
    </x:xf>
    <x:xf numFmtId="0" fontId="56" fillId="0" borderId="64" xfId="0" applyNumberFormat="1" applyFont="1" applyFill="1" applyBorder="1"/>
    <x:xf numFmtId="0" fontId="57" fillId="0" borderId="64" xfId="0" applyNumberFormat="1" applyFont="1" applyFill="1" applyBorder="1"/>
    <x:xf numFmtId="0" fontId="55" fillId="2" borderId="95" xfId="0" applyNumberFormat="1" applyFont="1" applyFill="1" applyBorder="1" applyAlignment="1">
      <x:alignment horizontal="center" vertical="center" wrapText="1"/>
    </x:xf>
    <x:xf numFmtId="0" fontId="15" fillId="5" borderId="95" xfId="0" applyNumberFormat="1" applyFont="1" applyFill="1" applyBorder="1" applyAlignment="1">
      <x:alignment wrapText="1"/>
    </x:xf>
    <x:xf numFmtId="0" fontId="16" fillId="5" borderId="95" xfId="0" applyNumberFormat="1" applyFont="1" applyFill="1" applyBorder="1" applyAlignment="1">
      <x:alignment wrapText="1"/>
    </x:xf>
    <x:xf numFmtId="0" fontId="12" fillId="4" borderId="95" xfId="0" applyNumberFormat="1" applyFont="1" applyFill="1" applyBorder="1" applyAlignment="1">
      <x:alignment wrapText="1"/>
    </x:xf>
    <x:xf numFmtId="0" fontId="56" fillId="0" borderId="95" xfId="0" applyNumberFormat="1" applyFont="1" applyFill="1" applyBorder="1" applyAlignment="1">
      <x:alignment wrapText="1"/>
    </x:xf>
    <x:xf numFmtId="0" fontId="16" fillId="5" borderId="95" xfId="0" applyNumberFormat="1" applyFont="1" applyFill="1" applyBorder="1" applyAlignment="1">
      <x:alignment vertical="center" wrapText="1"/>
    </x:xf>
    <x:xf numFmtId="0" fontId="15" fillId="5" borderId="95" xfId="0" applyNumberFormat="1" applyFont="1" applyFill="1" applyBorder="1" applyAlignment="1">
      <x:alignment vertical="center" wrapText="1"/>
    </x:xf>
    <x:xf numFmtId="0" fontId="13" fillId="4" borderId="95" xfId="0" applyNumberFormat="1" applyFont="1" applyFill="1" applyBorder="1" applyAlignment="1">
      <x:alignment horizontal="center" wrapText="1"/>
    </x:xf>
    <x:xf numFmtId="0" fontId="56" fillId="0" borderId="95" xfId="0" applyNumberFormat="1" applyFont="1" applyFill="1" applyBorder="1"/>
    <x:xf numFmtId="0" fontId="57" fillId="2" borderId="95" xfId="0" applyNumberFormat="1" applyFont="1" applyFill="1" applyBorder="1" applyAlignment="1">
      <x:alignment wrapText="1"/>
    </x:xf>
    <x:xf numFmtId="0" fontId="0" fillId="0" borderId="64" xfId="0" applyNumberFormat="1" applyFont="1" applyFill="1" applyBorder="1" applyAlignment="1">
      <x:alignment vertical="center" wrapText="1"/>
    </x:xf>
    <x:xf numFmtId="0" fontId="0" fillId="15" borderId="64" xfId="0" applyNumberFormat="1" applyFont="1" applyFill="1" applyBorder="1" applyAlignment="1">
      <x:alignment wrapText="1"/>
    </x:xf>
    <x:xf numFmtId="0" fontId="0" fillId="16" borderId="64" xfId="0" applyNumberFormat="1" applyFont="1" applyFill="1" applyBorder="1" applyAlignment="1">
      <x:alignment wrapText="1"/>
    </x:xf>
    <x:xf numFmtId="0" fontId="61" fillId="2" borderId="64" xfId="0" applyNumberFormat="1" applyFont="1" applyFill="1" applyBorder="1"/>
    <x:xf numFmtId="0" fontId="1" fillId="2" borderId="64" xfId="0" applyNumberFormat="1" applyFont="1" applyFill="1" applyBorder="1" applyAlignment="1">
      <x:alignment horizontal="center" wrapText="1"/>
    </x:xf>
    <x:xf numFmtId="0" fontId="63" fillId="5" borderId="64" xfId="0" applyNumberFormat="1" applyFont="1" applyFill="1" applyBorder="1" applyAlignment="1">
      <x:alignment vertical="center" wrapText="1"/>
    </x:xf>
    <x:xf numFmtId="0" fontId="63" fillId="19" borderId="64" xfId="0" applyNumberFormat="1" applyFont="1" applyFill="1" applyBorder="1" applyAlignment="1">
      <x:alignment vertical="center" wrapText="1"/>
    </x:xf>
    <x:xf numFmtId="0" fontId="63" fillId="20" borderId="64" xfId="0" applyNumberFormat="1" applyFont="1" applyFill="1" applyBorder="1" applyAlignment="1">
      <x:alignment vertical="center" wrapText="1"/>
    </x:xf>
    <x:xf numFmtId="0" fontId="61" fillId="2" borderId="64" xfId="0" applyNumberFormat="1" applyFont="1" applyFill="1" applyBorder="1" applyAlignment="1">
      <x:alignment vertical="center"/>
    </x:xf>
    <x:xf numFmtId="0" fontId="65" fillId="2" borderId="64" xfId="0" applyNumberFormat="1" applyFont="1" applyFill="1" applyBorder="1" applyAlignment="1">
      <x:alignment horizontal="center" vertical="center" wrapText="1"/>
    </x:xf>
    <x:xf numFmtId="0" fontId="68" fillId="5" borderId="64" xfId="0" applyNumberFormat="1" applyFont="1" applyFill="1" applyBorder="1" applyAlignment="1">
      <x:alignment vertical="center" wrapText="1"/>
    </x:xf>
    <x:xf numFmtId="0" fontId="68" fillId="22" borderId="64" xfId="0" applyNumberFormat="1" applyFont="1" applyFill="1" applyBorder="1" applyAlignment="1">
      <x:alignment vertical="center" wrapText="1"/>
    </x:xf>
    <x:xf numFmtId="0" fontId="68" fillId="23" borderId="64" xfId="0" applyNumberFormat="1" applyFont="1" applyFill="1" applyBorder="1" applyAlignment="1">
      <x:alignment vertical="center" wrapText="1"/>
    </x:xf>
    <x:xf numFmtId="0" fontId="61" fillId="2" borderId="64" xfId="0" applyNumberFormat="1" applyFont="1" applyFill="1" applyBorder="1" applyAlignment="1">
      <x:alignment horizontal="center" vertical="center"/>
    </x:xf>
    <x:xf numFmtId="0" fontId="69" fillId="2" borderId="64" xfId="0" applyNumberFormat="1" applyFont="1" applyFill="1" applyBorder="1" applyAlignment="1">
      <x:alignment horizontal="center" vertical="center" wrapText="1"/>
    </x:xf>
    <x:xf numFmtId="0" fontId="67" fillId="24" borderId="64" xfId="0" applyNumberFormat="1" applyFont="1" applyFill="1" applyBorder="1" applyAlignment="1">
      <x:alignment horizontal="left" vertical="center" wrapText="1"/>
    </x:xf>
    <x:xf numFmtId="0" fontId="0" fillId="26" borderId="64" xfId="0" applyNumberFormat="1" applyFont="1" applyFill="1" applyBorder="1" applyAlignment="1">
      <x:alignment vertical="center" wrapText="1"/>
    </x:xf>
    <x:xf numFmtId="0" fontId="61" fillId="2" borderId="64" xfId="0" applyNumberFormat="1" applyFont="1" applyFill="1" applyBorder="1" applyAlignment="1">
      <x:alignment horizontal="left" vertical="center" wrapText="1"/>
    </x:xf>
    <x:xf numFmtId="0" fontId="71" fillId="2" borderId="64" xfId="0" applyNumberFormat="1" applyFont="1" applyFill="1" applyBorder="1" applyAlignment="1">
      <x:alignment horizontal="center" vertical="center" wrapText="1"/>
    </x:xf>
    <x:xf numFmtId="0" fontId="0" fillId="27" borderId="64" xfId="0" applyNumberFormat="1" applyFont="1" applyFill="1" applyBorder="1" applyAlignment="1">
      <x:alignment vertical="center" wrapText="1"/>
    </x:xf>
    <x:xf numFmtId="0" fontId="71" fillId="2" borderId="95" xfId="0" applyNumberFormat="1" applyFont="1" applyFill="1" applyBorder="1" applyAlignment="1">
      <x:alignment horizontal="center" vertical="center" wrapText="1"/>
    </x:xf>
    <x:xf numFmtId="0" fontId="0" fillId="0" borderId="95" xfId="0" applyNumberFormat="1" applyFont="1" applyFill="1" applyBorder="1" applyAlignment="1">
      <x:alignment vertical="center" wrapText="1"/>
    </x:xf>
    <x:xf numFmtId="0" fontId="0" fillId="26" borderId="95" xfId="0" applyNumberFormat="1" applyFont="1" applyFill="1" applyBorder="1" applyAlignment="1">
      <x:alignment vertical="center" wrapText="1"/>
    </x:xf>
    <x:xf numFmtId="0" fontId="0" fillId="27" borderId="95" xfId="0" applyNumberFormat="1" applyFont="1" applyFill="1" applyBorder="1" applyAlignment="1">
      <x:alignment vertical="center" wrapText="1"/>
    </x:xf>
    <x:xf numFmtId="0" fontId="61" fillId="2" borderId="64" xfId="0" applyNumberFormat="1" applyFont="1" applyFill="1" applyBorder="1" applyAlignment="1">
      <x:alignment horizontal="center" vertical="center" wrapText="1"/>
    </x:xf>
    <x:xf numFmtId="0" fontId="73" fillId="30" borderId="90" xfId="0" applyNumberFormat="1" applyFont="1" applyFill="1" applyBorder="1" applyAlignment="1">
      <x:alignment horizontal="left" vertical="center" wrapText="1"/>
    </x:xf>
    <x:xf numFmtId="0" fontId="73" fillId="30" borderId="85" xfId="0" applyNumberFormat="1" applyFont="1" applyFill="1" applyBorder="1" applyAlignment="1">
      <x:alignment horizontal="left" vertical="center" wrapText="1"/>
    </x:xf>
    <x:xf numFmtId="0" fontId="73" fillId="30" borderId="76" xfId="0" applyNumberFormat="1" applyFont="1" applyFill="1" applyBorder="1" applyAlignment="1">
      <x:alignment horizontal="left" vertical="center" wrapText="1"/>
    </x:xf>
    <x:xf numFmtId="0" fontId="74" fillId="32" borderId="91" xfId="0" applyNumberFormat="1" applyFont="1" applyFill="1" applyBorder="1" applyAlignment="1">
      <x:alignment horizontal="center" vertical="center" wrapText="1"/>
    </x:xf>
    <x:xf numFmtId="0" fontId="74" fillId="32" borderId="90" xfId="0" applyNumberFormat="1" applyFont="1" applyFill="1" applyBorder="1" applyAlignment="1">
      <x:alignment horizontal="left" vertical="center" wrapText="1"/>
    </x:xf>
    <x:xf numFmtId="0" fontId="74" fillId="32" borderId="93" xfId="0" applyNumberFormat="1" applyFont="1" applyFill="1" applyBorder="1" applyAlignment="1">
      <x:alignment horizontal="center" vertical="center" wrapText="1"/>
    </x:xf>
    <x:xf numFmtId="0" fontId="76" fillId="32" borderId="64" xfId="0" applyNumberFormat="1" applyFont="1" applyFill="1" applyBorder="1" applyAlignment="1">
      <x:alignment vertical="center" wrapText="1"/>
    </x:xf>
    <x:xf numFmtId="0" fontId="16" fillId="33" borderId="95" xfId="0" applyNumberFormat="1" applyFont="1" applyFill="1" applyBorder="1" applyAlignment="1">
      <x:alignment wrapText="1"/>
    </x:xf>
    <x:xf numFmtId="0" fontId="15" fillId="33" borderId="95" xfId="0" applyNumberFormat="1" applyFont="1" applyFill="1" applyBorder="1" applyAlignment="1">
      <x:alignment wrapText="1"/>
    </x:xf>
    <x:xf numFmtId="0" fontId="0" fillId="33" borderId="95" xfId="0" applyNumberFormat="1" applyFont="1" applyFill="1" applyBorder="1" applyAlignment="1">
      <x:alignment vertical="center" wrapText="1"/>
    </x:xf>
    <x:xf numFmtId="0" fontId="0" fillId="33" borderId="64" xfId="0" applyNumberFormat="1" applyFont="1" applyFill="1" applyBorder="1" applyAlignment="1">
      <x:alignment vertical="center" wrapText="1"/>
    </x:xf>
    <x:xf numFmtId="0" fontId="20" fillId="33" borderId="64" xfId="0" applyNumberFormat="1" applyFont="1" applyFill="1" applyBorder="1" applyAlignment="1">
      <x:alignment wrapText="1"/>
    </x:xf>
    <x:xf numFmtId="0" fontId="15" fillId="33" borderId="84" xfId="0" applyNumberFormat="1" applyFont="1" applyFill="1" applyBorder="1" applyAlignment="1">
      <x:alignment horizontal="left" vertical="center" wrapText="1"/>
    </x:xf>
    <x:xf numFmtId="0" fontId="16" fillId="33" borderId="64" xfId="0" applyNumberFormat="1" applyFont="1" applyFill="1" applyBorder="1" applyAlignment="1">
      <x:alignment vertical="center" wrapText="1"/>
    </x:xf>
    <x:xf numFmtId="0" fontId="34" fillId="33" borderId="82" xfId="0" applyNumberFormat="1" applyFont="1" applyFill="1" applyBorder="1" applyAlignment="1">
      <x:alignment horizontal="left" vertical="center" wrapText="1"/>
    </x:xf>
    <x:xf numFmtId="0" fontId="38" fillId="33" borderId="64" xfId="0" applyNumberFormat="1" applyFont="1" applyFill="1" applyBorder="1" applyAlignment="1">
      <x:alignment vertical="center" wrapText="1"/>
    </x:xf>
    <x:xf numFmtId="0" fontId="2" fillId="0" borderId="65" xfId="0" applyNumberFormat="1" applyFont="1" applyFill="1" applyBorder="1" applyAlignment="1">
      <x:alignment horizontal="left" vertical="center"/>
    </x:xf>
    <x:xf numFmtId="0" fontId="3" fillId="0" borderId="65" xfId="0" applyNumberFormat="1" applyFont="1" applyFill="1" applyBorder="1" applyAlignment="1">
      <x:alignment horizontal="left" vertical="center"/>
    </x:xf>
    <x:xf numFmtId="0" fontId="0" fillId="3" borderId="68" xfId="0" applyNumberFormat="1" applyFont="1" applyFill="1" applyBorder="1"/>
    <x:xf numFmtId="0" fontId="0" fillId="3" borderId="67" xfId="0" applyNumberFormat="1" applyFont="1" applyFill="1" applyBorder="1"/>
    <x:xf numFmtId="0" fontId="6" fillId="2" borderId="66" xfId="0" applyNumberFormat="1" applyFont="1" applyFill="1" applyBorder="1" applyAlignment="1">
      <x:alignment horizontal="center" vertical="center" wrapText="1"/>
    </x:xf>
    <x:xf numFmtId="0" fontId="7" fillId="0" borderId="64" xfId="0" applyNumberFormat="1" applyFont="1" applyFill="1" applyBorder="1" applyAlignment="1">
      <x:alignment vertical="center" wrapText="1"/>
    </x:xf>
    <x:xf numFmtId="0" fontId="7" fillId="0" borderId="65" xfId="0" applyNumberFormat="1" applyFont="1" applyFill="1" applyBorder="1" applyAlignment="1">
      <x:alignment horizontal="left" vertical="center"/>
    </x:xf>
    <x:xf numFmtId="0" fontId="3" fillId="0" borderId="96" xfId="0" applyNumberFormat="1" applyFont="1" applyFill="1" applyBorder="1" applyAlignment="1">
      <x:alignment horizontal="left" vertical="center" wrapText="1"/>
    </x:xf>
    <x:xf numFmtId="0" fontId="7" fillId="0" borderId="96" xfId="0" applyNumberFormat="1" applyFont="1" applyFill="1" applyBorder="1" applyAlignment="1">
      <x:alignment horizontal="left" vertical="center" wrapText="1"/>
    </x:xf>
    <x:xf numFmtId="0" fontId="2" fillId="0" borderId="97" xfId="0" applyNumberFormat="1" applyFont="1" applyFill="1" applyBorder="1" applyAlignment="1">
      <x:alignment horizontal="left" vertical="center" wrapText="1"/>
    </x:xf>
    <x:xf numFmtId="0" fontId="7" fillId="0" borderId="72" xfId="0" applyNumberFormat="1" applyFont="1" applyFill="1" applyBorder="1" applyAlignment="1">
      <x:alignment horizontal="left" vertical="center" wrapText="1"/>
    </x:xf>
    <x:xf numFmtId="0" fontId="3" fillId="0" borderId="98" xfId="0" applyNumberFormat="1" applyFont="1" applyFill="1" applyBorder="1" applyAlignment="1">
      <x:alignment horizontal="left" vertical="center" wrapText="1"/>
    </x:xf>
    <x:xf numFmtId="0" fontId="3" fillId="0" borderId="73" xfId="0" applyNumberFormat="1" applyFont="1" applyFill="1" applyBorder="1" applyAlignment="1">
      <x:alignment horizontal="left" vertical="center" wrapText="1"/>
    </x:xf>
    <x:xf numFmtId="0" fontId="7" fillId="0" borderId="64" xfId="0" applyNumberFormat="1" applyFont="1" applyFill="1" applyBorder="1" applyAlignment="1">
      <x:alignment vertical="top" wrapText="1"/>
    </x:xf>
    <x:xf numFmtId="0" fontId="3" fillId="0" borderId="99" xfId="0" applyNumberFormat="1" applyFont="1" applyFill="1" applyBorder="1" applyAlignment="1">
      <x:alignment horizontal="left" vertical="center" wrapText="1"/>
    </x:xf>
    <x:xf numFmtId="0" fontId="3" fillId="0" borderId="100" xfId="0" applyNumberFormat="1" applyFont="1" applyFill="1" applyBorder="1" applyAlignment="1">
      <x:alignment horizontal="left" vertical="center" wrapText="1"/>
    </x:xf>
    <x:xf numFmtId="0" fontId="96" fillId="4" borderId="64" xfId="0" applyNumberFormat="1" applyFont="1" applyFill="1" applyBorder="1" applyAlignment="1">
      <x:alignment horizontal="center" vertical="center"/>
    </x:xf>
    <x:xf numFmtId="0" fontId="12" fillId="4" borderId="66" xfId="0" applyNumberFormat="1" applyFont="1" applyFill="1" applyBorder="1" applyAlignment="1">
      <x:alignment horizontal="center" vertical="center" wrapText="1"/>
    </x:xf>
    <x:xf numFmtId="0" fontId="42" fillId="5" borderId="66" xfId="0" applyNumberFormat="1" applyFont="1" applyFill="1" applyBorder="1" applyAlignment="1">
      <x:alignment horizontal="center" vertical="center" wrapText="1"/>
    </x:xf>
    <x:xf numFmtId="0" fontId="42" fillId="5" borderId="65" xfId="0" applyNumberFormat="1" applyFont="1" applyFill="1" applyBorder="1" applyAlignment="1">
      <x:alignment horizontal="left" vertical="center" wrapText="1"/>
    </x:xf>
    <x:xf numFmtId="0" fontId="38" fillId="5" borderId="65" xfId="0" applyNumberFormat="1" applyFont="1" applyFill="1" applyBorder="1" applyAlignment="1">
      <x:alignment horizontal="left" vertical="center" wrapText="1"/>
    </x:xf>
    <x:xf numFmtId="0" fontId="16" fillId="5" borderId="68" xfId="0" applyNumberFormat="1" applyFont="1" applyFill="1" applyBorder="1" applyAlignment="1">
      <x:alignment horizontal="center" vertical="center" wrapText="1"/>
    </x:xf>
    <x:xf numFmtId="0" fontId="100" fillId="5" borderId="65" xfId="0" applyNumberFormat="1" applyFont="1" applyFill="1" applyBorder="1" applyAlignment="1">
      <x:alignment horizontal="left" vertical="center" wrapText="1"/>
    </x:xf>
    <x:xf numFmtId="0" fontId="42" fillId="5" borderId="101" xfId="0" applyNumberFormat="1" applyFont="1" applyFill="1" applyBorder="1" applyAlignment="1">
      <x:alignment horizontal="center" vertical="center" wrapText="1"/>
    </x:xf>
    <x:xf numFmtId="0" fontId="16" fillId="5" borderId="64" xfId="0" applyNumberFormat="1" applyFont="1" applyFill="1" applyBorder="1" applyAlignment="1">
      <x:alignment horizontal="center" vertical="center" wrapText="1"/>
    </x:xf>
    <x:xf numFmtId="0" fontId="101" fillId="5" borderId="64" xfId="0" applyNumberFormat="1" applyFont="1" applyFill="1" applyBorder="1" applyAlignment="1">
      <x:alignment vertical="center" wrapText="1"/>
    </x:xf>
    <x:xf numFmtId="0" fontId="16" fillId="5" borderId="102" xfId="0" applyNumberFormat="1" applyFont="1" applyFill="1" applyBorder="1" applyAlignment="1">
      <x:alignment vertical="center" wrapText="1"/>
    </x:xf>
    <x:xf numFmtId="0" fontId="16" fillId="5" borderId="103" xfId="0" applyNumberFormat="1" applyFont="1" applyFill="1" applyBorder="1" applyAlignment="1">
      <x:alignment vertical="center" wrapText="1"/>
    </x:xf>
    <x:xf numFmtId="0" fontId="42" fillId="5" borderId="104" xfId="0" applyNumberFormat="1" applyFont="1" applyFill="1" applyBorder="1" applyAlignment="1">
      <x:alignment horizontal="center" vertical="center" wrapText="1"/>
    </x:xf>
    <x:xf numFmtId="0" fontId="16" fillId="5" borderId="102" xfId="0" applyNumberFormat="1" applyFont="1" applyFill="1" applyBorder="1" applyAlignment="1">
      <x:alignment horizontal="center" vertical="center" wrapText="1"/>
    </x:xf>
    <x:xf numFmtId="0" fontId="16" fillId="5" borderId="67" xfId="0" applyNumberFormat="1" applyFont="1" applyFill="1" applyBorder="1" applyAlignment="1">
      <x:alignment horizontal="center" vertical="center" wrapText="1"/>
    </x:xf>
    <x:xf numFmtId="0" fontId="101" fillId="5" borderId="102" xfId="0" applyNumberFormat="1" applyFont="1" applyFill="1" applyBorder="1" applyAlignment="1">
      <x:alignment vertical="center" wrapText="1"/>
    </x:xf>
    <x:xf numFmtId="0" fontId="102" fillId="0" borderId="64" xfId="0" applyNumberFormat="1" applyFont="1" applyFill="1" applyBorder="1" applyAlignment="1">
      <x:alignment vertical="center" wrapText="1"/>
    </x:xf>
    <x:xf numFmtId="0" fontId="103" fillId="42" borderId="64" xfId="0" applyNumberFormat="1" applyFont="1" applyFill="1" applyBorder="1" applyAlignment="1">
      <x:alignment vertical="center" wrapText="1"/>
    </x:xf>
    <x:xf numFmtId="0" fontId="102" fillId="44" borderId="64" xfId="0" applyNumberFormat="1" applyFont="1" applyFill="1" applyBorder="1" applyAlignment="1">
      <x:alignment vertical="center" wrapText="1"/>
    </x:xf>
    <x:xf numFmtId="0" fontId="67" fillId="47" borderId="64" xfId="0" applyNumberFormat="1" applyFont="1" applyFill="1" applyBorder="1" applyAlignment="1">
      <x:alignment horizontal="center" vertical="center"/>
    </x:xf>
    <x:xf numFmtId="0" fontId="9" fillId="5" borderId="64" xfId="0" applyNumberFormat="1" applyFont="1" applyFill="1" applyBorder="1" applyAlignment="1">
      <x:alignment horizontal="center" wrapText="1"/>
    </x:xf>
    <x:xf numFmtId="0" fontId="9" fillId="5" borderId="64" xfId="0" applyNumberFormat="1" applyFont="1" applyFill="1" applyBorder="1" applyAlignment="1">
      <x:alignment vertical="center" wrapText="1"/>
    </x:xf>
    <x:xf numFmtId="0" fontId="111" fillId="5" borderId="64" xfId="0" applyNumberFormat="1" applyFont="1" applyFill="1" applyBorder="1" applyAlignment="1">
      <x:alignment vertical="center" wrapText="1"/>
    </x:xf>
    <x:xf numFmtId="0" fontId="112" fillId="5" borderId="64" xfId="0" applyNumberFormat="1" applyFont="1" applyFill="1" applyBorder="1" applyAlignment="1">
      <x:alignment vertical="center" wrapText="1"/>
    </x:xf>
    <x:xf numFmtId="0" fontId="113" fillId="5" borderId="64" xfId="0" applyNumberFormat="1" applyFont="1" applyFill="1" applyBorder="1" applyAlignment="1">
      <x:alignment vertical="center" wrapText="1"/>
    </x:xf>
    <x:xf numFmtId="0" fontId="114" fillId="5" borderId="64" xfId="0" applyNumberFormat="1" applyFont="1" applyFill="1" applyBorder="1" applyAlignment="1">
      <x:alignment vertical="center" wrapText="1"/>
    </x:xf>
    <x:xf numFmtId="0" fontId="115" fillId="5" borderId="64" xfId="0" applyNumberFormat="1" applyFont="1" applyFill="1" applyBorder="1" applyAlignment="1">
      <x:alignment vertical="center" wrapText="1"/>
    </x:xf>
    <x:xf numFmtId="0" fontId="9" fillId="50" borderId="64" xfId="0" applyNumberFormat="1" applyFont="1" applyFill="1" applyBorder="1" applyAlignment="1">
      <x:alignment horizontal="center" wrapText="1"/>
    </x:xf>
    <x:xf numFmtId="0" fontId="9" fillId="50" borderId="64" xfId="0" applyNumberFormat="1" applyFont="1" applyFill="1" applyBorder="1" applyAlignment="1">
      <x:alignment vertical="center" wrapText="1"/>
    </x:xf>
    <x:xf numFmtId="0" fontId="111" fillId="50" borderId="64" xfId="0" applyNumberFormat="1" applyFont="1" applyFill="1" applyBorder="1" applyAlignment="1">
      <x:alignment vertical="center" wrapText="1"/>
    </x:xf>
    <x:xf numFmtId="0" fontId="112" fillId="50" borderId="64" xfId="0" applyNumberFormat="1" applyFont="1" applyFill="1" applyBorder="1" applyAlignment="1">
      <x:alignment vertical="center" wrapText="1"/>
    </x:xf>
    <x:xf numFmtId="0" fontId="113" fillId="50" borderId="64" xfId="0" applyNumberFormat="1" applyFont="1" applyFill="1" applyBorder="1" applyAlignment="1">
      <x:alignment vertical="center" wrapText="1"/>
    </x:xf>
    <x:xf numFmtId="0" fontId="114" fillId="50" borderId="64" xfId="0" applyNumberFormat="1" applyFont="1" applyFill="1" applyBorder="1" applyAlignment="1">
      <x:alignment vertical="center" wrapText="1"/>
    </x:xf>
    <x:xf numFmtId="0" fontId="115" fillId="50" borderId="64" xfId="0" applyNumberFormat="1" applyFont="1" applyFill="1" applyBorder="1" applyAlignment="1">
      <x:alignment vertical="center" wrapText="1"/>
    </x:xf>
    <x:xf numFmtId="0" fontId="67" fillId="54" borderId="64" xfId="0" applyNumberFormat="1" applyFont="1" applyFill="1" applyBorder="1"/>
    <x:xf numFmtId="0" fontId="9" fillId="0" borderId="64" xfId="0" applyNumberFormat="1" applyFont="1" applyFill="1" applyBorder="1" applyAlignment="1">
      <x:alignment wrapText="1"/>
    </x:xf>
    <x:xf numFmtId="0" fontId="9" fillId="56" borderId="64" xfId="0" applyNumberFormat="1" applyFont="1" applyFill="1" applyBorder="1" applyAlignment="1">
      <x:alignment wrapText="1"/>
    </x:xf>
    <x:xf numFmtId="0" fontId="96" fillId="59" borderId="64" xfId="0" applyNumberFormat="1" applyFont="1" applyFill="1" applyBorder="1" applyAlignment="1">
      <x:alignment wrapText="1"/>
    </x:xf>
    <x:xf numFmtId="0" fontId="126" fillId="5" borderId="64" xfId="0" applyNumberFormat="1" applyFont="1" applyFill="1" applyBorder="1" applyAlignment="1">
      <x:alignment wrapText="1"/>
    </x:xf>
    <x:xf numFmtId="0" fontId="127" fillId="5" borderId="64" xfId="0" applyNumberFormat="1" applyFont="1" applyFill="1" applyBorder="1" applyAlignment="1">
      <x:alignment wrapText="1"/>
    </x:xf>
    <x:xf numFmtId="0" fontId="128" fillId="5" borderId="66" xfId="0" applyNumberFormat="1" applyFont="1" applyFill="1" applyBorder="1" applyAlignment="1">
      <x:alignment wrapText="1"/>
    </x:xf>
    <x:xf numFmtId="0" fontId="128" fillId="5" borderId="69" xfId="0" applyNumberFormat="1" applyFont="1" applyFill="1" applyBorder="1" applyAlignment="1">
      <x:alignment wrapText="1"/>
    </x:xf>
    <x:xf numFmtId="0" fontId="129" fillId="5" borderId="64" xfId="0" applyNumberFormat="1" applyFont="1" applyFill="1" applyBorder="1" applyAlignment="1">
      <x:alignment wrapText="1"/>
    </x:xf>
    <x:xf numFmtId="0" fontId="128" fillId="5" borderId="70" xfId="0" applyNumberFormat="1" applyFont="1" applyFill="1" applyBorder="1" applyAlignment="1">
      <x:alignment wrapText="1"/>
    </x:xf>
    <x:xf numFmtId="0" fontId="128" fillId="5" borderId="71" xfId="0" applyNumberFormat="1" applyFont="1" applyFill="1" applyBorder="1" applyAlignment="1">
      <x:alignment wrapText="1"/>
    </x:xf>
    <x:xf numFmtId="0" fontId="23" fillId="5" borderId="64" xfId="0" applyNumberFormat="1" applyFont="1" applyFill="1" applyBorder="1" applyAlignment="1">
      <x:alignment wrapText="1"/>
    </x:xf>
    <x:xf numFmtId="0" fontId="130" fillId="5" borderId="64" xfId="0" applyNumberFormat="1" applyFont="1" applyFill="1" applyBorder="1" applyAlignment="1">
      <x:alignment wrapText="1"/>
    </x:xf>
    <x:xf numFmtId="0" fontId="131" fillId="5" borderId="64" xfId="0" applyNumberFormat="1" applyFont="1" applyFill="1" applyBorder="1" applyAlignment="1">
      <x:alignment wrapText="1"/>
    </x:xf>
    <x:xf numFmtId="0" fontId="132" fillId="5" borderId="64" xfId="0" applyNumberFormat="1" applyFont="1" applyFill="1" applyBorder="1" applyAlignment="1">
      <x:alignment wrapText="1"/>
    </x:xf>
    <x:xf numFmtId="0" fontId="133" fillId="5" borderId="64" xfId="0" applyNumberFormat="1" applyFont="1" applyFill="1" applyBorder="1" applyAlignment="1">
      <x:alignment wrapText="1"/>
    </x:xf>
    <x:xf numFmtId="0" fontId="134" fillId="5" borderId="64" xfId="0" applyNumberFormat="1" applyFont="1" applyFill="1" applyBorder="1" applyAlignment="1">
      <x:alignment wrapText="1"/>
    </x:xf>
    <x:xf numFmtId="0" fontId="135" fillId="5" borderId="64" xfId="0" applyNumberFormat="1" applyFont="1" applyFill="1" applyBorder="1" applyAlignment="1">
      <x:alignment wrapText="1"/>
    </x:xf>
    <x:xf numFmtId="0" fontId="19" fillId="59" borderId="64" xfId="0" applyNumberFormat="1" applyFont="1" applyFill="1" applyBorder="1" applyAlignment="1">
      <x:alignment wrapText="1"/>
    </x:xf>
    <x:xf numFmtId="0" fontId="137" fillId="5" borderId="64" xfId="0" applyNumberFormat="1" applyFont="1" applyFill="1" applyBorder="1" applyAlignment="1">
      <x:alignment wrapText="1"/>
    </x:xf>
    <x:xf numFmtId="0" fontId="96" fillId="59" borderId="64" xfId="0" applyNumberFormat="1" applyFont="1" applyFill="1" applyBorder="1"/>
    <x:xf numFmtId="0" fontId="133" fillId="0" borderId="64" xfId="0" applyNumberFormat="1" applyFont="1" applyFill="1" applyBorder="1" applyAlignment="1">
      <x:alignment wrapText="1"/>
    </x:xf>
    <x:xf numFmtId="0" fontId="134" fillId="0" borderId="64" xfId="0" applyNumberFormat="1" applyFont="1" applyFill="1" applyBorder="1" applyAlignment="1">
      <x:alignment wrapText="1"/>
    </x:xf>
    <x:xf numFmtId="0" fontId="135" fillId="0" borderId="64" xfId="0" applyNumberFormat="1" applyFont="1" applyFill="1" applyBorder="1" applyAlignment="1">
      <x:alignment wrapText="1"/>
    </x:xf>
    <x:xf numFmtId="0" fontId="139" fillId="60" borderId="64" xfId="0" applyNumberFormat="1" applyFont="1" applyFill="1" applyBorder="1" applyAlignment="1">
      <x:alignment wrapText="1"/>
    </x:xf>
    <x:xf numFmtId="0" fontId="121" fillId="57" borderId="64" xfId="0" applyNumberFormat="1" applyFont="1" applyFill="1" applyBorder="1"/>
    <x:xf numFmtId="0" fontId="141" fillId="58" borderId="64" xfId="0" applyNumberFormat="1" applyFont="1" applyFill="1" applyBorder="1" applyAlignment="1">
      <x:alignment wrapText="1"/>
    </x:xf>
    <x:xf numFmtId="0" fontId="96" fillId="69" borderId="64" xfId="0" applyNumberFormat="1" applyFont="1" applyFill="1" applyBorder="1"/>
    <x:xf numFmtId="0" fontId="96" fillId="70" borderId="64" xfId="0" applyNumberFormat="1" applyFont="1" applyFill="1" applyBorder="1"/>
    <x:xf numFmtId="0" fontId="143" fillId="71" borderId="78" xfId="0" applyNumberFormat="1" applyFont="1" applyFill="1" applyBorder="1" applyAlignment="1">
      <x:alignment horizontal="center" vertical="center" wrapText="1"/>
    </x:xf>
    <x:xf numFmtId="0" fontId="144" fillId="71" borderId="79" xfId="0" applyNumberFormat="1" applyFont="1" applyFill="1" applyBorder="1" applyAlignment="1">
      <x:alignment horizontal="left" vertical="center" wrapText="1"/>
    </x:xf>
    <x:xf numFmtId="0" fontId="145" fillId="71" borderId="64" xfId="0" applyNumberFormat="1" applyFont="1" applyFill="1" applyBorder="1" applyAlignment="1">
      <x:alignment horizontal="left" vertical="center" wrapText="1"/>
    </x:xf>
    <x:xf numFmtId="0" fontId="144" fillId="71" borderId="80" xfId="0" applyNumberFormat="1" applyFont="1" applyFill="1" applyBorder="1" applyAlignment="1">
      <x:alignment horizontal="left" vertical="center" wrapText="1"/>
    </x:xf>
    <x:xf numFmtId="0" fontId="143" fillId="5" borderId="78" xfId="0" applyNumberFormat="1" applyFont="1" applyFill="1" applyBorder="1" applyAlignment="1">
      <x:alignment horizontal="center" vertical="center" wrapText="1"/>
    </x:xf>
    <x:xf numFmtId="0" fontId="144" fillId="5" borderId="81" xfId="0" applyNumberFormat="1" applyFont="1" applyFill="1" applyBorder="1" applyAlignment="1">
      <x:alignment horizontal="left" vertical="center" wrapText="1"/>
    </x:xf>
    <x:xf numFmtId="0" fontId="145" fillId="5" borderId="64" xfId="0" applyNumberFormat="1" applyFont="1" applyFill="1" applyBorder="1" applyAlignment="1">
      <x:alignment horizontal="left" vertical="center" wrapText="1"/>
    </x:xf>
    <x:xf numFmtId="0" fontId="144" fillId="5" borderId="82" xfId="0" applyNumberFormat="1" applyFont="1" applyFill="1" applyBorder="1" applyAlignment="1">
      <x:alignment horizontal="left" vertical="center" wrapText="1"/>
    </x:xf>
    <x:xf numFmtId="0" fontId="144" fillId="71" borderId="81" xfId="0" applyNumberFormat="1" applyFont="1" applyFill="1" applyBorder="1" applyAlignment="1">
      <x:alignment horizontal="left" vertical="center" wrapText="1"/>
    </x:xf>
    <x:xf numFmtId="0" fontId="144" fillId="71" borderId="82" xfId="0" applyNumberFormat="1" applyFont="1" applyFill="1" applyBorder="1" applyAlignment="1">
      <x:alignment horizontal="left" vertical="center" wrapText="1"/>
    </x:xf>
    <x:xf numFmtId="0" fontId="144" fillId="5" borderId="79" xfId="0" applyNumberFormat="1" applyFont="1" applyFill="1" applyBorder="1" applyAlignment="1">
      <x:alignment horizontal="left" vertical="center" wrapText="1"/>
    </x:xf>
    <x:xf numFmtId="0" fontId="144" fillId="5" borderId="80" xfId="0" applyNumberFormat="1" applyFont="1" applyFill="1" applyBorder="1" applyAlignment="1">
      <x:alignment horizontal="left" vertical="center" wrapText="1"/>
    </x:xf>
    <x:xf numFmtId="0" fontId="143" fillId="5" borderId="75" xfId="0" applyNumberFormat="1" applyFont="1" applyFill="1" applyBorder="1" applyAlignment="1">
      <x:alignment horizontal="left" vertical="center" wrapText="1"/>
    </x:xf>
    <x:xf numFmtId="0" fontId="145" fillId="5" borderId="85" xfId="0" applyNumberFormat="1" applyFont="1" applyFill="1" applyBorder="1" applyAlignment="1">
      <x:alignment vertical="center" wrapText="1"/>
    </x:xf>
    <x:xf numFmtId="0" fontId="145" fillId="5" borderId="76" xfId="0" applyNumberFormat="1" applyFont="1" applyFill="1" applyBorder="1" applyAlignment="1">
      <x:alignment vertical="center" wrapText="1"/>
    </x:xf>
    <x:xf numFmtId="0" fontId="145" fillId="5" borderId="64" xfId="0" applyNumberFormat="1" applyFont="1" applyFill="1" applyBorder="1" applyAlignment="1">
      <x:alignment vertical="center" wrapText="1"/>
    </x:xf>
    <x:xf numFmtId="0" fontId="145" fillId="71" borderId="64" xfId="0" applyNumberFormat="1" applyFont="1" applyFill="1" applyBorder="1" applyAlignment="1">
      <x:alignment vertical="center" wrapText="1"/>
    </x:xf>
    <x:xf numFmtId="0" fontId="146" fillId="5" borderId="64" xfId="0" applyNumberFormat="1" applyFont="1" applyFill="1" applyBorder="1" applyAlignment="1">
      <x:alignment vertical="center" wrapText="1"/>
    </x:xf>
    <x:xf numFmtId="0" fontId="146" fillId="71" borderId="64" xfId="0" applyNumberFormat="1" applyFont="1" applyFill="1" applyBorder="1" applyAlignment="1">
      <x:alignment vertical="center" wrapText="1"/>
    </x:xf>
    <x:xf numFmtId="0" fontId="147" fillId="5" borderId="64" xfId="0" applyNumberFormat="1" applyFont="1" applyFill="1" applyBorder="1" applyAlignment="1">
      <x:alignment vertical="center" wrapText="1"/>
    </x:xf>
    <x:xf numFmtId="0" fontId="143" fillId="71" borderId="75" xfId="0" applyNumberFormat="1" applyFont="1" applyFill="1" applyBorder="1" applyAlignment="1">
      <x:alignment horizontal="left" vertical="center" wrapText="1"/>
    </x:xf>
    <x:xf numFmtId="0" fontId="145" fillId="71" borderId="85" xfId="0" applyNumberFormat="1" applyFont="1" applyFill="1" applyBorder="1" applyAlignment="1">
      <x:alignment vertical="center" wrapText="1"/>
    </x:xf>
    <x:xf numFmtId="0" fontId="145" fillId="71" borderId="76" xfId="0" applyNumberFormat="1" applyFont="1" applyFill="1" applyBorder="1" applyAlignment="1">
      <x:alignment vertical="center" wrapText="1"/>
    </x:xf>
    <x:xf numFmtId="0" fontId="28" fillId="75" borderId="91" xfId="0" applyNumberFormat="1" applyFont="1" applyFill="1" applyBorder="1" applyAlignment="1">
      <x:alignment horizontal="center" vertical="center" wrapText="1"/>
    </x:xf>
    <x:xf numFmtId="0" fontId="28" fillId="75" borderId="92" xfId="0" applyNumberFormat="1" applyFont="1" applyFill="1" applyBorder="1" applyAlignment="1">
      <x:alignment horizontal="center" vertical="center" wrapText="1"/>
    </x:xf>
    <x:xf numFmtId="0" fontId="148" fillId="75" borderId="94" xfId="0" applyNumberFormat="1" applyFont="1" applyFill="1" applyBorder="1" applyAlignment="1">
      <x:alignment horizontal="left" vertical="center" wrapText="1"/>
    </x:xf>
    <x:xf numFmtId="0" fontId="149" fillId="75" borderId="64" xfId="0" applyNumberFormat="1" applyFont="1" applyFill="1" applyBorder="1" applyAlignment="1">
      <x:alignment horizontal="left" vertical="center" wrapText="1"/>
    </x:xf>
    <x:xf numFmtId="0" fontId="148" fillId="75" borderId="91" xfId="0" applyNumberFormat="1" applyFont="1" applyFill="1" applyBorder="1" applyAlignment="1">
      <x:alignment horizontal="left" vertical="center" wrapText="1"/>
    </x:xf>
    <x:xf numFmtId="0" fontId="148" fillId="75" borderId="64" xfId="0" applyNumberFormat="1" applyFont="1" applyFill="1" applyBorder="1" applyAlignment="1">
      <x:alignment horizontal="left" vertical="center" wrapText="1"/>
    </x:xf>
    <x:xf numFmtId="0" fontId="148" fillId="75" borderId="92" xfId="0" applyNumberFormat="1" applyFont="1" applyFill="1" applyBorder="1" applyAlignment="1">
      <x:alignment horizontal="left" vertical="center" wrapText="1"/>
    </x:xf>
    <x:xf numFmtId="0" fontId="21" fillId="59" borderId="90" xfId="0" applyNumberFormat="1" applyFont="1" applyFill="1" applyBorder="1" applyAlignment="1">
      <x:alignment horizontal="left" vertical="center" wrapText="1"/>
    </x:xf>
    <x:xf numFmtId="0" fontId="21" fillId="59" borderId="85" xfId="0" applyNumberFormat="1" applyFont="1" applyFill="1" applyBorder="1" applyAlignment="1">
      <x:alignment horizontal="left" vertical="center" wrapText="1"/>
    </x:xf>
    <x:xf numFmtId="0" fontId="21" fillId="59" borderId="76" xfId="0" applyNumberFormat="1" applyFont="1" applyFill="1" applyBorder="1" applyAlignment="1">
      <x:alignment horizontal="left" vertical="center" wrapText="1"/>
    </x:xf>
    <x:xf numFmtId="0" fontId="150" fillId="75" borderId="64" xfId="0" applyNumberFormat="1" applyFont="1" applyFill="1" applyBorder="1" applyAlignment="1">
      <x:alignment wrapText="1"/>
    </x:xf>
    <x:xf numFmtId="0" fontId="151" fillId="57" borderId="64" xfId="0" applyNumberFormat="1" applyFont="1" applyFill="1" applyBorder="1" applyAlignment="1">
      <x:alignment wrapText="1"/>
    </x:xf>
    <x:xf numFmtId="0" fontId="0" fillId="0" borderId="102" xfId="0" applyNumberFormat="1" applyFont="1" applyFill="1" applyBorder="1"/>
    <x:xf numFmtId="0" fontId="0" fillId="0" borderId="103" xfId="0" applyNumberFormat="1" applyFont="1" applyFill="1" applyBorder="1"/>
    <x:xf numFmtId="0" fontId="5" fillId="2" borderId="104" xfId="0" applyNumberFormat="1" applyFont="1" applyFill="1" applyBorder="1" applyAlignment="1">
      <x:alignment horizontal="left" vertical="center"/>
    </x:xf>
    <x:xf numFmtId="0" fontId="25" fillId="0" borderId="64" xfId="0" applyNumberFormat="1" applyFont="1" applyFill="1" applyBorder="1" applyAlignment="1">
      <x:alignment horizontal="center" vertical="center"/>
    </x:xf>
    <x:xf numFmtId="0" fontId="4" fillId="2" borderId="64" xfId="0" applyNumberFormat="1" applyFont="1" applyFill="1" applyBorder="1" applyAlignment="1">
      <x:alignment horizontal="center" vertical="center"/>
    </x:xf>
    <x:xf numFmtId="0" fontId="5" fillId="2" borderId="101" xfId="0" applyNumberFormat="1" applyFont="1" applyFill="1" applyBorder="1" applyAlignment="1">
      <x:alignment horizontal="left" vertical="center"/>
    </x:xf>
    <x:xf numFmtId="0" fontId="25" fillId="0" borderId="105" xfId="0" applyNumberFormat="1" applyFont="1" applyFill="1" applyBorder="1" applyAlignment="1">
      <x:alignment horizontal="center" vertical="center"/>
    </x:xf>
    <x:xf numFmtId="0" fontId="0" fillId="0" borderId="105" xfId="0" applyNumberFormat="1" applyFont="1" applyFill="1" applyBorder="1"/>
    <x:xf numFmtId="0" fontId="48" fillId="4" borderId="64" xfId="0" applyNumberFormat="1" applyFont="1" applyFill="1" applyBorder="1" applyAlignment="1">
      <x:alignment horizontal="center" vertical="center" wrapText="1"/>
    </x:xf>
    <x:xf numFmtId="0" fontId="97" fillId="4" borderId="64" xfId="0" applyNumberFormat="1" applyFont="1" applyFill="1" applyBorder="1" applyAlignment="1">
      <x:alignment wrapText="1"/>
    </x:xf>
    <x:xf numFmtId="0" fontId="98" fillId="4" borderId="64" xfId="0" applyNumberFormat="1" applyFont="1" applyFill="1" applyBorder="1" applyAlignment="1">
      <x:alignment horizontal="center" vertical="center" wrapText="1"/>
    </x:xf>
    <x:xf numFmtId="0" fontId="99" fillId="4" borderId="64" xfId="0" applyNumberFormat="1" applyFont="1" applyFill="1" applyBorder="1" applyAlignment="1">
      <x:alignment wrapText="1"/>
    </x:xf>
    <x:xf numFmtId="0" fontId="12" fillId="4" borderId="104" xfId="0" applyNumberFormat="1" applyFont="1" applyFill="1" applyBorder="1" applyAlignment="1">
      <x:alignment horizontal="left" vertical="center" wrapText="1"/>
    </x:xf>
    <x:xf numFmtId="0" fontId="13" fillId="4" borderId="102" xfId="0" applyNumberFormat="1" applyFont="1" applyFill="1" applyBorder="1" applyAlignment="1">
      <x:alignment wrapText="1"/>
    </x:xf>
    <x:xf numFmtId="0" fontId="13" fillId="4" borderId="103" xfId="0" applyNumberFormat="1" applyFont="1" applyFill="1" applyBorder="1" applyAlignment="1">
      <x:alignment wrapText="1"/>
    </x:xf>
    <x:xf numFmtId="0" fontId="12" fillId="4" borderId="101" xfId="0" applyNumberFormat="1" applyFont="1" applyFill="1" applyBorder="1" applyAlignment="1">
      <x:alignment horizontal="left" vertical="center" wrapText="1"/>
    </x:xf>
    <x:xf numFmtId="0" fontId="12" fillId="4" borderId="66" xfId="0" applyNumberFormat="1" applyFont="1" applyFill="1" applyBorder="1" applyAlignment="1">
      <x:alignment horizontal="left" vertical="center" wrapText="1"/>
    </x:xf>
    <x:xf numFmtId="0" fontId="12" fillId="4" borderId="65" xfId="0" applyNumberFormat="1" applyFont="1" applyFill="1" applyBorder="1" applyAlignment="1">
      <x:alignment horizontal="left" vertical="center" wrapText="1"/>
    </x:xf>
    <x:xf numFmtId="0" fontId="13" fillId="4" borderId="68" xfId="0" applyNumberFormat="1" applyFont="1" applyFill="1" applyBorder="1" applyAlignment="1">
      <x:alignment horizontal="left" wrapText="1"/>
    </x:xf>
    <x:xf numFmtId="0" fontId="13" fillId="4" borderId="67" xfId="0" applyNumberFormat="1" applyFont="1" applyFill="1" applyBorder="1" applyAlignment="1">
      <x:alignment horizontal="left" wrapText="1"/>
    </x:xf>
    <x:xf numFmtId="0" fontId="13" fillId="4" borderId="64" xfId="0" applyNumberFormat="1" applyFont="1" applyFill="1" applyBorder="1"/>
    <x:xf numFmtId="0" fontId="58" fillId="0" borderId="106" xfId="0" applyNumberFormat="1" applyFont="1" applyFill="1" applyBorder="1" applyAlignment="1">
      <x:alignment horizontal="center"/>
    </x:xf>
    <x:xf numFmtId="0" fontId="57" fillId="0" borderId="64" xfId="0" applyNumberFormat="1" applyFont="1" applyFill="1" applyBorder="1" applyAlignment="1">
      <x:alignment wrapText="1"/>
    </x:xf>
    <x:xf numFmtId="0" fontId="11" fillId="5" borderId="64" xfId="0" applyNumberFormat="1" applyFont="1" applyFill="1" applyBorder="1" applyAlignment="1">
      <x:alignment wrapText="1"/>
    </x:xf>
    <x:xf numFmtId="0" fontId="57" fillId="0" borderId="95" xfId="0" applyNumberFormat="1" applyFont="1" applyFill="1" applyBorder="1" applyAlignment="1">
      <x:alignment wrapText="1"/>
    </x:xf>
    <x:xf numFmtId="0" fontId="60" fillId="2" borderId="64" xfId="0" applyNumberFormat="1" applyFont="1" applyFill="1" applyBorder="1"/>
    <x:xf numFmtId="0" fontId="59" fillId="14" borderId="64" xfId="0" applyNumberFormat="1" applyFont="1" applyFill="1" applyBorder="1"/>
    <x:xf numFmtId="0" fontId="64" fillId="2" borderId="64" xfId="0" applyNumberFormat="1" applyFont="1" applyFill="1" applyBorder="1" applyAlignment="1">
      <x:alignment horizontal="center" vertical="center"/>
    </x:xf>
    <x:xf numFmtId="0" fontId="62" fillId="18" borderId="64" xfId="0" applyNumberFormat="1" applyFont="1" applyFill="1" applyBorder="1" applyAlignment="1">
      <x:alignment horizontal="center" vertical="center"/>
    </x:xf>
    <x:xf numFmtId="0" fontId="65" fillId="2" borderId="64" xfId="0" applyNumberFormat="1" applyFont="1" applyFill="1" applyBorder="1" applyAlignment="1">
      <x:alignment vertical="center"/>
    </x:xf>
    <x:xf numFmtId="0" fontId="66" fillId="21" borderId="64" xfId="0" applyNumberFormat="1" applyFont="1" applyFill="1" applyBorder="1" applyAlignment="1">
      <x:alignment vertical="center"/>
    </x:xf>
    <x:xf numFmtId="0" fontId="67" fillId="2" borderId="95" xfId="0" applyNumberFormat="1" applyFont="1" applyFill="1" applyBorder="1" applyAlignment="1">
      <x:alignment vertical="center" wrapText="1"/>
    </x:xf>
    <x:xf numFmtId="0" fontId="44" fillId="4" borderId="64" xfId="0" applyNumberFormat="1" applyFont="1" applyFill="1" applyBorder="1" applyAlignment="1">
      <x:alignment horizontal="center" vertical="center" wrapText="1"/>
    </x:xf>
    <x:xf numFmtId="0" fontId="0" fillId="0" borderId="64" xfId="0" applyNumberFormat="1" applyFont="1" applyFill="1" applyBorder="1" applyAlignment="1">
      <x:alignment horizontal="center"/>
    </x:xf>
    <x:xf numFmtId="0" fontId="70" fillId="25" borderId="64" xfId="0" applyNumberFormat="1" applyFont="1" applyFill="1" applyBorder="1" applyAlignment="1">
      <x:alignment horizontal="center"/>
    </x:xf>
    <x:xf numFmtId="0" fontId="61" fillId="2" borderId="64" xfId="0" applyNumberFormat="1" applyFont="1" applyFill="1" applyBorder="1" applyAlignment="1">
      <x:alignment vertical="center" wrapText="1"/>
    </x:xf>
    <x:xf numFmtId="0" fontId="61" fillId="2" borderId="95" xfId="0" applyNumberFormat="1" applyFont="1" applyFill="1" applyBorder="1" applyAlignment="1">
      <x:alignment vertical="center" wrapText="1"/>
    </x:xf>
    <x:xf numFmtId="0" fontId="17" fillId="4" borderId="64" xfId="0" applyNumberFormat="1" applyFont="1" applyFill="1" applyBorder="1" applyAlignment="1">
      <x:alignment horizontal="center" vertical="center" wrapText="1"/>
    </x:xf>
    <x:xf numFmtId="0" fontId="1" fillId="0" borderId="64" xfId="0" applyNumberFormat="1" applyFont="1" applyFill="1" applyBorder="1" applyAlignment="1">
      <x:alignment horizontal="center" vertical="center"/>
    </x:xf>
    <x:xf numFmtId="0" fontId="0" fillId="0" borderId="64" xfId="0" applyNumberFormat="1" applyFont="1" applyFill="1" applyBorder="1" applyAlignment="1">
      <x:alignment horizontal="center" vertical="center"/>
    </x:xf>
    <x:xf numFmtId="0" fontId="70" fillId="25" borderId="64" xfId="0" applyNumberFormat="1" applyFont="1" applyFill="1" applyBorder="1"/>
    <x:xf numFmtId="0" fontId="125" fillId="60" borderId="70" xfId="0" applyNumberFormat="1" applyFont="1" applyFill="1" applyBorder="1" applyAlignment="1">
      <x:alignment wrapText="1"/>
    </x:xf>
    <x:xf numFmtId="0" fontId="125" fillId="60" borderId="71" xfId="0" applyNumberFormat="1" applyFont="1" applyFill="1" applyBorder="1" applyAlignment="1">
      <x:alignment wrapText="1"/>
    </x:xf>
    <x:xf numFmtId="0" fontId="122" fillId="60" borderId="64" xfId="0" applyNumberFormat="1" applyFont="1" applyFill="1" applyBorder="1" applyAlignment="1">
      <x:alignment wrapText="1"/>
    </x:xf>
    <x:xf numFmtId="0" fontId="17" fillId="57" borderId="64" xfId="0" applyNumberFormat="1" applyFont="1" applyFill="1" applyBorder="1" applyAlignment="1">
      <x:alignment wrapText="1"/>
    </x:xf>
    <x:xf numFmtId="0" fontId="121" fillId="57" borderId="64" xfId="0" applyNumberFormat="1" applyFont="1" applyFill="1" applyBorder="1" applyAlignment="1">
      <x:alignment wrapText="1"/>
    </x:xf>
    <x:xf numFmtId="0" fontId="122" fillId="58" borderId="64" xfId="0" applyNumberFormat="1" applyFont="1" applyFill="1" applyBorder="1" applyAlignment="1">
      <x:alignment wrapText="1"/>
    </x:xf>
    <x:xf numFmtId="0" fontId="123" fillId="58" borderId="64" xfId="0" applyNumberFormat="1" applyFont="1" applyFill="1" applyBorder="1" applyAlignment="1">
      <x:alignment wrapText="1"/>
    </x:xf>
    <x:xf numFmtId="0" fontId="124" fillId="60" borderId="64" xfId="0" applyNumberFormat="1" applyFont="1" applyFill="1" applyBorder="1" applyAlignment="1">
      <x:alignment wrapText="1"/>
    </x:xf>
    <x:xf numFmtId="0" fontId="17" fillId="4" borderId="64" xfId="0" applyNumberFormat="1" applyFont="1" applyFill="1" applyBorder="1" applyAlignment="1">
      <x:alignment wrapText="1"/>
    </x:xf>
    <x:xf numFmtId="0" fontId="18" fillId="5" borderId="64" xfId="0" applyNumberFormat="1" applyFont="1" applyFill="1" applyBorder="1" applyAlignment="1">
      <x:alignment wrapText="1"/>
    </x:xf>
    <x:xf numFmtId="0" fontId="136" fillId="60" borderId="64" xfId="0" applyNumberFormat="1" applyFont="1" applyFill="1" applyBorder="1" applyAlignment="1">
      <x:alignment wrapText="1"/>
    </x:xf>
    <x:xf numFmtId="0" fontId="105" fillId="43" borderId="64" xfId="0" applyNumberFormat="1" applyFont="1" applyFill="1" applyBorder="1" applyAlignment="1">
      <x:alignment vertical="center" wrapText="1"/>
    </x:xf>
    <x:xf numFmtId="0" fontId="104" fillId="41" borderId="64" xfId="0" applyNumberFormat="1" applyFont="1" applyFill="1" applyBorder="1" applyAlignment="1">
      <x:alignment vertical="center" wrapText="1"/>
    </x:xf>
    <x:xf numFmtId="0" fontId="26" fillId="4" borderId="64" xfId="0" applyNumberFormat="1" applyFont="1" applyFill="1" applyBorder="1" applyAlignment="1">
      <x:alignment horizontal="left" vertical="center" wrapText="1"/>
    </x:xf>
    <x:xf numFmtId="0" fontId="24" fillId="0" borderId="64" xfId="0" applyNumberFormat="1" applyFont="1" applyFill="1" applyBorder="1" applyAlignment="1">
      <x:alignment horizontal="left" vertical="center" wrapText="1"/>
    </x:xf>
    <x:xf numFmtId="0" fontId="21" fillId="4" borderId="77" xfId="0" applyNumberFormat="1" applyFont="1" applyFill="1" applyBorder="1" applyAlignment="1">
      <x:alignment horizontal="left" vertical="center" wrapText="1"/>
    </x:xf>
    <x:xf numFmtId="0" fontId="0" fillId="0" borderId="88" xfId="0" applyNumberFormat="1" applyFont="1" applyFill="1" applyBorder="1"/>
    <x:xf numFmtId="0" fontId="0" fillId="0" borderId="78" xfId="0" applyNumberFormat="1" applyFont="1" applyFill="1" applyBorder="1"/>
    <x:xf numFmtId="0" fontId="21" fillId="4" borderId="107" xfId="0" applyNumberFormat="1" applyFont="1" applyFill="1" applyBorder="1" applyAlignment="1">
      <x:alignment horizontal="left" vertical="center" wrapText="1"/>
    </x:xf>
    <x:xf numFmtId="0" fontId="21" fillId="68" borderId="75" xfId="0" applyNumberFormat="1" applyFont="1" applyFill="1" applyBorder="1" applyAlignment="1">
      <x:alignment horizontal="left" vertical="center" wrapText="1"/>
    </x:xf>
    <x:xf numFmtId="0" fontId="96" fillId="68" borderId="85" xfId="0" applyNumberFormat="1" applyFont="1" applyFill="1" applyBorder="1"/>
    <x:xf numFmtId="0" fontId="96" fillId="68" borderId="76" xfId="0" applyNumberFormat="1" applyFont="1" applyFill="1" applyBorder="1"/>
    <x:xf numFmtId="0" fontId="21" fillId="68" borderId="78" xfId="0" applyNumberFormat="1" applyFont="1" applyFill="1" applyBorder="1" applyAlignment="1">
      <x:alignment horizontal="center" vertical="center" wrapText="1"/>
    </x:xf>
    <x:xf numFmtId="0" fontId="142" fillId="68" borderId="81" xfId="0" applyNumberFormat="1" applyFont="1" applyFill="1" applyBorder="1" applyAlignment="1">
      <x:alignment horizontal="left" vertical="center" wrapText="1"/>
    </x:xf>
    <x:xf numFmtId="0" fontId="96" fillId="68" borderId="64" xfId="0" applyNumberFormat="1" applyFont="1" applyFill="1" applyBorder="1" applyAlignment="1">
      <x:alignment horizontal="left" vertical="center" wrapText="1"/>
    </x:xf>
    <x:xf numFmtId="0" fontId="142" fillId="68" borderId="82" xfId="0" applyNumberFormat="1" applyFont="1" applyFill="1" applyBorder="1" applyAlignment="1">
      <x:alignment horizontal="left" vertical="center" wrapText="1"/>
    </x:xf>
    <x:xf numFmtId="0" fontId="96" fillId="68" borderId="64" xfId="0" applyNumberFormat="1" applyFont="1" applyFill="1" applyBorder="1"/>
    <x:xf numFmtId="0" fontId="0" fillId="0" borderId="85" xfId="0" applyNumberFormat="1" applyFont="1" applyFill="1" applyBorder="1"/>
    <x:xf numFmtId="0" fontId="0" fillId="0" borderId="76" xfId="0" applyNumberFormat="1" applyFont="1" applyFill="1" applyBorder="1"/>
    <x:xf numFmtId="0" fontId="48" fillId="4" borderId="64" xfId="0" applyNumberFormat="1" applyFont="1" applyFill="1" applyBorder="1" applyAlignment="1">
      <x:alignment horizontal="left" vertical="center" wrapText="1"/>
    </x:xf>
    <x:xf numFmtId="0" fontId="36" fillId="5" borderId="64" xfId="0" applyNumberFormat="1" applyFont="1" applyFill="1" applyBorder="1" applyAlignment="1">
      <x:alignment horizontal="left" vertical="center" wrapText="1"/>
    </x:xf>
    <x:xf numFmtId="0" fontId="21" fillId="4" borderId="101" xfId="0" applyNumberFormat="1" applyFont="1" applyFill="1" applyBorder="1" applyAlignment="1">
      <x:alignment vertical="center"/>
    </x:xf>
    <x:xf numFmtId="0" fontId="26" fillId="4" borderId="64" xfId="0" applyNumberFormat="1" applyFont="1" applyFill="1" applyBorder="1" applyAlignment="1">
      <x:alignment horizontal="center" vertical="center"/>
    </x:xf>
    <x:xf numFmtId="0" fontId="21" fillId="4" borderId="104" xfId="0" applyNumberFormat="1" applyFont="1" applyFill="1" applyBorder="1"/>
    <x:xf numFmtId="0" fontId="24" fillId="0" borderId="64" xfId="0" applyNumberFormat="1" applyFont="1" applyFill="1" applyBorder="1" applyAlignment="1">
      <x:alignment horizontal="center" vertical="center"/>
    </x:xf>
    <x:xf numFmtId="0" fontId="6" fillId="2" borderId="104" xfId="0" applyNumberFormat="1" applyFont="1" applyFill="1" applyBorder="1" applyAlignment="1">
      <x:alignment horizontal="left" vertical="center"/>
    </x:xf>
    <x:xf numFmtId="0" fontId="52" fillId="2" borderId="64" xfId="0" applyNumberFormat="1" applyFont="1" applyFill="1" applyBorder="1" applyAlignment="1">
      <x:alignment horizontal="center" vertical="center"/>
    </x:xf>
    <x:xf numFmtId="0" fontId="54" fillId="2" borderId="104" xfId="0" applyNumberFormat="1" applyFont="1" applyFill="1" applyBorder="1" applyAlignment="1">
      <x:alignment horizontal="left" vertical="center"/>
    </x:xf>
    <x:xf numFmtId="0" fontId="53" fillId="0" borderId="64" xfId="0" applyNumberFormat="1" applyFont="1" applyFill="1" applyBorder="1" applyAlignment="1">
      <x:alignment horizontal="center" vertical="center"/>
    </x:xf>
    <x:xf numFmtId="0" fontId="10" fillId="4" borderId="64" xfId="0" applyNumberFormat="1" applyFont="1" applyFill="1" applyBorder="1" applyAlignment="1">
      <x:alignment wrapText="1"/>
    </x:xf>
    <x:xf numFmtId="0" fontId="0" fillId="0" borderId="108" xfId="0" applyNumberFormat="1" applyFont="1" applyFill="1" applyBorder="1" applyAlignment="1">
      <x:alignment wrapText="1"/>
    </x:xf>
    <x:xf numFmtId="0" fontId="0" fillId="0" borderId="69" xfId="0" applyNumberFormat="1" applyFont="1" applyFill="1" applyBorder="1" applyAlignment="1">
      <x:alignment wrapText="1"/>
    </x:xf>
    <x:xf numFmtId="0" fontId="17" fillId="4" borderId="64" xfId="0" applyNumberFormat="1" applyFont="1" applyFill="1" applyBorder="1" applyAlignment="1">
      <x:alignment horizontal="left" vertical="center" wrapText="1"/>
    </x:xf>
    <x:xf numFmtId="0" fontId="18" fillId="5" borderId="64" xfId="0" applyNumberFormat="1" applyFont="1" applyFill="1" applyBorder="1" applyAlignment="1">
      <x:alignment horizontal="left" vertical="center" wrapText="1"/>
    </x:xf>
    <x:xf numFmtId="0" fontId="41" fillId="4" borderId="64" xfId="0" applyNumberFormat="1" applyFont="1" applyFill="1" applyBorder="1" applyAlignment="1">
      <x:alignment horizontal="left" vertical="center" wrapText="1"/>
    </x:xf>
    <x:xf numFmtId="0" fontId="110" fillId="48" borderId="64" xfId="0" applyNumberFormat="1" applyFont="1" applyFill="1" applyBorder="1" applyAlignment="1">
      <x:alignment vertical="center" wrapText="1"/>
    </x:xf>
    <x:xf numFmtId="0" fontId="107" fillId="45" borderId="64" xfId="0" applyNumberFormat="1" applyFont="1" applyFill="1" applyBorder="1" applyAlignment="1">
      <x:alignment vertical="center"/>
    </x:xf>
    <x:xf numFmtId="0" fontId="108" fillId="46" borderId="64" xfId="0" applyNumberFormat="1" applyFont="1" applyFill="1" applyBorder="1" applyAlignment="1">
      <x:alignment vertical="center"/>
    </x:xf>
    <x:xf numFmtId="0" fontId="10" fillId="57" borderId="64" xfId="0" applyNumberFormat="1" applyFont="1" applyFill="1" applyBorder="1" applyAlignment="1">
      <x:alignment horizontal="left" vertical="center" wrapText="1"/>
    </x:xf>
    <x:xf numFmtId="0" fontId="138" fillId="62" borderId="64" xfId="0" applyNumberFormat="1" applyFont="1" applyFill="1" applyBorder="1" applyAlignment="1">
      <x:alignment horizontal="left" vertical="center" wrapText="1"/>
    </x:xf>
    <x:xf numFmtId="0" fontId="74" fillId="31" borderId="91" xfId="0" applyNumberFormat="1" applyFont="1" applyFill="1" applyBorder="1" applyAlignment="1">
      <x:alignment horizontal="center" vertical="center" wrapText="1"/>
    </x:xf>
    <x:xf numFmtId="0" fontId="74" fillId="31" borderId="92" xfId="0" applyNumberFormat="1" applyFont="1" applyFill="1" applyBorder="1" applyAlignment="1">
      <x:alignment horizontal="center" vertical="center" wrapText="1"/>
    </x:xf>
    <x:xf numFmtId="0" fontId="75" fillId="31" borderId="94" xfId="0" applyNumberFormat="1" applyFont="1" applyFill="1" applyBorder="1" applyAlignment="1">
      <x:alignment horizontal="left" vertical="center" wrapText="1"/>
    </x:xf>
    <x:xf numFmtId="0" fontId="76" fillId="31" borderId="64" xfId="0" applyNumberFormat="1" applyFont="1" applyFill="1" applyBorder="1" applyAlignment="1">
      <x:alignment horizontal="left" vertical="center" wrapText="1"/>
    </x:xf>
    <x:xf numFmtId="0" fontId="75" fillId="31" borderId="91" xfId="0" applyNumberFormat="1" applyFont="1" applyFill="1" applyBorder="1" applyAlignment="1">
      <x:alignment horizontal="left" vertical="center" wrapText="1"/>
    </x:xf>
    <x:xf numFmtId="0" fontId="75" fillId="31" borderId="64" xfId="0" applyNumberFormat="1" applyFont="1" applyFill="1" applyBorder="1" applyAlignment="1">
      <x:alignment horizontal="left" vertical="center" wrapText="1"/>
    </x:xf>
    <x:xf numFmtId="0" fontId="75" fillId="31" borderId="92" xfId="0" applyNumberFormat="1" applyFont="1" applyFill="1" applyBorder="1" applyAlignment="1">
      <x:alignment horizontal="left" vertical="center" wrapText="1"/>
    </x:xf>
    <x:xf numFmtId="0" fontId="76" fillId="31" borderId="64" xfId="0" applyNumberFormat="1" applyFont="1" applyFill="1" applyBorder="1" applyAlignment="1">
      <x:alignment vertical="center" wrapText="1"/>
    </x:xf>
    <x:xf numFmtId="0" fontId="10" fillId="28" borderId="64" xfId="0" applyNumberFormat="1" applyFont="1" applyFill="1" applyBorder="1" applyAlignment="1">
      <x:alignment horizontal="left" vertical="center" wrapText="1"/>
    </x:xf>
    <x:xf numFmtId="0" fontId="72" fillId="29" borderId="64" xfId="0" applyNumberFormat="1" applyFont="1" applyFill="1" applyBorder="1" applyAlignment="1">
      <x:alignment horizontal="left" vertical="center" wrapText="1"/>
    </x:xf>
    <x:xf numFmtId="0" fontId="74" fillId="31" borderId="90" xfId="0" applyNumberFormat="1" applyFont="1" applyFill="1" applyBorder="1" applyAlignment="1">
      <x:alignment horizontal="left" vertical="center" wrapText="1"/>
    </x:xf>
    <x:xf numFmtId="0" fontId="74" fillId="31" borderId="76" xfId="0" applyNumberFormat="1" applyFont="1" applyFill="1" applyBorder="1" applyAlignment="1">
      <x:alignment horizontal="left" vertical="center" wrapText="1"/>
    </x:xf>
    <x:xf numFmtId="0" fontId="74" fillId="31" borderId="75" xfId="0" applyNumberFormat="1" applyFont="1" applyFill="1" applyBorder="1" applyAlignment="1">
      <x:alignment horizontal="left" vertical="center" wrapText="1"/>
    </x:xf>
    <x:xf numFmtId="0" fontId="74" fillId="31" borderId="85" xfId="0" applyNumberFormat="1" applyFont="1" applyFill="1" applyBorder="1" applyAlignment="1">
      <x:alignment horizontal="left" vertical="center" wrapText="1"/>
    </x:xf>
    <x:xf numFmtId="0" fontId="107" fillId="52" borderId="64" xfId="0" applyNumberFormat="1" applyFont="1" applyFill="1" applyBorder="1"/>
    <x:xf numFmtId="0" fontId="118" fillId="53" borderId="64" xfId="0" applyNumberFormat="1" applyFont="1" applyFill="1" applyBorder="1" applyAlignment="1">
      <x:alignment wrapText="1"/>
    </x:xf>
    <x:xf numFmtId="0" fontId="120" fillId="55" borderId="64" xfId="0" applyNumberFormat="1" applyFont="1" applyFill="1" applyBorder="1" applyAlignment="1">
      <x:alignment wrapText="1"/>
    </x:xf>
    <x:xf numFmtId="0" fontId="67" fillId="68" borderId="64" xfId="0" applyNumberFormat="1" applyFont="1" applyFill="1" applyBorder="1" applyAlignment="1">
      <x:alignment wrapText="1"/>
    </x:xf>
    <x:xf numFmtId="0" fontId="140" fillId="5" borderId="64" xfId="0" applyNumberFormat="1" applyFont="1" applyFill="1" applyBorder="1" applyAlignment="1">
      <x:alignment wrapText="1"/>
    </x:xf>
    <x:xf numFmtId="0" fontId="124" fillId="60" borderId="64" xfId="0" applyNumberFormat="1" applyFont="1" applyFill="1" applyBorder="1"/>
    <x:xf numFmtId="0" fontId="12" fillId="27" borderId="64" xfId="0" applyNumberFormat="1" applyFont="1" applyFill="1" applyBorder="1" applyAlignment="1">
      <x:alignment wrapText="1"/>
    </x:xf>
    <x:xf numFmtId="0" fontId="1" fillId="27" borderId="64" xfId="0" applyNumberFormat="1" applyFont="1" applyFill="1" applyBorder="1" applyAlignment="1">
      <x:alignment wrapText="1"/>
    </x:xf>
    <x:xf numFmtId="0" fontId="0" fillId="27" borderId="64" xfId="0" applyNumberFormat="1" applyFont="1" applyFill="1" applyBorder="1" applyAlignment="1">
      <x:alignment wrapText="1"/>
    </x:xf>
    <x:xf numFmtId="0" fontId="14" fillId="27" borderId="66" xfId="0" applyNumberFormat="1" applyFont="1" applyFill="1" applyBorder="1" applyAlignment="1">
      <x:alignment wrapText="1"/>
    </x:xf>
    <x:xf numFmtId="0" fontId="14" fillId="27" borderId="69" xfId="0" applyNumberFormat="1" applyFont="1" applyFill="1" applyBorder="1" applyAlignment="1">
      <x:alignment wrapText="1"/>
    </x:xf>
    <x:xf numFmtId="0" fontId="20" fillId="27" borderId="64" xfId="0" applyNumberFormat="1" applyFont="1" applyFill="1" applyBorder="1" applyAlignment="1">
      <x:alignment wrapText="1"/>
    </x:xf>
    <x:xf numFmtId="0" fontId="14" fillId="27" borderId="70" xfId="0" applyNumberFormat="1" applyFont="1" applyFill="1" applyBorder="1" applyAlignment="1">
      <x:alignment wrapText="1"/>
    </x:xf>
    <x:xf numFmtId="0" fontId="14" fillId="27" borderId="71" xfId="0" applyNumberFormat="1" applyFont="1" applyFill="1" applyBorder="1" applyAlignment="1">
      <x:alignment wrapText="1"/>
    </x:xf>
    <x:xf numFmtId="0" fontId="16" fillId="27" borderId="64" xfId="0" applyNumberFormat="1" applyFont="1" applyFill="1" applyBorder="1" applyAlignment="1">
      <x:alignment wrapText="1"/>
    </x:xf>
    <x:xf numFmtId="0" fontId="0" fillId="27" borderId="64" xfId="0" applyNumberFormat="1" applyFont="1" applyFill="1" applyBorder="1"/>
    <x:xf numFmtId="0" fontId="0" fillId="0" borderId="89" xfId="0" applyNumberFormat="1" applyFont="1" applyFill="1" applyBorder="1" applyAlignment="1">
      <x:alignment vertical="center"/>
    </x:xf>
    <x:xf numFmtId="0" fontId="0" fillId="0" borderId="109" xfId="0" applyNumberFormat="1" applyFont="1" applyFill="1" applyBorder="1" applyAlignment="1">
      <x:alignment vertical="center"/>
    </x:xf>
    <x:xf numFmtId="0" fontId="0" fillId="3" borderId="75" xfId="0" applyNumberFormat="1" applyFont="1" applyFill="1" applyBorder="1" applyAlignment="1">
      <x:alignment vertical="center" wrapText="1"/>
    </x:xf>
    <x:xf numFmtId="0" fontId="0" fillId="0" borderId="88" xfId="0" applyNumberFormat="1" applyFont="1" applyFill="1" applyBorder="1" applyAlignment="1">
      <x:alignment vertical="center"/>
    </x:xf>
    <x:xf numFmtId="0" fontId="0" fillId="0" borderId="78" xfId="0" applyNumberFormat="1" applyFont="1" applyFill="1" applyBorder="1" applyAlignment="1">
      <x:alignment vertical="center"/>
    </x:xf>
    <x:xf numFmtId="0" fontId="2" fillId="75" borderId="90" xfId="0" applyNumberFormat="1" applyFont="1" applyFill="1" applyBorder="1" applyAlignment="1">
      <x:alignment horizontal="left" vertical="center" wrapText="1"/>
    </x:xf>
    <x:xf numFmtId="0" fontId="2" fillId="75" borderId="76" xfId="0" applyNumberFormat="1" applyFont="1" applyFill="1" applyBorder="1" applyAlignment="1">
      <x:alignment horizontal="left" vertical="center" wrapText="1"/>
    </x:xf>
    <x:xf numFmtId="0" fontId="2" fillId="75" borderId="75" xfId="0" applyNumberFormat="1" applyFont="1" applyFill="1" applyBorder="1" applyAlignment="1">
      <x:alignment horizontal="left" vertical="center" wrapText="1"/>
    </x:xf>
    <x:xf numFmtId="0" fontId="2" fillId="75" borderId="85" xfId="0" applyNumberFormat="1" applyFont="1" applyFill="1" applyBorder="1" applyAlignment="1">
      <x:alignment horizontal="left" vertical="center" wrapText="1"/>
    </x:xf>
    <x:xf numFmtId="0" fontId="0" fillId="79" borderId="0" xfId="0" applyNumberFormat="1" applyFont="1" applyFill="1" applyBorder="1"/>
    <x:xf numFmtId="0" fontId="96" fillId="79" borderId="0" xfId="0" applyNumberFormat="1" applyFont="1" applyFill="1" applyBorder="1"/>
    <x:xf numFmtId="0" fontId="0" fillId="79" borderId="64" xfId="0" applyNumberFormat="1" applyFont="1" applyFill="1" applyBorder="1"/>
    <x:xf numFmtId="0" fontId="96" fillId="79" borderId="64" xfId="0" applyNumberFormat="1" applyFont="1" applyFill="1" applyBorder="1"/>
    <x:xf numFmtId="0" fontId="0" fillId="80" borderId="0" xfId="0" applyNumberFormat="1" applyFont="1" applyFill="1" applyBorder="1"/>
    <x:xf numFmtId="0" fontId="96" fillId="80" borderId="0" xfId="0" applyNumberFormat="1" applyFont="1" applyFill="1" applyBorder="1"/>
    <x:xf numFmtId="0" fontId="0" fillId="80" borderId="64" xfId="0" applyNumberFormat="1" applyFont="1" applyFill="1" applyBorder="1"/>
    <x:xf numFmtId="0" fontId="96" fillId="80" borderId="64" xfId="0" applyNumberFormat="1" applyFont="1" applyFill="1" applyBorder="1"/>
    <x:xf numFmtId="0" fontId="96" fillId="79" borderId="0" xfId="0" applyNumberFormat="1" applyFont="1" applyFill="1" applyBorder="1" applyAlignment="1">
      <x:alignment wrapText="1"/>
    </x:xf>
    <x:xf numFmtId="0" fontId="96" fillId="79" borderId="0" xfId="0" applyNumberFormat="1" applyFont="1" applyFill="1" applyBorder="1" applyAlignment="1">
      <x:alignment vertical="center" wrapText="1"/>
    </x:xf>
    <x:xf numFmtId="0" fontId="96" fillId="79" borderId="64" xfId="0" applyNumberFormat="1" applyFont="1" applyFill="1" applyBorder="1" applyAlignment="1">
      <x:alignment wrapText="1"/>
    </x:xf>
    <x:xf numFmtId="0" fontId="96" fillId="79" borderId="64" xfId="0" applyNumberFormat="1" applyFont="1" applyFill="1" applyBorder="1" applyAlignment="1">
      <x:alignment vertical="center" wrapText="1"/>
    </x:xf>
    <x:xf numFmtId="0" fontId="17" fillId="79" borderId="0" xfId="0" applyNumberFormat="1" applyFont="1" applyFill="1" applyBorder="1" applyAlignment="1">
      <x:alignment wrapText="1"/>
    </x:xf>
    <x:xf numFmtId="0" fontId="121" fillId="79" borderId="0" xfId="0" applyNumberFormat="1" applyFont="1" applyFill="1" applyBorder="1" applyAlignment="1">
      <x:alignment wrapText="1"/>
    </x:xf>
    <x:xf numFmtId="0" fontId="17" fillId="79" borderId="64" xfId="0" applyNumberFormat="1" applyFont="1" applyFill="1" applyBorder="1" applyAlignment="1">
      <x:alignment wrapText="1"/>
    </x:xf>
    <x:xf numFmtId="0" fontId="121" fillId="79" borderId="64" xfId="0" applyNumberFormat="1" applyFont="1" applyFill="1" applyBorder="1" applyAlignment="1">
      <x:alignment wrapText="1"/>
    </x:xf>
    <x:xf numFmtId="0" fontId="122" fillId="81" borderId="0" xfId="0" applyNumberFormat="1" applyFont="1" applyFill="1" applyBorder="1" applyAlignment="1">
      <x:alignment wrapText="1"/>
    </x:xf>
    <x:xf numFmtId="0" fontId="123" fillId="81" borderId="0" xfId="0" applyNumberFormat="1" applyFont="1" applyFill="1" applyBorder="1" applyAlignment="1">
      <x:alignment wrapText="1"/>
    </x:xf>
    <x:xf numFmtId="0" fontId="152" fillId="81" borderId="0" xfId="0" applyNumberFormat="1" applyFont="1" applyFill="1" applyBorder="1" applyAlignment="1">
      <x:alignment wrapText="1"/>
    </x:xf>
    <x:xf numFmtId="0" fontId="153" fillId="81" borderId="0" xfId="0" applyNumberFormat="1" applyFont="1" applyFill="1" applyBorder="1" applyAlignment="1">
      <x:alignment wrapText="1"/>
    </x:xf>
    <x:xf numFmtId="0" fontId="122" fillId="81" borderId="64" xfId="0" applyNumberFormat="1" applyFont="1" applyFill="1" applyBorder="1" applyAlignment="1">
      <x:alignment wrapText="1"/>
    </x:xf>
    <x:xf numFmtId="0" fontId="123" fillId="81" borderId="64" xfId="0" applyNumberFormat="1" applyFont="1" applyFill="1" applyBorder="1" applyAlignment="1">
      <x:alignment wrapText="1"/>
    </x:xf>
    <x:xf numFmtId="0" fontId="152" fillId="81" borderId="64" xfId="0" applyNumberFormat="1" applyFont="1" applyFill="1" applyBorder="1" applyAlignment="1">
      <x:alignment wrapText="1"/>
    </x:xf>
    <x:xf numFmtId="0" fontId="153" fillId="81" borderId="64" xfId="0" applyNumberFormat="1" applyFont="1" applyFill="1" applyBorder="1" applyAlignment="1">
      <x:alignment wrapText="1"/>
    </x:xf>
    <x:xf numFmtId="0" fontId="19" fillId="80" borderId="0" xfId="0" applyNumberFormat="1" applyFont="1" applyFill="1" applyBorder="1" applyAlignment="1">
      <x:alignment wrapText="1"/>
    </x:xf>
    <x:xf numFmtId="0" fontId="19" fillId="80" borderId="64" xfId="0" applyNumberFormat="1" applyFont="1" applyFill="1" applyBorder="1" applyAlignment="1">
      <x:alignment wrapText="1"/>
    </x:xf>
    <x:xf numFmtId="0" fontId="136" fillId="82" borderId="0" xfId="0" applyNumberFormat="1" applyFont="1" applyFill="1" applyBorder="1" applyAlignment="1">
      <x:alignment wrapText="1"/>
    </x:xf>
    <x:xf numFmtId="0" fontId="124" fillId="82" borderId="0" xfId="0" applyNumberFormat="1" applyFont="1" applyFill="1" applyBorder="1" applyAlignment="1">
      <x:alignment wrapText="1"/>
    </x:xf>
    <x:xf numFmtId="0" fontId="154" fillId="82" borderId="0" xfId="0" applyNumberFormat="1" applyFont="1" applyFill="1" applyBorder="1" applyAlignment="1">
      <x:alignment wrapText="1"/>
    </x:xf>
    <x:xf numFmtId="0" fontId="155" fillId="82" borderId="0" xfId="0" applyNumberFormat="1" applyFont="1" applyFill="1" applyBorder="1" applyAlignment="1">
      <x:alignment wrapText="1"/>
    </x:xf>
    <x:xf numFmtId="0" fontId="136" fillId="82" borderId="64" xfId="0" applyNumberFormat="1" applyFont="1" applyFill="1" applyBorder="1" applyAlignment="1">
      <x:alignment wrapText="1"/>
    </x:xf>
    <x:xf numFmtId="0" fontId="124" fillId="82" borderId="64" xfId="0" applyNumberFormat="1" applyFont="1" applyFill="1" applyBorder="1" applyAlignment="1">
      <x:alignment wrapText="1"/>
    </x:xf>
    <x:xf numFmtId="0" fontId="154" fillId="82" borderId="64" xfId="0" applyNumberFormat="1" applyFont="1" applyFill="1" applyBorder="1" applyAlignment="1">
      <x:alignment wrapText="1"/>
    </x:xf>
    <x:xf numFmtId="0" fontId="155" fillId="82" borderId="64" xfId="0" applyNumberFormat="1" applyFont="1" applyFill="1" applyBorder="1" applyAlignment="1">
      <x:alignment wrapText="1"/>
    </x:xf>
    <x:xf numFmtId="0" fontId="125" fillId="82" borderId="10" xfId="0" applyNumberFormat="1" applyFont="1" applyFill="1" applyBorder="1" applyAlignment="1">
      <x:alignment wrapText="1"/>
    </x:xf>
    <x:xf numFmtId="0" fontId="125" fillId="82" borderId="11" xfId="0" applyNumberFormat="1" applyFont="1" applyFill="1" applyBorder="1" applyAlignment="1">
      <x:alignment wrapText="1"/>
    </x:xf>
    <x:xf numFmtId="0" fontId="122" fillId="82" borderId="0" xfId="0" applyNumberFormat="1" applyFont="1" applyFill="1" applyBorder="1" applyAlignment="1">
      <x:alignment wrapText="1"/>
    </x:xf>
    <x:xf numFmtId="0" fontId="156" fillId="82" borderId="10" xfId="0" applyNumberFormat="1" applyFont="1" applyFill="1" applyBorder="1" applyAlignment="1">
      <x:alignment wrapText="1"/>
    </x:xf>
    <x:xf numFmtId="0" fontId="156" fillId="82" borderId="11" xfId="0" applyNumberFormat="1" applyFont="1" applyFill="1" applyBorder="1" applyAlignment="1">
      <x:alignment wrapText="1"/>
    </x:xf>
    <x:xf numFmtId="0" fontId="152" fillId="82" borderId="0" xfId="0" applyNumberFormat="1" applyFont="1" applyFill="1" applyBorder="1" applyAlignment="1">
      <x:alignment wrapText="1"/>
    </x:xf>
    <x:xf numFmtId="0" fontId="125" fillId="82" borderId="70" xfId="0" applyNumberFormat="1" applyFont="1" applyFill="1" applyBorder="1" applyAlignment="1">
      <x:alignment wrapText="1"/>
    </x:xf>
    <x:xf numFmtId="0" fontId="125" fillId="82" borderId="71" xfId="0" applyNumberFormat="1" applyFont="1" applyFill="1" applyBorder="1" applyAlignment="1">
      <x:alignment wrapText="1"/>
    </x:xf>
    <x:xf numFmtId="0" fontId="122" fillId="82" borderId="64" xfId="0" applyNumberFormat="1" applyFont="1" applyFill="1" applyBorder="1" applyAlignment="1">
      <x:alignment wrapText="1"/>
    </x:xf>
    <x:xf numFmtId="0" fontId="156" fillId="82" borderId="70" xfId="0" applyNumberFormat="1" applyFont="1" applyFill="1" applyBorder="1" applyAlignment="1">
      <x:alignment wrapText="1"/>
    </x:xf>
    <x:xf numFmtId="0" fontId="156" fillId="82" borderId="71" xfId="0" applyNumberFormat="1" applyFont="1" applyFill="1" applyBorder="1" applyAlignment="1">
      <x:alignment wrapText="1"/>
    </x:xf>
    <x:xf numFmtId="0" fontId="152" fillId="82" borderId="64" xfId="0" applyNumberFormat="1" applyFont="1" applyFill="1" applyBorder="1" applyAlignment="1">
      <x:alignment wrapText="1"/>
    </x:xf>
    <x:xf numFmtId="0" fontId="128" fillId="82" borderId="10" xfId="0" applyNumberFormat="1" applyFont="1" applyFill="1" applyBorder="1" applyAlignment="1">
      <x:alignment wrapText="1"/>
    </x:xf>
    <x:xf numFmtId="0" fontId="128" fillId="82" borderId="11" xfId="0" applyNumberFormat="1" applyFont="1" applyFill="1" applyBorder="1" applyAlignment="1">
      <x:alignment wrapText="1"/>
    </x:xf>
    <x:xf numFmtId="0" fontId="129" fillId="82" borderId="0" xfId="0" applyNumberFormat="1" applyFont="1" applyFill="1" applyBorder="1" applyAlignment="1">
      <x:alignment wrapText="1"/>
    </x:xf>
    <x:xf numFmtId="0" fontId="131" fillId="82" borderId="0" xfId="0" applyNumberFormat="1" applyFont="1" applyFill="1" applyBorder="1" applyAlignment="1">
      <x:alignment wrapText="1"/>
    </x:xf>
    <x:xf numFmtId="0" fontId="128" fillId="82" borderId="70" xfId="0" applyNumberFormat="1" applyFont="1" applyFill="1" applyBorder="1" applyAlignment="1">
      <x:alignment wrapText="1"/>
    </x:xf>
    <x:xf numFmtId="0" fontId="128" fillId="82" borderId="71" xfId="0" applyNumberFormat="1" applyFont="1" applyFill="1" applyBorder="1" applyAlignment="1">
      <x:alignment wrapText="1"/>
    </x:xf>
    <x:xf numFmtId="0" fontId="129" fillId="82" borderId="64" xfId="0" applyNumberFormat="1" applyFont="1" applyFill="1" applyBorder="1" applyAlignment="1">
      <x:alignment wrapText="1"/>
    </x:xf>
    <x:xf numFmtId="0" fontId="131" fillId="82" borderId="64" xfId="0" applyNumberFormat="1" applyFont="1" applyFill="1" applyBorder="1" applyAlignment="1">
      <x:alignment wrapText="1"/>
    </x:xf>
    <x:xf numFmtId="0" fontId="0" fillId="82" borderId="0" xfId="0" applyNumberFormat="1" applyFont="1" applyFill="1" applyBorder="1" applyAlignment="1">
      <x:alignment vertical="center" wrapText="1"/>
    </x:xf>
    <x:xf numFmtId="0" fontId="130" fillId="82" borderId="0" xfId="0" applyNumberFormat="1" applyFont="1" applyFill="1" applyBorder="1" applyAlignment="1">
      <x:alignment wrapText="1"/>
    </x:xf>
    <x:xf numFmtId="0" fontId="155" fillId="82" borderId="0"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x:xf numFmtId="0" fontId="7" fillId="0" borderId="3"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2" borderId="1" xfId="0" applyNumberFormat="1" applyFont="1" applyFill="1" applyBorder="1" applyAlignment="1">
      <x:alignment horizontal="center" vertical="center"/>
    </x:xf>
    <x:xf numFmtId="0" fontId="2" fillId="0" borderId="3" xfId="0" applyNumberFormat="1" applyFont="1" applyFill="1" applyBorder="1" applyAlignment="1">
      <x:alignment horizontal="left" vertical="center" wrapText="1"/>
    </x:xf>
    <x:xf numFmtId="0" fontId="0" fillId="3" borderId="5" xfId="0" applyNumberFormat="1" applyFont="1" applyFill="1" applyBorder="1" applyAlignment="1">
      <x:alignment wrapText="1"/>
    </x:xf>
    <x:xf numFmtId="0" fontId="3" fillId="0" borderId="3"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3" borderId="4" xfId="0" applyNumberFormat="1" applyFont="1" applyFill="1" applyBorder="1" applyAlignment="1">
      <x:alignment wrapText="1"/>
    </x:xf>
    <x:xf numFmtId="0" fontId="12" fillId="4" borderId="0" xfId="0" applyNumberFormat="1" applyFont="1" applyFill="1" applyBorder="1" applyAlignment="1">
      <x:alignment wrapText="1"/>
    </x:xf>
    <x:xf numFmtId="0" fontId="13" fillId="4" borderId="0" xfId="0" applyNumberFormat="1" applyFont="1" applyFill="1" applyBorder="1" applyAlignment="1">
      <x:alignment wrapText="1"/>
    </x:xf>
    <x:xf numFmtId="0" fontId="14" fillId="4" borderId="1" xfId="0" applyNumberFormat="1" applyFont="1" applyFill="1" applyBorder="1"/>
    <x:xf numFmtId="0" fontId="14" fillId="4" borderId="9" xfId="0" applyNumberFormat="1" applyFont="1" applyFill="1" applyBorder="1"/>
    <x:xf numFmtId="0" fontId="16" fillId="5" borderId="0" xfId="0" applyNumberFormat="1" applyFont="1" applyFill="1" applyBorder="1" applyAlignment="1">
      <x:alignment wrapText="1"/>
    </x:xf>
    <x:xf numFmtId="0" fontId="14" fillId="4" borderId="10" xfId="0" applyNumberFormat="1" applyFont="1" applyFill="1" applyBorder="1"/>
    <x:xf numFmtId="0" fontId="14" fillId="4" borderId="11" xfId="0" applyNumberFormat="1" applyFont="1" applyFill="1" applyBorder="1"/>
    <x:xf numFmtId="0" fontId="19" fillId="4" borderId="0" xfId="0" applyNumberFormat="1" applyFont="1" applyFill="1" applyBorder="1" applyAlignment="1">
      <x:alignment wrapText="1"/>
    </x:xf>
    <x:xf numFmtId="0" fontId="20" fillId="5" borderId="0" xfId="0" applyNumberFormat="1" applyFont="1" applyFill="1" applyBorder="1" applyAlignment="1">
      <x:alignment wrapText="1"/>
    </x:xf>
    <x:xf numFmtId="0" fontId="21" fillId="4" borderId="1" xfId="0" applyNumberFormat="1" applyFont="1" applyFill="1" applyBorder="1" applyAlignment="1">
      <x:alignment horizontal="center" vertical="center"/>
    </x:xf>
    <x:xf numFmtId="0" fontId="14" fillId="4" borderId="9" xfId="0" applyNumberFormat="1" applyFont="1" applyFill="1" applyBorder="1" applyAlignment="1">
      <x:alignment horizontal="center" vertical="center"/>
    </x:xf>
    <x:xf numFmtId="0" fontId="21" fillId="4" borderId="10" xfId="0" applyNumberFormat="1" applyFont="1" applyFill="1" applyBorder="1" applyAlignment="1">
      <x:alignment horizontal="center" vertical="center"/>
    </x:xf>
    <x:xf numFmtId="0" fontId="14" fillId="4" borderId="11" xfId="0" applyNumberFormat="1" applyFont="1" applyFill="1" applyBorder="1" applyAlignment="1">
      <x:alignment horizontal="center" vertical="center"/>
    </x:xf>
    <x:xf numFmtId="0" fontId="21" fillId="4" borderId="1" xfId="0" applyNumberFormat="1" applyFont="1" applyFill="1" applyBorder="1" applyAlignment="1">
      <x:alignment horizontal="center" vertical="center" wrapText="1"/>
    </x:xf>
    <x:xf numFmtId="0" fontId="14" fillId="4" borderId="9" xfId="0" applyNumberFormat="1" applyFont="1" applyFill="1" applyBorder="1" applyAlignment="1">
      <x:alignment horizontal="center" vertical="center" wrapText="1"/>
    </x:xf>
    <x:xf numFmtId="0" fontId="21" fillId="4" borderId="10" xfId="0" applyNumberFormat="1" applyFont="1" applyFill="1" applyBorder="1" applyAlignment="1">
      <x:alignment horizontal="center" vertical="center" wrapText="1"/>
    </x:xf>
    <x:xf numFmtId="0" fontId="14" fillId="4" borderId="11" xfId="0" applyNumberFormat="1" applyFont="1" applyFill="1" applyBorder="1" applyAlignment="1">
      <x:alignment horizontal="center" vertical="center" wrapText="1"/>
    </x:xf>
    <x:xf numFmtId="0" fontId="28" fillId="0" borderId="3" xfId="0" applyNumberFormat="1" applyFont="1" applyFill="1" applyBorder="1" applyAlignment="1">
      <x:alignment vertical="center" wrapText="1"/>
    </x:xf>
    <x:xf numFmtId="0" fontId="23" fillId="6" borderId="4" xfId="0" applyNumberFormat="1" applyFont="1" applyFill="1" applyBorder="1" applyAlignment="1">
      <x:alignment vertical="center" wrapText="1"/>
    </x:xf>
    <x:xf numFmtId="0" fontId="30" fillId="0" borderId="7" xfId="0" applyNumberFormat="1" applyFont="1" applyFill="1" applyBorder="1" applyAlignment="1">
      <x:alignment vertical="center" wrapText="1"/>
    </x:xf>
    <x:xf numFmtId="0" fontId="31" fillId="0" borderId="7" xfId="0" applyNumberFormat="1" applyFont="1" applyFill="1" applyBorder="1" applyAlignment="1">
      <x:alignment vertical="center" wrapText="1"/>
    </x:xf>
    <x:xf numFmtId="0" fontId="28" fillId="0" borderId="8" xfId="0" applyNumberFormat="1" applyFont="1" applyFill="1" applyBorder="1" applyAlignment="1">
      <x:alignment vertical="center" wrapText="1"/>
    </x:xf>
    <x:xf numFmtId="0" fontId="30" fillId="0" borderId="14" xfId="0" applyNumberFormat="1" applyFont="1" applyFill="1" applyBorder="1" applyAlignment="1">
      <x:alignment vertical="center" wrapText="1"/>
    </x:xf>
    <x:xf numFmtId="0" fontId="31" fillId="0" borderId="14" xfId="0" applyNumberFormat="1" applyFont="1" applyFill="1" applyBorder="1" applyAlignment="1">
      <x:alignment vertical="center" wrapText="1"/>
    </x:xf>
    <x:xf numFmtId="0" fontId="21" fillId="4" borderId="9" xfId="0" applyNumberFormat="1" applyFont="1" applyFill="1" applyBorder="1" applyAlignment="1">
      <x:alignment horizontal="center" vertical="center"/>
    </x:xf>
    <x:xf numFmtId="0" fontId="23" fillId="6" borderId="5" xfId="0" applyNumberFormat="1" applyFont="1" applyFill="1" applyBorder="1" applyAlignment="1">
      <x:alignment vertical="center" wrapText="1"/>
    </x:xf>
    <x:xf numFmtId="0" fontId="0" fillId="0" borderId="0" xfId="0" applyNumberFormat="1" applyFont="1" applyFill="1" applyBorder="1" applyAlignment="1">
      <x:alignment horizontal="left" vertical="center"/>
    </x:xf>
    <x:xf numFmtId="0" fontId="21" fillId="4" borderId="15" xfId="0" applyNumberFormat="1" applyFont="1" applyFill="1" applyBorder="1" applyAlignment="1">
      <x:alignment horizontal="left" vertical="center" wrapText="1"/>
    </x:xf>
    <x:xf numFmtId="0" fontId="21" fillId="4" borderId="16" xfId="0" applyNumberFormat="1" applyFont="1" applyFill="1" applyBorder="1" applyAlignment="1">
      <x:alignment horizontal="left" vertical="center" wrapText="1"/>
    </x:xf>
    <x:xf numFmtId="0" fontId="33" fillId="0" borderId="18" xfId="0" applyNumberFormat="1" applyFont="1" applyFill="1" applyBorder="1" applyAlignment="1">
      <x:alignment horizontal="left" vertical="center" wrapText="1"/>
    </x:xf>
    <x:xf numFmtId="0" fontId="33" fillId="0" borderId="19" xfId="0" applyNumberFormat="1" applyFont="1" applyFill="1" applyBorder="1" applyAlignment="1">
      <x:alignment horizontal="left" vertical="center" wrapText="1"/>
    </x:xf>
    <x:xf numFmtId="0" fontId="34" fillId="7" borderId="20" xfId="0" applyNumberFormat="1" applyFont="1" applyFill="1" applyBorder="1" applyAlignment="1">
      <x:alignment horizontal="left" vertical="center" wrapText="1"/>
    </x:xf>
    <x:xf numFmtId="0" fontId="35" fillId="0" borderId="0" xfId="0" applyNumberFormat="1" applyFont="1" applyFill="1" applyBorder="1" applyAlignment="1">
      <x:alignment horizontal="left" vertical="center" wrapText="1"/>
    </x:xf>
    <x:xf numFmtId="0" fontId="34" fillId="7" borderId="21" xfId="0" applyNumberFormat="1" applyFont="1" applyFill="1" applyBorder="1" applyAlignment="1">
      <x:alignment horizontal="left" vertical="center" wrapText="1"/>
    </x:xf>
    <x:xf numFmtId="0" fontId="34" fillId="5" borderId="22" xfId="0" applyNumberFormat="1" applyFont="1" applyFill="1" applyBorder="1" applyAlignment="1">
      <x:alignment horizontal="left" vertical="center" wrapText="1"/>
    </x:xf>
    <x:xf numFmtId="0" fontId="34" fillId="5" borderId="23" xfId="0" applyNumberFormat="1" applyFont="1" applyFill="1" applyBorder="1" applyAlignment="1">
      <x:alignment horizontal="left" vertical="center" wrapText="1"/>
    </x:xf>
    <x:xf numFmtId="0" fontId="34" fillId="7" borderId="22" xfId="0" applyNumberFormat="1" applyFont="1" applyFill="1" applyBorder="1" applyAlignment="1">
      <x:alignment horizontal="left" vertical="center" wrapText="1"/>
    </x:xf>
    <x:xf numFmtId="0" fontId="34" fillId="7" borderId="23" xfId="0" applyNumberFormat="1" applyFont="1" applyFill="1" applyBorder="1" applyAlignment="1">
      <x:alignment horizontal="left" vertical="center" wrapText="1"/>
    </x:xf>
    <x:xf numFmtId="0" fontId="21" fillId="4" borderId="16" xfId="0" applyNumberFormat="1" applyFont="1" applyFill="1" applyBorder="1" applyAlignment="1">
      <x:alignment vertical="center" wrapText="1"/>
    </x:xf>
    <x:xf numFmtId="0" fontId="34" fillId="7" borderId="20" xfId="0" applyNumberFormat="1" applyFont="1" applyFill="1" applyBorder="1" applyAlignment="1">
      <x:alignment vertical="center" wrapText="1"/>
    </x:xf>
    <x:xf numFmtId="0" fontId="34" fillId="5" borderId="22" xfId="0" applyNumberFormat="1" applyFont="1" applyFill="1" applyBorder="1" applyAlignment="1">
      <x:alignment vertical="center" wrapText="1"/>
    </x:xf>
    <x:xf numFmtId="0" fontId="34" fillId="7" borderId="22" xfId="0" applyNumberFormat="1" applyFont="1" applyFill="1" applyBorder="1" applyAlignment="1">
      <x:alignment vertical="center" wrapText="1"/>
    </x:xf>
    <x:xf numFmtId="0" fontId="0" fillId="0" borderId="0" xfId="0" applyNumberFormat="1" applyFont="1" applyFill="1" applyBorder="1" applyAlignment="1">
      <x:alignment horizontal="left" vertical="center" wrapText="1"/>
    </x:xf>
    <x:xf numFmtId="0" fontId="1" fillId="0" borderId="0" xfId="0" applyNumberFormat="1" applyFont="1" applyFill="1" applyBorder="1" applyAlignment="1">
      <x:alignment wrapText="1"/>
    </x:xf>
    <x:xf numFmtId="0" fontId="37" fillId="5" borderId="0" xfId="0" applyNumberFormat="1" applyFont="1" applyFill="1" applyBorder="1" applyAlignment="1">
      <x:alignment wrapText="1"/>
    </x:xf>
    <x:xf numFmtId="0" fontId="1" fillId="0" borderId="0" xfId="0" applyNumberFormat="1" applyFont="1" applyFill="1" applyBorder="1" applyAlignment="1">
      <x:alignment horizontal="left" vertical="center" wrapText="1"/>
    </x:xf>
    <x:xf numFmtId="0" fontId="19" fillId="4" borderId="0" xfId="0" applyNumberFormat="1" applyFont="1" applyFill="1" applyBorder="1" applyAlignment="1">
      <x:alignment horizontal="left" vertical="center" wrapText="1"/>
    </x:xf>
    <x:xf numFmtId="0" fontId="14" fillId="4" borderId="1" xfId="0" applyNumberFormat="1" applyFont="1" applyFill="1" applyBorder="1" applyAlignment="1">
      <x:alignment horizontal="left" vertical="center" wrapText="1"/>
    </x:xf>
    <x:xf numFmtId="0" fontId="14" fillId="4" borderId="9" xfId="0" applyNumberFormat="1" applyFont="1" applyFill="1" applyBorder="1" applyAlignment="1">
      <x:alignment horizontal="left" vertical="center" wrapText="1"/>
    </x:xf>
    <x:xf numFmtId="0" fontId="20" fillId="5" borderId="0" xfId="0" applyNumberFormat="1" applyFont="1" applyFill="1" applyBorder="1" applyAlignment="1">
      <x:alignment horizontal="left" vertical="center" wrapText="1"/>
    </x:xf>
    <x:xf numFmtId="0" fontId="14" fillId="4" borderId="10" xfId="0" applyNumberFormat="1" applyFont="1" applyFill="1" applyBorder="1" applyAlignment="1">
      <x:alignment horizontal="left" vertical="center" wrapText="1"/>
    </x:xf>
    <x:xf numFmtId="0" fontId="14" fillId="4" borderId="11" xfId="0" applyNumberFormat="1" applyFont="1" applyFill="1" applyBorder="1" applyAlignment="1">
      <x:alignment horizontal="left" vertical="center" wrapText="1"/>
    </x:xf>
    <x:xf numFmtId="0" fontId="2" fillId="0" borderId="15" xfId="0" applyNumberFormat="1" applyFont="1" applyFill="1" applyBorder="1" applyAlignment="1">
      <x:alignment horizontal="left" vertical="center" wrapText="1"/>
    </x:xf>
    <x:xf numFmtId="0" fontId="0" fillId="3" borderId="15" xfId="0" applyNumberFormat="1" applyFont="1" applyFill="1" applyBorder="1" applyAlignment="1">
      <x:alignment wrapText="1"/>
    </x:xf>
    <x:xf numFmtId="0" fontId="3" fillId="0" borderId="15" xfId="0" applyNumberFormat="1" applyFont="1" applyFill="1" applyBorder="1" applyAlignment="1">
      <x:alignment horizontal="left" vertical="center" wrapText="1"/>
    </x:xf>
    <x:xf numFmtId="0" fontId="7" fillId="0" borderId="15" xfId="0" applyNumberFormat="1" applyFont="1" applyFill="1" applyBorder="1" applyAlignment="1">
      <x:alignment horizontal="left" vertical="center" wrapText="1"/>
    </x:xf>
    <x:xf numFmtId="0" fontId="34" fillId="7" borderId="15" xfId="0" applyNumberFormat="1" applyFont="1" applyFill="1" applyBorder="1" applyAlignment="1">
      <x:alignment horizontal="left" vertical="center" wrapText="1"/>
    </x:xf>
    <x:xf numFmtId="0" fontId="35" fillId="0" borderId="15" xfId="0" applyNumberFormat="1" applyFont="1" applyFill="1" applyBorder="1" applyAlignment="1">
      <x:alignment horizontal="left" vertical="center" wrapText="1"/>
    </x:xf>
    <x:xf numFmtId="0" fontId="34" fillId="5" borderId="15" xfId="0" applyNumberFormat="1" applyFont="1" applyFill="1" applyBorder="1" applyAlignment="1">
      <x:alignment horizontal="left" vertical="center" wrapText="1"/>
    </x:xf>
    <x:xf numFmtId="0" fontId="38" fillId="5" borderId="0" xfId="0" applyNumberFormat="1" applyFont="1" applyFill="1" applyBorder="1" applyAlignment="1">
      <x:alignment wrapText="1"/>
    </x:xf>
    <x:xf numFmtId="0" fontId="40" fillId="5" borderId="0" xfId="0" applyNumberFormat="1" applyFont="1" applyFill="1" applyBorder="1" applyAlignment="1">
      <x:alignment wrapText="1"/>
    </x:xf>
    <x:xf numFmtId="0" fontId="38" fillId="5" borderId="0" xfId="0" applyNumberFormat="1" applyFont="1" applyFill="1" applyBorder="1" applyAlignment="1">
      <x:alignment vertical="center" wrapText="1"/>
    </x:xf>
    <x:xf numFmtId="0" fontId="16" fillId="5" borderId="0" xfId="0" applyNumberFormat="1" applyFont="1" applyFill="1" applyBorder="1" applyAlignment="1">
      <x:alignment vertical="center" wrapText="1"/>
    </x:xf>
    <x:xf numFmtId="0" fontId="42" fillId="5" borderId="0" xfId="0" applyNumberFormat="1" applyFont="1" applyFill="1" applyBorder="1" applyAlignment="1">
      <x:alignment horizontal="center" vertical="center" wrapText="1"/>
    </x:xf>
    <x:xf numFmtId="0" fontId="45" fillId="5" borderId="0" xfId="0" applyNumberFormat="1" applyFont="1" applyFill="1" applyBorder="1" applyAlignment="1">
      <x:alignment horizontal="center" vertical="center" wrapText="1"/>
    </x:xf>
    <x:xf numFmtId="0" fontId="46" fillId="5" borderId="0" xfId="0" applyNumberFormat="1" applyFont="1" applyFill="1" applyBorder="1" applyAlignment="1">
      <x:alignment horizontal="center" vertical="center" wrapText="1"/>
    </x:xf>
    <x:xf numFmtId="0" fontId="12" fillId="4" borderId="0" xfId="0" applyNumberFormat="1" applyFont="1" applyFill="1" applyBorder="1" applyAlignment="1">
      <x:alignment horizontal="center" vertical="center" wrapText="1"/>
    </x:xf>
    <x:xf numFmtId="0" fontId="43" fillId="5" borderId="0" xfId="0" applyNumberFormat="1" applyFont="1" applyFill="1" applyBorder="1" applyAlignment="1">
      <x:alignment horizontal="center" vertical="center" wrapText="1"/>
    </x:xf>
    <x:xf numFmtId="0" fontId="49" fillId="5" borderId="0" xfId="0" applyNumberFormat="1" applyFont="1" applyFill="1" applyBorder="1" applyAlignment="1">
      <x:alignment horizontal="center" vertical="center" wrapText="1"/>
    </x:xf>
    <x:xf numFmtId="0" fontId="50" fillId="5" borderId="0" xfId="0" applyNumberFormat="1" applyFont="1" applyFill="1" applyBorder="1" applyAlignment="1">
      <x:alignment horizontal="center" vertical="center" wrapText="1"/>
    </x:xf>
    <x:xf numFmtId="0" fontId="51" fillId="5" borderId="0" xfId="0" applyNumberFormat="1" applyFont="1" applyFill="1" applyBorder="1" applyAlignment="1">
      <x:alignment horizontal="center" vertical="center" wrapText="1"/>
    </x:xf>
    <x:xf numFmtId="0" fontId="47" fillId="5" borderId="0" xfId="0" applyNumberFormat="1" applyFont="1" applyFill="1" applyBorder="1" applyAlignment="1">
      <x:alignment horizontal="center" vertical="center" wrapText="1"/>
    </x:xf>
    <x:xf numFmtId="0" fontId="15" fillId="5" borderId="20" xfId="0" applyNumberFormat="1" applyFont="1" applyFill="1" applyBorder="1" applyAlignment="1">
      <x:alignment horizontal="left" vertical="center" wrapText="1"/>
    </x:xf>
    <x:xf numFmtId="0" fontId="15" fillId="5" borderId="21" xfId="0" applyNumberFormat="1" applyFont="1" applyFill="1" applyBorder="1" applyAlignment="1">
      <x:alignment horizontal="left" vertical="center" wrapText="1"/>
    </x:xf>
    <x:xf numFmtId="0" fontId="15" fillId="5" borderId="22" xfId="0" applyNumberFormat="1" applyFont="1" applyFill="1" applyBorder="1" applyAlignment="1">
      <x:alignment horizontal="left" vertical="center" wrapText="1"/>
    </x:xf>
    <x:xf numFmtId="0" fontId="15" fillId="5" borderId="23" xfId="0" applyNumberFormat="1" applyFont="1" applyFill="1" applyBorder="1" applyAlignment="1">
      <x:alignment horizontal="left" vertical="center" wrapText="1"/>
    </x:xf>
    <x:xf numFmtId="0" fontId="15" fillId="5" borderId="29" xfId="0" applyNumberFormat="1" applyFont="1" applyFill="1" applyBorder="1" applyAlignment="1">
      <x:alignment horizontal="left" vertical="center" wrapText="1"/>
    </x:xf>
    <x:xf numFmtId="0" fontId="15" fillId="5" borderId="30" xfId="0" applyNumberFormat="1" applyFont="1" applyFill="1" applyBorder="1" applyAlignment="1">
      <x:alignment horizontal="left" vertical="center" wrapText="1"/>
    </x:xf>
    <x:xf numFmtId="0" fontId="12" fillId="4" borderId="16" xfId="0" applyNumberFormat="1" applyFont="1" applyFill="1" applyBorder="1" applyAlignment="1">
      <x:alignment horizontal="center" vertical="center" wrapText="1"/>
    </x:xf>
    <x:xf numFmtId="0" fontId="12" fillId="4" borderId="17" xfId="0" applyNumberFormat="1" applyFont="1" applyFill="1" applyBorder="1" applyAlignment="1">
      <x:alignment horizontal="center" vertical="center" wrapText="1"/>
    </x:xf>
    <x:xf numFmtId="0" fontId="15" fillId="5" borderId="32" xfId="0" applyNumberFormat="1" applyFont="1" applyFill="1" applyBorder="1" applyAlignment="1">
      <x:alignment horizontal="left" vertical="center" wrapText="1"/>
    </x:xf>
    <x:xf numFmtId="0" fontId="15" fillId="5" borderId="33" xfId="0" applyNumberFormat="1" applyFont="1" applyFill="1" applyBorder="1" applyAlignment="1">
      <x:alignment horizontal="left" vertical="center" wrapText="1"/>
    </x:xf>
    <x:xf numFmtId="0" fontId="15" fillId="5" borderId="0" xfId="0" applyNumberFormat="1" applyFont="1" applyFill="1" applyBorder="1" applyAlignment="1">
      <x:alignment horizontal="left" vertical="center" wrapText="1"/>
    </x:xf>
    <x:xf numFmtId="0" fontId="42" fillId="5" borderId="17" xfId="0" applyNumberFormat="1" applyFont="1" applyFill="1" applyBorder="1" applyAlignment="1">
      <x:alignment vertical="center" wrapText="1"/>
    </x:xf>
    <x:xf numFmtId="0" fontId="45" fillId="5" borderId="17" xfId="0" applyNumberFormat="1" applyFont="1" applyFill="1" applyBorder="1" applyAlignment="1">
      <x:alignment vertical="center" wrapText="1"/>
    </x:xf>
    <x:xf numFmtId="0" fontId="41" fillId="2" borderId="0" xfId="0" applyNumberFormat="1" applyFont="1" applyFill="1" applyBorder="1" applyAlignment="1">
      <x:alignment horizontal="center" vertical="center" wrapText="1"/>
    </x:xf>
    <x:xf numFmtId="0" fontId="35" fillId="0" borderId="0" xfId="0" applyNumberFormat="1" applyFont="1" applyFill="1" applyBorder="1"/>
    <x:xf numFmtId="0" fontId="5" fillId="2" borderId="18" xfId="0" applyNumberFormat="1" applyFont="1" applyFill="1" applyBorder="1" applyAlignment="1">
      <x:alignment horizontal="center" vertical="center" wrapText="1"/>
    </x:xf>
    <x:xf numFmtId="0" fontId="5" fillId="2" borderId="19" xfId="0" applyNumberFormat="1" applyFont="1" applyFill="1" applyBorder="1" applyAlignment="1">
      <x:alignment horizontal="center" vertical="center" wrapText="1"/>
    </x:xf>
    <x:xf numFmtId="0" fontId="12" fillId="4" borderId="0" xfId="0" applyNumberFormat="1" applyFont="1" applyFill="1" applyBorder="1" applyAlignment="1">
      <x:alignment horizontal="left" vertical="center" wrapText="1"/>
    </x:xf>
    <x:xf numFmtId="0" fontId="14" fillId="4" borderId="1" xfId="0" applyNumberFormat="1" applyFont="1" applyFill="1" applyBorder="1" applyAlignment="1">
      <x:alignment wrapText="1"/>
    </x:xf>
    <x:xf numFmtId="0" fontId="14" fillId="4" borderId="9" xfId="0" applyNumberFormat="1" applyFont="1" applyFill="1" applyBorder="1" applyAlignment="1">
      <x:alignment wrapText="1"/>
    </x:xf>
    <x:xf numFmtId="0" fontId="14" fillId="4" borderId="10" xfId="0" applyNumberFormat="1" applyFont="1" applyFill="1" applyBorder="1" applyAlignment="1">
      <x:alignment wrapText="1"/>
    </x:xf>
    <x:xf numFmtId="0" fontId="14" fillId="4" borderId="11" xfId="0" applyNumberFormat="1" applyFont="1" applyFill="1" applyBorder="1" applyAlignment="1">
      <x:alignment wrapText="1"/>
    </x:xf>
    <x:xf numFmtId="0" fontId="13" fillId="4" borderId="0" xfId="0" applyNumberFormat="1" applyFont="1" applyFill="1" applyBorder="1" applyAlignment="1">
      <x:alignment horizontal="left" vertical="center" wrapText="1"/>
    </x:xf>
    <x:xf numFmtId="0" fontId="0" fillId="0" borderId="17" xfId="0" applyNumberFormat="1" applyFont="1" applyFill="1" applyBorder="1" applyAlignment="1">
      <x:alignment wrapText="1"/>
    </x:xf>
    <x:xf numFmtId="0" fontId="0" fillId="0" borderId="16" xfId="0" applyNumberFormat="1" applyFont="1" applyFill="1" applyBorder="1" applyAlignment="1">
      <x:alignment wrapText="1"/>
    </x:xf>
    <x:xf numFmtId="0" fontId="12" fillId="4" borderId="17" xfId="0" applyNumberFormat="1" applyFont="1" applyFill="1" applyBorder="1" applyAlignment="1">
      <x:alignment horizontal="left" vertical="center" wrapText="1"/>
    </x:xf>
    <x:xf numFmtId="0" fontId="41" fillId="2" borderId="19" xfId="0" applyNumberFormat="1" applyFont="1" applyFill="1" applyBorder="1" applyAlignment="1">
      <x:alignment horizontal="center" vertical="center" wrapText="1"/>
    </x:xf>
    <x:xf numFmtId="0" fontId="12" fillId="4" borderId="19" xfId="0" applyNumberFormat="1" applyFont="1" applyFill="1" applyBorder="1" applyAlignment="1">
      <x:alignment horizontal="left" vertical="center" wrapText="1"/>
    </x:xf>
    <x:xf numFmtId="0" fontId="0" fillId="0" borderId="27" xfId="0" applyNumberFormat="1" applyFont="1" applyFill="1" applyBorder="1" applyAlignment="1">
      <x:alignment wrapText="1"/>
    </x:xf>
    <x:xf numFmtId="0" fontId="0" fillId="0" borderId="19" xfId="0" applyNumberFormat="1" applyFont="1" applyFill="1" applyBorder="1" applyAlignment="1">
      <x:alignment wrapText="1"/>
    </x:xf>
    <x:xf numFmtId="0" fontId="39" fillId="4" borderId="0" xfId="0" applyNumberFormat="1" applyFont="1" applyFill="1" applyBorder="1" applyAlignment="1">
      <x:alignment wrapText="1"/>
    </x:xf>
    <x:xf numFmtId="0" fontId="46" fillId="5" borderId="17" xfId="0" applyNumberFormat="1" applyFont="1" applyFill="1" applyBorder="1" applyAlignment="1">
      <x:alignment vertical="center" wrapText="1"/>
    </x:xf>
    <x:xf numFmtId="0" fontId="41" fillId="2" borderId="17" xfId="0" applyNumberFormat="1" applyFont="1" applyFill="1" applyBorder="1" applyAlignment="1">
      <x:alignment vertical="center" wrapText="1"/>
    </x:xf>
    <x:xf numFmtId="0" fontId="47" fillId="5" borderId="17" xfId="0" applyNumberFormat="1" applyFont="1" applyFill="1" applyBorder="1" applyAlignment="1">
      <x:alignment vertical="center" wrapText="1"/>
    </x:xf>
    <x:xf numFmtId="0" fontId="35" fillId="0" borderId="17" xfId="0" applyNumberFormat="1" applyFont="1" applyFill="1" applyBorder="1" applyAlignment="1">
      <x:alignment wrapText="1"/>
    </x:xf>
    <x:xf numFmtId="0" fontId="0" fillId="0" borderId="31" xfId="0" applyNumberFormat="1" applyFont="1" applyFill="1" applyBorder="1" applyAlignment="1">
      <x:alignment wrapText="1"/>
    </x:xf>
    <x:xf numFmtId="0" fontId="21" fillId="4" borderId="36" xfId="0" applyNumberFormat="1" applyFont="1" applyFill="1" applyBorder="1" applyAlignment="1">
      <x:alignment horizontal="left" vertical="center" wrapText="1"/>
    </x:xf>
    <x:xf numFmtId="0" fontId="21" fillId="4" borderId="17" xfId="0" applyNumberFormat="1" applyFont="1" applyFill="1" applyBorder="1" applyAlignment="1">
      <x:alignment horizontal="left" vertical="center" wrapText="1"/>
    </x:xf>
    <x:xf numFmtId="0" fontId="28" fillId="5" borderId="37" xfId="0" applyNumberFormat="1" applyFont="1" applyFill="1" applyBorder="1" applyAlignment="1">
      <x:alignment horizontal="center" vertical="center" wrapText="1"/>
    </x:xf>
    <x:xf numFmtId="0" fontId="28" fillId="5" borderId="38" xfId="0" applyNumberFormat="1" applyFont="1" applyFill="1" applyBorder="1" applyAlignment="1">
      <x:alignment horizontal="center" vertical="center" wrapText="1"/>
    </x:xf>
    <x:xf numFmtId="0" fontId="28" fillId="5" borderId="39" xfId="0" applyNumberFormat="1" applyFont="1" applyFill="1" applyBorder="1" applyAlignment="1">
      <x:alignment horizontal="center" vertical="center" wrapText="1"/>
    </x:xf>
    <x:xf numFmtId="0" fontId="28" fillId="5" borderId="19" xfId="0" applyNumberFormat="1" applyFont="1" applyFill="1" applyBorder="1" applyAlignment="1">
      <x:alignment horizontal="center" vertical="center" wrapText="1"/>
    </x:xf>
    <x:xf numFmtId="0" fontId="34" fillId="7" borderId="40" xfId="0" applyNumberFormat="1" applyFont="1" applyFill="1" applyBorder="1" applyAlignment="1">
      <x:alignment horizontal="left" vertical="center" wrapText="1"/>
    </x:xf>
    <x:xf numFmtId="0" fontId="34" fillId="7" borderId="18" xfId="0" applyNumberFormat="1" applyFont="1" applyFill="1" applyBorder="1" applyAlignment="1">
      <x:alignment horizontal="left" vertical="center" wrapText="1"/>
    </x:xf>
    <x:xf numFmtId="0" fontId="23" fillId="5" borderId="0" xfId="0" applyNumberFormat="1" applyFont="1" applyFill="1" applyBorder="1" applyAlignment="1">
      <x:alignment horizontal="left" vertical="center" wrapText="1"/>
    </x:xf>
    <x:xf numFmtId="0" fontId="34" fillId="7" borderId="37" xfId="0" applyNumberFormat="1" applyFont="1" applyFill="1" applyBorder="1" applyAlignment="1">
      <x:alignment horizontal="left" vertical="center" wrapText="1"/>
    </x:xf>
    <x:xf numFmtId="0" fontId="34" fillId="7" borderId="0" xfId="0" applyNumberFormat="1" applyFont="1" applyFill="1" applyBorder="1" applyAlignment="1">
      <x:alignment horizontal="left" vertical="center" wrapText="1"/>
    </x:xf>
    <x:xf numFmtId="0" fontId="34" fillId="7" borderId="38" xfId="0" applyNumberFormat="1" applyFont="1" applyFill="1" applyBorder="1" applyAlignment="1">
      <x:alignment horizontal="left" vertical="center" wrapText="1"/>
    </x:xf>
    <x:xf numFmtId="0" fontId="34" fillId="7" borderId="39" xfId="0" applyNumberFormat="1" applyFont="1" applyFill="1" applyBorder="1" applyAlignment="1">
      <x:alignment horizontal="left" vertical="center" wrapText="1"/>
    </x:xf>
    <x:xf numFmtId="0" fontId="34" fillId="7" borderId="27" xfId="0" applyNumberFormat="1" applyFont="1" applyFill="1" applyBorder="1" applyAlignment="1">
      <x:alignment horizontal="left" vertical="center" wrapText="1"/>
    </x:xf>
    <x:xf numFmtId="0" fontId="34" fillId="7" borderId="19" xfId="0" applyNumberFormat="1" applyFont="1" applyFill="1" applyBorder="1" applyAlignment="1">
      <x:alignment horizontal="left" vertical="center" wrapText="1"/>
    </x:xf>
    <x:xf numFmtId="0" fontId="56" fillId="0" borderId="0" xfId="0" applyNumberFormat="1" applyFont="1" applyFill="1" applyBorder="1" applyAlignment="1">
      <x:alignment wrapText="1"/>
    </x:xf>
    <x:xf numFmtId="0" fontId="56" fillId="0" borderId="0" xfId="0" applyNumberFormat="1" applyFont="1" applyFill="1" applyBorder="1"/>
    <x:xf numFmtId="0" fontId="57" fillId="0" borderId="0" xfId="0" applyNumberFormat="1" applyFont="1" applyFill="1" applyBorder="1"/>
    <x:xf numFmtId="0" fontId="55" fillId="2" borderId="24" xfId="0" applyNumberFormat="1" applyFont="1" applyFill="1" applyBorder="1" applyAlignment="1">
      <x:alignment horizontal="center" vertical="center" wrapText="1"/>
    </x:xf>
    <x:xf numFmtId="0" fontId="15" fillId="5" borderId="24" xfId="0" applyNumberFormat="1" applyFont="1" applyFill="1" applyBorder="1" applyAlignment="1">
      <x:alignment wrapText="1"/>
    </x:xf>
    <x:xf numFmtId="0" fontId="16" fillId="5" borderId="24" xfId="0" applyNumberFormat="1" applyFont="1" applyFill="1" applyBorder="1" applyAlignment="1">
      <x:alignment wrapText="1"/>
    </x:xf>
    <x:xf numFmtId="0" fontId="12" fillId="4" borderId="24" xfId="0" applyNumberFormat="1" applyFont="1" applyFill="1" applyBorder="1" applyAlignment="1">
      <x:alignment wrapText="1"/>
    </x:xf>
    <x:xf numFmtId="0" fontId="56" fillId="0" borderId="24" xfId="0" applyNumberFormat="1" applyFont="1" applyFill="1" applyBorder="1" applyAlignment="1">
      <x:alignment wrapText="1"/>
    </x:xf>
    <x:xf numFmtId="0" fontId="16" fillId="5" borderId="24" xfId="0" applyNumberFormat="1" applyFont="1" applyFill="1" applyBorder="1" applyAlignment="1">
      <x:alignment vertical="center" wrapText="1"/>
    </x:xf>
    <x:xf numFmtId="0" fontId="15" fillId="5" borderId="24" xfId="0" applyNumberFormat="1" applyFont="1" applyFill="1" applyBorder="1" applyAlignment="1">
      <x:alignment vertical="center" wrapText="1"/>
    </x:xf>
    <x:xf numFmtId="0" fontId="13" fillId="4" borderId="24" xfId="0" applyNumberFormat="1" applyFont="1" applyFill="1" applyBorder="1" applyAlignment="1">
      <x:alignment horizontal="center" wrapText="1"/>
    </x:xf>
    <x:xf numFmtId="0" fontId="56" fillId="0" borderId="24" xfId="0" applyNumberFormat="1" applyFont="1" applyFill="1" applyBorder="1"/>
    <x:xf numFmtId="0" fontId="57" fillId="2" borderId="24"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61" fillId="2" borderId="0" xfId="0" applyNumberFormat="1" applyFont="1" applyFill="1" applyBorder="1"/>
    <x:xf numFmtId="0" fontId="1" fillId="2" borderId="0" xfId="0" applyNumberFormat="1" applyFont="1" applyFill="1" applyBorder="1" applyAlignment="1">
      <x:alignment horizontal="center" wrapText="1"/>
    </x:xf>
    <x:xf numFmtId="0" fontId="63" fillId="5" borderId="0" xfId="0" applyNumberFormat="1" applyFont="1" applyFill="1" applyBorder="1" applyAlignment="1">
      <x:alignment vertical="center" wrapText="1"/>
    </x:xf>
    <x:xf numFmtId="0" fontId="63" fillId="19" borderId="0" xfId="0" applyNumberFormat="1" applyFont="1" applyFill="1" applyBorder="1" applyAlignment="1">
      <x:alignment vertical="center" wrapText="1"/>
    </x:xf>
    <x:xf numFmtId="0" fontId="63" fillId="20" borderId="0" xfId="0" applyNumberFormat="1" applyFont="1" applyFill="1" applyBorder="1" applyAlignment="1">
      <x:alignment vertical="center" wrapText="1"/>
    </x:xf>
    <x:xf numFmtId="0" fontId="61" fillId="2" borderId="0" xfId="0" applyNumberFormat="1" applyFont="1" applyFill="1" applyBorder="1" applyAlignment="1">
      <x:alignment vertical="center"/>
    </x:xf>
    <x:xf numFmtId="0" fontId="65" fillId="2" borderId="0" xfId="0" applyNumberFormat="1" applyFont="1" applyFill="1" applyBorder="1" applyAlignment="1">
      <x:alignment horizontal="center" vertical="center" wrapText="1"/>
    </x:xf>
    <x:xf numFmtId="0" fontId="68" fillId="5" borderId="0" xfId="0" applyNumberFormat="1" applyFont="1" applyFill="1" applyBorder="1" applyAlignment="1">
      <x:alignment vertical="center" wrapText="1"/>
    </x:xf>
    <x:xf numFmtId="0" fontId="68" fillId="22" borderId="0" xfId="0" applyNumberFormat="1" applyFont="1" applyFill="1" applyBorder="1" applyAlignment="1">
      <x:alignment vertical="center" wrapText="1"/>
    </x:xf>
    <x:xf numFmtId="0" fontId="68" fillId="23" borderId="0" xfId="0" applyNumberFormat="1" applyFont="1" applyFill="1" applyBorder="1" applyAlignment="1">
      <x:alignment vertical="center" wrapText="1"/>
    </x:xf>
    <x:xf numFmtId="0" fontId="61" fillId="2" borderId="0" xfId="0" applyNumberFormat="1" applyFont="1" applyFill="1" applyBorder="1" applyAlignment="1">
      <x:alignment horizontal="center" vertical="center"/>
    </x:xf>
    <x:xf numFmtId="0" fontId="69" fillId="2" borderId="0" xfId="0" applyNumberFormat="1" applyFont="1" applyFill="1" applyBorder="1" applyAlignment="1">
      <x:alignment horizontal="center" vertical="center" wrapText="1"/>
    </x:xf>
    <x:xf numFmtId="0" fontId="67" fillId="24" borderId="0" xfId="0" applyNumberFormat="1" applyFont="1" applyFill="1" applyBorder="1" applyAlignment="1">
      <x:alignment horizontal="left" vertical="center" wrapText="1"/>
    </x:xf>
    <x:xf numFmtId="0" fontId="0" fillId="26" borderId="0" xfId="0" applyNumberFormat="1" applyFont="1" applyFill="1" applyBorder="1" applyAlignment="1">
      <x:alignment vertical="center" wrapText="1"/>
    </x:xf>
    <x:xf numFmtId="0" fontId="61" fillId="2" borderId="0" xfId="0" applyNumberFormat="1" applyFont="1" applyFill="1" applyBorder="1" applyAlignment="1">
      <x:alignment horizontal="left" vertical="center" wrapText="1"/>
    </x:xf>
    <x:xf numFmtId="0" fontId="71" fillId="2" borderId="0" xfId="0" applyNumberFormat="1" applyFont="1" applyFill="1" applyBorder="1" applyAlignment="1">
      <x:alignment horizontal="center" vertical="center" wrapText="1"/>
    </x:xf>
    <x:xf numFmtId="0" fontId="0" fillId="27" borderId="0" xfId="0" applyNumberFormat="1" applyFont="1" applyFill="1" applyBorder="1" applyAlignment="1">
      <x:alignment vertical="center" wrapText="1"/>
    </x:xf>
    <x:xf numFmtId="0" fontId="71" fillId="2" borderId="24" xfId="0" applyNumberFormat="1" applyFont="1" applyFill="1" applyBorder="1" applyAlignment="1">
      <x:alignment horizontal="center" vertical="center" wrapText="1"/>
    </x:xf>
    <x:xf numFmtId="0" fontId="0" fillId="0" borderId="24" xfId="0" applyNumberFormat="1" applyFont="1" applyFill="1" applyBorder="1" applyAlignment="1">
      <x:alignment vertical="center" wrapText="1"/>
    </x:xf>
    <x:xf numFmtId="0" fontId="0" fillId="26" borderId="24" xfId="0" applyNumberFormat="1" applyFont="1" applyFill="1" applyBorder="1" applyAlignment="1">
      <x:alignment vertical="center" wrapText="1"/>
    </x:xf>
    <x:xf numFmtId="0" fontId="0" fillId="27" borderId="24" xfId="0" applyNumberFormat="1" applyFont="1" applyFill="1" applyBorder="1" applyAlignment="1">
      <x:alignment vertical="center" wrapText="1"/>
    </x:xf>
    <x:xf numFmtId="0" fontId="61" fillId="2" borderId="0" xfId="0" applyNumberFormat="1" applyFont="1" applyFill="1" applyBorder="1" applyAlignment="1">
      <x:alignment horizontal="center" vertical="center" wrapText="1"/>
    </x:xf>
    <x:xf numFmtId="0" fontId="73" fillId="30" borderId="36" xfId="0" applyNumberFormat="1" applyFont="1" applyFill="1" applyBorder="1" applyAlignment="1">
      <x:alignment horizontal="left" vertical="center" wrapText="1"/>
    </x:xf>
    <x:xf numFmtId="0" fontId="73" fillId="30" borderId="17" xfId="0" applyNumberFormat="1" applyFont="1" applyFill="1" applyBorder="1" applyAlignment="1">
      <x:alignment horizontal="left" vertical="center" wrapText="1"/>
    </x:xf>
    <x:xf numFmtId="0" fontId="73" fillId="30" borderId="16" xfId="0" applyNumberFormat="1" applyFont="1" applyFill="1" applyBorder="1" applyAlignment="1">
      <x:alignment horizontal="left" vertical="center" wrapText="1"/>
    </x:xf>
    <x:xf numFmtId="0" fontId="74" fillId="32" borderId="37" xfId="0" applyNumberFormat="1" applyFont="1" applyFill="1" applyBorder="1" applyAlignment="1">
      <x:alignment horizontal="center" vertical="center" wrapText="1"/>
    </x:xf>
    <x:xf numFmtId="0" fontId="74" fillId="32" borderId="36" xfId="0" applyNumberFormat="1" applyFont="1" applyFill="1" applyBorder="1" applyAlignment="1">
      <x:alignment horizontal="left" vertical="center" wrapText="1"/>
    </x:xf>
    <x:xf numFmtId="0" fontId="74" fillId="32" borderId="39" xfId="0" applyNumberFormat="1" applyFont="1" applyFill="1" applyBorder="1" applyAlignment="1">
      <x:alignment horizontal="center" vertical="center" wrapText="1"/>
    </x:xf>
    <x:xf numFmtId="0" fontId="76" fillId="32" borderId="0" xfId="0" applyNumberFormat="1" applyFont="1" applyFill="1" applyBorder="1" applyAlignment="1">
      <x:alignment vertical="center" wrapText="1"/>
    </x:xf>
    <x:xf numFmtId="0" fontId="16" fillId="33" borderId="24" xfId="0" applyNumberFormat="1" applyFont="1" applyFill="1" applyBorder="1" applyAlignment="1">
      <x:alignment wrapText="1"/>
    </x:xf>
    <x:xf numFmtId="0" fontId="15" fillId="33" borderId="24" xfId="0" applyNumberFormat="1" applyFont="1" applyFill="1" applyBorder="1" applyAlignment="1">
      <x:alignment wrapText="1"/>
    </x:xf>
    <x:xf numFmtId="0" fontId="0" fillId="33" borderId="24" xfId="0" applyNumberFormat="1" applyFont="1" applyFill="1" applyBorder="1" applyAlignment="1">
      <x:alignment vertical="center" wrapText="1"/>
    </x:xf>
    <x:xf numFmtId="0" fontId="0" fillId="33" borderId="0" xfId="0" applyNumberFormat="1" applyFont="1" applyFill="1" applyBorder="1" applyAlignment="1">
      <x:alignment vertical="center" wrapText="1"/>
    </x:xf>
    <x:xf numFmtId="0" fontId="20" fillId="33" borderId="0" xfId="0" applyNumberFormat="1" applyFont="1" applyFill="1" applyBorder="1" applyAlignment="1">
      <x:alignment wrapText="1"/>
    </x:xf>
    <x:xf numFmtId="0" fontId="15" fillId="33" borderId="30" xfId="0" applyNumberFormat="1" applyFont="1" applyFill="1" applyBorder="1" applyAlignment="1">
      <x:alignment horizontal="left" vertical="center" wrapText="1"/>
    </x:xf>
    <x:xf numFmtId="0" fontId="16" fillId="33" borderId="0" xfId="0" applyNumberFormat="1" applyFont="1" applyFill="1" applyBorder="1" applyAlignment="1">
      <x:alignment vertical="center" wrapText="1"/>
    </x:xf>
    <x:xf numFmtId="0" fontId="34" fillId="33" borderId="23" xfId="0" applyNumberFormat="1" applyFont="1" applyFill="1" applyBorder="1" applyAlignment="1">
      <x:alignment horizontal="left" vertical="center" wrapText="1"/>
    </x:xf>
    <x:xf numFmtId="0" fontId="38" fillId="33" borderId="0" xfId="0" applyNumberFormat="1" applyFont="1" applyFill="1" applyBorder="1" applyAlignment="1">
      <x:alignment vertical="center" wrapText="1"/>
    </x:xf>
    <x:xf numFmtId="0" fontId="2" fillId="0" borderId="3" xfId="0" applyNumberFormat="1" applyFont="1" applyFill="1" applyBorder="1" applyAlignment="1">
      <x:alignment horizontal="left" vertical="center"/>
    </x:xf>
    <x:xf numFmtId="0" fontId="3" fillId="0" borderId="3" xfId="0" applyNumberFormat="1" applyFont="1" applyFill="1" applyBorder="1" applyAlignment="1">
      <x:alignment horizontal="left" vertical="center"/>
    </x:xf>
    <x:xf numFmtId="0" fontId="0" fillId="3" borderId="4" xfId="0" applyNumberFormat="1" applyFont="1" applyFill="1" applyBorder="1"/>
    <x:xf numFmtId="0" fontId="0" fillId="3" borderId="5" xfId="0" applyNumberFormat="1" applyFont="1" applyFill="1" applyBorder="1"/>
    <x:xf numFmtId="0" fontId="6" fillId="2" borderId="1"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0" borderId="3" xfId="0" applyNumberFormat="1" applyFont="1" applyFill="1" applyBorder="1" applyAlignment="1">
      <x:alignment horizontal="left" vertical="center"/>
    </x:xf>
    <x:xf numFmtId="0" fontId="3" fillId="0" borderId="49" xfId="0" applyNumberFormat="1" applyFont="1" applyFill="1" applyBorder="1" applyAlignment="1">
      <x:alignment horizontal="left" vertical="center" wrapText="1"/>
    </x:xf>
    <x:xf numFmtId="0" fontId="7" fillId="0" borderId="49" xfId="0" applyNumberFormat="1" applyFont="1" applyFill="1" applyBorder="1" applyAlignment="1">
      <x:alignment horizontal="left" vertical="center" wrapText="1"/>
    </x:xf>
    <x:xf numFmtId="0" fontId="2" fillId="0" borderId="50" xfId="0" applyNumberFormat="1" applyFont="1" applyFill="1" applyBorder="1" applyAlignment="1">
      <x:alignment horizontal="left" vertical="center" wrapText="1"/>
    </x:xf>
    <x:xf numFmtId="0" fontId="7" fillId="0" borderId="7" xfId="0" applyNumberFormat="1" applyFont="1" applyFill="1" applyBorder="1" applyAlignment="1">
      <x:alignment horizontal="left" vertical="center" wrapText="1"/>
    </x:xf>
    <x:xf numFmtId="0" fontId="3" fillId="0" borderId="52" xfId="0" applyNumberFormat="1" applyFont="1" applyFill="1" applyBorder="1" applyAlignment="1">
      <x:alignment horizontal="left" vertical="center" wrapText="1"/>
    </x:xf>
    <x:xf numFmtId="0" fontId="3" fillId="0" borderId="8" xfId="0" applyNumberFormat="1" applyFont="1" applyFill="1" applyBorder="1" applyAlignment="1">
      <x:alignment horizontal="left" vertical="center" wrapText="1"/>
    </x:xf>
    <x:xf numFmtId="0" fontId="7" fillId="0" borderId="0" xfId="0" applyNumberFormat="1" applyFont="1" applyFill="1" applyBorder="1" applyAlignment="1">
      <x:alignment vertical="top" wrapText="1"/>
    </x:xf>
    <x:xf numFmtId="0" fontId="3" fillId="0" borderId="54" xfId="0" applyNumberFormat="1" applyFont="1" applyFill="1" applyBorder="1" applyAlignment="1">
      <x:alignment horizontal="left" vertical="center" wrapText="1"/>
    </x:xf>
    <x:xf numFmtId="0" fontId="3" fillId="0" borderId="55" xfId="0" applyNumberFormat="1" applyFont="1" applyFill="1" applyBorder="1" applyAlignment="1">
      <x:alignment horizontal="left" vertical="center" wrapText="1"/>
    </x:xf>
    <x:xf numFmtId="0" fontId="96" fillId="4" borderId="0" xfId="0" applyNumberFormat="1" applyFont="1" applyFill="1" applyBorder="1" applyAlignment="1">
      <x:alignment horizontal="center" vertical="center"/>
    </x:xf>
    <x:xf numFmtId="0" fontId="12" fillId="4" borderId="1" xfId="0" applyNumberFormat="1" applyFont="1" applyFill="1" applyBorder="1" applyAlignment="1">
      <x:alignment horizontal="center" vertical="center" wrapText="1"/>
    </x:xf>
    <x:xf numFmtId="0" fontId="42" fillId="5" borderId="1" xfId="0" applyNumberFormat="1" applyFont="1" applyFill="1" applyBorder="1" applyAlignment="1">
      <x:alignment horizontal="center" vertical="center" wrapText="1"/>
    </x:xf>
    <x:xf numFmtId="0" fontId="42" fillId="5" borderId="3" xfId="0" applyNumberFormat="1" applyFont="1" applyFill="1" applyBorder="1" applyAlignment="1">
      <x:alignment horizontal="left" vertical="center" wrapText="1"/>
    </x:xf>
    <x:xf numFmtId="0" fontId="38" fillId="5" borderId="3" xfId="0" applyNumberFormat="1" applyFont="1" applyFill="1" applyBorder="1" applyAlignment="1">
      <x:alignment horizontal="left" vertical="center" wrapText="1"/>
    </x:xf>
    <x:xf numFmtId="0" fontId="16" fillId="5" borderId="4" xfId="0" applyNumberFormat="1" applyFont="1" applyFill="1" applyBorder="1" applyAlignment="1">
      <x:alignment horizontal="center" vertical="center" wrapText="1"/>
    </x:xf>
    <x:xf numFmtId="0" fontId="100" fillId="5" borderId="3" xfId="0" applyNumberFormat="1" applyFont="1" applyFill="1" applyBorder="1" applyAlignment="1">
      <x:alignment horizontal="left" vertical="center" wrapText="1"/>
    </x:xf>
    <x:xf numFmtId="0" fontId="42" fillId="5" borderId="6" xfId="0" applyNumberFormat="1" applyFont="1" applyFill="1" applyBorder="1" applyAlignment="1">
      <x:alignment horizontal="center" vertical="center" wrapText="1"/>
    </x:xf>
    <x:xf numFmtId="0" fontId="16" fillId="5" borderId="0" xfId="0" applyNumberFormat="1" applyFont="1" applyFill="1" applyBorder="1" applyAlignment="1">
      <x:alignment horizontal="center" vertical="center" wrapText="1"/>
    </x:xf>
    <x:xf numFmtId="0" fontId="101" fillId="5" borderId="0" xfId="0" applyNumberFormat="1" applyFont="1" applyFill="1" applyBorder="1" applyAlignment="1">
      <x:alignment vertical="center" wrapText="1"/>
    </x:xf>
    <x:xf numFmtId="0" fontId="16" fillId="5" borderId="12" xfId="0" applyNumberFormat="1" applyFont="1" applyFill="1" applyBorder="1" applyAlignment="1">
      <x:alignment vertical="center" wrapText="1"/>
    </x:xf>
    <x:xf numFmtId="0" fontId="16" fillId="5" borderId="13" xfId="0" applyNumberFormat="1" applyFont="1" applyFill="1" applyBorder="1" applyAlignment="1">
      <x:alignment vertical="center" wrapText="1"/>
    </x:xf>
    <x:xf numFmtId="0" fontId="42" fillId="5" borderId="2" xfId="0" applyNumberFormat="1" applyFont="1" applyFill="1" applyBorder="1" applyAlignment="1">
      <x:alignment horizontal="center" vertical="center" wrapText="1"/>
    </x:xf>
    <x:xf numFmtId="0" fontId="16" fillId="5" borderId="12" xfId="0" applyNumberFormat="1" applyFont="1" applyFill="1" applyBorder="1" applyAlignment="1">
      <x:alignment horizontal="center" vertical="center" wrapText="1"/>
    </x:xf>
    <x:xf numFmtId="0" fontId="16" fillId="5" borderId="5" xfId="0" applyNumberFormat="1" applyFont="1" applyFill="1" applyBorder="1" applyAlignment="1">
      <x:alignment horizontal="center" vertical="center" wrapText="1"/>
    </x:xf>
    <x:xf numFmtId="0" fontId="101" fillId="5" borderId="12" xfId="0" applyNumberFormat="1" applyFont="1" applyFill="1" applyBorder="1" applyAlignment="1">
      <x:alignment vertical="center" wrapText="1"/>
    </x:xf>
    <x:xf numFmtId="0" fontId="102" fillId="0" borderId="0" xfId="0" applyNumberFormat="1" applyFont="1" applyFill="1" applyBorder="1" applyAlignment="1">
      <x:alignment vertical="center" wrapText="1"/>
    </x:xf>
    <x:xf numFmtId="0" fontId="103" fillId="42" borderId="0" xfId="0" applyNumberFormat="1" applyFont="1" applyFill="1" applyBorder="1" applyAlignment="1">
      <x:alignment vertical="center" wrapText="1"/>
    </x:xf>
    <x:xf numFmtId="0" fontId="102" fillId="44" borderId="0" xfId="0" applyNumberFormat="1" applyFont="1" applyFill="1" applyBorder="1" applyAlignment="1">
      <x:alignment vertical="center" wrapText="1"/>
    </x:xf>
    <x:xf numFmtId="0" fontId="67" fillId="47" borderId="0" xfId="0" applyNumberFormat="1" applyFont="1" applyFill="1" applyBorder="1" applyAlignment="1">
      <x:alignment horizontal="center" vertical="center"/>
    </x:xf>
    <x:xf numFmtId="0" fontId="9" fillId="5" borderId="0" xfId="0" applyNumberFormat="1" applyFont="1" applyFill="1" applyBorder="1" applyAlignment="1">
      <x:alignment horizontal="center" wrapText="1"/>
    </x:xf>
    <x:xf numFmtId="0" fontId="9" fillId="5" borderId="0" xfId="0" applyNumberFormat="1" applyFont="1" applyFill="1" applyBorder="1" applyAlignment="1">
      <x:alignment vertical="center" wrapText="1"/>
    </x:xf>
    <x:xf numFmtId="0" fontId="111" fillId="5" borderId="0" xfId="0" applyNumberFormat="1" applyFont="1" applyFill="1" applyBorder="1" applyAlignment="1">
      <x:alignment vertical="center" wrapText="1"/>
    </x:xf>
    <x:xf numFmtId="0" fontId="112" fillId="5" borderId="0" xfId="0" applyNumberFormat="1" applyFont="1" applyFill="1" applyBorder="1" applyAlignment="1">
      <x:alignment vertical="center" wrapText="1"/>
    </x:xf>
    <x:xf numFmtId="0" fontId="113" fillId="5" borderId="0" xfId="0" applyNumberFormat="1" applyFont="1" applyFill="1" applyBorder="1" applyAlignment="1">
      <x:alignment vertical="center" wrapText="1"/>
    </x:xf>
    <x:xf numFmtId="0" fontId="114" fillId="5" borderId="0" xfId="0" applyNumberFormat="1" applyFont="1" applyFill="1" applyBorder="1" applyAlignment="1">
      <x:alignment vertical="center" wrapText="1"/>
    </x:xf>
    <x:xf numFmtId="0" fontId="115" fillId="5" borderId="0" xfId="0" applyNumberFormat="1" applyFont="1" applyFill="1" applyBorder="1" applyAlignment="1">
      <x:alignment vertical="center" wrapText="1"/>
    </x:xf>
    <x:xf numFmtId="0" fontId="9" fillId="50" borderId="0" xfId="0" applyNumberFormat="1" applyFont="1" applyFill="1" applyBorder="1" applyAlignment="1">
      <x:alignment horizontal="center" wrapText="1"/>
    </x:xf>
    <x:xf numFmtId="0" fontId="9" fillId="50" borderId="0" xfId="0" applyNumberFormat="1" applyFont="1" applyFill="1" applyBorder="1" applyAlignment="1">
      <x:alignment vertical="center" wrapText="1"/>
    </x:xf>
    <x:xf numFmtId="0" fontId="111" fillId="50" borderId="0" xfId="0" applyNumberFormat="1" applyFont="1" applyFill="1" applyBorder="1" applyAlignment="1">
      <x:alignment vertical="center" wrapText="1"/>
    </x:xf>
    <x:xf numFmtId="0" fontId="112" fillId="50" borderId="0" xfId="0" applyNumberFormat="1" applyFont="1" applyFill="1" applyBorder="1" applyAlignment="1">
      <x:alignment vertical="center" wrapText="1"/>
    </x:xf>
    <x:xf numFmtId="0" fontId="113" fillId="50" borderId="0" xfId="0" applyNumberFormat="1" applyFont="1" applyFill="1" applyBorder="1" applyAlignment="1">
      <x:alignment vertical="center" wrapText="1"/>
    </x:xf>
    <x:xf numFmtId="0" fontId="114" fillId="50" borderId="0" xfId="0" applyNumberFormat="1" applyFont="1" applyFill="1" applyBorder="1" applyAlignment="1">
      <x:alignment vertical="center" wrapText="1"/>
    </x:xf>
    <x:xf numFmtId="0" fontId="115" fillId="50" borderId="0" xfId="0" applyNumberFormat="1" applyFont="1" applyFill="1" applyBorder="1" applyAlignment="1">
      <x:alignment vertical="center" wrapText="1"/>
    </x:xf>
    <x:xf numFmtId="0" fontId="67" fillId="54" borderId="0" xfId="0" applyNumberFormat="1" applyFont="1" applyFill="1" applyBorder="1"/>
    <x:xf numFmtId="0" fontId="9" fillId="0" borderId="0" xfId="0" applyNumberFormat="1" applyFont="1" applyFill="1" applyBorder="1" applyAlignment="1">
      <x:alignment wrapText="1"/>
    </x:xf>
    <x:xf numFmtId="0" fontId="9" fillId="56" borderId="0" xfId="0" applyNumberFormat="1" applyFont="1" applyFill="1" applyBorder="1" applyAlignment="1">
      <x:alignment wrapText="1"/>
    </x:xf>
    <x:xf numFmtId="0" fontId="96" fillId="59" borderId="0" xfId="0" applyNumberFormat="1" applyFont="1" applyFill="1" applyBorder="1" applyAlignment="1">
      <x:alignment wrapText="1"/>
    </x:xf>
    <x:xf numFmtId="0" fontId="126" fillId="5" borderId="0" xfId="0" applyNumberFormat="1" applyFont="1" applyFill="1" applyBorder="1" applyAlignment="1">
      <x:alignment wrapText="1"/>
    </x:xf>
    <x:xf numFmtId="0" fontId="127" fillId="5" borderId="0" xfId="0" applyNumberFormat="1" applyFont="1" applyFill="1" applyBorder="1" applyAlignment="1">
      <x:alignment wrapText="1"/>
    </x:xf>
    <x:xf numFmtId="0" fontId="128" fillId="5" borderId="1" xfId="0" applyNumberFormat="1" applyFont="1" applyFill="1" applyBorder="1" applyAlignment="1">
      <x:alignment wrapText="1"/>
    </x:xf>
    <x:xf numFmtId="0" fontId="128" fillId="5" borderId="9" xfId="0" applyNumberFormat="1" applyFont="1" applyFill="1" applyBorder="1" applyAlignment="1">
      <x:alignment wrapText="1"/>
    </x:xf>
    <x:xf numFmtId="0" fontId="129" fillId="5" borderId="0" xfId="0" applyNumberFormat="1" applyFont="1" applyFill="1" applyBorder="1" applyAlignment="1">
      <x:alignment wrapText="1"/>
    </x:xf>
    <x:xf numFmtId="0" fontId="128" fillId="5" borderId="10" xfId="0" applyNumberFormat="1" applyFont="1" applyFill="1" applyBorder="1" applyAlignment="1">
      <x:alignment wrapText="1"/>
    </x:xf>
    <x:xf numFmtId="0" fontId="128" fillId="5" borderId="11" xfId="0" applyNumberFormat="1" applyFont="1" applyFill="1" applyBorder="1" applyAlignment="1">
      <x:alignment wrapText="1"/>
    </x:xf>
    <x:xf numFmtId="0" fontId="23" fillId="5" borderId="0" xfId="0" applyNumberFormat="1" applyFont="1" applyFill="1" applyBorder="1" applyAlignment="1">
      <x:alignment wrapText="1"/>
    </x:xf>
    <x:xf numFmtId="0" fontId="130" fillId="5" borderId="0" xfId="0" applyNumberFormat="1" applyFont="1" applyFill="1" applyBorder="1" applyAlignment="1">
      <x:alignment wrapText="1"/>
    </x:xf>
    <x:xf numFmtId="0" fontId="131" fillId="5" borderId="0" xfId="0" applyNumberFormat="1" applyFont="1" applyFill="1" applyBorder="1" applyAlignment="1">
      <x:alignment wrapText="1"/>
    </x:xf>
    <x:xf numFmtId="0" fontId="132" fillId="5" borderId="0" xfId="0" applyNumberFormat="1" applyFont="1" applyFill="1" applyBorder="1" applyAlignment="1">
      <x:alignment wrapText="1"/>
    </x:xf>
    <x:xf numFmtId="0" fontId="133" fillId="5" borderId="0" xfId="0" applyNumberFormat="1" applyFont="1" applyFill="1" applyBorder="1" applyAlignment="1">
      <x:alignment wrapText="1"/>
    </x:xf>
    <x:xf numFmtId="0" fontId="134" fillId="5" borderId="0" xfId="0" applyNumberFormat="1" applyFont="1" applyFill="1" applyBorder="1" applyAlignment="1">
      <x:alignment wrapText="1"/>
    </x:xf>
    <x:xf numFmtId="0" fontId="135" fillId="5" borderId="0" xfId="0" applyNumberFormat="1" applyFont="1" applyFill="1" applyBorder="1" applyAlignment="1">
      <x:alignment wrapText="1"/>
    </x:xf>
    <x:xf numFmtId="0" fontId="19" fillId="59" borderId="0" xfId="0" applyNumberFormat="1" applyFont="1" applyFill="1" applyBorder="1" applyAlignment="1">
      <x:alignment wrapText="1"/>
    </x:xf>
    <x:xf numFmtId="0" fontId="137" fillId="5" borderId="0" xfId="0" applyNumberFormat="1" applyFont="1" applyFill="1" applyBorder="1" applyAlignment="1">
      <x:alignment wrapText="1"/>
    </x:xf>
    <x:xf numFmtId="0" fontId="96" fillId="59" borderId="0" xfId="0" applyNumberFormat="1" applyFont="1" applyFill="1" applyBorder="1"/>
    <x:xf numFmtId="0" fontId="133" fillId="0" borderId="0" xfId="0" applyNumberFormat="1" applyFont="1" applyFill="1" applyBorder="1" applyAlignment="1">
      <x:alignment wrapText="1"/>
    </x:xf>
    <x:xf numFmtId="0" fontId="134" fillId="0" borderId="0" xfId="0" applyNumberFormat="1" applyFont="1" applyFill="1" applyBorder="1" applyAlignment="1">
      <x:alignment wrapText="1"/>
    </x:xf>
    <x:xf numFmtId="0" fontId="135" fillId="0" borderId="0" xfId="0" applyNumberFormat="1" applyFont="1" applyFill="1" applyBorder="1" applyAlignment="1">
      <x:alignment wrapText="1"/>
    </x:xf>
    <x:xf numFmtId="0" fontId="139" fillId="60" borderId="0" xfId="0" applyNumberFormat="1" applyFont="1" applyFill="1" applyBorder="1" applyAlignment="1">
      <x:alignment wrapText="1"/>
    </x:xf>
    <x:xf numFmtId="0" fontId="121" fillId="57" borderId="0" xfId="0" applyNumberFormat="1" applyFont="1" applyFill="1" applyBorder="1"/>
    <x:xf numFmtId="0" fontId="141" fillId="58" borderId="0" xfId="0" applyNumberFormat="1" applyFont="1" applyFill="1" applyBorder="1" applyAlignment="1">
      <x:alignment wrapText="1"/>
    </x:xf>
    <x:xf numFmtId="0" fontId="96" fillId="69" borderId="0" xfId="0" applyNumberFormat="1" applyFont="1" applyFill="1" applyBorder="1"/>
    <x:xf numFmtId="0" fontId="96" fillId="70" borderId="0" xfId="0" applyNumberFormat="1" applyFont="1" applyFill="1" applyBorder="1"/>
    <x:xf numFmtId="0" fontId="143" fillId="71" borderId="19" xfId="0" applyNumberFormat="1" applyFont="1" applyFill="1" applyBorder="1" applyAlignment="1">
      <x:alignment horizontal="center" vertical="center" wrapText="1"/>
    </x:xf>
    <x:xf numFmtId="0" fontId="144" fillId="71" borderId="20" xfId="0" applyNumberFormat="1" applyFont="1" applyFill="1" applyBorder="1" applyAlignment="1">
      <x:alignment horizontal="left" vertical="center" wrapText="1"/>
    </x:xf>
    <x:xf numFmtId="0" fontId="145" fillId="71" borderId="0" xfId="0" applyNumberFormat="1" applyFont="1" applyFill="1" applyBorder="1" applyAlignment="1">
      <x:alignment horizontal="left" vertical="center" wrapText="1"/>
    </x:xf>
    <x:xf numFmtId="0" fontId="144" fillId="71" borderId="21" xfId="0" applyNumberFormat="1" applyFont="1" applyFill="1" applyBorder="1" applyAlignment="1">
      <x:alignment horizontal="left" vertical="center" wrapText="1"/>
    </x:xf>
    <x:xf numFmtId="0" fontId="143" fillId="5" borderId="19" xfId="0" applyNumberFormat="1" applyFont="1" applyFill="1" applyBorder="1" applyAlignment="1">
      <x:alignment horizontal="center" vertical="center" wrapText="1"/>
    </x:xf>
    <x:xf numFmtId="0" fontId="144" fillId="5" borderId="22" xfId="0" applyNumberFormat="1" applyFont="1" applyFill="1" applyBorder="1" applyAlignment="1">
      <x:alignment horizontal="left" vertical="center" wrapText="1"/>
    </x:xf>
    <x:xf numFmtId="0" fontId="145" fillId="5" borderId="0" xfId="0" applyNumberFormat="1" applyFont="1" applyFill="1" applyBorder="1" applyAlignment="1">
      <x:alignment horizontal="left" vertical="center" wrapText="1"/>
    </x:xf>
    <x:xf numFmtId="0" fontId="144" fillId="5" borderId="23" xfId="0" applyNumberFormat="1" applyFont="1" applyFill="1" applyBorder="1" applyAlignment="1">
      <x:alignment horizontal="left" vertical="center" wrapText="1"/>
    </x:xf>
    <x:xf numFmtId="0" fontId="144" fillId="71" borderId="22" xfId="0" applyNumberFormat="1" applyFont="1" applyFill="1" applyBorder="1" applyAlignment="1">
      <x:alignment horizontal="left" vertical="center" wrapText="1"/>
    </x:xf>
    <x:xf numFmtId="0" fontId="144" fillId="71" borderId="23" xfId="0" applyNumberFormat="1" applyFont="1" applyFill="1" applyBorder="1" applyAlignment="1">
      <x:alignment horizontal="left" vertical="center" wrapText="1"/>
    </x:xf>
    <x:xf numFmtId="0" fontId="144" fillId="5" borderId="20" xfId="0" applyNumberFormat="1" applyFont="1" applyFill="1" applyBorder="1" applyAlignment="1">
      <x:alignment horizontal="left" vertical="center" wrapText="1"/>
    </x:xf>
    <x:xf numFmtId="0" fontId="144" fillId="5" borderId="21" xfId="0" applyNumberFormat="1" applyFont="1" applyFill="1" applyBorder="1" applyAlignment="1">
      <x:alignment horizontal="left" vertical="center" wrapText="1"/>
    </x:xf>
    <x:xf numFmtId="0" fontId="143" fillId="5" borderId="15" xfId="0" applyNumberFormat="1" applyFont="1" applyFill="1" applyBorder="1" applyAlignment="1">
      <x:alignment horizontal="left" vertical="center" wrapText="1"/>
    </x:xf>
    <x:xf numFmtId="0" fontId="145" fillId="5" borderId="17" xfId="0" applyNumberFormat="1" applyFont="1" applyFill="1" applyBorder="1" applyAlignment="1">
      <x:alignment vertical="center" wrapText="1"/>
    </x:xf>
    <x:xf numFmtId="0" fontId="145" fillId="5" borderId="16" xfId="0" applyNumberFormat="1" applyFont="1" applyFill="1" applyBorder="1" applyAlignment="1">
      <x:alignment vertical="center" wrapText="1"/>
    </x:xf>
    <x:xf numFmtId="0" fontId="145" fillId="5" borderId="0" xfId="0" applyNumberFormat="1" applyFont="1" applyFill="1" applyBorder="1" applyAlignment="1">
      <x:alignment vertical="center" wrapText="1"/>
    </x:xf>
    <x:xf numFmtId="0" fontId="145" fillId="71" borderId="0" xfId="0" applyNumberFormat="1" applyFont="1" applyFill="1" applyBorder="1" applyAlignment="1">
      <x:alignment vertical="center" wrapText="1"/>
    </x:xf>
    <x:xf numFmtId="0" fontId="146" fillId="5" borderId="0" xfId="0" applyNumberFormat="1" applyFont="1" applyFill="1" applyBorder="1" applyAlignment="1">
      <x:alignment vertical="center" wrapText="1"/>
    </x:xf>
    <x:xf numFmtId="0" fontId="146" fillId="71" borderId="0" xfId="0" applyNumberFormat="1" applyFont="1" applyFill="1" applyBorder="1" applyAlignment="1">
      <x:alignment vertical="center" wrapText="1"/>
    </x:xf>
    <x:xf numFmtId="0" fontId="147" fillId="5" borderId="0" xfId="0" applyNumberFormat="1" applyFont="1" applyFill="1" applyBorder="1" applyAlignment="1">
      <x:alignment vertical="center" wrapText="1"/>
    </x:xf>
    <x:xf numFmtId="0" fontId="143" fillId="71" borderId="15" xfId="0" applyNumberFormat="1" applyFont="1" applyFill="1" applyBorder="1" applyAlignment="1">
      <x:alignment horizontal="left" vertical="center" wrapText="1"/>
    </x:xf>
    <x:xf numFmtId="0" fontId="145" fillId="71" borderId="17" xfId="0" applyNumberFormat="1" applyFont="1" applyFill="1" applyBorder="1" applyAlignment="1">
      <x:alignment vertical="center" wrapText="1"/>
    </x:xf>
    <x:xf numFmtId="0" fontId="145" fillId="71" borderId="16" xfId="0" applyNumberFormat="1" applyFont="1" applyFill="1" applyBorder="1" applyAlignment="1">
      <x:alignment vertical="center" wrapText="1"/>
    </x:xf>
    <x:xf numFmtId="0" fontId="28" fillId="75" borderId="37" xfId="0" applyNumberFormat="1" applyFont="1" applyFill="1" applyBorder="1" applyAlignment="1">
      <x:alignment horizontal="center" vertical="center" wrapText="1"/>
    </x:xf>
    <x:xf numFmtId="0" fontId="28" fillId="75" borderId="38" xfId="0" applyNumberFormat="1" applyFont="1" applyFill="1" applyBorder="1" applyAlignment="1">
      <x:alignment horizontal="center" vertical="center" wrapText="1"/>
    </x:xf>
    <x:xf numFmtId="0" fontId="148" fillId="75" borderId="40" xfId="0" applyNumberFormat="1" applyFont="1" applyFill="1" applyBorder="1" applyAlignment="1">
      <x:alignment horizontal="left" vertical="center" wrapText="1"/>
    </x:xf>
    <x:xf numFmtId="0" fontId="149" fillId="75" borderId="0" xfId="0" applyNumberFormat="1" applyFont="1" applyFill="1" applyBorder="1" applyAlignment="1">
      <x:alignment horizontal="left" vertical="center" wrapText="1"/>
    </x:xf>
    <x:xf numFmtId="0" fontId="148" fillId="75" borderId="37" xfId="0" applyNumberFormat="1" applyFont="1" applyFill="1" applyBorder="1" applyAlignment="1">
      <x:alignment horizontal="left" vertical="center" wrapText="1"/>
    </x:xf>
    <x:xf numFmtId="0" fontId="148" fillId="75" borderId="0" xfId="0" applyNumberFormat="1" applyFont="1" applyFill="1" applyBorder="1" applyAlignment="1">
      <x:alignment horizontal="left" vertical="center" wrapText="1"/>
    </x:xf>
    <x:xf numFmtId="0" fontId="148" fillId="75" borderId="38" xfId="0" applyNumberFormat="1" applyFont="1" applyFill="1" applyBorder="1" applyAlignment="1">
      <x:alignment horizontal="left" vertical="center" wrapText="1"/>
    </x:xf>
    <x:xf numFmtId="0" fontId="21" fillId="59" borderId="36" xfId="0" applyNumberFormat="1" applyFont="1" applyFill="1" applyBorder="1" applyAlignment="1">
      <x:alignment horizontal="left" vertical="center" wrapText="1"/>
    </x:xf>
    <x:xf numFmtId="0" fontId="21" fillId="59" borderId="17" xfId="0" applyNumberFormat="1" applyFont="1" applyFill="1" applyBorder="1" applyAlignment="1">
      <x:alignment horizontal="left" vertical="center" wrapText="1"/>
    </x:xf>
    <x:xf numFmtId="0" fontId="21" fillId="59" borderId="16" xfId="0" applyNumberFormat="1" applyFont="1" applyFill="1" applyBorder="1" applyAlignment="1">
      <x:alignment horizontal="left" vertical="center" wrapText="1"/>
    </x:xf>
    <x:xf numFmtId="0" fontId="150" fillId="75" borderId="0" xfId="0" applyNumberFormat="1" applyFont="1" applyFill="1" applyBorder="1" applyAlignment="1">
      <x:alignment wrapText="1"/>
    </x:xf>
    <x:xf numFmtId="0" fontId="151" fillId="57" borderId="0" xfId="0" applyNumberFormat="1" applyFont="1" applyFill="1" applyBorder="1" applyAlignment="1">
      <x:alignment wrapText="1"/>
    </x:xf>
    <x:xf numFmtId="0" fontId="0" fillId="0" borderId="12" xfId="0" applyNumberFormat="1" applyFont="1" applyFill="1" applyBorder="1"/>
    <x:xf numFmtId="0" fontId="0" fillId="0" borderId="13" xfId="0" applyNumberFormat="1" applyFont="1" applyFill="1" applyBorder="1"/>
    <x:xf numFmtId="0" fontId="5" fillId="2" borderId="2" xfId="0" applyNumberFormat="1" applyFont="1" applyFill="1" applyBorder="1" applyAlignment="1">
      <x:alignment horizontal="left" vertical="center"/>
    </x:xf>
    <x:xf numFmtId="0" fontId="25" fillId="0"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x:xf>
    <x:xf numFmtId="0" fontId="5" fillId="2" borderId="6" xfId="0" applyNumberFormat="1" applyFont="1" applyFill="1" applyBorder="1" applyAlignment="1">
      <x:alignment horizontal="left" vertical="center"/>
    </x:xf>
    <x:xf numFmtId="0" fontId="25" fillId="0" borderId="56" xfId="0" applyNumberFormat="1" applyFont="1" applyFill="1" applyBorder="1" applyAlignment="1">
      <x:alignment horizontal="center" vertical="center"/>
    </x:xf>
    <x:xf numFmtId="0" fontId="0" fillId="0" borderId="56" xfId="0" applyNumberFormat="1" applyFont="1" applyFill="1" applyBorder="1"/>
    <x:xf numFmtId="0" fontId="48" fillId="4" borderId="0" xfId="0" applyNumberFormat="1" applyFont="1" applyFill="1" applyBorder="1" applyAlignment="1">
      <x:alignment horizontal="center" vertical="center" wrapText="1"/>
    </x:xf>
    <x:xf numFmtId="0" fontId="97" fillId="4" borderId="0" xfId="0" applyNumberFormat="1" applyFont="1" applyFill="1" applyBorder="1" applyAlignment="1">
      <x:alignment wrapText="1"/>
    </x:xf>
    <x:xf numFmtId="0" fontId="98" fillId="4" borderId="0" xfId="0" applyNumberFormat="1" applyFont="1" applyFill="1" applyBorder="1" applyAlignment="1">
      <x:alignment horizontal="center" vertical="center" wrapText="1"/>
    </x:xf>
    <x:xf numFmtId="0" fontId="99" fillId="4" borderId="0" xfId="0" applyNumberFormat="1" applyFont="1" applyFill="1" applyBorder="1" applyAlignment="1">
      <x:alignment wrapText="1"/>
    </x:xf>
    <x:xf numFmtId="0" fontId="12" fillId="4" borderId="2" xfId="0" applyNumberFormat="1" applyFont="1" applyFill="1" applyBorder="1" applyAlignment="1">
      <x:alignment horizontal="left" vertical="center" wrapText="1"/>
    </x:xf>
    <x:xf numFmtId="0" fontId="13" fillId="4" borderId="12" xfId="0" applyNumberFormat="1" applyFont="1" applyFill="1" applyBorder="1" applyAlignment="1">
      <x:alignment wrapText="1"/>
    </x:xf>
    <x:xf numFmtId="0" fontId="13" fillId="4" borderId="13" xfId="0" applyNumberFormat="1" applyFont="1" applyFill="1" applyBorder="1" applyAlignment="1">
      <x:alignment wrapText="1"/>
    </x:xf>
    <x:xf numFmtId="0" fontId="12" fillId="4" borderId="6" xfId="0" applyNumberFormat="1" applyFont="1" applyFill="1" applyBorder="1" applyAlignment="1">
      <x:alignment horizontal="left" vertical="center" wrapText="1"/>
    </x:xf>
    <x:xf numFmtId="0" fontId="12" fillId="4" borderId="1" xfId="0" applyNumberFormat="1" applyFont="1" applyFill="1" applyBorder="1" applyAlignment="1">
      <x:alignment horizontal="left" vertical="center" wrapText="1"/>
    </x:xf>
    <x:xf numFmtId="0" fontId="12" fillId="4" borderId="3" xfId="0" applyNumberFormat="1" applyFont="1" applyFill="1" applyBorder="1" applyAlignment="1">
      <x:alignment horizontal="left" vertical="center" wrapText="1"/>
    </x:xf>
    <x:xf numFmtId="0" fontId="13" fillId="4" borderId="4" xfId="0" applyNumberFormat="1" applyFont="1" applyFill="1" applyBorder="1" applyAlignment="1">
      <x:alignment horizontal="left" wrapText="1"/>
    </x:xf>
    <x:xf numFmtId="0" fontId="13" fillId="4" borderId="5" xfId="0" applyNumberFormat="1" applyFont="1" applyFill="1" applyBorder="1" applyAlignment="1">
      <x:alignment horizontal="left" wrapText="1"/>
    </x:xf>
    <x:xf numFmtId="0" fontId="13" fillId="4" borderId="0" xfId="0" applyNumberFormat="1" applyFont="1" applyFill="1" applyBorder="1"/>
    <x:xf numFmtId="0" fontId="58" fillId="0" borderId="41" xfId="0" applyNumberFormat="1" applyFont="1" applyFill="1" applyBorder="1" applyAlignment="1">
      <x:alignment horizontal="center"/>
    </x:xf>
    <x:xf numFmtId="0" fontId="57" fillId="0" borderId="0" xfId="0" applyNumberFormat="1" applyFont="1" applyFill="1" applyBorder="1" applyAlignment="1">
      <x:alignment wrapText="1"/>
    </x:xf>
    <x:xf numFmtId="0" fontId="11" fillId="5" borderId="0" xfId="0" applyNumberFormat="1" applyFont="1" applyFill="1" applyBorder="1" applyAlignment="1">
      <x:alignment wrapText="1"/>
    </x:xf>
    <x:xf numFmtId="0" fontId="57" fillId="0" borderId="24" xfId="0" applyNumberFormat="1" applyFont="1" applyFill="1" applyBorder="1" applyAlignment="1">
      <x:alignment wrapText="1"/>
    </x:xf>
    <x:xf numFmtId="0" fontId="60" fillId="2" borderId="0" xfId="0" applyNumberFormat="1" applyFont="1" applyFill="1" applyBorder="1"/>
    <x:xf numFmtId="0" fontId="59" fillId="14" borderId="0" xfId="0" applyNumberFormat="1" applyFont="1" applyFill="1" applyBorder="1"/>
    <x:xf numFmtId="0" fontId="64" fillId="2" borderId="0" xfId="0" applyNumberFormat="1" applyFont="1" applyFill="1" applyBorder="1" applyAlignment="1">
      <x:alignment horizontal="center" vertical="center"/>
    </x:xf>
    <x:xf numFmtId="0" fontId="62" fillId="18" borderId="0" xfId="0" applyNumberFormat="1" applyFont="1" applyFill="1" applyBorder="1" applyAlignment="1">
      <x:alignment horizontal="center" vertical="center"/>
    </x:xf>
    <x:xf numFmtId="0" fontId="65" fillId="2" borderId="0" xfId="0" applyNumberFormat="1" applyFont="1" applyFill="1" applyBorder="1" applyAlignment="1">
      <x:alignment vertical="center"/>
    </x:xf>
    <x:xf numFmtId="0" fontId="66" fillId="21" borderId="0" xfId="0" applyNumberFormat="1" applyFont="1" applyFill="1" applyBorder="1" applyAlignment="1">
      <x:alignment vertical="center"/>
    </x:xf>
    <x:xf numFmtId="0" fontId="67" fillId="2" borderId="24" xfId="0" applyNumberFormat="1" applyFont="1" applyFill="1" applyBorder="1" applyAlignment="1">
      <x:alignment vertical="center" wrapText="1"/>
    </x:xf>
    <x:xf numFmtId="0" fontId="44" fillId="4"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70" fillId="25" borderId="0" xfId="0" applyNumberFormat="1" applyFont="1" applyFill="1" applyBorder="1" applyAlignment="1">
      <x:alignment horizontal="center"/>
    </x:xf>
    <x:xf numFmtId="0" fontId="61" fillId="2" borderId="0" xfId="0" applyNumberFormat="1" applyFont="1" applyFill="1" applyBorder="1" applyAlignment="1">
      <x:alignment vertical="center" wrapText="1"/>
    </x:xf>
    <x:xf numFmtId="0" fontId="61" fillId="2" borderId="24" xfId="0" applyNumberFormat="1" applyFont="1" applyFill="1" applyBorder="1" applyAlignment="1">
      <x:alignment vertical="center" wrapText="1"/>
    </x:xf>
    <x:xf numFmtId="0" fontId="17" fillId="4"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x:xf>
    <x:xf numFmtId="0" fontId="70" fillId="25" borderId="0" xfId="0" applyNumberFormat="1" applyFont="1" applyFill="1" applyBorder="1"/>
    <x:xf numFmtId="0" fontId="125" fillId="60" borderId="10" xfId="0" applyNumberFormat="1" applyFont="1" applyFill="1" applyBorder="1" applyAlignment="1">
      <x:alignment wrapText="1"/>
    </x:xf>
    <x:xf numFmtId="0" fontId="125" fillId="60" borderId="11" xfId="0" applyNumberFormat="1" applyFont="1" applyFill="1" applyBorder="1" applyAlignment="1">
      <x:alignment wrapText="1"/>
    </x:xf>
    <x:xf numFmtId="0" fontId="122" fillId="60" borderId="0" xfId="0" applyNumberFormat="1" applyFont="1" applyFill="1" applyBorder="1" applyAlignment="1">
      <x:alignment wrapText="1"/>
    </x:xf>
    <x:xf numFmtId="0" fontId="17" fillId="57" borderId="0" xfId="0" applyNumberFormat="1" applyFont="1" applyFill="1" applyBorder="1" applyAlignment="1">
      <x:alignment wrapText="1"/>
    </x:xf>
    <x:xf numFmtId="0" fontId="121" fillId="57" borderId="0" xfId="0" applyNumberFormat="1" applyFont="1" applyFill="1" applyBorder="1" applyAlignment="1">
      <x:alignment wrapText="1"/>
    </x:xf>
    <x:xf numFmtId="0" fontId="122" fillId="58" borderId="0" xfId="0" applyNumberFormat="1" applyFont="1" applyFill="1" applyBorder="1" applyAlignment="1">
      <x:alignment wrapText="1"/>
    </x:xf>
    <x:xf numFmtId="0" fontId="123" fillId="58" borderId="0" xfId="0" applyNumberFormat="1" applyFont="1" applyFill="1" applyBorder="1" applyAlignment="1">
      <x:alignment wrapText="1"/>
    </x:xf>
    <x:xf numFmtId="0" fontId="124" fillId="60" borderId="0" xfId="0" applyNumberFormat="1" applyFont="1" applyFill="1" applyBorder="1" applyAlignment="1">
      <x:alignment wrapText="1"/>
    </x:xf>
    <x:xf numFmtId="0" fontId="17" fillId="4" borderId="0" xfId="0" applyNumberFormat="1" applyFont="1" applyFill="1" applyBorder="1" applyAlignment="1">
      <x:alignment wrapText="1"/>
    </x:xf>
    <x:xf numFmtId="0" fontId="18" fillId="5" borderId="0" xfId="0" applyNumberFormat="1" applyFont="1" applyFill="1" applyBorder="1" applyAlignment="1">
      <x:alignment wrapText="1"/>
    </x:xf>
    <x:xf numFmtId="0" fontId="136" fillId="60" borderId="0" xfId="0" applyNumberFormat="1" applyFont="1" applyFill="1" applyBorder="1" applyAlignment="1">
      <x:alignment wrapText="1"/>
    </x:xf>
    <x:xf numFmtId="0" fontId="105" fillId="43" borderId="0" xfId="0" applyNumberFormat="1" applyFont="1" applyFill="1" applyBorder="1" applyAlignment="1">
      <x:alignment vertical="center" wrapText="1"/>
    </x:xf>
    <x:xf numFmtId="0" fontId="104" fillId="41" borderId="0" xfId="0" applyNumberFormat="1" applyFont="1" applyFill="1" applyBorder="1" applyAlignment="1">
      <x:alignment vertical="center" wrapText="1"/>
    </x:xf>
    <x:xf numFmtId="0" fontId="26" fillId="4" borderId="0" xfId="0" applyNumberFormat="1" applyFont="1" applyFill="1" applyBorder="1" applyAlignment="1">
      <x:alignment horizontal="left" vertical="center" wrapText="1"/>
    </x:xf>
    <x:xf numFmtId="0" fontId="24" fillId="0" borderId="0" xfId="0" applyNumberFormat="1" applyFont="1" applyFill="1" applyBorder="1" applyAlignment="1">
      <x:alignment horizontal="left" vertical="center" wrapText="1"/>
    </x:xf>
    <x:xf numFmtId="0" fontId="21" fillId="4" borderId="18" xfId="0" applyNumberFormat="1" applyFont="1" applyFill="1" applyBorder="1" applyAlignment="1">
      <x:alignment horizontal="left" vertical="center" wrapText="1"/>
    </x:xf>
    <x:xf numFmtId="0" fontId="0" fillId="0" borderId="27" xfId="0" applyNumberFormat="1" applyFont="1" applyFill="1" applyBorder="1"/>
    <x:xf numFmtId="0" fontId="0" fillId="0" borderId="19" xfId="0" applyNumberFormat="1" applyFont="1" applyFill="1" applyBorder="1"/>
    <x:xf numFmtId="0" fontId="21" fillId="4" borderId="34" xfId="0" applyNumberFormat="1" applyFont="1" applyFill="1" applyBorder="1" applyAlignment="1">
      <x:alignment horizontal="left" vertical="center" wrapText="1"/>
    </x:xf>
    <x:xf numFmtId="0" fontId="21" fillId="68" borderId="15" xfId="0" applyNumberFormat="1" applyFont="1" applyFill="1" applyBorder="1" applyAlignment="1">
      <x:alignment horizontal="left" vertical="center" wrapText="1"/>
    </x:xf>
    <x:xf numFmtId="0" fontId="96" fillId="68" borderId="17" xfId="0" applyNumberFormat="1" applyFont="1" applyFill="1" applyBorder="1"/>
    <x:xf numFmtId="0" fontId="96" fillId="68" borderId="16" xfId="0" applyNumberFormat="1" applyFont="1" applyFill="1" applyBorder="1"/>
    <x:xf numFmtId="0" fontId="21" fillId="68" borderId="19" xfId="0" applyNumberFormat="1" applyFont="1" applyFill="1" applyBorder="1" applyAlignment="1">
      <x:alignment horizontal="center" vertical="center" wrapText="1"/>
    </x:xf>
    <x:xf numFmtId="0" fontId="142" fillId="68" borderId="22" xfId="0" applyNumberFormat="1" applyFont="1" applyFill="1" applyBorder="1" applyAlignment="1">
      <x:alignment horizontal="left" vertical="center" wrapText="1"/>
    </x:xf>
    <x:xf numFmtId="0" fontId="96" fillId="68" borderId="0" xfId="0" applyNumberFormat="1" applyFont="1" applyFill="1" applyBorder="1" applyAlignment="1">
      <x:alignment horizontal="left" vertical="center" wrapText="1"/>
    </x:xf>
    <x:xf numFmtId="0" fontId="142" fillId="68" borderId="23" xfId="0" applyNumberFormat="1" applyFont="1" applyFill="1" applyBorder="1" applyAlignment="1">
      <x:alignment horizontal="left" vertical="center" wrapText="1"/>
    </x:xf>
    <x:xf numFmtId="0" fontId="96" fillId="68" borderId="0" xfId="0" applyNumberFormat="1" applyFont="1" applyFill="1" applyBorder="1"/>
    <x:xf numFmtId="0" fontId="0" fillId="0" borderId="17" xfId="0" applyNumberFormat="1" applyFont="1" applyFill="1" applyBorder="1"/>
    <x:xf numFmtId="0" fontId="0" fillId="0" borderId="16" xfId="0" applyNumberFormat="1" applyFont="1" applyFill="1" applyBorder="1"/>
    <x:xf numFmtId="0" fontId="48" fillId="4" borderId="0" xfId="0" applyNumberFormat="1" applyFont="1" applyFill="1" applyBorder="1" applyAlignment="1">
      <x:alignment horizontal="left" vertical="center" wrapText="1"/>
    </x:xf>
    <x:xf numFmtId="0" fontId="36" fillId="5" borderId="0" xfId="0" applyNumberFormat="1" applyFont="1" applyFill="1" applyBorder="1" applyAlignment="1">
      <x:alignment horizontal="left" vertical="center" wrapText="1"/>
    </x:xf>
    <x:xf numFmtId="0" fontId="21" fillId="4" borderId="6" xfId="0" applyNumberFormat="1" applyFont="1" applyFill="1" applyBorder="1" applyAlignment="1">
      <x:alignment vertical="center"/>
    </x:xf>
    <x:xf numFmtId="0" fontId="26" fillId="4" borderId="0" xfId="0" applyNumberFormat="1" applyFont="1" applyFill="1" applyBorder="1" applyAlignment="1">
      <x:alignment horizontal="center" vertical="center"/>
    </x:xf>
    <x:xf numFmtId="0" fontId="21" fillId="4" borderId="2" xfId="0" applyNumberFormat="1" applyFont="1" applyFill="1" applyBorder="1"/>
    <x:xf numFmtId="0" fontId="24" fillId="0" borderId="0" xfId="0" applyNumberFormat="1" applyFont="1" applyFill="1" applyBorder="1" applyAlignment="1">
      <x:alignment horizontal="center" vertical="center"/>
    </x:xf>
    <x:xf numFmtId="0" fontId="6" fillId="2" borderId="2" xfId="0" applyNumberFormat="1" applyFont="1" applyFill="1" applyBorder="1" applyAlignment="1">
      <x:alignment horizontal="left" vertical="center"/>
    </x:xf>
    <x:xf numFmtId="0" fontId="52" fillId="2" borderId="0" xfId="0" applyNumberFormat="1" applyFont="1" applyFill="1" applyBorder="1" applyAlignment="1">
      <x:alignment horizontal="center" vertical="center"/>
    </x:xf>
    <x:xf numFmtId="0" fontId="54" fillId="2" borderId="2" xfId="0" applyNumberFormat="1" applyFont="1" applyFill="1" applyBorder="1" applyAlignment="1">
      <x:alignment horizontal="left" vertical="center"/>
    </x:xf>
    <x:xf numFmtId="0" fontId="53" fillId="0" borderId="0" xfId="0" applyNumberFormat="1" applyFont="1" applyFill="1" applyBorder="1" applyAlignment="1">
      <x:alignment horizontal="center" vertical="center"/>
    </x:xf>
    <x:xf numFmtId="0" fontId="10" fillId="4" borderId="0"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9" xfId="0" applyNumberFormat="1" applyFont="1" applyFill="1" applyBorder="1" applyAlignment="1">
      <x:alignment wrapText="1"/>
    </x:xf>
    <x:xf numFmtId="0" fontId="17" fillId="4" borderId="0" xfId="0" applyNumberFormat="1" applyFont="1" applyFill="1" applyBorder="1" applyAlignment="1">
      <x:alignment horizontal="left" vertical="center" wrapText="1"/>
    </x:xf>
    <x:xf numFmtId="0" fontId="18" fillId="5" borderId="0" xfId="0" applyNumberFormat="1" applyFont="1" applyFill="1" applyBorder="1" applyAlignment="1">
      <x:alignment horizontal="left" vertical="center" wrapText="1"/>
    </x:xf>
    <x:xf numFmtId="0" fontId="41" fillId="4" borderId="0" xfId="0" applyNumberFormat="1" applyFont="1" applyFill="1" applyBorder="1" applyAlignment="1">
      <x:alignment horizontal="left" vertical="center" wrapText="1"/>
    </x:xf>
    <x:xf numFmtId="0" fontId="110" fillId="48" borderId="0" xfId="0" applyNumberFormat="1" applyFont="1" applyFill="1" applyBorder="1" applyAlignment="1">
      <x:alignment vertical="center" wrapText="1"/>
    </x:xf>
    <x:xf numFmtId="0" fontId="107" fillId="45" borderId="0" xfId="0" applyNumberFormat="1" applyFont="1" applyFill="1" applyBorder="1" applyAlignment="1">
      <x:alignment vertical="center"/>
    </x:xf>
    <x:xf numFmtId="0" fontId="108" fillId="46" borderId="0" xfId="0" applyNumberFormat="1" applyFont="1" applyFill="1" applyBorder="1" applyAlignment="1">
      <x:alignment vertical="center"/>
    </x:xf>
    <x:xf numFmtId="0" fontId="10" fillId="57" borderId="0" xfId="0" applyNumberFormat="1" applyFont="1" applyFill="1" applyBorder="1" applyAlignment="1">
      <x:alignment horizontal="left" vertical="center" wrapText="1"/>
    </x:xf>
    <x:xf numFmtId="0" fontId="138" fillId="62" borderId="0" xfId="0" applyNumberFormat="1" applyFont="1" applyFill="1" applyBorder="1" applyAlignment="1">
      <x:alignment horizontal="left" vertical="center" wrapText="1"/>
    </x:xf>
    <x:xf numFmtId="0" fontId="74" fillId="31" borderId="37" xfId="0" applyNumberFormat="1" applyFont="1" applyFill="1" applyBorder="1" applyAlignment="1">
      <x:alignment horizontal="center" vertical="center" wrapText="1"/>
    </x:xf>
    <x:xf numFmtId="0" fontId="74" fillId="31" borderId="38" xfId="0" applyNumberFormat="1" applyFont="1" applyFill="1" applyBorder="1" applyAlignment="1">
      <x:alignment horizontal="center" vertical="center" wrapText="1"/>
    </x:xf>
    <x:xf numFmtId="0" fontId="75" fillId="31" borderId="40" xfId="0" applyNumberFormat="1" applyFont="1" applyFill="1" applyBorder="1" applyAlignment="1">
      <x:alignment horizontal="left" vertical="center" wrapText="1"/>
    </x:xf>
    <x:xf numFmtId="0" fontId="76" fillId="31" borderId="0" xfId="0" applyNumberFormat="1" applyFont="1" applyFill="1" applyBorder="1" applyAlignment="1">
      <x:alignment horizontal="left" vertical="center" wrapText="1"/>
    </x:xf>
    <x:xf numFmtId="0" fontId="75" fillId="31" borderId="37" xfId="0" applyNumberFormat="1" applyFont="1" applyFill="1" applyBorder="1" applyAlignment="1">
      <x:alignment horizontal="left" vertical="center" wrapText="1"/>
    </x:xf>
    <x:xf numFmtId="0" fontId="75" fillId="31" borderId="0" xfId="0" applyNumberFormat="1" applyFont="1" applyFill="1" applyBorder="1" applyAlignment="1">
      <x:alignment horizontal="left" vertical="center" wrapText="1"/>
    </x:xf>
    <x:xf numFmtId="0" fontId="75" fillId="31" borderId="38" xfId="0" applyNumberFormat="1" applyFont="1" applyFill="1" applyBorder="1" applyAlignment="1">
      <x:alignment horizontal="left" vertical="center" wrapText="1"/>
    </x:xf>
    <x:xf numFmtId="0" fontId="76" fillId="31" borderId="0" xfId="0" applyNumberFormat="1" applyFont="1" applyFill="1" applyBorder="1" applyAlignment="1">
      <x:alignment vertical="center" wrapText="1"/>
    </x:xf>
    <x:xf numFmtId="0" fontId="10" fillId="28" borderId="0" xfId="0" applyNumberFormat="1" applyFont="1" applyFill="1" applyBorder="1" applyAlignment="1">
      <x:alignment horizontal="left" vertical="center" wrapText="1"/>
    </x:xf>
    <x:xf numFmtId="0" fontId="72" fillId="29" borderId="0" xfId="0" applyNumberFormat="1" applyFont="1" applyFill="1" applyBorder="1" applyAlignment="1">
      <x:alignment horizontal="left" vertical="center" wrapText="1"/>
    </x:xf>
    <x:xf numFmtId="0" fontId="74" fillId="31" borderId="36" xfId="0" applyNumberFormat="1" applyFont="1" applyFill="1" applyBorder="1" applyAlignment="1">
      <x:alignment horizontal="left" vertical="center" wrapText="1"/>
    </x:xf>
    <x:xf numFmtId="0" fontId="74" fillId="31" borderId="16" xfId="0" applyNumberFormat="1" applyFont="1" applyFill="1" applyBorder="1" applyAlignment="1">
      <x:alignment horizontal="left" vertical="center" wrapText="1"/>
    </x:xf>
    <x:xf numFmtId="0" fontId="74" fillId="31" borderId="15" xfId="0" applyNumberFormat="1" applyFont="1" applyFill="1" applyBorder="1" applyAlignment="1">
      <x:alignment horizontal="left" vertical="center" wrapText="1"/>
    </x:xf>
    <x:xf numFmtId="0" fontId="74" fillId="31" borderId="17" xfId="0" applyNumberFormat="1" applyFont="1" applyFill="1" applyBorder="1" applyAlignment="1">
      <x:alignment horizontal="left" vertical="center" wrapText="1"/>
    </x:xf>
    <x:xf numFmtId="0" fontId="107" fillId="52" borderId="0" xfId="0" applyNumberFormat="1" applyFont="1" applyFill="1" applyBorder="1"/>
    <x:xf numFmtId="0" fontId="118" fillId="53" borderId="0" xfId="0" applyNumberFormat="1" applyFont="1" applyFill="1" applyBorder="1" applyAlignment="1">
      <x:alignment wrapText="1"/>
    </x:xf>
    <x:xf numFmtId="0" fontId="120" fillId="55" borderId="0" xfId="0" applyNumberFormat="1" applyFont="1" applyFill="1" applyBorder="1" applyAlignment="1">
      <x:alignment wrapText="1"/>
    </x:xf>
    <x:xf numFmtId="0" fontId="67" fillId="68" borderId="0" xfId="0" applyNumberFormat="1" applyFont="1" applyFill="1" applyBorder="1" applyAlignment="1">
      <x:alignment wrapText="1"/>
    </x:xf>
    <x:xf numFmtId="0" fontId="140" fillId="5" borderId="0" xfId="0" applyNumberFormat="1" applyFont="1" applyFill="1" applyBorder="1" applyAlignment="1">
      <x:alignment wrapText="1"/>
    </x:xf>
    <x:xf numFmtId="0" fontId="124" fillId="60" borderId="0" xfId="0" applyNumberFormat="1" applyFont="1" applyFill="1" applyBorder="1"/>
    <x:xf numFmtId="0" fontId="12" fillId="27" borderId="0" xfId="0" applyNumberFormat="1" applyFont="1" applyFill="1" applyBorder="1" applyAlignment="1">
      <x:alignment wrapText="1"/>
    </x:xf>
    <x:xf numFmtId="0" fontId="1" fillId="27" borderId="0" xfId="0" applyNumberFormat="1" applyFont="1" applyFill="1" applyBorder="1" applyAlignment="1">
      <x:alignment wrapText="1"/>
    </x:xf>
    <x:xf numFmtId="0" fontId="0" fillId="27" borderId="0" xfId="0" applyNumberFormat="1" applyFont="1" applyFill="1" applyBorder="1" applyAlignment="1">
      <x:alignment wrapText="1"/>
    </x:xf>
    <x:xf numFmtId="0" fontId="14" fillId="27" borderId="1" xfId="0" applyNumberFormat="1" applyFont="1" applyFill="1" applyBorder="1" applyAlignment="1">
      <x:alignment wrapText="1"/>
    </x:xf>
    <x:xf numFmtId="0" fontId="14" fillId="27" borderId="9" xfId="0" applyNumberFormat="1" applyFont="1" applyFill="1" applyBorder="1" applyAlignment="1">
      <x:alignment wrapText="1"/>
    </x:xf>
    <x:xf numFmtId="0" fontId="20" fillId="27" borderId="0" xfId="0" applyNumberFormat="1" applyFont="1" applyFill="1" applyBorder="1" applyAlignment="1">
      <x:alignment wrapText="1"/>
    </x:xf>
    <x:xf numFmtId="0" fontId="14" fillId="27" borderId="10" xfId="0" applyNumberFormat="1" applyFont="1" applyFill="1" applyBorder="1" applyAlignment="1">
      <x:alignment wrapText="1"/>
    </x:xf>
    <x:xf numFmtId="0" fontId="14" fillId="27" borderId="11" xfId="0" applyNumberFormat="1" applyFont="1" applyFill="1" applyBorder="1" applyAlignment="1">
      <x:alignment wrapText="1"/>
    </x:xf>
    <x:xf numFmtId="0" fontId="16" fillId="27" borderId="0" xfId="0" applyNumberFormat="1" applyFont="1" applyFill="1" applyBorder="1" applyAlignment="1">
      <x:alignment wrapText="1"/>
    </x:xf>
    <x:xf numFmtId="0" fontId="0" fillId="27" borderId="0" xfId="0" applyNumberFormat="1" applyFont="1" applyFill="1" applyBorder="1"/>
    <x:xf numFmtId="0" fontId="0" fillId="0" borderId="31" xfId="0" applyNumberFormat="1" applyFont="1" applyFill="1" applyBorder="1" applyAlignment="1">
      <x:alignment vertical="center"/>
    </x:xf>
    <x:xf numFmtId="0" fontId="0" fillId="0" borderId="26" xfId="0" applyNumberFormat="1" applyFont="1" applyFill="1" applyBorder="1" applyAlignment="1">
      <x:alignment vertical="center"/>
    </x:xf>
    <x:xf numFmtId="0" fontId="0" fillId="3" borderId="15" xfId="0" applyNumberFormat="1" applyFont="1" applyFill="1" applyBorder="1" applyAlignment="1">
      <x:alignment vertical="center" wrapText="1"/>
    </x:xf>
    <x:xf numFmtId="0" fontId="0" fillId="0" borderId="27" xfId="0" applyNumberFormat="1" applyFont="1" applyFill="1" applyBorder="1" applyAlignment="1">
      <x:alignment vertical="center"/>
    </x:xf>
    <x:xf numFmtId="0" fontId="0" fillId="0" borderId="19" xfId="0" applyNumberFormat="1" applyFont="1" applyFill="1" applyBorder="1" applyAlignment="1">
      <x:alignment vertical="center"/>
    </x:xf>
    <x:xf numFmtId="0" fontId="2" fillId="75" borderId="36" xfId="0" applyNumberFormat="1" applyFont="1" applyFill="1" applyBorder="1" applyAlignment="1">
      <x:alignment horizontal="left" vertical="center" wrapText="1"/>
    </x:xf>
    <x:xf numFmtId="0" fontId="2" fillId="75" borderId="16" xfId="0" applyNumberFormat="1" applyFont="1" applyFill="1" applyBorder="1" applyAlignment="1">
      <x:alignment horizontal="left" vertical="center" wrapText="1"/>
    </x:xf>
    <x:xf numFmtId="0" fontId="2" fillId="75" borderId="15" xfId="0" applyNumberFormat="1" applyFont="1" applyFill="1" applyBorder="1" applyAlignment="1">
      <x:alignment horizontal="left" vertical="center" wrapText="1"/>
    </x:xf>
    <x:xf numFmtId="0" fontId="2" fillId="75" borderId="17" xfId="0" applyNumberFormat="1" applyFont="1" applyFill="1" applyBorder="1" applyAlignment="1">
      <x:alignment horizontal="left" vertical="center" wrapText="1"/>
    </x:xf>
    <x:xf numFmtId="0" fontId="0" fillId="45" borderId="0" xfId="0" applyNumberFormat="1" applyFont="1" applyFill="1" applyBorder="1"/>
    <x:xf numFmtId="0" fontId="96" fillId="45" borderId="0" xfId="0" applyNumberFormat="1" applyFont="1" applyFill="1" applyBorder="1"/>
    <x:xf numFmtId="0" fontId="96" fillId="45" borderId="0" xfId="0" applyNumberFormat="1" applyFont="1" applyFill="1" applyBorder="1" applyAlignment="1">
      <x:alignment wrapText="1"/>
    </x:xf>
    <x:xf numFmtId="0" fontId="96" fillId="45" borderId="0" xfId="0" applyNumberFormat="1" applyFont="1" applyFill="1" applyBorder="1" applyAlignment="1">
      <x:alignment vertical="center" wrapText="1"/>
    </x:xf>
    <x:xf numFmtId="0" fontId="17" fillId="45" borderId="0" xfId="0" applyNumberFormat="1" applyFont="1" applyFill="1" applyBorder="1" applyAlignment="1">
      <x:alignment wrapText="1"/>
    </x:xf>
    <x:xf numFmtId="0" fontId="121" fillId="45" borderId="0" xfId="0" applyNumberFormat="1" applyFont="1" applyFill="1" applyBorder="1" applyAlignment="1">
      <x:alignment wrapText="1"/>
    </x:xf>
    <x:xf numFmtId="0" fontId="0" fillId="83" borderId="0" xfId="0" applyNumberFormat="1" applyFont="1" applyFill="1" applyBorder="1"/>
    <x:xf numFmtId="0" fontId="13" fillId="83" borderId="0" xfId="0" applyNumberFormat="1" applyFont="1" applyFill="1" applyBorder="1"/>
    <x:xf numFmtId="0" fontId="13" fillId="83" borderId="0" xfId="0" applyNumberFormat="1" applyFont="1" applyFill="1" applyBorder="1" applyAlignment="1">
      <x:alignment wrapText="1"/>
    </x:xf>
    <x:xf numFmtId="0" fontId="13" fillId="83" borderId="0" xfId="0" applyNumberFormat="1" applyFont="1" applyFill="1" applyBorder="1" applyAlignment="1">
      <x:alignment vertical="center" wrapText="1"/>
    </x:xf>
    <x:xf numFmtId="0" fontId="0" fillId="84" borderId="0" xfId="0" applyNumberFormat="1" applyFont="1" applyFill="1" applyBorder="1"/>
    <x:xf numFmtId="0" fontId="150" fillId="84" borderId="0" xfId="0" applyNumberFormat="1" applyFont="1" applyFill="1" applyBorder="1"/>
    <x:xf numFmtId="0" fontId="150" fillId="0" borderId="0" xfId="0" applyNumberFormat="1" applyFont="1" applyFill="1" applyBorder="1"/>
    <x:xf numFmtId="0" fontId="157" fillId="0" borderId="0" xfId="0" applyNumberFormat="1" applyFont="1" applyFill="1" applyBorder="1"/>
    <x:xf numFmtId="200" fontId="0" fillId="0" borderId="0" xfId="0" applyNumberFormat="1" applyFont="1" applyFill="1" applyBorder="1" applyAlignment="1">
      <x:alignment vertical="center" wrapText="1"/>
    </x:xf>
    <x:xf numFmtId="0" fontId="0" fillId="85" borderId="0" xfId="0" applyNumberFormat="1" applyFont="1" applyFill="1" applyBorder="1" applyAlignment="1">
      <x:alignment vertical="center" wrapText="1"/>
    </x:xf>
    <x:xf numFmtId="0" fontId="158" fillId="85" borderId="0" xfId="0" applyNumberFormat="1" applyFont="1" applyFill="1" applyBorder="1" applyAlignment="1">
      <x:alignment vertical="center" wrapText="1"/>
    </x:xf>
    <x:xf numFmtId="0" fontId="0" fillId="86" borderId="0" xfId="0" applyNumberFormat="1" applyFont="1" applyFill="1" applyBorder="1" applyAlignment="1">
      <x:alignment vertical="center" wrapText="1"/>
    </x:xf>
    <x:xf numFmtId="0" fontId="159" fillId="86" borderId="0" xfId="0" applyNumberFormat="1" applyFont="1" applyFill="1" applyBorder="1" applyAlignment="1">
      <x:alignment vertical="center" wrapText="1"/>
    </x:xf>
    <x:xf numFmtId="0" fontId="0" fillId="87" borderId="0" xfId="0" applyNumberFormat="1" applyFont="1" applyFill="1" applyBorder="1"/>
    <x:xf numFmtId="0" fontId="121" fillId="87" borderId="0" xfId="0" applyNumberFormat="1" applyFont="1" applyFill="1" applyBorder="1"/>
    <x:xf numFmtId="0" fontId="121" fillId="87" borderId="0" xfId="0" applyNumberFormat="1" applyFont="1" applyFill="1" applyBorder="1" applyAlignment="1">
      <x:alignment vertical="center"/>
    </x:xf>
    <x:xf numFmtId="0" fontId="0" fillId="88" borderId="0" xfId="0" applyNumberFormat="1" applyFont="1" applyFill="1" applyBorder="1"/>
    <x:xf numFmtId="0" fontId="96" fillId="88" borderId="0" xfId="0" applyNumberFormat="1" applyFont="1" applyFill="1" applyBorder="1"/>
    <x:xf numFmtId="0" fontId="96" fillId="88" borderId="0" xfId="0" applyNumberFormat="1" applyFont="1" applyFill="1" applyBorder="1" applyAlignment="1">
      <x:alignment wrapText="1"/>
    </x:xf>
    <x:xf numFmtId="0" fontId="96" fillId="88"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89" borderId="0" xfId="0" applyNumberFormat="1" applyFont="1" applyFill="1" applyBorder="1" applyAlignment="1">
      <x:alignment vertical="top" wrapText="1"/>
    </x:xf>
    <x:xf numFmtId="0" fontId="96" fillId="87" borderId="0" xfId="0" applyNumberFormat="1" applyFont="1" applyFill="1" applyBorder="1"/>
    <x:xf numFmtId="0" fontId="0" fillId="90" borderId="0" xfId="0" applyNumberFormat="1" applyFont="1" applyFill="1" applyBorder="1" applyAlignment="1">
      <x:alignment wrapText="1"/>
    </x:xf>
    <x:xf numFmtId="0" fontId="0" fillId="91" borderId="0" xfId="0" applyNumberFormat="1" applyFont="1" applyFill="1" applyBorder="1"/>
    <x:xf numFmtId="0" fontId="160" fillId="91" borderId="0" xfId="0" applyNumberFormat="1" applyFont="1" applyFill="1" applyBorder="1"/>
    <x:xf numFmtId="0" fontId="0" fillId="92" borderId="0" xfId="0" applyNumberFormat="1" applyFont="1" applyFill="1" applyBorder="1"/>
    <x:xf numFmtId="0" fontId="161" fillId="92" borderId="0" xfId="0" applyNumberFormat="1" applyFont="1" applyFill="1" applyBorder="1"/>
    <x:xf numFmtId="0" fontId="161" fillId="92" borderId="0" xfId="0" applyNumberFormat="1" applyFont="1" applyFill="1" applyBorder="1" applyAlignment="1">
      <x:alignment wrapText="1"/>
    </x:xf>
    <x:xf numFmtId="0" fontId="0" fillId="93" borderId="0" xfId="0" applyNumberFormat="1" applyFont="1" applyFill="1" applyBorder="1"/>
    <x:xf numFmtId="0" fontId="96" fillId="93" borderId="0" xfId="0" applyNumberFormat="1" applyFont="1" applyFill="1" applyBorder="1"/>
    <x:xf numFmtId="0" fontId="0" fillId="94" borderId="0" xfId="0" applyNumberFormat="1" applyFont="1" applyFill="1" applyBorder="1"/>
    <x:xf numFmtId="0" fontId="0" fillId="94" borderId="0" xfId="0" applyNumberFormat="1" applyFont="1" applyFill="1" applyBorder="1" applyAlignment="1">
      <x:alignment wrapText="1"/>
    </x:xf>
    <x:xf numFmtId="0" fontId="0" fillId="95" borderId="0" xfId="0" applyNumberFormat="1" applyFont="1" applyFill="1" applyBorder="1"/>
    <x:xf numFmtId="0" fontId="160" fillId="95" borderId="0" xfId="0" applyNumberFormat="1" applyFont="1" applyFill="1" applyBorder="1"/>
    <x:xf numFmtId="0" fontId="160" fillId="95" borderId="0" xfId="0" applyNumberFormat="1" applyFont="1" applyFill="1" applyBorder="1" applyAlignment="1">
      <x:alignment vertical="center"/>
    </x:xf>
    <x:xf numFmtId="0" fontId="0" fillId="96" borderId="0" xfId="0" applyNumberFormat="1" applyFont="1" applyFill="1" applyBorder="1"/>
    <x:xf numFmtId="0" fontId="162" fillId="96" borderId="0" xfId="0" applyNumberFormat="1" applyFont="1" applyFill="1" applyBorder="1"/>
    <x:xf numFmtId="0" fontId="162" fillId="96" borderId="0" xfId="0" applyNumberFormat="1" applyFont="1" applyFill="1" applyBorder="1" applyAlignment="1">
      <x:alignment wrapText="1"/>
    </x:xf>
    <x:xf numFmtId="0" fontId="0" fillId="97" borderId="0" xfId="0" applyNumberFormat="1" applyFont="1" applyFill="1" applyBorder="1"/>
    <x:xf numFmtId="0" fontId="96" fillId="97" borderId="0" xfId="0" applyNumberFormat="1" applyFont="1" applyFill="1" applyBorder="1"/>
    <x:xf numFmtId="0" fontId="96" fillId="97" borderId="0" xfId="0" applyNumberFormat="1" applyFont="1" applyFill="1" applyBorder="1" applyAlignment="1">
      <x:alignment wrapText="1"/>
    </x:xf>
    <x:xf numFmtId="0" fontId="96" fillId="97" borderId="0" xfId="0" applyNumberFormat="1" applyFont="1" applyFill="1" applyBorder="1" applyAlignment="1">
      <x:alignment vertical="center" wrapText="1"/>
    </x:xf>
    <x:xf numFmtId="0" fontId="0" fillId="98" borderId="0" xfId="0" applyNumberFormat="1" applyFont="1" applyFill="1" applyBorder="1" applyAlignment="1">
      <x:alignment wrapText="1"/>
    </x:xf>
    <x:xf numFmtId="0" fontId="0" fillId="99" borderId="0" xfId="0" applyNumberFormat="1" applyFont="1" applyFill="1" applyBorder="1" applyAlignment="1">
      <x:alignment wrapText="1"/>
    </x:xf>
    <x:xf numFmtId="0" fontId="121" fillId="95" borderId="0" xfId="0" applyNumberFormat="1" applyFont="1" applyFill="1" applyBorder="1"/>
    <x:xf numFmtId="0" fontId="163" fillId="96" borderId="0" xfId="0" applyNumberFormat="1" applyFont="1" applyFill="1" applyBorder="1"/>
    <x:xf numFmtId="0" fontId="163" fillId="96" borderId="0" xfId="0" applyNumberFormat="1" applyFont="1" applyFill="1" applyBorder="1" applyAlignment="1">
      <x:alignment wrapText="1"/>
    </x:xf>
    <x:xf numFmtId="0" fontId="164" fillId="94" borderId="0" xfId="0" applyNumberFormat="1" applyFont="1" applyFill="1" applyBorder="1"/>
    <x:xf numFmtId="0" fontId="164" fillId="94" borderId="0" xfId="0" applyNumberFormat="1" applyFont="1" applyFill="1" applyBorder="1" applyAlignment="1">
      <x:alignment wrapText="1"/>
    </x:xf>
    <x:xf numFmtId="0" fontId="0" fillId="100" borderId="0" xfId="0" applyNumberFormat="1" applyFont="1" applyFill="1" applyBorder="1" applyAlignment="1">
      <x:alignment wrapText="1"/>
    </x:xf>
  </x:cellXfs>
  <x:cellStyles count="3">
    <x:cellStyle name="Normal" xfId="0"/>
    <x:cellStyle name="Normal 2" xfId="1"/>
    <x:cellStyle name="Normal 3" xfId="2"/>
  </x:cellStyles>
</x:styleSheet>
</file>

<file path=xl/_rels/workbook.xml.rels>&#65279;<?xml version="1.0" encoding="utf-8"?><Relationships xmlns="http://schemas.openxmlformats.org/package/2006/relationships"><Relationship Type="http://schemas.openxmlformats.org/officeDocument/2006/relationships/styles" Target="/xl/styles.xml" Id="R82c9385872aa4a1d" /><Relationship Type="http://schemas.openxmlformats.org/officeDocument/2006/relationships/theme" Target="/xl/theme/theme1.xml" Id="R96008d778f124e51" /><Relationship Type="http://schemas.openxmlformats.org/officeDocument/2006/relationships/sharedStrings" Target="/xl/sharedStrings.xml" Id="R9cc71dea012b4b73" /><Relationship Type="http://schemas.openxmlformats.org/officeDocument/2006/relationships/worksheet" Target="/xl/worksheets/sheet1.xml" Id="Re03ab36b5cd74a2a" /><Relationship Type="http://schemas.openxmlformats.org/officeDocument/2006/relationships/worksheet" Target="/xl/worksheets/sheet2.xml" Id="R68afe1381edb4858" /><Relationship Type="http://schemas.openxmlformats.org/officeDocument/2006/relationships/worksheet" Target="/xl/worksheets/sheet3.xml" Id="R3584c456ea60419e" /><Relationship Type="http://schemas.openxmlformats.org/officeDocument/2006/relationships/worksheet" Target="/xl/worksheets/sheet4.xml" Id="Rb85b10e2b3eb4778" /><Relationship Type="http://schemas.openxmlformats.org/officeDocument/2006/relationships/worksheet" Target="/xl/worksheets/sheet5.xml" Id="Rb9ae6e2ad0ea44e4" /><Relationship Type="http://schemas.openxmlformats.org/officeDocument/2006/relationships/worksheet" Target="/xl/worksheets/sheet6.xml" Id="R3b27afe4198446ce" /><Relationship Type="http://schemas.openxmlformats.org/officeDocument/2006/relationships/worksheet" Target="/xl/worksheets/sheet7.xml" Id="Rf215970068974f39" /><Relationship Type="http://schemas.openxmlformats.org/officeDocument/2006/relationships/worksheet" Target="/xl/worksheets/sheet8.xml" Id="R1884a12676d845fa" /><Relationship Type="http://schemas.openxmlformats.org/officeDocument/2006/relationships/worksheet" Target="/xl/worksheets/sheet9.xml" Id="Re907bbe9016146d9" /><Relationship Type="http://schemas.openxmlformats.org/officeDocument/2006/relationships/worksheet" Target="/xl/worksheets/sheet10.xml" Id="Rd7d4485b1b114b65" /><Relationship Type="http://schemas.openxmlformats.org/officeDocument/2006/relationships/worksheet" Target="/xl/worksheets/sheet11.xml" Id="R7ae69a95173f4f79" /><Relationship Type="http://schemas.openxmlformats.org/officeDocument/2006/relationships/worksheet" Target="/xl/worksheets/sheet12.xml" Id="Rc2ac4b582ecc4ff0" /><Relationship Type="http://schemas.openxmlformats.org/officeDocument/2006/relationships/worksheet" Target="/xl/worksheets/sheet13.xml" Id="Rfe7b093e826f40be" /><Relationship Type="http://schemas.openxmlformats.org/officeDocument/2006/relationships/worksheet" Target="/xl/worksheets/sheet14.xml" Id="R1a34df9229954a1b" /><Relationship Type="http://schemas.openxmlformats.org/officeDocument/2006/relationships/worksheet" Target="/xl/worksheets/sheet15.xml" Id="Rca89838172584fda" /><Relationship Type="http://schemas.openxmlformats.org/officeDocument/2006/relationships/worksheet" Target="/xl/worksheets/sheet16.xml" Id="Rb88e62cf7c3e4cdf" /><Relationship Type="http://schemas.openxmlformats.org/officeDocument/2006/relationships/worksheet" Target="/xl/worksheets/sheet17.xml" Id="Rf91689fd9cc54abe" /><Relationship Type="http://schemas.openxmlformats.org/officeDocument/2006/relationships/worksheet" Target="/xl/worksheets/sheet18.xml" Id="R0dd47f78baf44cca" /><Relationship Type="http://schemas.openxmlformats.org/officeDocument/2006/relationships/worksheet" Target="/xl/worksheets/sheet19.xml" Id="R8a6ab0bdcad9495b" /><Relationship Type="http://schemas.openxmlformats.org/officeDocument/2006/relationships/worksheet" Target="/xl/worksheets/sheet20.xml" Id="R8a0eeec2f12246f7" /><Relationship Type="http://schemas.openxmlformats.org/officeDocument/2006/relationships/worksheet" Target="/xl/worksheets/sheet21.xml" Id="R39c4dfe54e624f21" /><Relationship Type="http://schemas.openxmlformats.org/officeDocument/2006/relationships/worksheet" Target="/xl/worksheets/sheet22.xml" Id="Rc75e6842e3b04587" /><Relationship Type="http://schemas.openxmlformats.org/officeDocument/2006/relationships/worksheet" Target="/xl/worksheets/sheet23.xml" Id="R416093190e6e46c9" /><Relationship Type="http://schemas.openxmlformats.org/officeDocument/2006/relationships/worksheet" Target="/xl/worksheets/sheet24.xml" Id="R82209665b2524316" /><Relationship Type="http://schemas.openxmlformats.org/officeDocument/2006/relationships/worksheet" Target="/xl/worksheets/sheet25.xml" Id="R4a301b24eed1495c" /><Relationship Type="http://schemas.openxmlformats.org/officeDocument/2006/relationships/worksheet" Target="/xl/worksheets/sheet26.xml" Id="R24538aa58d5842a9" /><Relationship Type="http://schemas.openxmlformats.org/officeDocument/2006/relationships/worksheet" Target="/xl/worksheets/sheet27.xml" Id="Rabeb3dc523ec44d9" /><Relationship Type="http://schemas.openxmlformats.org/officeDocument/2006/relationships/worksheet" Target="/xl/worksheets/sheet28.xml" Id="Rb5fb1bc972614e31" /><Relationship Type="http://schemas.openxmlformats.org/officeDocument/2006/relationships/worksheet" Target="/xl/worksheets/sheet29.xml" Id="R25316c75ac124b71" /><Relationship Type="http://schemas.openxmlformats.org/officeDocument/2006/relationships/worksheet" Target="/xl/worksheets/sheet30.xml" Id="Ra5762ccd57ef4bdc" /><Relationship Type="http://schemas.openxmlformats.org/officeDocument/2006/relationships/worksheet" Target="/xl/worksheets/sheet31.xml" Id="R3cf3eb5843074b91" /><Relationship Type="http://schemas.openxmlformats.org/officeDocument/2006/relationships/worksheet" Target="/xl/worksheets/sheet32.xml" Id="Rc9f9ed6de63542b7" /><Relationship Type="http://schemas.openxmlformats.org/officeDocument/2006/relationships/worksheet" Target="/xl/worksheets/sheet33.xml" Id="Rb8d78bbe5f184d43" /><Relationship Type="http://schemas.openxmlformats.org/officeDocument/2006/relationships/worksheet" Target="/xl/worksheets/sheet34.xml" Id="R054c50b1219a4b9b" /><Relationship Type="http://schemas.openxmlformats.org/officeDocument/2006/relationships/worksheet" Target="/xl/worksheets/sheet35.xml" Id="R79e55434cccc459d" /><Relationship Type="http://schemas.openxmlformats.org/officeDocument/2006/relationships/worksheet" Target="/xl/worksheets/sheet36.xml" Id="R9f1b83daee9349ab" /><Relationship Type="http://schemas.openxmlformats.org/officeDocument/2006/relationships/worksheet" Target="/xl/worksheets/sheet37.xml" Id="R3975d8868faa4ec7" /><Relationship Type="http://schemas.openxmlformats.org/officeDocument/2006/relationships/worksheet" Target="/xl/worksheets/sheet38.xml" Id="R1f0d0ce2865142f5" /><Relationship Type="http://schemas.openxmlformats.org/officeDocument/2006/relationships/worksheet" Target="/xl/worksheets/sheet39.xml" Id="R94be78e02aba441d" /><Relationship Type="http://schemas.openxmlformats.org/officeDocument/2006/relationships/worksheet" Target="/xl/worksheets/sheet40.xml" Id="R92049dd50eaf4e6b" /><Relationship Type="http://schemas.openxmlformats.org/officeDocument/2006/relationships/worksheet" Target="/xl/worksheets/sheet41.xml" Id="R28072da3a06d4c18" /><Relationship Type="http://schemas.openxmlformats.org/officeDocument/2006/relationships/worksheet" Target="/xl/worksheets/sheet42.xml" Id="R9a56f3dd234d46a6" /><Relationship Type="http://schemas.openxmlformats.org/officeDocument/2006/relationships/worksheet" Target="/xl/worksheets/sheet43.xml" Id="R7ce2f6f91c104709" /><Relationship Type="http://schemas.openxmlformats.org/officeDocument/2006/relationships/worksheet" Target="/xl/worksheets/sheet44.xml" Id="R4639769ea31e471c" /><Relationship Type="http://schemas.openxmlformats.org/officeDocument/2006/relationships/worksheet" Target="/xl/worksheets/sheet45.xml" Id="R935198999ef5441c" /><Relationship Type="http://schemas.openxmlformats.org/officeDocument/2006/relationships/worksheet" Target="/xl/worksheets/sheet46.xml" Id="R81f71d69b99e4a2c" /><Relationship Type="http://schemas.openxmlformats.org/officeDocument/2006/relationships/worksheet" Target="/xl/worksheets/sheet47.xml" Id="R574fa1dc85964c5e" /><Relationship Type="http://schemas.openxmlformats.org/officeDocument/2006/relationships/worksheet" Target="/xl/worksheets/sheet48.xml" Id="Re41b44bf42f74086" /><Relationship Type="http://schemas.openxmlformats.org/officeDocument/2006/relationships/worksheet" Target="/xl/worksheets/sheet49.xml" Id="R5161e6262391477d" /><Relationship Type="http://schemas.openxmlformats.org/officeDocument/2006/relationships/worksheet" Target="/xl/worksheets/sheet50.xml" Id="Ra32c35e6f695487d" /><Relationship Type="http://schemas.openxmlformats.org/officeDocument/2006/relationships/worksheet" Target="/xl/worksheets/sheet51.xml" Id="R0e18aeeff42a403a" /><Relationship Type="http://schemas.openxmlformats.org/officeDocument/2006/relationships/worksheet" Target="/xl/worksheets/sheet52.xml" Id="Raacb7ea8a8cd4965" /><Relationship Type="http://schemas.openxmlformats.org/officeDocument/2006/relationships/worksheet" Target="/xl/worksheets/sheet53.xml" Id="R22d90a9fa7c24f00" /><Relationship Type="http://schemas.openxmlformats.org/officeDocument/2006/relationships/worksheet" Target="/xl/worksheets/sheet54.xml" Id="R907d01b6525f4b88" /><Relationship Type="http://schemas.openxmlformats.org/officeDocument/2006/relationships/worksheet" Target="/xl/worksheets/sheet55.xml" Id="Rfe3ef89e1130458b" /><Relationship Type="http://schemas.openxmlformats.org/officeDocument/2006/relationships/worksheet" Target="/xl/worksheets/sheet56.xml" Id="Raf2a29fd647d499d" /><Relationship Type="http://schemas.openxmlformats.org/officeDocument/2006/relationships/worksheet" Target="/xl/worksheets/sheet57.xml" Id="Reafd74db21bb4cdd" /><Relationship Type="http://schemas.openxmlformats.org/officeDocument/2006/relationships/worksheet" Target="/xl/worksheets/sheet58.xml" Id="Rc8ce69f438064781" /><Relationship Type="http://schemas.openxmlformats.org/officeDocument/2006/relationships/worksheet" Target="/xl/worksheets/sheet59.xml" Id="R1050d08d44344f61" /><Relationship Type="http://schemas.openxmlformats.org/officeDocument/2006/relationships/worksheet" Target="/xl/worksheets/sheet60.xml" Id="Ra640471b1fb44c24" /><Relationship Type="http://schemas.openxmlformats.org/officeDocument/2006/relationships/worksheet" Target="/xl/worksheets/sheet61.xml" Id="R656b735b29de4b81" /><Relationship Type="http://schemas.openxmlformats.org/officeDocument/2006/relationships/worksheet" Target="/xl/worksheets/sheet62.xml" Id="R287d4b24da5a4ca7" /><Relationship Type="http://schemas.openxmlformats.org/officeDocument/2006/relationships/worksheet" Target="/xl/worksheets/sheet63.xml" Id="R91221d677af84223" /><Relationship Type="http://schemas.openxmlformats.org/officeDocument/2006/relationships/worksheet" Target="/xl/worksheets/sheet64.xml" Id="Ra76f3e036bff4f6e" /><Relationship Type="http://schemas.openxmlformats.org/officeDocument/2006/relationships/worksheet" Target="/xl/worksheets/sheet65.xml" Id="R6df77a7646ff40bc" /><Relationship Type="http://schemas.openxmlformats.org/officeDocument/2006/relationships/worksheet" Target="/xl/worksheets/sheet66.xml" Id="Reacd928d6c7e468c" /><Relationship Type="http://schemas.openxmlformats.org/officeDocument/2006/relationships/worksheet" Target="/xl/worksheets/sheet67.xml" Id="R97601d1206ef45a7" /><Relationship Type="http://schemas.openxmlformats.org/officeDocument/2006/relationships/worksheet" Target="/xl/worksheets/sheet68.xml" Id="Rdb654939a70546a0" /><Relationship Type="http://schemas.openxmlformats.org/officeDocument/2006/relationships/worksheet" Target="/xl/worksheets/sheet69.xml" Id="Rc245679f46074eaf" /><Relationship Type="http://schemas.openxmlformats.org/officeDocument/2006/relationships/worksheet" Target="/xl/worksheets/sheet70.xml" Id="R29d61cc18e0d4fe7" /><Relationship Type="http://schemas.openxmlformats.org/officeDocument/2006/relationships/worksheet" Target="/xl/worksheets/sheet71.xml" Id="R275bcdd8a9064f3b" /><Relationship Type="http://schemas.openxmlformats.org/officeDocument/2006/relationships/worksheet" Target="/xl/worksheets/sheet72.xml" Id="R3660c3cb643e4e62" /><Relationship Type="http://schemas.openxmlformats.org/officeDocument/2006/relationships/worksheet" Target="/xl/worksheets/sheet73.xml" Id="R276c433b46d94375" /><Relationship Type="http://schemas.openxmlformats.org/officeDocument/2006/relationships/worksheet" Target="/xl/worksheets/sheet74.xml" Id="R70b0cf72ab2a42e1" /><Relationship Type="http://schemas.openxmlformats.org/officeDocument/2006/relationships/worksheet" Target="/xl/worksheets/sheet75.xml" Id="Rf2e15d59ecf6498b" /><Relationship Type="http://schemas.openxmlformats.org/officeDocument/2006/relationships/worksheet" Target="/xl/worksheets/sheet76.xml" Id="R1e307909ab7d468d" /><Relationship Type="http://schemas.openxmlformats.org/officeDocument/2006/relationships/worksheet" Target="/xl/worksheets/sheet77.xml" Id="R2f632feda8ba4e3e" /><Relationship Type="http://schemas.openxmlformats.org/officeDocument/2006/relationships/worksheet" Target="/xl/worksheets/sheet78.xml" Id="R11ce60360b3c43b3" /><Relationship Type="http://schemas.openxmlformats.org/officeDocument/2006/relationships/worksheet" Target="/xl/worksheets/sheet79.xml" Id="Re2d18d9048cc4650" /><Relationship Type="http://schemas.openxmlformats.org/officeDocument/2006/relationships/worksheet" Target="/xl/worksheets/sheet80.xml" Id="R0816f6f66311440b" /><Relationship Type="http://schemas.openxmlformats.org/officeDocument/2006/relationships/worksheet" Target="/xl/worksheets/sheet81.xml" Id="R25fe07eb8bec429f" /><Relationship Type="http://schemas.openxmlformats.org/officeDocument/2006/relationships/worksheet" Target="/xl/worksheets/sheet82.xml" Id="R72b7af5de4c74e12" /><Relationship Type="http://schemas.openxmlformats.org/officeDocument/2006/relationships/worksheet" Target="/xl/worksheets/sheet83.xml" Id="Rd9fcd9fc97c64f14" /><Relationship Type="http://schemas.openxmlformats.org/officeDocument/2006/relationships/worksheet" Target="/xl/worksheets/sheet84.xml" Id="R9f1aea77784049c8" /><Relationship Type="http://schemas.openxmlformats.org/officeDocument/2006/relationships/worksheet" Target="/xl/worksheets/sheet85.xml" Id="R103978e38eae4214" /><Relationship Type="http://schemas.openxmlformats.org/officeDocument/2006/relationships/worksheet" Target="/xl/worksheets/sheet86.xml" Id="R91d827a988b244b2" /><Relationship Type="http://schemas.openxmlformats.org/officeDocument/2006/relationships/worksheet" Target="/xl/worksheets/sheet87.xml" Id="Rcaf65d25d73949b0" /><Relationship Type="http://schemas.openxmlformats.org/officeDocument/2006/relationships/worksheet" Target="/xl/worksheets/sheet88.xml" Id="R06fa7d9009b14a95" /><Relationship Type="http://schemas.openxmlformats.org/officeDocument/2006/relationships/worksheet" Target="/xl/worksheets/sheet89.xml" Id="R3d1981853f354b2f" /><Relationship Type="http://schemas.openxmlformats.org/officeDocument/2006/relationships/worksheet" Target="/xl/worksheets/sheet90.xml" Id="R6013056f33584891" /><Relationship Type="http://schemas.openxmlformats.org/officeDocument/2006/relationships/worksheet" Target="/xl/worksheets/sheet91.xml" Id="R78e6e99bd51e4820" /><Relationship Type="http://schemas.openxmlformats.org/officeDocument/2006/relationships/worksheet" Target="/xl/worksheets/sheet92.xml" Id="R3bacdc015efd432f" /><Relationship Type="http://schemas.openxmlformats.org/officeDocument/2006/relationships/worksheet" Target="/xl/worksheets/sheet93.xml" Id="R3e66fc6e83764569" /><Relationship Type="http://schemas.openxmlformats.org/officeDocument/2006/relationships/worksheet" Target="/xl/worksheets/sheet94.xml" Id="R4b9cacbce9de41f5" /><Relationship Type="http://schemas.openxmlformats.org/officeDocument/2006/relationships/worksheet" Target="/xl/worksheets/sheet95.xml" Id="R5d517867472946bf" /><Relationship Type="http://schemas.openxmlformats.org/officeDocument/2006/relationships/worksheet" Target="/xl/worksheets/sheet96.xml" Id="R51b79376753c4d35" /><Relationship Type="http://schemas.openxmlformats.org/officeDocument/2006/relationships/worksheet" Target="/xl/worksheets/sheet97.xml" Id="Rd89f284065154e24" /><Relationship Type="http://schemas.openxmlformats.org/officeDocument/2006/relationships/worksheet" Target="/xl/worksheets/sheet98.xml" Id="Ref0d358708a94d93" /><Relationship Type="http://schemas.openxmlformats.org/officeDocument/2006/relationships/worksheet" Target="/xl/worksheets/sheet99.xml" Id="R193ae66eacf94005" /><Relationship Type="http://schemas.openxmlformats.org/officeDocument/2006/relationships/worksheet" Target="/xl/worksheets/sheet100.xml" Id="R16f936f71a634d09" /><Relationship Type="http://schemas.openxmlformats.org/officeDocument/2006/relationships/worksheet" Target="/xl/worksheets/sheet101.xml" Id="Rcdb38a782a2b45c3" /><Relationship Type="http://schemas.openxmlformats.org/officeDocument/2006/relationships/worksheet" Target="/xl/worksheets/sheet102.xml" Id="R399950c54b1248ec" /><Relationship Type="http://schemas.openxmlformats.org/officeDocument/2006/relationships/worksheet" Target="/xl/worksheets/sheet103.xml" Id="Rc50a3ace243a4482" /><Relationship Type="http://schemas.openxmlformats.org/officeDocument/2006/relationships/worksheet" Target="/xl/worksheets/sheet104.xml" Id="R0726eeae56fa44fa" /><Relationship Type="http://schemas.openxmlformats.org/officeDocument/2006/relationships/worksheet" Target="/xl/worksheets/sheet105.xml" Id="Rb9cf7b443a984fce" /><Relationship Type="http://schemas.openxmlformats.org/officeDocument/2006/relationships/worksheet" Target="/xl/worksheets/sheet106.xml" Id="Rc72b4694cc2445c6" /><Relationship Type="http://schemas.openxmlformats.org/officeDocument/2006/relationships/worksheet" Target="/xl/worksheets/sheet107.xml" Id="R72752cf0b28e4238" /><Relationship Type="http://schemas.openxmlformats.org/officeDocument/2006/relationships/worksheet" Target="/xl/worksheets/sheet108.xml" Id="R6ab1390b0d314c57" /><Relationship Type="http://schemas.openxmlformats.org/officeDocument/2006/relationships/worksheet" Target="/xl/worksheets/sheet109.xml" Id="Rd8fd5c9ab3d24403" /><Relationship Type="http://schemas.openxmlformats.org/officeDocument/2006/relationships/worksheet" Target="/xl/worksheets/sheet110.xml" Id="R4ac31b4b27104a66" /><Relationship Type="http://schemas.openxmlformats.org/officeDocument/2006/relationships/worksheet" Target="/xl/worksheets/sheet111.xml" Id="R9fb6a9e2b03841f0" /><Relationship Type="http://schemas.openxmlformats.org/officeDocument/2006/relationships/worksheet" Target="/xl/worksheets/sheet112.xml" Id="R0743e82e4b0f4c5a" /><Relationship Type="http://schemas.openxmlformats.org/officeDocument/2006/relationships/worksheet" Target="/xl/worksheets/sheet113.xml" Id="Rca3243d1375a47a2" /><Relationship Type="http://schemas.openxmlformats.org/officeDocument/2006/relationships/worksheet" Target="/xl/worksheets/sheet114.xml" Id="Rad0f5c34b6024f4b" /><Relationship Type="http://schemas.openxmlformats.org/officeDocument/2006/relationships/worksheet" Target="/xl/worksheets/sheet115.xml" Id="Rceb69ef6aa7a48c3" /><Relationship Type="http://schemas.openxmlformats.org/officeDocument/2006/relationships/worksheet" Target="/xl/worksheets/sheet116.xml" Id="Rf87543ab9e3b47a6" /><Relationship Type="http://schemas.openxmlformats.org/officeDocument/2006/relationships/worksheet" Target="/xl/worksheets/sheet117.xml" Id="R7c3a67dc4d034fe7" /><Relationship Type="http://schemas.openxmlformats.org/officeDocument/2006/relationships/worksheet" Target="/xl/worksheets/sheet118.xml" Id="R383e4c1951ff41d9" /><Relationship Type="http://schemas.openxmlformats.org/officeDocument/2006/relationships/worksheet" Target="/xl/worksheets/sheet119.xml" Id="R3483ed9fc2cd45d5" /><Relationship Type="http://schemas.openxmlformats.org/officeDocument/2006/relationships/worksheet" Target="/xl/worksheets/sheet120.xml" Id="R6609aa17a35c4dfd" /><Relationship Type="http://schemas.openxmlformats.org/officeDocument/2006/relationships/worksheet" Target="/xl/worksheets/sheet121.xml" Id="R6f850d72aceb4943" /><Relationship Type="http://schemas.openxmlformats.org/officeDocument/2006/relationships/worksheet" Target="/xl/worksheets/sheet122.xml" Id="R1e5cb89f15914c8c" /><Relationship Type="http://schemas.openxmlformats.org/officeDocument/2006/relationships/worksheet" Target="/xl/worksheets/sheet123.xml" Id="R0bdcf76c21b947de" /><Relationship Type="http://schemas.openxmlformats.org/officeDocument/2006/relationships/worksheet" Target="/xl/worksheets/sheet124.xml" Id="R2cc3075628584ac0" /><Relationship Type="http://schemas.openxmlformats.org/officeDocument/2006/relationships/worksheet" Target="/xl/worksheets/sheet125.xml" Id="Rba0d7d89fe0d40c6" /><Relationship Type="http://schemas.openxmlformats.org/officeDocument/2006/relationships/worksheet" Target="/xl/worksheets/sheet126.xml" Id="R63e58c02ac6f40c6" /><Relationship Type="http://schemas.openxmlformats.org/officeDocument/2006/relationships/worksheet" Target="/xl/worksheets/sheet127.xml" Id="R79259fbe6af84341" /><Relationship Type="http://schemas.openxmlformats.org/officeDocument/2006/relationships/worksheet" Target="/xl/worksheets/sheet128.xml" Id="R2cea856131304c6c" /><Relationship Type="http://schemas.openxmlformats.org/officeDocument/2006/relationships/worksheet" Target="/xl/worksheets/sheet129.xml" Id="Redaf95f2802a4d04" /><Relationship Type="http://schemas.openxmlformats.org/officeDocument/2006/relationships/worksheet" Target="/xl/worksheets/sheet130.xml" Id="Rb6bf1766e9904f04" /><Relationship Type="http://schemas.openxmlformats.org/officeDocument/2006/relationships/worksheet" Target="/xl/worksheets/sheet131.xml" Id="R07544ee1f7e348b7" /><Relationship Type="http://schemas.openxmlformats.org/officeDocument/2006/relationships/worksheet" Target="/xl/worksheets/sheet132.xml" Id="Rad803f3a2d724faa" /><Relationship Type="http://schemas.openxmlformats.org/officeDocument/2006/relationships/worksheet" Target="/xl/worksheets/sheet133.xml" Id="R6ecb2fd8f5e045a1" /><Relationship Type="http://schemas.openxmlformats.org/officeDocument/2006/relationships/worksheet" Target="/xl/worksheets/sheet134.xml" Id="R98f7e5d1367245af" /><Relationship Type="http://schemas.openxmlformats.org/officeDocument/2006/relationships/worksheet" Target="/xl/worksheets/sheet135.xml" Id="Rf303307991b141a7" /><Relationship Type="http://schemas.openxmlformats.org/officeDocument/2006/relationships/worksheet" Target="/xl/worksheets/sheet136.xml" Id="Rebc2e1a774c94b7c" /><Relationship Type="http://schemas.openxmlformats.org/officeDocument/2006/relationships/worksheet" Target="/xl/worksheets/sheet137.xml" Id="R98888b4dbb794a4a" /><Relationship Type="http://schemas.openxmlformats.org/officeDocument/2006/relationships/worksheet" Target="/xl/worksheets/sheet138.xml" Id="R6184f7d7beff40b3" /><Relationship Type="http://schemas.openxmlformats.org/officeDocument/2006/relationships/worksheet" Target="/xl/worksheets/sheet139.xml" Id="R94b254ceacad4baf" /><Relationship Type="http://schemas.openxmlformats.org/officeDocument/2006/relationships/worksheet" Target="/xl/worksheets/sheet140.xml" Id="R5a63016649be4ec8" /><Relationship Type="http://schemas.openxmlformats.org/officeDocument/2006/relationships/worksheet" Target="/xl/worksheets/sheet141.xml" Id="R4c70ed92ccbc46d6" /><Relationship Type="http://schemas.openxmlformats.org/officeDocument/2006/relationships/worksheet" Target="/xl/worksheets/sheet142.xml" Id="R6edf134e95da4cc4" /><Relationship Type="http://schemas.openxmlformats.org/officeDocument/2006/relationships/worksheet" Target="/xl/worksheets/sheet143.xml" Id="R266c41b8b25b420b" /><Relationship Type="http://schemas.openxmlformats.org/officeDocument/2006/relationships/worksheet" Target="/xl/worksheets/sheet144.xml" Id="R6f4ba124e86c4622" /><Relationship Type="http://schemas.openxmlformats.org/officeDocument/2006/relationships/worksheet" Target="/xl/worksheets/sheet145.xml" Id="R62abb42108074dc1" /><Relationship Type="http://schemas.openxmlformats.org/officeDocument/2006/relationships/worksheet" Target="/xl/worksheets/sheet146.xml" Id="R38b02b50dc574481" /><Relationship Type="http://schemas.openxmlformats.org/officeDocument/2006/relationships/worksheet" Target="/xl/worksheets/sheet147.xml" Id="Rc69d6107d4424017" /><Relationship Type="http://schemas.openxmlformats.org/officeDocument/2006/relationships/worksheet" Target="/xl/worksheets/sheet148.xml" Id="R7845ffa74dbc4559" /><Relationship Type="http://schemas.openxmlformats.org/officeDocument/2006/relationships/worksheet" Target="/xl/worksheets/sheet149.xml" Id="R1f314e0fc2b54b1a" /><Relationship Type="http://schemas.openxmlformats.org/officeDocument/2006/relationships/worksheet" Target="/xl/worksheets/sheet150.xml" Id="Rb98d68c3615b4691" /><Relationship Type="http://schemas.openxmlformats.org/officeDocument/2006/relationships/worksheet" Target="/xl/worksheets/sheet151.xml" Id="R5314873005da42e9" /><Relationship Type="http://schemas.openxmlformats.org/officeDocument/2006/relationships/worksheet" Target="/xl/worksheets/sheet152.xml" Id="Rd9cddca05a9247ec" /><Relationship Type="http://schemas.openxmlformats.org/officeDocument/2006/relationships/worksheet" Target="/xl/worksheets/sheet153.xml" Id="R6cc3c42d4c044933" /><Relationship Type="http://schemas.openxmlformats.org/officeDocument/2006/relationships/worksheet" Target="/xl/worksheets/sheet154.xml" Id="Rb15776347c2c4d2e" /><Relationship Type="http://schemas.openxmlformats.org/officeDocument/2006/relationships/worksheet" Target="/xl/worksheets/sheet155.xml" Id="R2c1e82443e6d4d62" /><Relationship Type="http://schemas.openxmlformats.org/officeDocument/2006/relationships/worksheet" Target="/xl/worksheets/sheet156.xml" Id="R441cb10a4d6c4831" /><Relationship Type="http://schemas.openxmlformats.org/officeDocument/2006/relationships/worksheet" Target="/xl/worksheets/sheet157.xml" Id="R17c3fd896ecd467c" /><Relationship Type="http://schemas.openxmlformats.org/officeDocument/2006/relationships/worksheet" Target="/xl/worksheets/sheet158.xml" Id="Ra1d2ddcf195448bd" /><Relationship Type="http://schemas.openxmlformats.org/officeDocument/2006/relationships/worksheet" Target="/xl/worksheets/sheet159.xml" Id="R7c0f3350370e417a" /><Relationship Type="http://schemas.openxmlformats.org/officeDocument/2006/relationships/worksheet" Target="/xl/worksheets/sheet160.xml" Id="R050a080d9d0f4dd6" /><Relationship Type="http://schemas.openxmlformats.org/officeDocument/2006/relationships/worksheet" Target="/xl/worksheets/sheet161.xml" Id="R08d8d2f8fc0d4b88" /><Relationship Type="http://schemas.openxmlformats.org/officeDocument/2006/relationships/worksheet" Target="/xl/worksheets/sheet162.xml" Id="R3fea9a3afcaf402a" /><Relationship Type="http://schemas.openxmlformats.org/officeDocument/2006/relationships/worksheet" Target="/xl/worksheets/sheet163.xml" Id="Rdae01cdcdc814ac7" /><Relationship Type="http://schemas.openxmlformats.org/officeDocument/2006/relationships/worksheet" Target="/xl/worksheets/sheet164.xml" Id="R782b16eae4044bf0" /><Relationship Type="http://schemas.openxmlformats.org/officeDocument/2006/relationships/worksheet" Target="/xl/worksheets/sheet165.xml" Id="Rac73ce604ad04c0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216" customWidth="1"/>
    <x:col min="2" max="2" width="8" style="216" customWidth="1"/>
    <x:col min="3" max="3" width="17.44140625" customWidth="1"/>
    <x:col min="4" max="4" width="15.6640625" customWidth="1"/>
    <x:col min="5" max="5" width="25" customWidth="1"/>
    <x:col min="6" max="6" width="28" customWidth="1"/>
    <x:col min="7" max="7" width="52.6640625" customWidth="1"/>
  </x:cols>
  <x:sheetData>
    <x:row r="1" ht="27.899999618530273" customHeight="1">
      <x:c r="A1" s="357" t="s">
        <x:v>0</x:v>
      </x:c>
      <x:c r="B1" s="352"/>
      <x:c r="C1" s="353"/>
      <x:c r="D1" s="353"/>
      <x:c r="E1" s="353"/>
      <x:c r="F1" s="353"/>
      <x:c r="G1" s="353"/>
    </x:row>
    <x:row r="2" ht="15.899999618530273" customHeight="1">
      <x:c r="A2" s="351" t="s">
        <x:v>1</x:v>
      </x:c>
      <x:c r="B2" s="352"/>
      <x:c r="C2" s="353"/>
      <x:c r="D2" s="353"/>
      <x:c r="E2" s="353"/>
      <x:c r="F2" s="353"/>
      <x:c r="G2" s="353"/>
    </x:row>
    <x:row r="3" s="216" customFormat="1" ht="20.100000381469727" customHeight="1">
      <x:c r="A3" s="218" t="s">
        <x:v>2</x:v>
      </x:c>
      <x:c r="B3" s="218" t="s">
        <x:v>3</x:v>
      </x:c>
      <x:c r="C3" s="218" t="s">
        <x:v>4</x:v>
      </x:c>
      <x:c r="D3" s="218" t="s">
        <x:v>5</x:v>
      </x:c>
      <x:c r="E3" s="218" t="s">
        <x:v>6</x:v>
      </x:c>
      <x:c r="F3" s="218" t="s">
        <x:v>7</x:v>
      </x:c>
      <x:c r="G3" s="218" t="s">
        <x:v>8</x:v>
      </x:c>
    </x:row>
    <x:row r="4" s="216" customFormat="1" ht="17.100000381469727" customHeight="1">
      <x:c r="A4" s="350" t="s">
        <x:v>9</x:v>
      </x:c>
      <x:c r="B4" s="348"/>
      <x:c r="C4" s="348"/>
      <x:c r="D4" s="348"/>
      <x:c r="E4" s="348"/>
      <x:c r="F4" s="348"/>
      <x:c r="G4" s="349"/>
    </x:row>
    <x:row r="5" ht="17.100000381469727" customHeight="1">
      <x:c r="A5" s="218">
        <x:v>1</x:v>
      </x:c>
      <x:c r="B5" s="219" t="s">
        <x:v>10</x:v>
      </x:c>
      <x:c r="C5" s="214" t="s">
        <x:v>11</x:v>
      </x:c>
      <x:c r="D5" s="220" t="s">
        <x:v>12</x:v>
      </x:c>
      <x:c r="E5" s="214" t="s">
        <x:v>13</x:v>
      </x:c>
      <x:c r="F5" s="215" t="s">
        <x:v>14</x:v>
      </x:c>
      <x:c r="G5" s="217" t="s">
        <x:v>15</x:v>
      </x:c>
    </x:row>
    <x:row r="6" ht="17.100000381469727" customHeight="1">
      <x:c r="A6" s="218">
        <x:v>2</x:v>
      </x:c>
      <x:c r="B6" s="219" t="s">
        <x:v>10</x:v>
      </x:c>
      <x:c r="C6" s="214" t="str">
        <x:f t="shared" ref="C6:C11" si="0">E5</x:f>
        <x:v>I_Bienvenida</x:v>
      </x:c>
      <x:c r="D6" s="220" t="s">
        <x:v>12</x:v>
      </x:c>
      <x:c r="E6" s="214" t="s">
        <x:v>16</x:v>
      </x:c>
      <x:c r="F6" s="215" t="s">
        <x:v>17</x:v>
      </x:c>
      <x:c r="G6" s="217" t="s">
        <x:v>18</x:v>
      </x:c>
    </x:row>
    <x:row r="7" ht="33.75" customHeight="1">
      <x:c r="A7" s="218">
        <x:v>3</x:v>
      </x:c>
      <x:c r="B7" s="219" t="s">
        <x:v>10</x:v>
      </x:c>
      <x:c r="C7" s="214" t="str">
        <x:f t="shared" si="0"/>
        <x:v>C_InicioSesion</x:v>
      </x:c>
      <x:c r="D7" s="220" t="s">
        <x:v>19</x:v>
      </x:c>
      <x:c r="E7" s="214" t="s">
        <x:v>16</x:v>
      </x:c>
      <x:c r="F7" s="225" t="s">
        <x:v>20</x:v>
      </x:c>
      <x:c r="G7" s="217" t="s">
        <x:v>21</x:v>
      </x:c>
    </x:row>
    <x:row r="8" ht="30" customHeight="1">
      <x:c r="A8" s="218">
        <x:v>4</x:v>
      </x:c>
      <x:c r="B8" s="219" t="s">
        <x:v>10</x:v>
      </x:c>
      <x:c r="C8" s="214" t="str">
        <x:f t="shared" si="0"/>
        <x:v>C_InicioSesion</x:v>
      </x:c>
      <x:c r="D8" s="221" t="s">
        <x:v>12</x:v>
      </x:c>
      <x:c r="E8" s="214" t="s">
        <x:v>22</x:v>
      </x:c>
      <x:c r="F8" s="225" t="s">
        <x:v>23</x:v>
      </x:c>
      <x:c r="G8" s="217" t="s">
        <x:v>24</x:v>
      </x:c>
    </x:row>
    <x:row r="9" ht="26.25" customHeight="1">
      <x:c r="A9" s="218">
        <x:v>5</x:v>
      </x:c>
      <x:c r="B9" s="219" t="s">
        <x:v>10</x:v>
      </x:c>
      <x:c r="C9" s="214" t="str">
        <x:f t="shared" si="0"/>
        <x:v>I_InicioSesion</x:v>
      </x:c>
      <x:c r="D9" s="220" t="s">
        <x:v>12</x:v>
      </x:c>
      <x:c r="E9" s="214" t="s">
        <x:v>11</x:v>
      </x:c>
      <x:c r="F9" s="215" t="s">
        <x:v>25</x:v>
      </x:c>
      <x:c r="G9" s="217" t="s">
        <x:v>26</x:v>
      </x:c>
    </x:row>
    <x:row r="10" ht="26.25" customHeight="1">
      <x:c r="A10" s="218">
        <x:v>6</x:v>
      </x:c>
      <x:c r="B10" s="219" t="s">
        <x:v>10</x:v>
      </x:c>
      <x:c r="C10" s="214" t="str">
        <x:f t="shared" si="0"/>
        <x:v>AS_Usuario</x:v>
      </x:c>
      <x:c r="D10" s="220" t="s">
        <x:v>12</x:v>
      </x:c>
      <x:c r="E10" s="214" t="s">
        <x:v>22</x:v>
      </x:c>
      <x:c r="F10" s="215" t="s">
        <x:v>27</x:v>
      </x:c>
      <x:c r="G10" s="217" t="s">
        <x:v>28</x:v>
      </x:c>
    </x:row>
    <x:row r="11" ht="17.100000381469727" customHeight="1">
      <x:c r="A11" s="218">
        <x:v>7</x:v>
      </x:c>
      <x:c r="B11" s="219" t="s">
        <x:v>10</x:v>
      </x:c>
      <x:c r="C11" s="214" t="str">
        <x:f t="shared" si="0"/>
        <x:v>I_InicioSesion</x:v>
      </x:c>
      <x:c r="D11" s="220" t="s">
        <x:v>12</x:v>
      </x:c>
      <x:c r="E11" s="214" t="s">
        <x:v>29</x:v>
      </x:c>
      <x:c r="F11" s="215" t="s">
        <x:v>30</x:v>
      </x:c>
      <x:c r="G11" s="217" t="s">
        <x:v>31</x:v>
      </x:c>
    </x:row>
    <x:row r="12" ht="27" customHeight="1">
      <x:c r="A12" s="359" t="s">
        <x:v>32</x:v>
      </x:c>
      <x:c r="B12" s="352"/>
      <x:c r="C12" s="353"/>
      <x:c r="D12" s="353"/>
      <x:c r="E12" s="353"/>
      <x:c r="F12" s="353"/>
      <x:c r="G12" s="353"/>
    </x:row>
    <x:row r="13" ht="32.25" customHeight="1">
      <x:c r="A13" s="218">
        <x:v>8</x:v>
      </x:c>
      <x:c r="B13" s="219" t="s">
        <x:v>33</x:v>
      </x:c>
      <x:c r="C13" s="223" t="str">
        <x:f>E11</x:f>
        <x:v>C_RecuperacionCuenta</x:v>
      </x:c>
      <x:c r="D13" s="220" t="s">
        <x:v>12</x:v>
      </x:c>
      <x:c r="E13" s="223" t="s">
        <x:v>34</x:v>
      </x:c>
      <x:c r="F13" s="225" t="s">
        <x:v>35</x:v>
      </x:c>
      <x:c r="G13" s="217" t="s">
        <x:v>36</x:v>
      </x:c>
    </x:row>
    <x:row r="14" ht="30" customHeight="1">
      <x:c r="A14" s="218">
        <x:v>9</x:v>
      </x:c>
      <x:c r="B14" s="219" t="s">
        <x:v>33</x:v>
      </x:c>
      <x:c r="C14" s="223" t="s">
        <x:v>34</x:v>
      </x:c>
      <x:c r="D14" s="220" t="s">
        <x:v>12</x:v>
      </x:c>
      <x:c r="E14" s="223" t="s">
        <x:v>11</x:v>
      </x:c>
      <x:c r="F14" s="225" t="s">
        <x:v>37</x:v>
      </x:c>
      <x:c r="G14" s="217" t="s">
        <x:v>38</x:v>
      </x:c>
    </x:row>
    <x:row r="15" ht="29.25" customHeight="1">
      <x:c r="A15" s="218">
        <x:v>10</x:v>
      </x:c>
      <x:c r="B15" s="219" t="s">
        <x:v>33</x:v>
      </x:c>
      <x:c r="C15" s="223" t="str">
        <x:f t="shared" ref="C15:C22" si="1">E14</x:f>
        <x:v>AS_Usuario</x:v>
      </x:c>
      <x:c r="D15" s="220" t="s">
        <x:v>12</x:v>
      </x:c>
      <x:c r="E15" s="223" t="s">
        <x:v>34</x:v>
      </x:c>
      <x:c r="F15" s="225" t="s">
        <x:v>39</x:v>
      </x:c>
      <x:c r="G15" s="217" t="s">
        <x:v>40</x:v>
      </x:c>
    </x:row>
    <x:row r="16" ht="27.75" customHeight="1">
      <x:c r="A16" s="218">
        <x:v>11</x:v>
      </x:c>
      <x:c r="B16" s="219" t="s">
        <x:v>33</x:v>
      </x:c>
      <x:c r="C16" s="223" t="str">
        <x:f t="shared" si="1"/>
        <x:v>I_RecuperacionContrasena</x:v>
      </x:c>
      <x:c r="D16" s="220" t="s">
        <x:v>12</x:v>
      </x:c>
      <x:c r="E16" s="223" t="s">
        <x:v>29</x:v>
      </x:c>
      <x:c r="F16" s="225" t="s">
        <x:v>41</x:v>
      </x:c>
      <x:c r="G16" s="217" t="s">
        <x:v>42</x:v>
      </x:c>
    </x:row>
    <x:row r="17" ht="26.25" customHeight="1">
      <x:c r="A17" s="218">
        <x:v>12</x:v>
      </x:c>
      <x:c r="B17" s="219" t="s">
        <x:v>33</x:v>
      </x:c>
      <x:c r="C17" s="223" t="str">
        <x:f t="shared" si="1"/>
        <x:v>C_RecuperacionCuenta</x:v>
      </x:c>
      <x:c r="D17" s="220" t="s">
        <x:v>12</x:v>
      </x:c>
      <x:c r="E17" s="223" t="s">
        <x:v>43</x:v>
      </x:c>
      <x:c r="F17" s="225" t="s">
        <x:v>44</x:v>
      </x:c>
      <x:c r="G17" s="217" t="s">
        <x:v>45</x:v>
      </x:c>
    </x:row>
    <x:row r="18" ht="31.5" customHeight="1">
      <x:c r="A18" s="218">
        <x:v>13</x:v>
      </x:c>
      <x:c r="B18" s="219" t="s">
        <x:v>33</x:v>
      </x:c>
      <x:c r="C18" s="223" t="str">
        <x:f t="shared" si="1"/>
        <x:v>C_ValidacionRecuperacion</x:v>
      </x:c>
      <x:c r="D18" s="220" t="s">
        <x:v>19</x:v>
      </x:c>
      <x:c r="E18" s="223" t="s">
        <x:v>43</x:v>
      </x:c>
      <x:c r="F18" s="225" t="s">
        <x:v>46</x:v>
      </x:c>
      <x:c r="G18" s="217" t="s">
        <x:v>47</x:v>
      </x:c>
    </x:row>
    <x:row r="19" ht="26.25" customHeight="1">
      <x:c r="A19" s="218">
        <x:v>14</x:v>
      </x:c>
      <x:c r="B19" s="219" t="s">
        <x:v>33</x:v>
      </x:c>
      <x:c r="C19" s="223" t="str">
        <x:f t="shared" si="1"/>
        <x:v>C_ValidacionRecuperacion</x:v>
      </x:c>
      <x:c r="D19" s="220" t="s">
        <x:v>19</x:v>
      </x:c>
      <x:c r="E19" s="223" t="s">
        <x:v>43</x:v>
      </x:c>
      <x:c r="F19" s="225" t="s">
        <x:v>48</x:v>
      </x:c>
      <x:c r="G19" s="217" t="s">
        <x:v>49</x:v>
      </x:c>
    </x:row>
    <x:row r="20" ht="35.25" customHeight="1">
      <x:c r="A20" s="218">
        <x:v>15</x:v>
      </x:c>
      <x:c r="B20" s="219" t="s">
        <x:v>33</x:v>
      </x:c>
      <x:c r="C20" s="223" t="str">
        <x:f t="shared" si="1"/>
        <x:v>C_ValidacionRecuperacion</x:v>
      </x:c>
      <x:c r="D20" s="221" t="s">
        <x:v>12</x:v>
      </x:c>
      <x:c r="E20" s="223" t="s">
        <x:v>50</x:v>
      </x:c>
      <x:c r="F20" s="225" t="s">
        <x:v>51</x:v>
      </x:c>
      <x:c r="G20" s="217" t="s">
        <x:v>52</x:v>
      </x:c>
    </x:row>
    <x:row r="21" ht="31.5" customHeight="1">
      <x:c r="A21" s="218">
        <x:v>16</x:v>
      </x:c>
      <x:c r="B21" s="219" t="s">
        <x:v>33</x:v>
      </x:c>
      <x:c r="C21" s="223" t="str">
        <x:f t="shared" si="1"/>
        <x:v>E_Usuario</x:v>
      </x:c>
      <x:c r="D21" s="221" t="s">
        <x:v>53</x:v>
      </x:c>
      <x:c r="E21" s="223" t="s">
        <x:v>43</x:v>
      </x:c>
      <x:c r="F21" s="225" t="s">
        <x:v>54</x:v>
      </x:c>
      <x:c r="G21" s="217" t="s">
        <x:v>55</x:v>
      </x:c>
    </x:row>
    <x:row r="22" ht="26.25" customHeight="1">
      <x:c r="A22" s="218">
        <x:v>17</x:v>
      </x:c>
      <x:c r="B22" s="219" t="s">
        <x:v>33</x:v>
      </x:c>
      <x:c r="C22" s="223" t="str">
        <x:f t="shared" si="1"/>
        <x:v>C_ValidacionRecuperacion</x:v>
      </x:c>
      <x:c r="D22" s="221" t="s">
        <x:v>19</x:v>
      </x:c>
      <x:c r="E22" s="223" t="s">
        <x:v>43</x:v>
      </x:c>
      <x:c r="F22" s="225" t="s">
        <x:v>56</x:v>
      </x:c>
      <x:c r="G22" s="217" t="s">
        <x:v>57</x:v>
      </x:c>
    </x:row>
    <x:row r="23" ht="42" customHeight="1">
      <x:c r="A23" s="218">
        <x:v>18</x:v>
      </x:c>
      <x:c r="B23" s="219" t="s">
        <x:v>33</x:v>
      </x:c>
      <x:c r="C23" s="223" t="str">
        <x:f>E21</x:f>
        <x:v>C_ValidacionRecuperacion</x:v>
      </x:c>
      <x:c r="D23" s="221" t="s">
        <x:v>19</x:v>
      </x:c>
      <x:c r="E23" s="223" t="s">
        <x:v>43</x:v>
      </x:c>
      <x:c r="F23" s="225" t="s">
        <x:v>58</x:v>
      </x:c>
      <x:c r="G23" s="217" t="s">
        <x:v>59</x:v>
      </x:c>
    </x:row>
    <x:row r="24" ht="29.25" customHeight="1">
      <x:c r="A24" s="218">
        <x:v>19</x:v>
      </x:c>
      <x:c r="B24" s="219" t="s">
        <x:v>33</x:v>
      </x:c>
      <x:c r="C24" s="223" t="str">
        <x:f>E22</x:f>
        <x:v>C_ValidacionRecuperacion</x:v>
      </x:c>
      <x:c r="D24" s="221" t="s">
        <x:v>53</x:v>
      </x:c>
      <x:c r="E24" s="223" t="s">
        <x:v>29</x:v>
      </x:c>
      <x:c r="F24" s="225" t="s">
        <x:v>60</x:v>
      </x:c>
      <x:c r="G24" s="217" t="s">
        <x:v>61</x:v>
      </x:c>
    </x:row>
    <x:row r="25" ht="33.75" customHeight="1">
      <x:c r="A25" s="359" t="s">
        <x:v>62</x:v>
      </x:c>
      <x:c r="B25" s="352"/>
      <x:c r="C25" s="353"/>
      <x:c r="D25" s="353"/>
      <x:c r="E25" s="353"/>
      <x:c r="F25" s="353"/>
      <x:c r="G25" s="353"/>
    </x:row>
    <x:row r="26" ht="28.5" customHeight="1">
      <x:c r="A26" s="218">
        <x:v>20</x:v>
      </x:c>
      <x:c r="B26" s="219" t="s">
        <x:v>63</x:v>
      </x:c>
      <x:c r="C26" s="223" t="str">
        <x:f>E24</x:f>
        <x:v>C_RecuperacionCuenta</x:v>
      </x:c>
      <x:c r="D26" s="220" t="s">
        <x:v>12</x:v>
      </x:c>
      <x:c r="E26" s="223" t="s">
        <x:v>64</x:v>
      </x:c>
      <x:c r="F26" s="225" t="s">
        <x:v>65</x:v>
      </x:c>
      <x:c r="G26" s="217" t="s">
        <x:v>66</x:v>
      </x:c>
    </x:row>
    <x:row r="27" ht="36" customHeight="1">
      <x:c r="A27" s="218">
        <x:v>21</x:v>
      </x:c>
      <x:c r="B27" s="219" t="s">
        <x:v>63</x:v>
      </x:c>
      <x:c r="C27" s="223" t="str">
        <x:f t="shared" ref="C27:C32" si="2">E26</x:f>
        <x:v>C_EnvioCodigoRecuperacion</x:v>
      </x:c>
      <x:c r="D27" s="221" t="s">
        <x:v>19</x:v>
      </x:c>
      <x:c r="E27" s="223" t="s">
        <x:v>64</x:v>
      </x:c>
      <x:c r="F27" s="225" t="s">
        <x:v>67</x:v>
      </x:c>
      <x:c r="G27" s="217" t="s">
        <x:v>68</x:v>
      </x:c>
    </x:row>
    <x:row r="28" ht="26.25" customHeight="1">
      <x:c r="A28" s="218">
        <x:v>22</x:v>
      </x:c>
      <x:c r="B28" s="219" t="s">
        <x:v>63</x:v>
      </x:c>
      <x:c r="C28" s="223" t="str">
        <x:f t="shared" si="2"/>
        <x:v>C_EnvioCodigoRecuperacion</x:v>
      </x:c>
      <x:c r="D28" s="221" t="s">
        <x:v>19</x:v>
      </x:c>
      <x:c r="E28" s="223" t="s">
        <x:v>64</x:v>
      </x:c>
      <x:c r="F28" s="225" t="s">
        <x:v>69</x:v>
      </x:c>
      <x:c r="G28" s="217" t="s">
        <x:v>70</x:v>
      </x:c>
    </x:row>
    <x:row r="29" ht="36" customHeight="1">
      <x:c r="A29" s="218">
        <x:v>23</x:v>
      </x:c>
      <x:c r="B29" s="219" t="s">
        <x:v>63</x:v>
      </x:c>
      <x:c r="C29" s="223" t="str">
        <x:f t="shared" si="2"/>
        <x:v>C_EnvioCodigoRecuperacion</x:v>
      </x:c>
      <x:c r="D29" s="221" t="s">
        <x:v>12</x:v>
      </x:c>
      <x:c r="E29" s="223" t="s">
        <x:v>71</x:v>
      </x:c>
      <x:c r="F29" s="225" t="s">
        <x:v>72</x:v>
      </x:c>
      <x:c r="G29" s="217" t="s">
        <x:v>73</x:v>
      </x:c>
    </x:row>
    <x:row r="30" ht="24" customHeight="1">
      <x:c r="A30" s="218">
        <x:v>24</x:v>
      </x:c>
      <x:c r="B30" s="219" t="s">
        <x:v>63</x:v>
      </x:c>
      <x:c r="C30" s="223" t="str">
        <x:f t="shared" si="2"/>
        <x:v>E_CodigoRecuperacion</x:v>
      </x:c>
      <x:c r="D30" s="221" t="s">
        <x:v>53</x:v>
      </x:c>
      <x:c r="E30" s="223" t="s">
        <x:v>64</x:v>
      </x:c>
      <x:c r="F30" s="225" t="s">
        <x:v>74</x:v>
      </x:c>
      <x:c r="G30" s="217" t="s">
        <x:v>75</x:v>
      </x:c>
    </x:row>
    <x:row r="31" ht="24" customHeight="1">
      <x:c r="A31" s="218">
        <x:v>25</x:v>
      </x:c>
      <x:c r="B31" s="219" t="s">
        <x:v>63</x:v>
      </x:c>
      <x:c r="C31" s="223" t="str">
        <x:f t="shared" si="2"/>
        <x:v>C_EnvioCodigoRecuperacion</x:v>
      </x:c>
      <x:c r="D31" s="221" t="s">
        <x:v>19</x:v>
      </x:c>
      <x:c r="E31" s="223" t="s">
        <x:v>64</x:v>
      </x:c>
      <x:c r="F31" s="225" t="s">
        <x:v>76</x:v>
      </x:c>
      <x:c r="G31" s="217" t="s">
        <x:v>77</x:v>
      </x:c>
    </x:row>
    <x:row r="32" ht="25.5" customHeight="1">
      <x:c r="A32" s="218">
        <x:v>26</x:v>
      </x:c>
      <x:c r="B32" s="219" t="s">
        <x:v>63</x:v>
      </x:c>
      <x:c r="C32" s="223" t="str">
        <x:f t="shared" si="2"/>
        <x:v>C_EnvioCodigoRecuperacion</x:v>
      </x:c>
      <x:c r="D32" s="221" t="s">
        <x:v>53</x:v>
      </x:c>
      <x:c r="E32" s="223" t="s">
        <x:v>29</x:v>
      </x:c>
      <x:c r="F32" s="225" t="s">
        <x:v>78</x:v>
      </x:c>
      <x:c r="G32" s="217" t="s">
        <x:v>79</x:v>
      </x:c>
    </x:row>
    <x:row r="33" ht="17.100000381469727" customHeight="1">
      <x:c r="A33" s="359" t="s">
        <x:v>80</x:v>
      </x:c>
      <x:c r="B33" s="352"/>
      <x:c r="C33" s="353"/>
      <x:c r="D33" s="353"/>
      <x:c r="E33" s="353"/>
      <x:c r="F33" s="353"/>
      <x:c r="G33" s="353"/>
    </x:row>
    <x:row r="34" ht="24.75" customHeight="1">
      <x:c r="A34" s="218">
        <x:v>27</x:v>
      </x:c>
      <x:c r="B34" s="219" t="s">
        <x:v>81</x:v>
      </x:c>
      <x:c r="C34" s="223" t="str">
        <x:f>E32</x:f>
        <x:v>C_RecuperacionCuenta</x:v>
      </x:c>
      <x:c r="D34" s="220" t="s">
        <x:v>12</x:v>
      </x:c>
      <x:c r="E34" s="223" t="s">
        <x:v>82</x:v>
      </x:c>
      <x:c r="F34" s="225" t="s">
        <x:v>83</x:v>
      </x:c>
      <x:c r="G34" s="228" t="s">
        <x:v>84</x:v>
      </x:c>
    </x:row>
    <x:row r="35" ht="25.5" customHeight="1">
      <x:c r="A35" s="218">
        <x:v>28</x:v>
      </x:c>
      <x:c r="B35" s="219" t="s">
        <x:v>81</x:v>
      </x:c>
      <x:c r="C35" s="223" t="str">
        <x:f t="shared" ref="C35:C46" si="3">E34</x:f>
        <x:v>I_VerificarCodigo</x:v>
      </x:c>
      <x:c r="D35" s="220" t="s">
        <x:v>12</x:v>
      </x:c>
      <x:c r="E35" s="223" t="s">
        <x:v>11</x:v>
      </x:c>
      <x:c r="F35" s="225" t="s">
        <x:v>85</x:v>
      </x:c>
      <x:c r="G35" s="228" t="s">
        <x:v>86</x:v>
      </x:c>
    </x:row>
    <x:row r="36" ht="28.5" customHeight="1">
      <x:c r="A36" s="218">
        <x:v>29</x:v>
      </x:c>
      <x:c r="B36" s="219" t="s">
        <x:v>81</x:v>
      </x:c>
      <x:c r="C36" s="223" t="str">
        <x:f t="shared" si="3"/>
        <x:v>AS_Usuario</x:v>
      </x:c>
      <x:c r="D36" s="220" t="s">
        <x:v>12</x:v>
      </x:c>
      <x:c r="E36" s="223" t="s">
        <x:v>82</x:v>
      </x:c>
      <x:c r="F36" s="225" t="s">
        <x:v>87</x:v>
      </x:c>
      <x:c r="G36" s="228" t="s">
        <x:v>88</x:v>
      </x:c>
    </x:row>
    <x:row r="37" ht="28.5" customHeight="1">
      <x:c r="A37" s="218">
        <x:v>30</x:v>
      </x:c>
      <x:c r="B37" s="219" t="s">
        <x:v>81</x:v>
      </x:c>
      <x:c r="C37" s="223" t="str">
        <x:f t="shared" si="3"/>
        <x:v>I_VerificarCodigo</x:v>
      </x:c>
      <x:c r="D37" s="220" t="s">
        <x:v>12</x:v>
      </x:c>
      <x:c r="E37" s="223" t="s">
        <x:v>29</x:v>
      </x:c>
      <x:c r="F37" s="225" t="s">
        <x:v>89</x:v>
      </x:c>
      <x:c r="G37" s="228" t="s">
        <x:v>90</x:v>
      </x:c>
    </x:row>
    <x:row r="38" ht="28.5" customHeight="1">
      <x:c r="A38" s="218">
        <x:v>31</x:v>
      </x:c>
      <x:c r="B38" s="219" t="s">
        <x:v>81</x:v>
      </x:c>
      <x:c r="C38" s="223" t="str">
        <x:f t="shared" si="3"/>
        <x:v>C_RecuperacionCuenta</x:v>
      </x:c>
      <x:c r="D38" s="220" t="s">
        <x:v>12</x:v>
      </x:c>
      <x:c r="E38" s="223" t="s">
        <x:v>43</x:v>
      </x:c>
      <x:c r="F38" s="225" t="s">
        <x:v>91</x:v>
      </x:c>
      <x:c r="G38" s="228" t="s">
        <x:v>92</x:v>
      </x:c>
    </x:row>
    <x:row r="39" ht="28.5" customHeight="1">
      <x:c r="A39" s="218">
        <x:v>32</x:v>
      </x:c>
      <x:c r="B39" s="219" t="s">
        <x:v>81</x:v>
      </x:c>
      <x:c r="C39" s="223" t="str">
        <x:f t="shared" si="3"/>
        <x:v>C_ValidacionRecuperacion</x:v>
      </x:c>
      <x:c r="D39" s="220" t="s">
        <x:v>19</x:v>
      </x:c>
      <x:c r="E39" s="223" t="s">
        <x:v>43</x:v>
      </x:c>
      <x:c r="F39" s="225" t="s">
        <x:v>93</x:v>
      </x:c>
      <x:c r="G39" s="228" t="s">
        <x:v>94</x:v>
      </x:c>
    </x:row>
    <x:row r="40" ht="54" customHeight="1">
      <x:c r="A40" s="218">
        <x:v>33</x:v>
      </x:c>
      <x:c r="B40" s="219" t="s">
        <x:v>81</x:v>
      </x:c>
      <x:c r="C40" s="223" t="str">
        <x:f t="shared" si="3"/>
        <x:v>C_ValidacionRecuperacion</x:v>
      </x:c>
      <x:c r="D40" s="221" t="s">
        <x:v>12</x:v>
      </x:c>
      <x:c r="E40" s="223" t="s">
        <x:v>71</x:v>
      </x:c>
      <x:c r="F40" s="225" t="s">
        <x:v>95</x:v>
      </x:c>
      <x:c r="G40" s="217" t="s">
        <x:v>96</x:v>
      </x:c>
    </x:row>
    <x:row r="41" ht="37.5" customHeight="1">
      <x:c r="A41" s="218">
        <x:v>34</x:v>
      </x:c>
      <x:c r="B41" s="219" t="s">
        <x:v>81</x:v>
      </x:c>
      <x:c r="C41" s="223" t="str">
        <x:f t="shared" si="3"/>
        <x:v>E_CodigoRecuperacion</x:v>
      </x:c>
      <x:c r="D41" s="221" t="s">
        <x:v>53</x:v>
      </x:c>
      <x:c r="E41" s="223" t="s">
        <x:v>43</x:v>
      </x:c>
      <x:c r="F41" s="225" t="s">
        <x:v>97</x:v>
      </x:c>
      <x:c r="G41" s="217" t="s">
        <x:v>98</x:v>
      </x:c>
    </x:row>
    <x:row r="42" ht="39" customHeight="1">
      <x:c r="A42" s="218">
        <x:v>35</x:v>
      </x:c>
      <x:c r="B42" s="219" t="s">
        <x:v>81</x:v>
      </x:c>
      <x:c r="C42" s="223" t="str">
        <x:f t="shared" si="3"/>
        <x:v>C_ValidacionRecuperacion</x:v>
      </x:c>
      <x:c r="D42" s="221" t="s">
        <x:v>19</x:v>
      </x:c>
      <x:c r="E42" s="223" t="s">
        <x:v>43</x:v>
      </x:c>
      <x:c r="F42" s="225" t="s">
        <x:v>99</x:v>
      </x:c>
      <x:c r="G42" s="217" t="s">
        <x:v>100</x:v>
      </x:c>
    </x:row>
    <x:row r="43" ht="24" customHeight="1">
      <x:c r="A43" s="218">
        <x:v>36</x:v>
      </x:c>
      <x:c r="B43" s="219" t="s">
        <x:v>81</x:v>
      </x:c>
      <x:c r="C43" s="223" t="str">
        <x:f t="shared" si="3"/>
        <x:v>C_ValidacionRecuperacion</x:v>
      </x:c>
      <x:c r="D43" s="221" t="s">
        <x:v>19</x:v>
      </x:c>
      <x:c r="E43" s="223" t="s">
        <x:v>43</x:v>
      </x:c>
      <x:c r="F43" s="225" t="s">
        <x:v>101</x:v>
      </x:c>
      <x:c r="G43" s="217" t="s">
        <x:v>102</x:v>
      </x:c>
    </x:row>
    <x:row r="44" ht="24" customHeight="1">
      <x:c r="A44" s="218">
        <x:v>37</x:v>
      </x:c>
      <x:c r="B44" s="219" t="s">
        <x:v>81</x:v>
      </x:c>
      <x:c r="C44" s="223" t="str">
        <x:f t="shared" si="3"/>
        <x:v>C_ValidacionRecuperacion</x:v>
      </x:c>
      <x:c r="D44" s="221" t="s">
        <x:v>19</x:v>
      </x:c>
      <x:c r="E44" s="223" t="s">
        <x:v>43</x:v>
      </x:c>
      <x:c r="F44" s="225" t="s">
        <x:v>103</x:v>
      </x:c>
      <x:c r="G44" s="217" t="s">
        <x:v>104</x:v>
      </x:c>
    </x:row>
    <x:row r="45" ht="24" customHeight="1">
      <x:c r="A45" s="218">
        <x:v>38</x:v>
      </x:c>
      <x:c r="B45" s="219" t="s">
        <x:v>81</x:v>
      </x:c>
      <x:c r="C45" s="223" t="str">
        <x:f t="shared" si="3"/>
        <x:v>C_ValidacionRecuperacion</x:v>
      </x:c>
      <x:c r="D45" s="221" t="s">
        <x:v>19</x:v>
      </x:c>
      <x:c r="E45" s="223" t="s">
        <x:v>43</x:v>
      </x:c>
      <x:c r="F45" s="225" t="s">
        <x:v>105</x:v>
      </x:c>
      <x:c r="G45" s="217" t="s">
        <x:v>106</x:v>
      </x:c>
    </x:row>
    <x:row r="46" ht="24" customHeight="1">
      <x:c r="A46" s="218">
        <x:v>39</x:v>
      </x:c>
      <x:c r="B46" s="219" t="s">
        <x:v>81</x:v>
      </x:c>
      <x:c r="C46" s="223" t="str">
        <x:f t="shared" si="3"/>
        <x:v>C_ValidacionRecuperacion</x:v>
      </x:c>
      <x:c r="D46" s="221" t="s">
        <x:v>53</x:v>
      </x:c>
      <x:c r="E46" s="223" t="s">
        <x:v>29</x:v>
      </x:c>
      <x:c r="F46" s="225" t="s">
        <x:v>107</x:v>
      </x:c>
      <x:c r="G46" s="228" t="s">
        <x:v>108</x:v>
      </x:c>
    </x:row>
    <x:row r="47" ht="30" customHeight="1">
      <x:c r="A47" s="359" t="s">
        <x:v>109</x:v>
      </x:c>
      <x:c r="B47" s="352"/>
      <x:c r="C47" s="353"/>
      <x:c r="D47" s="353"/>
      <x:c r="E47" s="353"/>
      <x:c r="F47" s="353"/>
      <x:c r="G47" s="353"/>
    </x:row>
    <x:row r="48" ht="26.25" customHeight="1">
      <x:c r="A48" s="218">
        <x:v>40</x:v>
      </x:c>
      <x:c r="B48" s="219" t="s">
        <x:v>110</x:v>
      </x:c>
      <x:c r="C48" s="223" t="str">
        <x:f>E46</x:f>
        <x:v>C_RecuperacionCuenta</x:v>
      </x:c>
      <x:c r="D48" s="221" t="s">
        <x:v>19</x:v>
      </x:c>
      <x:c r="E48" s="223" t="s">
        <x:v>29</x:v>
      </x:c>
      <x:c r="F48" s="225" t="s">
        <x:v>111</x:v>
      </x:c>
      <x:c r="G48" s="217" t="s">
        <x:v>112</x:v>
      </x:c>
    </x:row>
    <x:row r="49" ht="27" customHeight="1">
      <x:c r="A49" s="218">
        <x:v>41</x:v>
      </x:c>
      <x:c r="B49" s="219" t="s">
        <x:v>110</x:v>
      </x:c>
      <x:c r="C49" s="223" t="str">
        <x:f t="shared" ref="C49:C62" si="4">E48</x:f>
        <x:v>C_RecuperacionCuenta</x:v>
      </x:c>
      <x:c r="D49" s="221" t="s">
        <x:v>12</x:v>
      </x:c>
      <x:c r="E49" s="223" t="s">
        <x:v>113</x:v>
      </x:c>
      <x:c r="F49" s="225" t="s">
        <x:v>114</x:v>
      </x:c>
      <x:c r="G49" s="217" t="s">
        <x:v>115</x:v>
      </x:c>
    </x:row>
    <x:row r="50" ht="26.25" customHeight="1">
      <x:c r="A50" s="218">
        <x:v>42</x:v>
      </x:c>
      <x:c r="B50" s="219" t="s">
        <x:v>110</x:v>
      </x:c>
      <x:c r="C50" s="223" t="str">
        <x:f t="shared" si="4"/>
        <x:v>I_NuevaContrasena</x:v>
      </x:c>
      <x:c r="D50" s="221" t="s">
        <x:v>12</x:v>
      </x:c>
      <x:c r="E50" s="223" t="s">
        <x:v>11</x:v>
      </x:c>
      <x:c r="F50" s="225" t="s">
        <x:v>116</x:v>
      </x:c>
      <x:c r="G50" s="217" t="s">
        <x:v>117</x:v>
      </x:c>
    </x:row>
    <x:row r="51" ht="42.75" customHeight="1">
      <x:c r="A51" s="218">
        <x:v>43</x:v>
      </x:c>
      <x:c r="B51" s="219" t="s">
        <x:v>110</x:v>
      </x:c>
      <x:c r="C51" s="223" t="str">
        <x:f t="shared" si="4"/>
        <x:v>AS_Usuario</x:v>
      </x:c>
      <x:c r="D51" s="221" t="s">
        <x:v>12</x:v>
      </x:c>
      <x:c r="E51" s="223" t="s">
        <x:v>113</x:v>
      </x:c>
      <x:c r="F51" s="225" t="s">
        <x:v>118</x:v>
      </x:c>
      <x:c r="G51" s="217" t="s">
        <x:v>119</x:v>
      </x:c>
    </x:row>
    <x:row r="52" ht="26.25" customHeight="1">
      <x:c r="A52" s="218">
        <x:v>44</x:v>
      </x:c>
      <x:c r="B52" s="219" t="s">
        <x:v>110</x:v>
      </x:c>
      <x:c r="C52" s="223" t="str">
        <x:f t="shared" si="4"/>
        <x:v>I_NuevaContrasena</x:v>
      </x:c>
      <x:c r="D52" s="221" t="s">
        <x:v>12</x:v>
      </x:c>
      <x:c r="E52" s="223" t="s">
        <x:v>29</x:v>
      </x:c>
      <x:c r="F52" s="225" t="s">
        <x:v>120</x:v>
      </x:c>
      <x:c r="G52" s="217" t="s">
        <x:v>121</x:v>
      </x:c>
    </x:row>
    <x:row r="53" ht="35.25" customHeight="1">
      <x:c r="A53" s="218">
        <x:v>45</x:v>
      </x:c>
      <x:c r="B53" s="219" t="s">
        <x:v>110</x:v>
      </x:c>
      <x:c r="C53" s="223" t="str">
        <x:f t="shared" si="4"/>
        <x:v>C_RecuperacionCuenta</x:v>
      </x:c>
      <x:c r="D53" s="221" t="s">
        <x:v>19</x:v>
      </x:c>
      <x:c r="E53" s="223" t="s">
        <x:v>29</x:v>
      </x:c>
      <x:c r="F53" s="225" t="s">
        <x:v>122</x:v>
      </x:c>
      <x:c r="G53" s="217" t="s">
        <x:v>123</x:v>
      </x:c>
    </x:row>
    <x:row r="54" ht="30.75" customHeight="1">
      <x:c r="A54" s="218">
        <x:v>46</x:v>
      </x:c>
      <x:c r="B54" s="219" t="s">
        <x:v>110</x:v>
      </x:c>
      <x:c r="C54" s="223" t="str">
        <x:f t="shared" si="4"/>
        <x:v>C_RecuperacionCuenta</x:v>
      </x:c>
      <x:c r="D54" s="221" t="s">
        <x:v>12</x:v>
      </x:c>
      <x:c r="E54" s="223" t="s">
        <x:v>113</x:v>
      </x:c>
      <x:c r="F54" s="225" t="s">
        <x:v>124</x:v>
      </x:c>
      <x:c r="G54" s="217" t="s">
        <x:v>125</x:v>
      </x:c>
    </x:row>
    <x:row r="55" ht="27" customHeight="1">
      <x:c r="A55" s="218">
        <x:v>47</x:v>
      </x:c>
      <x:c r="B55" s="219" t="s">
        <x:v>110</x:v>
      </x:c>
      <x:c r="C55" s="223" t="str">
        <x:f t="shared" si="4"/>
        <x:v>I_NuevaContrasena</x:v>
      </x:c>
      <x:c r="D55" s="221" t="s">
        <x:v>12</x:v>
      </x:c>
      <x:c r="E55" s="223" t="s">
        <x:v>11</x:v>
      </x:c>
      <x:c r="F55" s="225" t="s">
        <x:v>126</x:v>
      </x:c>
      <x:c r="G55" s="217" t="s">
        <x:v>127</x:v>
      </x:c>
    </x:row>
    <x:row r="56" ht="30.75" customHeight="1">
      <x:c r="A56" s="218">
        <x:v>48</x:v>
      </x:c>
      <x:c r="B56" s="219" t="s">
        <x:v>110</x:v>
      </x:c>
      <x:c r="C56" s="223" t="str">
        <x:f t="shared" si="4"/>
        <x:v>AS_Usuario</x:v>
      </x:c>
      <x:c r="D56" s="221" t="s">
        <x:v>12</x:v>
      </x:c>
      <x:c r="E56" s="223" t="s">
        <x:v>113</x:v>
      </x:c>
      <x:c r="F56" s="225" t="s">
        <x:v>128</x:v>
      </x:c>
      <x:c r="G56" s="217" t="s">
        <x:v>129</x:v>
      </x:c>
    </x:row>
    <x:row r="57" ht="30.75" customHeight="1">
      <x:c r="A57" s="218">
        <x:v>49</x:v>
      </x:c>
      <x:c r="B57" s="219" t="s">
        <x:v>110</x:v>
      </x:c>
      <x:c r="C57" s="223" t="str">
        <x:f t="shared" si="4"/>
        <x:v>I_NuevaContrasena</x:v>
      </x:c>
      <x:c r="D57" s="221" t="s">
        <x:v>12</x:v>
      </x:c>
      <x:c r="E57" s="223" t="s">
        <x:v>29</x:v>
      </x:c>
      <x:c r="F57" s="225" t="s">
        <x:v>130</x:v>
      </x:c>
      <x:c r="G57" s="217" t="s">
        <x:v>131</x:v>
      </x:c>
    </x:row>
    <x:row r="58" ht="30.75" customHeight="1">
      <x:c r="A58" s="218">
        <x:v>50</x:v>
      </x:c>
      <x:c r="B58" s="219" t="s">
        <x:v>110</x:v>
      </x:c>
      <x:c r="C58" s="223" t="str">
        <x:f t="shared" si="4"/>
        <x:v>C_RecuperacionCuenta</x:v>
      </x:c>
      <x:c r="D58" s="221" t="s">
        <x:v>12</x:v>
      </x:c>
      <x:c r="E58" s="223" t="s">
        <x:v>43</x:v>
      </x:c>
      <x:c r="F58" s="225" t="s">
        <x:v>132</x:v>
      </x:c>
      <x:c r="G58" s="217" t="s">
        <x:v>133</x:v>
      </x:c>
    </x:row>
    <x:row r="59" ht="30.75" customHeight="1">
      <x:c r="A59" s="218">
        <x:v>51</x:v>
      </x:c>
      <x:c r="B59" s="219" t="s">
        <x:v>110</x:v>
      </x:c>
      <x:c r="C59" s="223" t="str">
        <x:f t="shared" si="4"/>
        <x:v>C_ValidacionRecuperacion</x:v>
      </x:c>
      <x:c r="D59" s="221" t="s">
        <x:v>19</x:v>
      </x:c>
      <x:c r="E59" s="223" t="s">
        <x:v>43</x:v>
      </x:c>
      <x:c r="F59" s="225" t="s">
        <x:v>134</x:v>
      </x:c>
      <x:c r="G59" s="217" t="s">
        <x:v>135</x:v>
      </x:c>
    </x:row>
    <x:row r="60" ht="30.75" customHeight="1">
      <x:c r="A60" s="218">
        <x:v>52</x:v>
      </x:c>
      <x:c r="B60" s="219" t="s">
        <x:v>110</x:v>
      </x:c>
      <x:c r="C60" s="223" t="str">
        <x:f t="shared" si="4"/>
        <x:v>C_ValidacionRecuperacion</x:v>
      </x:c>
      <x:c r="D60" s="221" t="s">
        <x:v>19</x:v>
      </x:c>
      <x:c r="E60" s="223" t="s">
        <x:v>43</x:v>
      </x:c>
      <x:c r="F60" s="225" t="s">
        <x:v>136</x:v>
      </x:c>
      <x:c r="G60" s="217" t="s">
        <x:v>137</x:v>
      </x:c>
    </x:row>
    <x:row r="61" ht="40.5" customHeight="1">
      <x:c r="A61" s="218">
        <x:v>53</x:v>
      </x:c>
      <x:c r="B61" s="219" t="s">
        <x:v>110</x:v>
      </x:c>
      <x:c r="C61" s="223" t="str">
        <x:f t="shared" si="4"/>
        <x:v>C_ValidacionRecuperacion</x:v>
      </x:c>
      <x:c r="D61" s="221" t="s">
        <x:v>19</x:v>
      </x:c>
      <x:c r="E61" s="223" t="s">
        <x:v>43</x:v>
      </x:c>
      <x:c r="F61" s="225" t="s">
        <x:v>138</x:v>
      </x:c>
      <x:c r="G61" s="217" t="s">
        <x:v>139</x:v>
      </x:c>
    </x:row>
    <x:row r="62" ht="32.25" customHeight="1">
      <x:c r="A62" s="218">
        <x:v>54</x:v>
      </x:c>
      <x:c r="B62" s="219" t="s">
        <x:v>110</x:v>
      </x:c>
      <x:c r="C62" s="223" t="str">
        <x:f t="shared" si="4"/>
        <x:v>C_ValidacionRecuperacion</x:v>
      </x:c>
      <x:c r="D62" s="221" t="s">
        <x:v>53</x:v>
      </x:c>
      <x:c r="E62" s="223" t="s">
        <x:v>29</x:v>
      </x:c>
      <x:c r="F62" s="225" t="s">
        <x:v>140</x:v>
      </x:c>
      <x:c r="G62" s="217" t="s">
        <x:v>141</x:v>
      </x:c>
    </x:row>
    <x:row r="63" ht="23.25" customHeight="1">
      <x:c r="A63" s="359" t="s">
        <x:v>142</x:v>
      </x:c>
      <x:c r="B63" s="352"/>
      <x:c r="C63" s="353"/>
      <x:c r="D63" s="353"/>
      <x:c r="E63" s="353"/>
      <x:c r="F63" s="353"/>
      <x:c r="G63" s="353"/>
    </x:row>
    <x:row r="64" ht="30" customHeight="1">
      <x:c r="A64" s="218">
        <x:v>55</x:v>
      </x:c>
      <x:c r="B64" s="219" t="s">
        <x:v>143</x:v>
      </x:c>
      <x:c r="C64" s="223" t="s">
        <x:v>29</x:v>
      </x:c>
      <x:c r="D64" s="229" t="s">
        <x:v>19</x:v>
      </x:c>
      <x:c r="E64" s="223" t="str">
        <x:f>C64</x:f>
        <x:v>C_RecuperacionCuenta</x:v>
      </x:c>
      <x:c r="F64" s="225" t="s">
        <x:v>144</x:v>
      </x:c>
      <x:c r="G64" s="217" t="s">
        <x:v>145</x:v>
      </x:c>
    </x:row>
    <x:row r="65" ht="22.5" customHeight="1">
      <x:c r="A65" s="218">
        <x:v>56</x:v>
      </x:c>
      <x:c r="B65" s="219" t="s">
        <x:v>143</x:v>
      </x:c>
      <x:c r="C65" s="223" t="str">
        <x:f>E64</x:f>
        <x:v>C_RecuperacionCuenta</x:v>
      </x:c>
      <x:c r="D65" s="229" t="s">
        <x:v>12</x:v>
      </x:c>
      <x:c r="E65" s="223" t="s">
        <x:v>50</x:v>
      </x:c>
      <x:c r="F65" s="225" t="s">
        <x:v>146</x:v>
      </x:c>
      <x:c r="G65" s="217" t="s">
        <x:v>147</x:v>
      </x:c>
    </x:row>
    <x:row r="66" ht="37.5" customHeight="1">
      <x:c r="A66" s="218">
        <x:v>57</x:v>
      </x:c>
      <x:c r="B66" s="219" t="s">
        <x:v>143</x:v>
      </x:c>
      <x:c r="C66" s="223" t="str">
        <x:f>E65</x:f>
        <x:v>E_Usuario</x:v>
      </x:c>
      <x:c r="D66" s="229" t="s">
        <x:v>53</x:v>
      </x:c>
      <x:c r="E66" s="223" t="s">
        <x:v>29</x:v>
      </x:c>
      <x:c r="F66" s="225" t="s">
        <x:v>148</x:v>
      </x:c>
      <x:c r="G66" s="217" t="s">
        <x:v>149</x:v>
      </x:c>
    </x:row>
    <x:row r="67" ht="32.25" customHeight="1">
      <x:c r="A67" s="218">
        <x:v>58</x:v>
      </x:c>
      <x:c r="B67" s="219" t="s">
        <x:v>143</x:v>
      </x:c>
      <x:c r="C67" s="223" t="str">
        <x:f>E66</x:f>
        <x:v>C_RecuperacionCuenta</x:v>
      </x:c>
      <x:c r="D67" s="229" t="s">
        <x:v>12</x:v>
      </x:c>
      <x:c r="E67" s="223" t="s">
        <x:v>71</x:v>
      </x:c>
      <x:c r="F67" s="225" t="s">
        <x:v>150</x:v>
      </x:c>
      <x:c r="G67" s="217" t="s">
        <x:v>151</x:v>
      </x:c>
    </x:row>
    <x:row r="68" ht="24" customHeight="1">
      <x:c r="A68" s="218">
        <x:v>59</x:v>
      </x:c>
      <x:c r="B68" s="219" t="s">
        <x:v>143</x:v>
      </x:c>
      <x:c r="C68" s="223" t="str">
        <x:f>E67</x:f>
        <x:v>E_CodigoRecuperacion</x:v>
      </x:c>
      <x:c r="D68" s="229" t="s">
        <x:v>53</x:v>
      </x:c>
      <x:c r="E68" s="223" t="s">
        <x:v>29</x:v>
      </x:c>
      <x:c r="F68" s="225" t="s">
        <x:v>152</x:v>
      </x:c>
      <x:c r="G68" s="217" t="s">
        <x:v>153</x:v>
      </x:c>
    </x:row>
    <x:row r="69" ht="23.25" customHeight="1">
      <x:c r="A69" s="359" t="s">
        <x:v>154</x:v>
      </x:c>
      <x:c r="B69" s="352"/>
      <x:c r="C69" s="353"/>
      <x:c r="D69" s="353"/>
      <x:c r="E69" s="353"/>
      <x:c r="F69" s="353"/>
      <x:c r="G69" s="353"/>
    </x:row>
    <x:row r="70" ht="30" customHeight="1">
      <x:c r="A70" s="218">
        <x:v>60</x:v>
      </x:c>
      <x:c r="B70" s="219" t="s">
        <x:v>155</x:v>
      </x:c>
      <x:c r="C70" s="223" t="str">
        <x:f>E68</x:f>
        <x:v>C_RecuperacionCuenta</x:v>
      </x:c>
      <x:c r="D70" s="229" t="s">
        <x:v>12</x:v>
      </x:c>
      <x:c r="E70" s="223" t="s">
        <x:v>156</x:v>
      </x:c>
      <x:c r="F70" s="225" t="s">
        <x:v>157</x:v>
      </x:c>
      <x:c r="G70" s="217" t="s">
        <x:v>158</x:v>
      </x:c>
    </x:row>
    <x:row r="71" ht="30" customHeight="1">
      <x:c r="A71" s="218">
        <x:v>61</x:v>
      </x:c>
      <x:c r="B71" s="219" t="s">
        <x:v>155</x:v>
      </x:c>
      <x:c r="C71" s="223" t="str">
        <x:f>E70</x:f>
        <x:v>I_ConfirmacionOperacion</x:v>
      </x:c>
      <x:c r="D71" s="229" t="s">
        <x:v>12</x:v>
      </x:c>
      <x:c r="E71" s="223" t="s">
        <x:v>11</x:v>
      </x:c>
      <x:c r="F71" s="225" t="s">
        <x:v>159</x:v>
      </x:c>
      <x:c r="G71" s="217" t="s">
        <x:v>160</x:v>
      </x:c>
    </x:row>
  </x:sheetData>
  <x:mergeCells>
    <x:mergeCell ref="A1:G1"/>
    <x:mergeCell ref="A69:G69"/>
    <x:mergeCell ref="A12:G12"/>
    <x:mergeCell ref="A4:G4"/>
    <x:mergeCell ref="A2:G2"/>
    <x:mergeCell ref="A25:G25"/>
    <x:mergeCell ref="A33:G33"/>
    <x:mergeCell ref="A63:G63"/>
    <x:mergeCell ref="A47:G47"/>
  </x:mergeCells>
  <x:dataValidations count="1">
    <x:dataValidation type="list" allowBlank="1" showInputMessage="1" showErrorMessage="1" sqref="D5:D11 D13:D24 D26:D32 D34:D46 D48:D62 D64:D68 D70:D71">
      <x:formula1>"───►  (llamada),↩  (auto-msg),◄ ─ ─  (return)"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216" customWidth="1"/>
    <x:col min="2" max="2" width="8" style="216" customWidth="1"/>
    <x:col min="3" max="3" width="17.44140625" customWidth="1"/>
    <x:col min="4" max="4" width="16.44140625" customWidth="1"/>
    <x:col min="5" max="5" width="25" customWidth="1"/>
    <x:col min="6" max="6" width="28" customWidth="1"/>
    <x:col min="7" max="7" width="52.6640625" customWidth="1"/>
  </x:cols>
  <x:sheetData>
    <x:row r="1" ht="27.899999618530273" customHeight="1">
      <x:c r="A1" s="357" t="s">
        <x:v>161</x:v>
      </x:c>
      <x:c r="B1" s="352"/>
      <x:c r="C1" s="353"/>
      <x:c r="D1" s="353"/>
      <x:c r="E1" s="353"/>
      <x:c r="F1" s="353"/>
      <x:c r="G1" s="353"/>
    </x:row>
    <x:row r="2" ht="15.899999618530273" customHeight="1">
      <x:c r="A2" s="351" t="s">
        <x:v>162</x:v>
      </x:c>
      <x:c r="B2" s="352"/>
      <x:c r="C2" s="353"/>
      <x:c r="D2" s="353"/>
      <x:c r="E2" s="353"/>
      <x:c r="F2" s="353"/>
      <x:c r="G2" s="353"/>
    </x:row>
    <x:row r="3" s="216" customFormat="1" ht="20.100000381469727" customHeight="1">
      <x:c r="A3" s="218" t="s">
        <x:v>2</x:v>
      </x:c>
      <x:c r="B3" s="218" t="s">
        <x:v>3</x:v>
      </x:c>
      <x:c r="C3" s="218" t="s">
        <x:v>4</x:v>
      </x:c>
      <x:c r="D3" s="218" t="s">
        <x:v>5</x:v>
      </x:c>
      <x:c r="E3" s="218" t="s">
        <x:v>6</x:v>
      </x:c>
      <x:c r="F3" s="218" t="s">
        <x:v>7</x:v>
      </x:c>
      <x:c r="G3" s="218" t="s">
        <x:v>8</x:v>
      </x:c>
    </x:row>
    <x:row r="4" s="216" customFormat="1" ht="17.100000381469727" customHeight="1">
      <x:c r="A4" s="358" t="s">
        <x:v>163</x:v>
      </x:c>
      <x:c r="B4" s="348"/>
      <x:c r="C4" s="348"/>
      <x:c r="D4" s="348"/>
      <x:c r="E4" s="348"/>
      <x:c r="F4" s="348"/>
      <x:c r="G4" s="349"/>
    </x:row>
    <x:row r="5" ht="27.75" customHeight="1">
      <x:c r="A5" s="218">
        <x:v>1</x:v>
      </x:c>
      <x:c r="B5" s="219" t="s">
        <x:v>10</x:v>
      </x:c>
      <x:c r="C5" s="223" t="s">
        <x:v>11</x:v>
      </x:c>
      <x:c r="D5" s="229" t="s">
        <x:v>12</x:v>
      </x:c>
      <x:c r="E5" s="223" t="s">
        <x:v>164</x:v>
      </x:c>
      <x:c r="F5" s="225" t="s">
        <x:v>165</x:v>
      </x:c>
      <x:c r="G5" s="217" t="s">
        <x:v>166</x:v>
      </x:c>
    </x:row>
    <x:row r="6" ht="24.75" customHeight="1">
      <x:c r="A6" s="218">
        <x:v>2</x:v>
      </x:c>
      <x:c r="B6" s="219" t="s">
        <x:v>10</x:v>
      </x:c>
      <x:c r="C6" s="223" t="str">
        <x:f t="shared" ref="C6:C12" si="0">E5</x:f>
        <x:v>I_Inicio</x:v>
      </x:c>
      <x:c r="D6" s="229" t="s">
        <x:v>12</x:v>
      </x:c>
      <x:c r="E6" s="223" t="s">
        <x:v>167</x:v>
      </x:c>
      <x:c r="F6" s="225" t="s">
        <x:v>168</x:v>
      </x:c>
      <x:c r="G6" s="217" t="s">
        <x:v>169</x:v>
      </x:c>
    </x:row>
    <x:row r="7" ht="25.5" customHeight="1">
      <x:c r="A7" s="218">
        <x:v>3</x:v>
      </x:c>
      <x:c r="B7" s="219" t="s">
        <x:v>10</x:v>
      </x:c>
      <x:c r="C7" s="223" t="str">
        <x:f t="shared" si="0"/>
        <x:v>C_Navegacion</x:v>
      </x:c>
      <x:c r="D7" s="229" t="s">
        <x:v>12</x:v>
      </x:c>
      <x:c r="E7" s="223" t="s">
        <x:v>170</x:v>
      </x:c>
      <x:c r="F7" s="225" t="s">
        <x:v>171</x:v>
      </x:c>
      <x:c r="G7" s="217" t="s">
        <x:v>172</x:v>
      </x:c>
    </x:row>
    <x:row r="8" ht="25.5" customHeight="1">
      <x:c r="A8" s="218">
        <x:v>4</x:v>
      </x:c>
      <x:c r="B8" s="219" t="s">
        <x:v>10</x:v>
      </x:c>
      <x:c r="C8" s="223" t="str">
        <x:f t="shared" si="0"/>
        <x:v>C_PerfilUsuario</x:v>
      </x:c>
      <x:c r="D8" s="229" t="s">
        <x:v>12</x:v>
      </x:c>
      <x:c r="E8" s="223" t="s">
        <x:v>50</x:v>
      </x:c>
      <x:c r="F8" s="225" t="s">
        <x:v>173</x:v>
      </x:c>
      <x:c r="G8" s="217" t="s">
        <x:v>174</x:v>
      </x:c>
    </x:row>
    <x:row r="9" ht="26.25" customHeight="1">
      <x:c r="A9" s="218">
        <x:v>5</x:v>
      </x:c>
      <x:c r="B9" s="219" t="s">
        <x:v>10</x:v>
      </x:c>
      <x:c r="C9" s="223" t="str">
        <x:f t="shared" si="0"/>
        <x:v>E_Usuario</x:v>
      </x:c>
      <x:c r="D9" s="229" t="s">
        <x:v>53</x:v>
      </x:c>
      <x:c r="E9" s="223" t="s">
        <x:v>170</x:v>
      </x:c>
      <x:c r="F9" s="225" t="s">
        <x:v>175</x:v>
      </x:c>
      <x:c r="G9" s="217" t="s">
        <x:v>176</x:v>
      </x:c>
    </x:row>
    <x:row r="10" ht="25.5" customHeight="1">
      <x:c r="A10" s="218">
        <x:v>6</x:v>
      </x:c>
      <x:c r="B10" s="219" t="s">
        <x:v>10</x:v>
      </x:c>
      <x:c r="C10" s="223" t="str">
        <x:f t="shared" si="0"/>
        <x:v>C_PerfilUsuario</x:v>
      </x:c>
      <x:c r="D10" s="229" t="s">
        <x:v>19</x:v>
      </x:c>
      <x:c r="E10" s="223" t="s">
        <x:v>170</x:v>
      </x:c>
      <x:c r="F10" s="225" t="s">
        <x:v>177</x:v>
      </x:c>
      <x:c r="G10" s="217" t="s">
        <x:v>178</x:v>
      </x:c>
    </x:row>
    <x:row r="11" ht="27.75" customHeight="1">
      <x:c r="A11" s="218">
        <x:v>7</x:v>
      </x:c>
      <x:c r="B11" s="219" t="s">
        <x:v>10</x:v>
      </x:c>
      <x:c r="C11" s="223" t="str">
        <x:f t="shared" si="0"/>
        <x:v>C_PerfilUsuario</x:v>
      </x:c>
      <x:c r="D11" s="229" t="s">
        <x:v>12</x:v>
      </x:c>
      <x:c r="E11" s="223" t="s">
        <x:v>179</x:v>
      </x:c>
      <x:c r="F11" s="225" t="s">
        <x:v>180</x:v>
      </x:c>
      <x:c r="G11" s="217" t="s">
        <x:v>181</x:v>
      </x:c>
    </x:row>
    <x:row r="12" ht="54" customHeight="1">
      <x:c r="A12" s="218">
        <x:v>8</x:v>
      </x:c>
      <x:c r="B12" s="219" t="s">
        <x:v>10</x:v>
      </x:c>
      <x:c r="C12" s="223" t="str">
        <x:f t="shared" si="0"/>
        <x:v>I_Perfil</x:v>
      </x:c>
      <x:c r="D12" s="229" t="s">
        <x:v>12</x:v>
      </x:c>
      <x:c r="E12" s="223" t="s">
        <x:v>11</x:v>
      </x:c>
      <x:c r="F12" s="225" t="s">
        <x:v>182</x:v>
      </x:c>
      <x:c r="G12" s="217" t="s">
        <x:v>183</x:v>
      </x:c>
    </x:row>
    <x:row r="13" ht="17.100000381469727" customHeight="1">
      <x:c r="A13" s="358" t="s">
        <x:v>184</x:v>
      </x:c>
      <x:c r="B13" s="348"/>
      <x:c r="C13" s="348"/>
      <x:c r="D13" s="348"/>
      <x:c r="E13" s="348"/>
      <x:c r="F13" s="348"/>
      <x:c r="G13" s="349"/>
    </x:row>
    <x:row r="14" ht="17.100000381469727" customHeight="1">
      <x:c r="A14" s="218">
        <x:v>9</x:v>
      </x:c>
      <x:c r="B14" s="219" t="s">
        <x:v>33</x:v>
      </x:c>
      <x:c r="C14" s="223" t="s">
        <x:v>11</x:v>
      </x:c>
      <x:c r="D14" s="229" t="s">
        <x:v>12</x:v>
      </x:c>
      <x:c r="E14" s="223" t="s">
        <x:v>179</x:v>
      </x:c>
      <x:c r="F14" s="225" t="s">
        <x:v>185</x:v>
      </x:c>
      <x:c r="G14" s="217" t="s">
        <x:v>186</x:v>
      </x:c>
    </x:row>
    <x:row r="15" ht="17.100000381469727" customHeight="1">
      <x:c r="A15" s="218">
        <x:v>10</x:v>
      </x:c>
      <x:c r="B15" s="219" t="s">
        <x:v>33</x:v>
      </x:c>
      <x:c r="C15" s="223" t="str">
        <x:f>E14</x:f>
        <x:v>I_Perfil</x:v>
      </x:c>
      <x:c r="D15" s="229" t="s">
        <x:v>12</x:v>
      </x:c>
      <x:c r="E15" s="223" t="s">
        <x:v>170</x:v>
      </x:c>
      <x:c r="F15" s="225" t="s">
        <x:v>187</x:v>
      </x:c>
      <x:c r="G15" s="217" t="s">
        <x:v>188</x:v>
      </x:c>
    </x:row>
    <x:row r="16" ht="17.100000381469727" customHeight="1">
      <x:c r="A16" s="218">
        <x:v>11</x:v>
      </x:c>
      <x:c r="B16" s="219" t="s">
        <x:v>33</x:v>
      </x:c>
      <x:c r="C16" s="223" t="str">
        <x:f>E15</x:f>
        <x:v>C_PerfilUsuario</x:v>
      </x:c>
      <x:c r="D16" s="229" t="s">
        <x:v>12</x:v>
      </x:c>
      <x:c r="E16" s="223" t="s">
        <x:v>50</x:v>
      </x:c>
      <x:c r="F16" s="225" t="s">
        <x:v>189</x:v>
      </x:c>
      <x:c r="G16" s="217" t="s">
        <x:v>190</x:v>
      </x:c>
    </x:row>
    <x:row r="17" ht="36" customHeight="1">
      <x:c r="A17" s="218">
        <x:v>12</x:v>
      </x:c>
      <x:c r="B17" s="219" t="s">
        <x:v>33</x:v>
      </x:c>
      <x:c r="C17" s="223" t="str">
        <x:f>E16</x:f>
        <x:v>E_Usuario</x:v>
      </x:c>
      <x:c r="D17" s="224" t="s">
        <x:v>53</x:v>
      </x:c>
      <x:c r="E17" s="223" t="s">
        <x:v>170</x:v>
      </x:c>
      <x:c r="F17" s="225" t="str">
        <x:v>retornarDatosUsuario(nombre,apellido,correo,fechaNacimiento)</x:v>
      </x:c>
      <x:c r="G17" s="217" t="str">
        <x:v>Devuelve nombre y apellido por separado, correo electrónico y fecha de nacimiento; estructura coherente con RF01.</x:v>
      </x:c>
    </x:row>
    <x:row r="18" ht="27" customHeight="1">
      <x:c r="A18" s="218">
        <x:v>13</x:v>
      </x:c>
      <x:c r="B18" s="219" t="s">
        <x:v>33</x:v>
      </x:c>
      <x:c r="C18" s="223" t="str">
        <x:f>E17</x:f>
        <x:v>C_PerfilUsuario</x:v>
      </x:c>
      <x:c r="D18" s="224" t="s">
        <x:v>12</x:v>
      </x:c>
      <x:c r="E18" s="223" t="s">
        <x:v>179</x:v>
      </x:c>
      <x:c r="F18" s="225" t="str">
        <x:v>mostrarDatosPerfil(nombre,apellido,correo,fechaNacimiento)</x:v>
      </x:c>
      <x:c r="G18" s="217" t="str">
        <x:v>El perfil presenta nombre, apellido, correo electrónico y fecha de nacimiento con la misma separación de campos de RF01.</x:v>
      </x:c>
    </x:row>
    <x:row r="19" ht="28.5" customHeight="1">
      <x:c r="A19" s="218">
        <x:v>14</x:v>
      </x:c>
      <x:c r="B19" s="219" t="s">
        <x:v>33</x:v>
      </x:c>
      <x:c r="C19" s="223" t="str">
        <x:f>E18</x:f>
        <x:v>I_Perfil</x:v>
      </x:c>
      <x:c r="D19" s="224" t="s">
        <x:v>12</x:v>
      </x:c>
      <x:c r="E19" s="223" t="s">
        <x:v>11</x:v>
      </x:c>
      <x:c r="F19" s="225" t="s">
        <x:v>191</x:v>
      </x:c>
      <x:c r="G19" s="217" t="str">
        <x:v>El usuario visualiza nombre, apellido, correo y fecha de nacimiento.</x:v>
      </x:c>
    </x:row>
    <x:row r="20" ht="17.100000381469727" customHeight="1">
      <x:c r="A20" s="358" t="s">
        <x:v>192</x:v>
      </x:c>
      <x:c r="B20" s="348"/>
      <x:c r="C20" s="348"/>
      <x:c r="D20" s="348"/>
      <x:c r="E20" s="348"/>
      <x:c r="F20" s="348"/>
      <x:c r="G20" s="349"/>
    </x:row>
    <x:row r="21" ht="17.100000381469727" customHeight="1">
      <x:c r="A21" s="218">
        <x:v>15</x:v>
      </x:c>
      <x:c r="B21" s="219" t="s">
        <x:v>63</x:v>
      </x:c>
      <x:c r="C21" s="223" t="str">
        <x:f>E19</x:f>
        <x:v>AS_Usuario</x:v>
      </x:c>
      <x:c r="D21" s="229" t="s">
        <x:v>12</x:v>
      </x:c>
      <x:c r="E21" s="223" t="s">
        <x:v>179</x:v>
      </x:c>
      <x:c r="F21" s="225" t="s">
        <x:v>193</x:v>
      </x:c>
      <x:c r="G21" s="217" t="s">
        <x:v>194</x:v>
      </x:c>
    </x:row>
    <x:row r="22" ht="22.5" customHeight="1">
      <x:c r="A22" s="218">
        <x:v>16</x:v>
      </x:c>
      <x:c r="B22" s="219" t="s">
        <x:v>63</x:v>
      </x:c>
      <x:c r="C22" s="223" t="str">
        <x:f>E21</x:f>
        <x:v>I_Perfil</x:v>
      </x:c>
      <x:c r="D22" s="229" t="s">
        <x:v>12</x:v>
      </x:c>
      <x:c r="E22" s="223" t="s">
        <x:v>170</x:v>
      </x:c>
      <x:c r="F22" s="225" t="s">
        <x:v>195</x:v>
      </x:c>
      <x:c r="G22" s="217" t="s">
        <x:v>196</x:v>
      </x:c>
    </x:row>
    <x:row r="23" ht="26.25" customHeight="1">
      <x:c r="A23" s="218">
        <x:v>17</x:v>
      </x:c>
      <x:c r="B23" s="219" t="s">
        <x:v>63</x:v>
      </x:c>
      <x:c r="C23" s="223" t="str">
        <x:f>E22</x:f>
        <x:v>C_PerfilUsuario</x:v>
      </x:c>
      <x:c r="D23" s="229" t="s">
        <x:v>12</x:v>
      </x:c>
      <x:c r="E23" s="223" t="s">
        <x:v>197</x:v>
      </x:c>
      <x:c r="F23" s="225" t="str">
        <x:v>mostrarFormularioEdicion(nombre,apellido,fechaNacimiento,correoSoloLectura)</x:v>
      </x:c>
      <x:c r="G23" s="217" t="str">
        <x:v>Presenta Nombre, Apellido y Fecha de nacimiento como campos editables separados; Correo electrónico permanece solo lectura.</x:v>
      </x:c>
    </x:row>
    <x:row r="24" ht="24" customHeight="1">
      <x:c r="A24" s="218">
        <x:v>18</x:v>
      </x:c>
      <x:c r="B24" s="219" t="s">
        <x:v>63</x:v>
      </x:c>
      <x:c r="C24" s="223" t="str">
        <x:f>E23</x:f>
        <x:v>I_EditarPerfil</x:v>
      </x:c>
      <x:c r="D24" s="229" t="s">
        <x:v>12</x:v>
      </x:c>
      <x:c r="E24" s="223" t="s">
        <x:v>11</x:v>
      </x:c>
      <x:c r="F24" s="225" t="s">
        <x:v>198</x:v>
      </x:c>
      <x:c r="G24" s="217" t="str">
        <x:v>El usuario ve Nombre y Apellido por separado y Fecha de nacimiento como editables, con Correo electrónico solo lectura.</x:v>
      </x:c>
    </x:row>
    <x:row r="25" ht="28.5" customHeight="1">
      <x:c r="A25" s="218">
        <x:v>19</x:v>
      </x:c>
      <x:c r="B25" s="219" t="s">
        <x:v>63</x:v>
      </x:c>
      <x:c r="C25" s="223" t="str">
        <x:f>E24</x:f>
        <x:v>AS_Usuario</x:v>
      </x:c>
      <x:c r="D25" s="229" t="s">
        <x:v>12</x:v>
      </x:c>
      <x:c r="E25" s="214" t="s">
        <x:v>197</x:v>
      </x:c>
      <x:c r="F25" s="225" t="str">
        <x:v>modificarDatosPersonales(nombre,apellido,fechaNacimiento)</x:v>
      </x:c>
      <x:c r="G25" s="217" t="str">
        <x:v>El usuario modifica nombre, apellido o fecha de nacimiento; el correo no puede modificarse.</x:v>
      </x:c>
    </x:row>
    <x:row r="26" ht="17.100000381469727" customHeight="1">
      <x:c r="A26" s="358" t="s">
        <x:v>199</x:v>
      </x:c>
      <x:c r="B26" s="348"/>
      <x:c r="C26" s="348"/>
      <x:c r="D26" s="348"/>
      <x:c r="E26" s="348"/>
      <x:c r="F26" s="348"/>
      <x:c r="G26" s="349"/>
    </x:row>
    <x:row r="27" ht="25.5" customHeight="1">
      <x:c r="A27" s="218">
        <x:v>20</x:v>
      </x:c>
      <x:c r="B27" s="219" t="s">
        <x:v>81</x:v>
      </x:c>
      <x:c r="C27" s="223" t="str">
        <x:f>E25</x:f>
        <x:v>I_EditarPerfil</x:v>
      </x:c>
      <x:c r="D27" s="229" t="s">
        <x:v>12</x:v>
      </x:c>
      <x:c r="E27" s="223" t="s">
        <x:v>170</x:v>
      </x:c>
      <x:c r="F27" s="225" t="str">
        <x:v>enviarCambiosPerfil(nombre,apellido,fechaNacimiento)</x:v>
      </x:c>
      <x:c r="G27" s="217" t="str">
        <x:v>La interfaz envía exclusivamente nombre, apellido y fecha de nacimiento para actualizar el perfil.</x:v>
      </x:c>
    </x:row>
    <x:row r="28" ht="28.5" customHeight="1">
      <x:c r="A28" s="218">
        <x:v>21</x:v>
      </x:c>
      <x:c r="B28" s="219" t="s">
        <x:v>81</x:v>
      </x:c>
      <x:c r="C28" s="223" t="str">
        <x:f t="shared" ref="C28:C35" si="1">E27</x:f>
        <x:v>C_PerfilUsuario</x:v>
      </x:c>
      <x:c r="D28" s="229" t="s">
        <x:v>12</x:v>
      </x:c>
      <x:c r="E28" s="223" t="s">
        <x:v>200</x:v>
      </x:c>
      <x:c r="F28" s="225" t="str">
        <x:v>validarDatosPersonales(nombre,apellido,fechaNacimiento)</x:v>
      </x:c>
      <x:c r="G28" s="217" t="str">
        <x:v>Valida los mismos campos de identidad que RF01, manteniendo correo solo lectura.</x:v>
      </x:c>
    </x:row>
    <x:row r="29" ht="32.25" customHeight="1">
      <x:c r="A29" s="218">
        <x:v>22</x:v>
      </x:c>
      <x:c r="B29" s="219" t="s">
        <x:v>81</x:v>
      </x:c>
      <x:c r="C29" s="223" t="str">
        <x:f t="shared" si="1"/>
        <x:v>C_ValidacionUsuario</x:v>
      </x:c>
      <x:c r="D29" s="224" t="s">
        <x:v>19</x:v>
      </x:c>
      <x:c r="E29" s="223" t="s">
        <x:v>200</x:v>
      </x:c>
      <x:c r="F29" s="225" t="str">
        <x:v>validarCamposPerfil(nombre,apellido,fechaNacimiento)</x:v>
      </x:c>
      <x:c r="G29" s="217" t="str">
        <x:v>Nombre y apellido son obligatorios y se validan independientemente; la fecha de nacimiento debe ser válida.</x:v>
      </x:c>
    </x:row>
    <x:row r="30" ht="29.25" customHeight="1">
      <x:c r="A30" s="218">
        <x:v>23</x:v>
      </x:c>
      <x:c r="B30" s="219" t="s">
        <x:v>81</x:v>
      </x:c>
      <x:c r="C30" s="223" t="str">
        <x:f t="shared" si="1"/>
        <x:v>C_ValidacionUsuario</x:v>
      </x:c>
      <x:c r="D30" s="224" t="s">
        <x:v>19</x:v>
      </x:c>
      <x:c r="E30" s="223" t="s">
        <x:v>200</x:v>
      </x:c>
      <x:c r="F30" s="230" t="s">
        <x:v>201</x:v>
      </x:c>
      <x:c r="G30" s="217" t="str">
        <x:v>Nombre: 2–100 caracteres tras normalizar espacios; letras, acentos y ñ; guion y apóstrofo solo entre letras (igual que RF01).</x:v>
      </x:c>
    </x:row>
    <x:row r="31" ht="27" customHeight="1">
      <x:c r="A31" s="218">
        <x:v>24</x:v>
      </x:c>
      <x:c r="B31" s="219" t="s">
        <x:v>81</x:v>
      </x:c>
      <x:c r="C31" s="223" t="str">
        <x:f t="shared" si="1"/>
        <x:v>C_ValidacionUsuario</x:v>
      </x:c>
      <x:c r="D31" s="224" t="s">
        <x:v>19</x:v>
      </x:c>
      <x:c r="E31" s="223" t="s">
        <x:v>200</x:v>
      </x:c>
      <x:c r="F31" s="225" t="str">
        <x:v>validarFormatoNombre(apellido)</x:v>
      </x:c>
      <x:c r="G31" s="217" t="str">
        <x:v>Apellido: mismo formato permitido de 2–100 caracteres; validación separada conforme a RF01. No se agrega una restricción distinta.</x:v>
      </x:c>
    </x:row>
    <x:row r="32" ht="30.75" customHeight="1">
      <x:c r="A32" s="218">
        <x:v>25</x:v>
      </x:c>
      <x:c r="B32" s="219" t="s">
        <x:v>81</x:v>
      </x:c>
      <x:c r="C32" s="223" t="str">
        <x:f t="shared" si="1"/>
        <x:v>C_ValidacionUsuario</x:v>
      </x:c>
      <x:c r="D32" s="224" t="s">
        <x:v>19</x:v>
      </x:c>
      <x:c r="E32" s="223" t="s">
        <x:v>200</x:v>
      </x:c>
      <x:c r="F32" s="230" t="s">
        <x:v>202</x:v>
      </x:c>
      <x:c r="G32" s="217" t="s">
        <x:v>203</x:v>
      </x:c>
    </x:row>
    <x:row r="33" ht="36" customHeight="1">
      <x:c r="A33" s="218">
        <x:v>26</x:v>
      </x:c>
      <x:c r="B33" s="219" t="s">
        <x:v>81</x:v>
      </x:c>
      <x:c r="C33" s="223" t="str">
        <x:f t="shared" si="1"/>
        <x:v>C_ValidacionUsuario</x:v>
      </x:c>
      <x:c r="D33" s="224" t="s">
        <x:v>19</x:v>
      </x:c>
      <x:c r="E33" s="223" t="s">
        <x:v>200</x:v>
      </x:c>
      <x:c r="F33" s="225" t="s">
        <x:v>204</x:v>
      </x:c>
      <x:c r="G33" s="217" t="s">
        <x:v>205</x:v>
      </x:c>
    </x:row>
    <x:row r="34" ht="39.75" customHeight="1">
      <x:c r="A34" s="218">
        <x:v>27</x:v>
      </x:c>
      <x:c r="B34" s="219" t="s">
        <x:v>81</x:v>
      </x:c>
      <x:c r="C34" s="223" t="str">
        <x:f t="shared" si="1"/>
        <x:v>C_ValidacionUsuario</x:v>
      </x:c>
      <x:c r="D34" s="224" t="s">
        <x:v>19</x:v>
      </x:c>
      <x:c r="E34" s="223" t="s">
        <x:v>200</x:v>
      </x:c>
      <x:c r="F34" s="225" t="str">
        <x:v>validarRangoEdad(edad,18,85)</x:v>
      </x:c>
      <x:c r="G34" s="217" t="str">
        <x:v>Confirma una edad de 18 a 85 años inclusive, idéntica a RF01 actualizado.</x:v>
      </x:c>
    </x:row>
    <x:row r="35" ht="26.25" customHeight="1">
      <x:c r="A35" s="218">
        <x:v>28</x:v>
      </x:c>
      <x:c r="B35" s="219" t="s">
        <x:v>81</x:v>
      </x:c>
      <x:c r="C35" s="223" t="str">
        <x:f t="shared" si="1"/>
        <x:v>C_ValidacionUsuario</x:v>
      </x:c>
      <x:c r="D35" s="224" t="s">
        <x:v>53</x:v>
      </x:c>
      <x:c r="E35" s="223" t="s">
        <x:v>170</x:v>
      </x:c>
      <x:c r="F35" s="225" t="s">
        <x:v>206</x:v>
      </x:c>
      <x:c r="G35" s="217" t="str">
        <x:v>Confirma validación conjunta de nombre, apellido y fecha de nacimiento sin modificar el correo.</x:v>
      </x:c>
    </x:row>
    <x:row r="36" ht="17.100000381469727" customHeight="1">
      <x:c r="A36" s="358" t="s">
        <x:v>207</x:v>
      </x:c>
      <x:c r="B36" s="348"/>
      <x:c r="C36" s="348"/>
      <x:c r="D36" s="348"/>
      <x:c r="E36" s="348"/>
      <x:c r="F36" s="348"/>
      <x:c r="G36" s="349"/>
    </x:row>
    <x:row r="37" ht="40.5" customHeight="1">
      <x:c r="A37" s="218">
        <x:v>29</x:v>
      </x:c>
      <x:c r="B37" s="219" t="s">
        <x:v>110</x:v>
      </x:c>
      <x:c r="C37" s="223" t="str">
        <x:f>E35</x:f>
        <x:v>C_PerfilUsuario</x:v>
      </x:c>
      <x:c r="D37" s="229" t="s">
        <x:v>12</x:v>
      </x:c>
      <x:c r="E37" s="223" t="s">
        <x:v>50</x:v>
      </x:c>
      <x:c r="F37" s="225" t="str">
        <x:v>actualizarDatosPersonales(idUsuario,nombre,apellido,fechaNacimiento)</x:v>
      </x:c>
      <x:c r="G37" s="217" t="str">
        <x:v>Actualiza nombre, apellido y fecha de nacimiento del titular autenticado; no modifica correo ni credenciales.</x:v>
      </x:c>
    </x:row>
    <x:row r="38" ht="47.25" customHeight="1">
      <x:c r="A38" s="218">
        <x:v>30</x:v>
      </x:c>
      <x:c r="B38" s="219" t="s">
        <x:v>110</x:v>
      </x:c>
      <x:c r="C38" s="223" t="str">
        <x:f t="shared" ref="C38:C43" si="2">E37</x:f>
        <x:v>E_Usuario</x:v>
      </x:c>
      <x:c r="D38" s="229" t="s">
        <x:v>53</x:v>
      </x:c>
      <x:c r="E38" s="223" t="s">
        <x:v>170</x:v>
      </x:c>
      <x:c r="F38" s="225" t="str">
        <x:v>retornarDatosUsuarioActualizados(nombre,apellido,correo,fechaNacimiento,fotoPerfil)</x:v>
      </x:c>
      <x:c r="G38" s="217" t="str">
        <x:v>Devuelve nombre y apellido separados junto a correo, fecha de nacimiento y foto si existe.</x:v>
      </x:c>
    </x:row>
    <x:row r="39" ht="32.25" customHeight="1">
      <x:c r="A39" s="218">
        <x:v>31</x:v>
      </x:c>
      <x:c r="B39" s="219" t="s">
        <x:v>110</x:v>
      </x:c>
      <x:c r="C39" s="223" t="str">
        <x:f t="shared" si="2"/>
        <x:v>C_PerfilUsuario</x:v>
      </x:c>
      <x:c r="D39" s="224" t="s">
        <x:v>19</x:v>
      </x:c>
      <x:c r="E39" s="223" t="s">
        <x:v>170</x:v>
      </x:c>
      <x:c r="F39" s="225" t="str">
        <x:v>determinarAvatarUsuario(nombre,apellido,fotoPerfil)</x:v>
      </x:c>
      <x:c r="G39" s="217" t="str">
        <x:v>Conserva foto personalizada; si no existe, genera avatar por iniciales del nombre y apellido actualizados.</x:v>
      </x:c>
    </x:row>
    <x:row r="40" ht="39.75" customHeight="1">
      <x:c r="A40" s="218">
        <x:v>32</x:v>
      </x:c>
      <x:c r="B40" s="219" t="s">
        <x:v>110</x:v>
      </x:c>
      <x:c r="C40" s="223" t="str">
        <x:f t="shared" si="2"/>
        <x:v>C_PerfilUsuario</x:v>
      </x:c>
      <x:c r="D40" s="224" t="s">
        <x:v>12</x:v>
      </x:c>
      <x:c r="E40" s="223" t="s">
        <x:v>179</x:v>
      </x:c>
      <x:c r="F40" s="225" t="str">
        <x:v>mostrarPerfilActualizado(nombre,apellido,correo,fechaNacimiento,avatarUsuario)</x:v>
      </x:c>
      <x:c r="G40" s="217" t="str">
        <x:v>Muestra nombre, apellido, correo y fecha de nacimiento modificados, con avatar correspondiente.</x:v>
      </x:c>
    </x:row>
    <x:row r="41" ht="32.25" customHeight="1">
      <x:c r="A41" s="218">
        <x:v>33</x:v>
      </x:c>
      <x:c r="B41" s="219" t="s">
        <x:v>110</x:v>
      </x:c>
      <x:c r="C41" s="223" t="str">
        <x:f t="shared" si="2"/>
        <x:v>I_Perfil</x:v>
      </x:c>
      <x:c r="D41" s="224" t="s">
        <x:v>12</x:v>
      </x:c>
      <x:c r="E41" s="223" t="s">
        <x:v>170</x:v>
      </x:c>
      <x:c r="F41" s="225" t="s">
        <x:v>208</x:v>
      </x:c>
      <x:c r="G41" s="217" t="s">
        <x:v>209</x:v>
      </x:c>
    </x:row>
    <x:row r="42" ht="32.25" customHeight="1">
      <x:c r="A42" s="218">
        <x:v>34</x:v>
      </x:c>
      <x:c r="B42" s="219" t="s">
        <x:v>110</x:v>
      </x:c>
      <x:c r="C42" s="223" t="str">
        <x:f t="shared" si="2"/>
        <x:v>C_PerfilUsuario</x:v>
      </x:c>
      <x:c r="D42" s="224" t="s">
        <x:v>12</x:v>
      </x:c>
      <x:c r="E42" s="223" t="s">
        <x:v>156</x:v>
      </x:c>
      <x:c r="F42" s="225" t="s">
        <x:v>210</x:v>
      </x:c>
      <x:c r="G42" s="225" t="s">
        <x:v>158</x:v>
      </x:c>
    </x:row>
    <x:row r="43" ht="29.25" customHeight="1">
      <x:c r="A43" s="218">
        <x:v>35</x:v>
      </x:c>
      <x:c r="B43" s="219" t="s">
        <x:v>110</x:v>
      </x:c>
      <x:c r="C43" s="223" t="str">
        <x:f t="shared" si="2"/>
        <x:v>I_ConfirmacionOperacion</x:v>
      </x:c>
      <x:c r="D43" s="224" t="s">
        <x:v>12</x:v>
      </x:c>
      <x:c r="E43" s="223" t="s">
        <x:v>11</x:v>
      </x:c>
      <x:c r="F43" s="225" t="s">
        <x:v>211</x:v>
      </x:c>
      <x:c r="G43" s="217" t="s">
        <x:v>212</x:v>
      </x:c>
    </x:row>
  </x:sheetData>
  <x:mergeCells>
    <x:mergeCell ref="A36:G36"/>
    <x:mergeCell ref="A13:G13"/>
    <x:mergeCell ref="A1:G1"/>
    <x:mergeCell ref="A4:G4"/>
    <x:mergeCell ref="A26:G26"/>
    <x:mergeCell ref="A20:G20"/>
    <x:mergeCell ref="A2:G2"/>
  </x:mergeCells>
  <x:dataValidations count="1">
    <x:dataValidation type="list" allowBlank="1" showInputMessage="1" showErrorMessage="1" sqref="D5:D12 D14:D19 D21:D25 D27:D35 D37:D43">
      <x:formula1>"───►  (llamada),↩  (auto-msg),◄ ─ ─  (return)"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216" customWidth="1"/>
    <x:col min="2" max="2" width="8" style="216" customWidth="1"/>
    <x:col min="3" max="3" width="17.44140625" customWidth="1"/>
    <x:col min="4" max="4" width="15.5546875" customWidth="1"/>
    <x:col min="5" max="5" width="25" customWidth="1"/>
    <x:col min="6" max="6" width="28" customWidth="1"/>
    <x:col min="7" max="7" width="52.6640625" customWidth="1"/>
  </x:cols>
  <x:sheetData>
    <x:row r="1" ht="27.899999618530273" customHeight="1">
      <x:c r="A1" s="357" t="s">
        <x:v>213</x:v>
      </x:c>
      <x:c r="B1" s="352"/>
      <x:c r="C1" s="353"/>
      <x:c r="D1" s="353"/>
      <x:c r="E1" s="353"/>
      <x:c r="F1" s="353"/>
      <x:c r="G1" s="353"/>
    </x:row>
    <x:row r="2" ht="15.899999618530273" customHeight="1">
      <x:c r="A2" s="360" t="s">
        <x:v>214</x:v>
      </x:c>
      <x:c r="B2" s="361"/>
      <x:c r="C2" s="361"/>
      <x:c r="D2" s="361"/>
      <x:c r="E2" s="361"/>
      <x:c r="F2" s="361"/>
      <x:c r="G2" s="361"/>
    </x:row>
    <x:row r="3" s="216" customFormat="1" ht="20.100000381469727" customHeight="1">
      <x:c r="A3" s="218" t="s">
        <x:v>2</x:v>
      </x:c>
      <x:c r="B3" s="218" t="s">
        <x:v>3</x:v>
      </x:c>
      <x:c r="C3" s="218" t="s">
        <x:v>4</x:v>
      </x:c>
      <x:c r="D3" s="218" t="s">
        <x:v>5</x:v>
      </x:c>
      <x:c r="E3" s="218" t="s">
        <x:v>6</x:v>
      </x:c>
      <x:c r="F3" s="218" t="s">
        <x:v>7</x:v>
      </x:c>
      <x:c r="G3" s="218" t="s">
        <x:v>8</x:v>
      </x:c>
    </x:row>
    <x:row r="4" s="216" customFormat="1" ht="17.100000381469727" customHeight="1">
      <x:c r="A4" s="359" t="s">
        <x:v>215</x:v>
      </x:c>
      <x:c r="B4" s="352"/>
      <x:c r="C4" s="352"/>
      <x:c r="D4" s="352"/>
      <x:c r="E4" s="352"/>
      <x:c r="F4" s="352"/>
      <x:c r="G4" s="352"/>
    </x:row>
    <x:row r="5" ht="17.100000381469727" customHeight="1">
      <x:c r="A5" s="218">
        <x:v>1</x:v>
      </x:c>
      <x:c r="B5" s="219" t="s">
        <x:v>10</x:v>
      </x:c>
      <x:c r="C5" s="223" t="s">
        <x:v>11</x:v>
      </x:c>
      <x:c r="D5" s="229" t="s">
        <x:v>12</x:v>
      </x:c>
      <x:c r="E5" s="223" t="s">
        <x:v>164</x:v>
      </x:c>
      <x:c r="F5" s="225" t="s">
        <x:v>165</x:v>
      </x:c>
      <x:c r="G5" s="217" t="s">
        <x:v>166</x:v>
      </x:c>
    </x:row>
    <x:row r="6" ht="17.100000381469727" customHeight="1">
      <x:c r="A6" s="218">
        <x:v>2</x:v>
      </x:c>
      <x:c r="B6" s="219" t="s">
        <x:v>10</x:v>
      </x:c>
      <x:c r="C6" s="223" t="str">
        <x:f t="shared" ref="C6:C12" si="0">E5</x:f>
        <x:v>I_Inicio</x:v>
      </x:c>
      <x:c r="D6" s="229" t="s">
        <x:v>12</x:v>
      </x:c>
      <x:c r="E6" s="223" t="s">
        <x:v>167</x:v>
      </x:c>
      <x:c r="F6" s="225" t="s">
        <x:v>168</x:v>
      </x:c>
      <x:c r="G6" s="217" t="s">
        <x:v>169</x:v>
      </x:c>
    </x:row>
    <x:row r="7" ht="29.25" customHeight="1">
      <x:c r="A7" s="218">
        <x:v>3</x:v>
      </x:c>
      <x:c r="B7" s="219" t="s">
        <x:v>10</x:v>
      </x:c>
      <x:c r="C7" s="223" t="str">
        <x:f t="shared" si="0"/>
        <x:v>C_Navegacion</x:v>
      </x:c>
      <x:c r="D7" s="229" t="s">
        <x:v>12</x:v>
      </x:c>
      <x:c r="E7" s="223" t="s">
        <x:v>170</x:v>
      </x:c>
      <x:c r="F7" s="225" t="s">
        <x:v>171</x:v>
      </x:c>
      <x:c r="G7" s="217" t="s">
        <x:v>172</x:v>
      </x:c>
    </x:row>
    <x:row r="8" ht="29.25" customHeight="1">
      <x:c r="A8" s="218">
        <x:v>4</x:v>
      </x:c>
      <x:c r="B8" s="219" t="s">
        <x:v>10</x:v>
      </x:c>
      <x:c r="C8" s="223" t="str">
        <x:f t="shared" si="0"/>
        <x:v>C_PerfilUsuario</x:v>
      </x:c>
      <x:c r="D8" s="229" t="s">
        <x:v>12</x:v>
      </x:c>
      <x:c r="E8" s="223" t="s">
        <x:v>50</x:v>
      </x:c>
      <x:c r="F8" s="225" t="s">
        <x:v>173</x:v>
      </x:c>
      <x:c r="G8" s="217" t="s">
        <x:v>174</x:v>
      </x:c>
    </x:row>
    <x:row r="9" ht="29.25" customHeight="1">
      <x:c r="A9" s="218">
        <x:v>5</x:v>
      </x:c>
      <x:c r="B9" s="219" t="s">
        <x:v>10</x:v>
      </x:c>
      <x:c r="C9" s="223" t="str">
        <x:f t="shared" si="0"/>
        <x:v>E_Usuario</x:v>
      </x:c>
      <x:c r="D9" s="229" t="s">
        <x:v>53</x:v>
      </x:c>
      <x:c r="E9" s="223" t="s">
        <x:v>170</x:v>
      </x:c>
      <x:c r="F9" s="225" t="s">
        <x:v>175</x:v>
      </x:c>
      <x:c r="G9" s="217" t="s">
        <x:v>176</x:v>
      </x:c>
    </x:row>
    <x:row r="10" ht="29.25" customHeight="1">
      <x:c r="A10" s="218">
        <x:v>6</x:v>
      </x:c>
      <x:c r="B10" s="219" t="s">
        <x:v>10</x:v>
      </x:c>
      <x:c r="C10" s="223" t="str">
        <x:f t="shared" si="0"/>
        <x:v>C_PerfilUsuario</x:v>
      </x:c>
      <x:c r="D10" s="229" t="s">
        <x:v>19</x:v>
      </x:c>
      <x:c r="E10" s="223" t="s">
        <x:v>170</x:v>
      </x:c>
      <x:c r="F10" s="225" t="s">
        <x:v>177</x:v>
      </x:c>
      <x:c r="G10" s="217" t="s">
        <x:v>178</x:v>
      </x:c>
    </x:row>
    <x:row r="11" ht="29.25" customHeight="1">
      <x:c r="A11" s="218">
        <x:v>7</x:v>
      </x:c>
      <x:c r="B11" s="219" t="s">
        <x:v>10</x:v>
      </x:c>
      <x:c r="C11" s="223" t="str">
        <x:f t="shared" si="0"/>
        <x:v>C_PerfilUsuario</x:v>
      </x:c>
      <x:c r="D11" s="229" t="s">
        <x:v>12</x:v>
      </x:c>
      <x:c r="E11" s="223" t="s">
        <x:v>179</x:v>
      </x:c>
      <x:c r="F11" s="225" t="s">
        <x:v>180</x:v>
      </x:c>
      <x:c r="G11" s="217" t="s">
        <x:v>181</x:v>
      </x:c>
    </x:row>
    <x:row r="12" ht="42" customHeight="1">
      <x:c r="A12" s="218">
        <x:v>8</x:v>
      </x:c>
      <x:c r="B12" s="219" t="s">
        <x:v>10</x:v>
      </x:c>
      <x:c r="C12" s="223" t="str">
        <x:f t="shared" si="0"/>
        <x:v>I_Perfil</x:v>
      </x:c>
      <x:c r="D12" s="229" t="s">
        <x:v>12</x:v>
      </x:c>
      <x:c r="E12" s="223" t="s">
        <x:v>11</x:v>
      </x:c>
      <x:c r="F12" s="225" t="s">
        <x:v>182</x:v>
      </x:c>
      <x:c r="G12" s="217" t="s">
        <x:v>183</x:v>
      </x:c>
    </x:row>
    <x:row r="13" ht="17.100000381469727" customHeight="1">
      <x:c r="A13" s="359" t="s">
        <x:v>216</x:v>
      </x:c>
      <x:c r="B13" s="352"/>
      <x:c r="C13" s="353"/>
      <x:c r="D13" s="353"/>
      <x:c r="E13" s="353"/>
      <x:c r="F13" s="353"/>
      <x:c r="G13" s="353"/>
    </x:row>
    <x:row r="14" ht="17.100000381469727" customHeight="1">
      <x:c r="A14" s="218">
        <x:v>9</x:v>
      </x:c>
      <x:c r="B14" s="219" t="s">
        <x:v>33</x:v>
      </x:c>
      <x:c r="C14" s="223" t="s">
        <x:v>11</x:v>
      </x:c>
      <x:c r="D14" s="229" t="s">
        <x:v>12</x:v>
      </x:c>
      <x:c r="E14" s="223" t="s">
        <x:v>179</x:v>
      </x:c>
      <x:c r="F14" s="234" t="s">
        <x:v>217</x:v>
      </x:c>
      <x:c r="G14" s="217" t="s">
        <x:v>218</x:v>
      </x:c>
    </x:row>
    <x:row r="15" ht="28.5" customHeight="1">
      <x:c r="A15" s="218">
        <x:v>10</x:v>
      </x:c>
      <x:c r="B15" s="219" t="s">
        <x:v>33</x:v>
      </x:c>
      <x:c r="C15" s="223" t="str">
        <x:f>E14</x:f>
        <x:v>I_Perfil</x:v>
      </x:c>
      <x:c r="D15" s="229" t="s">
        <x:v>12</x:v>
      </x:c>
      <x:c r="E15" s="232" t="s">
        <x:v>170</x:v>
      </x:c>
      <x:c r="F15" s="237" t="s">
        <x:v>219</x:v>
      </x:c>
      <x:c r="G15" s="233" t="s">
        <x:v>220</x:v>
      </x:c>
    </x:row>
    <x:row r="16" ht="27" customHeight="1">
      <x:c r="A16" s="218">
        <x:v>11</x:v>
      </x:c>
      <x:c r="B16" s="219" t="s">
        <x:v>33</x:v>
      </x:c>
      <x:c r="C16" s="223" t="str">
        <x:f>E15</x:f>
        <x:v>C_PerfilUsuario</x:v>
      </x:c>
      <x:c r="D16" s="229" t="s">
        <x:v>12</x:v>
      </x:c>
      <x:c r="E16" s="232" t="s">
        <x:v>221</x:v>
      </x:c>
      <x:c r="F16" s="238" t="s">
        <x:v>222</x:v>
      </x:c>
      <x:c r="G16" s="233" t="s">
        <x:v>223</x:v>
      </x:c>
    </x:row>
    <x:row r="17" ht="27" customHeight="1">
      <x:c r="A17" s="218">
        <x:v>12</x:v>
      </x:c>
      <x:c r="B17" s="219" t="s">
        <x:v>33</x:v>
      </x:c>
      <x:c r="C17" s="223" t="str">
        <x:f>E16</x:f>
        <x:v>C_CambioContrasena</x:v>
      </x:c>
      <x:c r="D17" s="229" t="s">
        <x:v>19</x:v>
      </x:c>
      <x:c r="E17" s="232" t="s">
        <x:v>221</x:v>
      </x:c>
      <x:c r="F17" s="238" t="s">
        <x:v>224</x:v>
      </x:c>
      <x:c r="G17" s="233" t="s">
        <x:v>225</x:v>
      </x:c>
    </x:row>
    <x:row r="18" ht="27" customHeight="1">
      <x:c r="A18" s="218">
        <x:v>13</x:v>
      </x:c>
      <x:c r="B18" s="219" t="s">
        <x:v>33</x:v>
      </x:c>
      <x:c r="C18" s="223" t="str">
        <x:f>E17</x:f>
        <x:v>C_CambioContrasena</x:v>
      </x:c>
      <x:c r="D18" s="229" t="s">
        <x:v>12</x:v>
      </x:c>
      <x:c r="E18" s="232" t="s">
        <x:v>226</x:v>
      </x:c>
      <x:c r="F18" s="238" t="s">
        <x:v>227</x:v>
      </x:c>
      <x:c r="G18" s="233" t="s">
        <x:v>228</x:v>
      </x:c>
    </x:row>
    <x:row r="19" ht="27.75" customHeight="1">
      <x:c r="A19" s="218">
        <x:v>14</x:v>
      </x:c>
      <x:c r="B19" s="219" t="s">
        <x:v>33</x:v>
      </x:c>
      <x:c r="C19" s="223" t="str">
        <x:f>E18</x:f>
        <x:v>I_CambiarContrasena</x:v>
      </x:c>
      <x:c r="D19" s="229" t="s">
        <x:v>12</x:v>
      </x:c>
      <x:c r="E19" s="223" t="s">
        <x:v>11</x:v>
      </x:c>
      <x:c r="F19" s="235" t="s">
        <x:v>229</x:v>
      </x:c>
      <x:c r="G19" s="217" t="s">
        <x:v>230</x:v>
      </x:c>
    </x:row>
    <x:row r="20" ht="17.100000381469727" customHeight="1">
      <x:c r="A20" s="359" t="s">
        <x:v>231</x:v>
      </x:c>
      <x:c r="B20" s="352"/>
      <x:c r="C20" s="353"/>
      <x:c r="D20" s="353"/>
      <x:c r="E20" s="353"/>
      <x:c r="F20" s="353"/>
      <x:c r="G20" s="353"/>
    </x:row>
    <x:row r="21" ht="42" customHeight="1">
      <x:c r="A21" s="218">
        <x:v>15</x:v>
      </x:c>
      <x:c r="B21" s="219" t="s">
        <x:v>63</x:v>
      </x:c>
      <x:c r="C21" s="223" t="str">
        <x:f>E19</x:f>
        <x:v>AS_Usuario</x:v>
      </x:c>
      <x:c r="D21" s="229" t="s">
        <x:v>12</x:v>
      </x:c>
      <x:c r="E21" s="223" t="s">
        <x:v>226</x:v>
      </x:c>
      <x:c r="F21" s="225" t="s">
        <x:v>232</x:v>
      </x:c>
      <x:c r="G21" s="236" t="s">
        <x:v>233</x:v>
      </x:c>
    </x:row>
    <x:row r="22" ht="25.5" customHeight="1">
      <x:c r="A22" s="218">
        <x:v>16</x:v>
      </x:c>
      <x:c r="B22" s="219" t="s">
        <x:v>63</x:v>
      </x:c>
      <x:c r="C22" s="223" t="str">
        <x:f t="shared" ref="C22:C27" si="1">E21</x:f>
        <x:v>I_CambiarContrasena</x:v>
      </x:c>
      <x:c r="D22" s="229" t="s">
        <x:v>12</x:v>
      </x:c>
      <x:c r="E22" s="223" t="s">
        <x:v>221</x:v>
      </x:c>
      <x:c r="F22" s="225" t="s">
        <x:v>120</x:v>
      </x:c>
      <x:c r="G22" s="217" t="s">
        <x:v>234</x:v>
      </x:c>
    </x:row>
    <x:row r="23" ht="34.5" customHeight="1">
      <x:c r="A23" s="218">
        <x:v>17</x:v>
      </x:c>
      <x:c r="B23" s="219" t="s">
        <x:v>63</x:v>
      </x:c>
      <x:c r="C23" s="223" t="str">
        <x:f t="shared" si="1"/>
        <x:v>C_CambioContrasena</x:v>
      </x:c>
      <x:c r="D23" s="229" t="s">
        <x:v>19</x:v>
      </x:c>
      <x:c r="E23" s="223" t="s">
        <x:v>221</x:v>
      </x:c>
      <x:c r="F23" s="225" t="s">
        <x:v>122</x:v>
      </x:c>
      <x:c r="G23" s="217" t="s">
        <x:v>235</x:v>
      </x:c>
    </x:row>
    <x:row r="24" ht="34.5" customHeight="1">
      <x:c r="A24" s="218">
        <x:v>18</x:v>
      </x:c>
      <x:c r="B24" s="219" t="s">
        <x:v>63</x:v>
      </x:c>
      <x:c r="C24" s="223" t="str">
        <x:f t="shared" si="1"/>
        <x:v>C_CambioContrasena</x:v>
      </x:c>
      <x:c r="D24" s="229" t="s">
        <x:v>12</x:v>
      </x:c>
      <x:c r="E24" s="223" t="s">
        <x:v>226</x:v>
      </x:c>
      <x:c r="F24" s="225" t="s">
        <x:v>124</x:v>
      </x:c>
      <x:c r="G24" s="217" t="s">
        <x:v>236</x:v>
      </x:c>
    </x:row>
    <x:row r="25" ht="34.5" customHeight="1">
      <x:c r="A25" s="218">
        <x:v>19</x:v>
      </x:c>
      <x:c r="B25" s="219" t="s">
        <x:v>63</x:v>
      </x:c>
      <x:c r="C25" s="223" t="str">
        <x:f t="shared" si="1"/>
        <x:v>I_CambiarContrasena</x:v>
      </x:c>
      <x:c r="D25" s="229" t="s">
        <x:v>12</x:v>
      </x:c>
      <x:c r="E25" s="223" t="s">
        <x:v>11</x:v>
      </x:c>
      <x:c r="F25" s="225" t="s">
        <x:v>126</x:v>
      </x:c>
      <x:c r="G25" s="217" t="s">
        <x:v>237</x:v>
      </x:c>
    </x:row>
    <x:row r="26" ht="34.5" customHeight="1">
      <x:c r="A26" s="218">
        <x:v>20</x:v>
      </x:c>
      <x:c r="B26" s="219" t="s">
        <x:v>63</x:v>
      </x:c>
      <x:c r="C26" s="223" t="str">
        <x:f t="shared" si="1"/>
        <x:v>AS_Usuario</x:v>
      </x:c>
      <x:c r="D26" s="229" t="s">
        <x:v>12</x:v>
      </x:c>
      <x:c r="E26" s="223" t="s">
        <x:v>226</x:v>
      </x:c>
      <x:c r="F26" s="225" t="s">
        <x:v>128</x:v>
      </x:c>
      <x:c r="G26" s="217" t="s">
        <x:v>238</x:v>
      </x:c>
    </x:row>
    <x:row r="27" ht="41.25" customHeight="1">
      <x:c r="A27" s="218">
        <x:v>21</x:v>
      </x:c>
      <x:c r="B27" s="219" t="s">
        <x:v>63</x:v>
      </x:c>
      <x:c r="C27" s="223" t="str">
        <x:f t="shared" si="1"/>
        <x:v>I_CambiarContrasena</x:v>
      </x:c>
      <x:c r="D27" s="229" t="s">
        <x:v>12</x:v>
      </x:c>
      <x:c r="E27" s="223" t="s">
        <x:v>221</x:v>
      </x:c>
      <x:c r="F27" s="225" t="s">
        <x:v>239</x:v>
      </x:c>
      <x:c r="G27" s="217" t="s">
        <x:v>240</x:v>
      </x:c>
    </x:row>
    <x:row r="28" ht="17.100000381469727" customHeight="1">
      <x:c r="A28" s="359" t="s">
        <x:v>241</x:v>
      </x:c>
      <x:c r="B28" s="352"/>
      <x:c r="C28" s="353"/>
      <x:c r="D28" s="353"/>
      <x:c r="E28" s="353"/>
      <x:c r="F28" s="353"/>
      <x:c r="G28" s="353"/>
    </x:row>
    <x:row r="29" ht="27" customHeight="1">
      <x:c r="A29" s="218">
        <x:v>22</x:v>
      </x:c>
      <x:c r="B29" s="219" t="s">
        <x:v>81</x:v>
      </x:c>
      <x:c r="C29" s="223" t="str">
        <x:f>E27</x:f>
        <x:v>C_CambioContrasena</x:v>
      </x:c>
      <x:c r="D29" s="229" t="s">
        <x:v>12</x:v>
      </x:c>
      <x:c r="E29" s="223" t="s">
        <x:v>242</x:v>
      </x:c>
      <x:c r="F29" s="225" t="s">
        <x:v>243</x:v>
      </x:c>
      <x:c r="G29" s="217" t="s">
        <x:v>244</x:v>
      </x:c>
    </x:row>
    <x:row r="30" ht="41.25" customHeight="1">
      <x:c r="A30" s="218">
        <x:v>23</x:v>
      </x:c>
      <x:c r="B30" s="219" t="s">
        <x:v>81</x:v>
      </x:c>
      <x:c r="C30" s="223" t="str">
        <x:f t="shared" ref="C30:C37" si="2">E29</x:f>
        <x:v>C_ValidacionContrasena</x:v>
      </x:c>
      <x:c r="D30" s="229" t="s">
        <x:v>19</x:v>
      </x:c>
      <x:c r="E30" s="223" t="s">
        <x:v>242</x:v>
      </x:c>
      <x:c r="F30" s="225" t="s">
        <x:v>245</x:v>
      </x:c>
      <x:c r="G30" s="217" t="s">
        <x:v>246</x:v>
      </x:c>
    </x:row>
    <x:row r="31" ht="26.25" customHeight="1">
      <x:c r="A31" s="218">
        <x:v>24</x:v>
      </x:c>
      <x:c r="B31" s="219" t="s">
        <x:v>81</x:v>
      </x:c>
      <x:c r="C31" s="223" t="str">
        <x:f t="shared" si="2"/>
        <x:v>C_ValidacionContrasena</x:v>
      </x:c>
      <x:c r="D31" s="229" t="s">
        <x:v>12</x:v>
      </x:c>
      <x:c r="E31" s="223" t="s">
        <x:v>50</x:v>
      </x:c>
      <x:c r="F31" s="225" t="s">
        <x:v>247</x:v>
      </x:c>
      <x:c r="G31" s="217" t="s">
        <x:v>248</x:v>
      </x:c>
    </x:row>
    <x:row r="32" ht="39.75" customHeight="1">
      <x:c r="A32" s="218">
        <x:v>25</x:v>
      </x:c>
      <x:c r="B32" s="219" t="s">
        <x:v>81</x:v>
      </x:c>
      <x:c r="C32" s="223" t="str">
        <x:f t="shared" si="2"/>
        <x:v>E_Usuario</x:v>
      </x:c>
      <x:c r="D32" s="229" t="s">
        <x:v>53</x:v>
      </x:c>
      <x:c r="E32" s="223" t="s">
        <x:v>242</x:v>
      </x:c>
      <x:c r="F32" s="225" t="s">
        <x:v>249</x:v>
      </x:c>
      <x:c r="G32" s="217" t="s">
        <x:v>250</x:v>
      </x:c>
    </x:row>
    <x:row r="33" ht="25.5" customHeight="1">
      <x:c r="A33" s="218">
        <x:v>26</x:v>
      </x:c>
      <x:c r="B33" s="219" t="s">
        <x:v>81</x:v>
      </x:c>
      <x:c r="C33" s="223" t="str">
        <x:f t="shared" si="2"/>
        <x:v>C_ValidacionContrasena</x:v>
      </x:c>
      <x:c r="D33" s="229" t="s">
        <x:v>19</x:v>
      </x:c>
      <x:c r="E33" s="223" t="s">
        <x:v>242</x:v>
      </x:c>
      <x:c r="F33" s="225" t="s">
        <x:v>251</x:v>
      </x:c>
      <x:c r="G33" s="217" t="s">
        <x:v>252</x:v>
      </x:c>
    </x:row>
    <x:row r="34" ht="26.25" customHeight="1">
      <x:c r="A34" s="218">
        <x:v>27</x:v>
      </x:c>
      <x:c r="B34" s="219" t="s">
        <x:v>81</x:v>
      </x:c>
      <x:c r="C34" s="223" t="str">
        <x:f t="shared" si="2"/>
        <x:v>C_ValidacionContrasena</x:v>
      </x:c>
      <x:c r="D34" s="229" t="s">
        <x:v>19</x:v>
      </x:c>
      <x:c r="E34" s="223" t="s">
        <x:v>242</x:v>
      </x:c>
      <x:c r="F34" s="225" t="s">
        <x:v>136</x:v>
      </x:c>
      <x:c r="G34" s="217" t="s">
        <x:v>253</x:v>
      </x:c>
    </x:row>
    <x:row r="35" ht="26.25" customHeight="1">
      <x:c r="A35" s="218">
        <x:v>28</x:v>
      </x:c>
      <x:c r="B35" s="219" t="s">
        <x:v>81</x:v>
      </x:c>
      <x:c r="C35" s="223" t="str">
        <x:f t="shared" si="2"/>
        <x:v>C_ValidacionContrasena</x:v>
      </x:c>
      <x:c r="D35" s="229" t="s">
        <x:v>19</x:v>
      </x:c>
      <x:c r="E35" s="223" t="s">
        <x:v>242</x:v>
      </x:c>
      <x:c r="F35" s="225" t="s">
        <x:v>254</x:v>
      </x:c>
      <x:c r="G35" s="217" t="s">
        <x:v>255</x:v>
      </x:c>
    </x:row>
    <x:row r="36" ht="26.25" customHeight="1">
      <x:c r="A36" s="218">
        <x:v>29</x:v>
      </x:c>
      <x:c r="B36" s="219" t="s">
        <x:v>81</x:v>
      </x:c>
      <x:c r="C36" s="223" t="str">
        <x:f t="shared" si="2"/>
        <x:v>C_ValidacionContrasena</x:v>
      </x:c>
      <x:c r="D36" s="229" t="s">
        <x:v>19</x:v>
      </x:c>
      <x:c r="E36" s="223" t="s">
        <x:v>242</x:v>
      </x:c>
      <x:c r="F36" s="225" t="s">
        <x:v>256</x:v>
      </x:c>
      <x:c r="G36" s="217" t="s">
        <x:v>257</x:v>
      </x:c>
    </x:row>
    <x:row r="37" ht="26.25" customHeight="1">
      <x:c r="A37" s="218">
        <x:v>30</x:v>
      </x:c>
      <x:c r="B37" s="219" t="s">
        <x:v>81</x:v>
      </x:c>
      <x:c r="C37" s="223" t="str">
        <x:f t="shared" si="2"/>
        <x:v>C_ValidacionContrasena</x:v>
      </x:c>
      <x:c r="D37" s="224" t="s">
        <x:v>53</x:v>
      </x:c>
      <x:c r="E37" s="223" t="s">
        <x:v>221</x:v>
      </x:c>
      <x:c r="F37" s="225" t="s">
        <x:v>206</x:v>
      </x:c>
      <x:c r="G37" s="217" t="s">
        <x:v>258</x:v>
      </x:c>
    </x:row>
    <x:row r="38" ht="17.100000381469727" customHeight="1">
      <x:c r="A38" s="359" t="s">
        <x:v>259</x:v>
      </x:c>
      <x:c r="B38" s="352"/>
      <x:c r="C38" s="353"/>
      <x:c r="D38" s="353"/>
      <x:c r="E38" s="353"/>
      <x:c r="F38" s="353"/>
      <x:c r="G38" s="353"/>
    </x:row>
    <x:row r="39" ht="29.25" customHeight="1">
      <x:c r="A39" s="218">
        <x:v>31</x:v>
      </x:c>
      <x:c r="B39" s="219" t="s">
        <x:v>110</x:v>
      </x:c>
      <x:c r="C39" s="223" t="str">
        <x:f>E37</x:f>
        <x:v>C_CambioContrasena</x:v>
      </x:c>
      <x:c r="D39" s="229" t="s">
        <x:v>19</x:v>
      </x:c>
      <x:c r="E39" s="223" t="s">
        <x:v>221</x:v>
      </x:c>
      <x:c r="F39" s="242" t="s">
        <x:v>144</x:v>
      </x:c>
      <x:c r="G39" s="217" t="s">
        <x:v>260</x:v>
      </x:c>
    </x:row>
    <x:row r="40" ht="24.75" customHeight="1">
      <x:c r="A40" s="218">
        <x:v>32</x:v>
      </x:c>
      <x:c r="B40" s="219" t="s">
        <x:v>110</x:v>
      </x:c>
      <x:c r="C40" s="223" t="str">
        <x:f>E39</x:f>
        <x:v>C_CambioContrasena</x:v>
      </x:c>
      <x:c r="D40" s="224" t="s">
        <x:v>12</x:v>
      </x:c>
      <x:c r="E40" s="223" t="s">
        <x:v>50</x:v>
      </x:c>
      <x:c r="F40" s="242" t="s">
        <x:v>146</x:v>
      </x:c>
      <x:c r="G40" s="217" t="s">
        <x:v>261</x:v>
      </x:c>
    </x:row>
    <x:row r="41" ht="27.75" customHeight="1">
      <x:c r="A41" s="218">
        <x:v>33</x:v>
      </x:c>
      <x:c r="B41" s="219" t="s">
        <x:v>110</x:v>
      </x:c>
      <x:c r="C41" s="223" t="str">
        <x:f>E40</x:f>
        <x:v>E_Usuario</x:v>
      </x:c>
      <x:c r="D41" s="224" t="s">
        <x:v>53</x:v>
      </x:c>
      <x:c r="E41" s="223" t="s">
        <x:v>221</x:v>
      </x:c>
      <x:c r="F41" s="243" t="s">
        <x:v>148</x:v>
      </x:c>
      <x:c r="G41" s="231" t="s">
        <x:v>262</x:v>
      </x:c>
    </x:row>
    <x:row r="42" ht="28.5" customHeight="1">
      <x:c r="A42" s="359" t="s">
        <x:v>263</x:v>
      </x:c>
      <x:c r="B42" s="352"/>
      <x:c r="C42" s="353"/>
      <x:c r="D42" s="353"/>
      <x:c r="E42" s="353"/>
      <x:c r="F42" s="353"/>
      <x:c r="G42" s="353"/>
    </x:row>
    <x:row r="43" ht="24.75" customHeight="1">
      <x:c r="A43" s="239">
        <x:v>34</x:v>
      </x:c>
      <x:c r="B43" s="240" t="s">
        <x:v>143</x:v>
      </x:c>
      <x:c r="C43" s="241" t="str">
        <x:f>E41</x:f>
        <x:v>C_CambioContrasena</x:v>
      </x:c>
      <x:c r="D43" s="229" t="s">
        <x:v>12</x:v>
      </x:c>
      <x:c r="E43" s="241" t="s">
        <x:v>156</x:v>
      </x:c>
      <x:c r="F43" s="242" t="s">
        <x:v>157</x:v>
      </x:c>
      <x:c r="G43" s="242" t="s">
        <x:v>264</x:v>
      </x:c>
    </x:row>
    <x:row r="44" ht="27.75" customHeight="1">
      <x:c r="A44" s="239">
        <x:v>35</x:v>
      </x:c>
      <x:c r="B44" s="240" t="s">
        <x:v>143</x:v>
      </x:c>
      <x:c r="C44" s="241" t="str">
        <x:f>E43</x:f>
        <x:v>I_ConfirmacionOperacion</x:v>
      </x:c>
      <x:c r="D44" s="229" t="s">
        <x:v>12</x:v>
      </x:c>
      <x:c r="E44" s="241" t="s">
        <x:v>11</x:v>
      </x:c>
      <x:c r="F44" s="242" t="s">
        <x:v>159</x:v>
      </x:c>
      <x:c r="G44" s="242" t="s">
        <x:v>265</x:v>
      </x:c>
    </x:row>
  </x:sheetData>
  <x:mergeCells>
    <x:mergeCell ref="A42:G42"/>
    <x:mergeCell ref="A28:G28"/>
    <x:mergeCell ref="A13:G13"/>
    <x:mergeCell ref="A1:G1"/>
    <x:mergeCell ref="A4:G4"/>
    <x:mergeCell ref="A20:G20"/>
    <x:mergeCell ref="A38:G38"/>
    <x:mergeCell ref="A2:G2"/>
  </x:mergeCells>
  <x:dataValidations count="1">
    <x:dataValidation type="list" allowBlank="1" showInputMessage="1" showErrorMessage="1" sqref="D5:D12 D14:D19 D21:D27 D29:D37 D39:D41 D43:D44">
      <x:formula1>"───►  (llamada),↩  (auto-msg),◄ ─ ─  (return)"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9.109375" defaultRowHeight="14.399999618530273"/>
  <x:cols>
    <x:col min="1" max="1" width="8" style="216" customWidth="1"/>
    <x:col min="2" max="2" width="10" style="216" customWidth="1"/>
    <x:col min="3" max="3" width="25" customWidth="1"/>
    <x:col min="4" max="4" width="19" customWidth="1"/>
    <x:col min="5" max="5" width="29" customWidth="1"/>
    <x:col min="6" max="6" width="55" customWidth="1"/>
    <x:col min="7" max="7" width="100" customWidth="1"/>
  </x:cols>
  <x:sheetData>
    <x:row r="1" ht="30" customHeight="1">
      <x:c r="A1" s="362" t="s">
        <x:v>266</x:v>
      </x:c>
      <x:c r="B1" s="363"/>
      <x:c r="C1" s="363"/>
      <x:c r="D1" s="363"/>
      <x:c r="E1" s="363"/>
      <x:c r="F1" s="363"/>
      <x:c r="G1" s="363"/>
    </x:row>
    <x:row r="2" ht="27" customHeight="1">
      <x:c r="A2" s="364" t="s">
        <x:v>267</x:v>
      </x:c>
      <x:c r="B2" s="365"/>
      <x:c r="C2" s="365"/>
      <x:c r="D2" s="365"/>
      <x:c r="E2" s="365"/>
      <x:c r="F2" s="365"/>
      <x:c r="G2" s="365"/>
    </x:row>
    <x:row r="3" s="216" customFormat="1" ht="26.100000381469727" customHeight="1">
      <x:c r="A3" s="245" t="s">
        <x:v>2</x:v>
      </x:c>
      <x:c r="B3" s="245" t="s">
        <x:v>3</x:v>
      </x:c>
      <x:c r="C3" s="245" t="s">
        <x:v>4</x:v>
      </x:c>
      <x:c r="D3" s="245" t="s">
        <x:v>5</x:v>
      </x:c>
      <x:c r="E3" s="245" t="s">
        <x:v>6</x:v>
      </x:c>
      <x:c r="F3" s="245" t="s">
        <x:v>7</x:v>
      </x:c>
      <x:c r="G3" s="245" t="s">
        <x:v>8</x:v>
      </x:c>
    </x:row>
    <x:row r="4" s="216" customFormat="1" ht="27.899999618530273" customHeight="1">
      <x:c r="A4" s="366" t="s">
        <x:v>268</x:v>
      </x:c>
      <x:c r="B4" s="367"/>
      <x:c r="C4" s="367"/>
      <x:c r="D4" s="367"/>
      <x:c r="E4" s="367"/>
      <x:c r="F4" s="367"/>
      <x:c r="G4" s="368"/>
    </x:row>
    <x:row r="5" ht="45.900001525878906" customHeight="1">
      <x:c r="A5" s="246">
        <x:v>1</x:v>
      </x:c>
      <x:c r="B5" s="246" t="s">
        <x:v>10</x:v>
      </x:c>
      <x:c r="C5" s="247" t="s">
        <x:v>11</x:v>
      </x:c>
      <x:c r="D5" s="249" t="s">
        <x:v>12</x:v>
      </x:c>
      <x:c r="E5" s="247" t="s">
        <x:v>164</x:v>
      </x:c>
      <x:c r="F5" s="250" t="s">
        <x:v>165</x:v>
      </x:c>
      <x:c r="G5" s="248" t="s">
        <x:v>166</x:v>
      </x:c>
    </x:row>
    <x:row r="6" ht="45.900001525878906" customHeight="1">
      <x:c r="A6" s="246">
        <x:v>2</x:v>
      </x:c>
      <x:c r="B6" s="246" t="s">
        <x:v>10</x:v>
      </x:c>
      <x:c r="C6" s="247" t="str">
        <x:f t="shared" ref="C6:C12" si="0">E5</x:f>
        <x:v>I_Inicio</x:v>
      </x:c>
      <x:c r="D6" s="249" t="s">
        <x:v>12</x:v>
      </x:c>
      <x:c r="E6" s="247" t="s">
        <x:v>167</x:v>
      </x:c>
      <x:c r="F6" s="250" t="s">
        <x:v>168</x:v>
      </x:c>
      <x:c r="G6" s="248" t="s">
        <x:v>169</x:v>
      </x:c>
    </x:row>
    <x:row r="7" ht="45.900001525878906" customHeight="1">
      <x:c r="A7" s="246">
        <x:v>3</x:v>
      </x:c>
      <x:c r="B7" s="246" t="s">
        <x:v>10</x:v>
      </x:c>
      <x:c r="C7" s="247" t="str">
        <x:f t="shared" si="0"/>
        <x:v>C_Navegacion</x:v>
      </x:c>
      <x:c r="D7" s="249" t="s">
        <x:v>12</x:v>
      </x:c>
      <x:c r="E7" s="247" t="s">
        <x:v>170</x:v>
      </x:c>
      <x:c r="F7" s="250" t="s">
        <x:v>171</x:v>
      </x:c>
      <x:c r="G7" s="248" t="s">
        <x:v>172</x:v>
      </x:c>
    </x:row>
    <x:row r="8" ht="45.900001525878906" customHeight="1">
      <x:c r="A8" s="246">
        <x:v>4</x:v>
      </x:c>
      <x:c r="B8" s="246" t="s">
        <x:v>10</x:v>
      </x:c>
      <x:c r="C8" s="247" t="str">
        <x:f t="shared" si="0"/>
        <x:v>C_PerfilUsuario</x:v>
      </x:c>
      <x:c r="D8" s="249" t="s">
        <x:v>12</x:v>
      </x:c>
      <x:c r="E8" s="247" t="s">
        <x:v>50</x:v>
      </x:c>
      <x:c r="F8" s="250" t="s">
        <x:v>173</x:v>
      </x:c>
      <x:c r="G8" s="248" t="s">
        <x:v>174</x:v>
      </x:c>
    </x:row>
    <x:row r="9" ht="45.900001525878906" customHeight="1">
      <x:c r="A9" s="246">
        <x:v>5</x:v>
      </x:c>
      <x:c r="B9" s="246" t="s">
        <x:v>10</x:v>
      </x:c>
      <x:c r="C9" s="247" t="str">
        <x:f t="shared" si="0"/>
        <x:v>E_Usuario</x:v>
      </x:c>
      <x:c r="D9" s="249" t="s">
        <x:v>53</x:v>
      </x:c>
      <x:c r="E9" s="247" t="s">
        <x:v>170</x:v>
      </x:c>
      <x:c r="F9" s="250" t="s">
        <x:v>175</x:v>
      </x:c>
      <x:c r="G9" s="248" t="s">
        <x:v>176</x:v>
      </x:c>
    </x:row>
    <x:row r="10" ht="45.900001525878906" customHeight="1">
      <x:c r="A10" s="246">
        <x:v>6</x:v>
      </x:c>
      <x:c r="B10" s="246" t="s">
        <x:v>10</x:v>
      </x:c>
      <x:c r="C10" s="247" t="str">
        <x:f t="shared" si="0"/>
        <x:v>C_PerfilUsuario</x:v>
      </x:c>
      <x:c r="D10" s="249" t="s">
        <x:v>19</x:v>
      </x:c>
      <x:c r="E10" s="247" t="s">
        <x:v>170</x:v>
      </x:c>
      <x:c r="F10" s="250" t="s">
        <x:v>177</x:v>
      </x:c>
      <x:c r="G10" s="248" t="s">
        <x:v>178</x:v>
      </x:c>
    </x:row>
    <x:row r="11" ht="45.900001525878906" customHeight="1">
      <x:c r="A11" s="246">
        <x:v>7</x:v>
      </x:c>
      <x:c r="B11" s="246" t="s">
        <x:v>10</x:v>
      </x:c>
      <x:c r="C11" s="247" t="str">
        <x:f t="shared" si="0"/>
        <x:v>C_PerfilUsuario</x:v>
      </x:c>
      <x:c r="D11" s="249" t="s">
        <x:v>12</x:v>
      </x:c>
      <x:c r="E11" s="247" t="s">
        <x:v>179</x:v>
      </x:c>
      <x:c r="F11" s="250" t="s">
        <x:v>180</x:v>
      </x:c>
      <x:c r="G11" s="248" t="s">
        <x:v>181</x:v>
      </x:c>
    </x:row>
    <x:row r="12" ht="45.900001525878906" customHeight="1">
      <x:c r="A12" s="246">
        <x:v>8</x:v>
      </x:c>
      <x:c r="B12" s="246" t="s">
        <x:v>10</x:v>
      </x:c>
      <x:c r="C12" s="247" t="str">
        <x:f t="shared" si="0"/>
        <x:v>I_Perfil</x:v>
      </x:c>
      <x:c r="D12" s="249" t="s">
        <x:v>12</x:v>
      </x:c>
      <x:c r="E12" s="247" t="s">
        <x:v>11</x:v>
      </x:c>
      <x:c r="F12" s="250" t="s">
        <x:v>182</x:v>
      </x:c>
      <x:c r="G12" s="248" t="s">
        <x:v>183</x:v>
      </x:c>
    </x:row>
    <x:row r="13" ht="27.899999618530273" customHeight="1">
      <x:c r="A13" s="369" t="s">
        <x:v>269</x:v>
      </x:c>
      <x:c r="B13" s="370"/>
      <x:c r="C13" s="370"/>
      <x:c r="D13" s="370"/>
      <x:c r="E13" s="370"/>
      <x:c r="F13" s="370"/>
      <x:c r="G13" s="370"/>
    </x:row>
    <x:row r="14" ht="45.900001525878906" customHeight="1">
      <x:c r="A14" s="246">
        <x:v>9</x:v>
      </x:c>
      <x:c r="B14" s="246" t="s">
        <x:v>33</x:v>
      </x:c>
      <x:c r="C14" s="247" t="s">
        <x:v>11</x:v>
      </x:c>
      <x:c r="D14" s="249" t="s">
        <x:v>12</x:v>
      </x:c>
      <x:c r="E14" s="247" t="s">
        <x:v>179</x:v>
      </x:c>
      <x:c r="F14" s="250" t="s">
        <x:v>270</x:v>
      </x:c>
      <x:c r="G14" s="248" t="s">
        <x:v>271</x:v>
      </x:c>
    </x:row>
    <x:row r="15" ht="45.900001525878906" customHeight="1">
      <x:c r="A15" s="246">
        <x:v>10</x:v>
      </x:c>
      <x:c r="B15" s="246" t="s">
        <x:v>33</x:v>
      </x:c>
      <x:c r="C15" s="247" t="s">
        <x:v>179</x:v>
      </x:c>
      <x:c r="D15" s="249" t="s">
        <x:v>12</x:v>
      </x:c>
      <x:c r="E15" s="247" t="s">
        <x:v>170</x:v>
      </x:c>
      <x:c r="F15" s="250" t="s">
        <x:v>272</x:v>
      </x:c>
      <x:c r="G15" s="248" t="s">
        <x:v>273</x:v>
      </x:c>
    </x:row>
    <x:row r="16" ht="45.900001525878906" customHeight="1">
      <x:c r="A16" s="246">
        <x:v>11</x:v>
      </x:c>
      <x:c r="B16" s="246" t="s">
        <x:v>33</x:v>
      </x:c>
      <x:c r="C16" s="247" t="s">
        <x:v>170</x:v>
      </x:c>
      <x:c r="D16" s="249" t="s">
        <x:v>12</x:v>
      </x:c>
      <x:c r="E16" s="247" t="s">
        <x:v>274</x:v>
      </x:c>
      <x:c r="F16" s="250" t="s">
        <x:v>275</x:v>
      </x:c>
      <x:c r="G16" s="248" t="s">
        <x:v>276</x:v>
      </x:c>
    </x:row>
    <x:row r="17" ht="45.900001525878906" customHeight="1">
      <x:c r="A17" s="246">
        <x:v>12</x:v>
      </x:c>
      <x:c r="B17" s="246" t="s">
        <x:v>33</x:v>
      </x:c>
      <x:c r="C17" s="247" t="s">
        <x:v>274</x:v>
      </x:c>
      <x:c r="D17" s="249" t="s">
        <x:v>12</x:v>
      </x:c>
      <x:c r="E17" s="247" t="s">
        <x:v>277</x:v>
      </x:c>
      <x:c r="F17" s="250" t="s">
        <x:v>278</x:v>
      </x:c>
      <x:c r="G17" s="248" t="str">
        <x:v>La interfaz muestra el aviso vigente de privacidad/eliminación con responsable, finalidades y canal de atención; indica 30 días CALENDARIO para recuperar la cuenta. El tratamiento posterior del dato (supresión, anonimización o conservación legal limitada) y el texto definitivo dependen de política legal aprobada. No afirmar cumplimiento normativo no validado.</x:v>
      </x:c>
    </x:row>
    <x:row r="18" ht="45.900001525878906" customHeight="1">
      <x:c r="A18" s="252">
        <x:v>13</x:v>
      </x:c>
      <x:c r="B18" s="253" t="s">
        <x:v>33</x:v>
      </x:c>
      <x:c r="C18" s="251" t="s">
        <x:v>277</x:v>
      </x:c>
      <x:c r="D18" s="253" t="s">
        <x:v>12</x:v>
      </x:c>
      <x:c r="E18" s="251" t="s">
        <x:v>11</x:v>
      </x:c>
      <x:c r="F18" s="254" t="s">
        <x:v>279</x:v>
      </x:c>
      <x:c r="G18" s="251" t="str">
        <x:v>Aclara que la solicitud bloquea acceso ordinario durante 30 días calendario y que la cuenta puede recuperarse dentro del plazo. Tras vencer, el proceso ejecutará SOLO la política de retención/supresión aprobada por asesoría legal; no prometer borrado indiscriminado ni conservación indefinida.</x:v>
      </x:c>
    </x:row>
    <x:row r="19" ht="45.900001525878906" customHeight="1">
      <x:c r="A19" s="246">
        <x:v>14</x:v>
      </x:c>
      <x:c r="B19" s="246" t="s">
        <x:v>33</x:v>
      </x:c>
      <x:c r="C19" s="247" t="s">
        <x:v>11</x:v>
      </x:c>
      <x:c r="D19" s="249" t="s">
        <x:v>12</x:v>
      </x:c>
      <x:c r="E19" s="247" t="s">
        <x:v>277</x:v>
      </x:c>
      <x:c r="F19" s="250" t="s">
        <x:v>280</x:v>
      </x:c>
      <x:c r="G19" s="248" t="s">
        <x:v>281</x:v>
      </x:c>
    </x:row>
    <x:row r="20" ht="45.900001525878906" customHeight="1">
      <x:c r="A20" s="246">
        <x:v>15</x:v>
      </x:c>
      <x:c r="B20" s="246" t="s">
        <x:v>33</x:v>
      </x:c>
      <x:c r="C20" s="247" t="s">
        <x:v>277</x:v>
      </x:c>
      <x:c r="D20" s="249" t="s">
        <x:v>12</x:v>
      </x:c>
      <x:c r="E20" s="247" t="s">
        <x:v>274</x:v>
      </x:c>
      <x:c r="F20" s="250" t="s">
        <x:v>282</x:v>
      </x:c>
      <x:c r="G20" s="248" t="s">
        <x:v>283</x:v>
      </x:c>
    </x:row>
    <x:row r="21" ht="27.899999618530273" customHeight="1">
      <x:c r="A21" s="371" t="s">
        <x:v>284</x:v>
      </x:c>
      <x:c r="B21" s="371"/>
      <x:c r="C21" s="372"/>
      <x:c r="D21" s="373"/>
      <x:c r="E21" s="372"/>
      <x:c r="F21" s="372"/>
      <x:c r="G21" s="372"/>
    </x:row>
    <x:row r="22" ht="45.900001525878906" customHeight="1">
      <x:c r="A22" s="246">
        <x:v>16</x:v>
      </x:c>
      <x:c r="B22" s="246" t="s">
        <x:v>63</x:v>
      </x:c>
      <x:c r="C22" s="247" t="s">
        <x:v>274</x:v>
      </x:c>
      <x:c r="D22" s="249" t="s">
        <x:v>12</x:v>
      </x:c>
      <x:c r="E22" s="247" t="s">
        <x:v>285</x:v>
      </x:c>
      <x:c r="F22" s="250" t="s">
        <x:v>286</x:v>
      </x:c>
      <x:c r="G22" s="248" t="s">
        <x:v>287</x:v>
      </x:c>
    </x:row>
    <x:row r="23" ht="45.900001525878906" customHeight="1">
      <x:c r="A23" s="257">
        <x:v>17</x:v>
      </x:c>
      <x:c r="B23" s="258" t="s">
        <x:v>63</x:v>
      </x:c>
      <x:c r="C23" s="255" t="s">
        <x:v>285</x:v>
      </x:c>
      <x:c r="D23" s="258" t="s">
        <x:v>12</x:v>
      </x:c>
      <x:c r="E23" s="255" t="s">
        <x:v>11</x:v>
      </x:c>
      <x:c r="F23" s="260" t="s">
        <x:v>288</x:v>
      </x:c>
      <x:c r="G23" s="256" t="s">
        <x:v>289</x:v>
      </x:c>
    </x:row>
    <x:row r="24" ht="45.900001525878906" customHeight="1">
      <x:c r="A24" s="246">
        <x:v>18</x:v>
      </x:c>
      <x:c r="B24" s="246" t="s">
        <x:v>63</x:v>
      </x:c>
      <x:c r="C24" s="247" t="s">
        <x:v>11</x:v>
      </x:c>
      <x:c r="D24" s="249" t="s">
        <x:v>12</x:v>
      </x:c>
      <x:c r="E24" s="247" t="s">
        <x:v>285</x:v>
      </x:c>
      <x:c r="F24" s="250" t="s">
        <x:v>290</x:v>
      </x:c>
      <x:c r="G24" s="248" t="s">
        <x:v>291</x:v>
      </x:c>
    </x:row>
    <x:row r="25" ht="45.900001525878906" customHeight="1">
      <x:c r="A25" s="246">
        <x:v>19</x:v>
      </x:c>
      <x:c r="B25" s="246" t="s">
        <x:v>63</x:v>
      </x:c>
      <x:c r="C25" s="247" t="s">
        <x:v>285</x:v>
      </x:c>
      <x:c r="D25" s="259" t="s">
        <x:v>12</x:v>
      </x:c>
      <x:c r="E25" s="247" t="s">
        <x:v>274</x:v>
      </x:c>
      <x:c r="F25" s="250" t="s">
        <x:v>292</x:v>
      </x:c>
      <x:c r="G25" s="248" t="s">
        <x:v>293</x:v>
      </x:c>
    </x:row>
    <x:row r="26" ht="27.899999618530273" customHeight="1">
      <x:c r="A26" s="371" t="s">
        <x:v>294</x:v>
      </x:c>
      <x:c r="B26" s="371"/>
      <x:c r="C26" s="372"/>
      <x:c r="D26" s="374"/>
      <x:c r="E26" s="372"/>
      <x:c r="F26" s="372"/>
      <x:c r="G26" s="372"/>
    </x:row>
    <x:row r="27" s="226" customFormat="1" ht="45.900001525878906" customHeight="1">
      <x:c r="A27" s="246">
        <x:v>20</x:v>
      </x:c>
      <x:c r="B27" s="246" t="s">
        <x:v>81</x:v>
      </x:c>
      <x:c r="C27" s="247" t="s">
        <x:v>274</x:v>
      </x:c>
      <x:c r="D27" s="259" t="s">
        <x:v>12</x:v>
      </x:c>
      <x:c r="E27" s="247" t="s">
        <x:v>156</x:v>
      </x:c>
      <x:c r="F27" s="250" t="s">
        <x:v>295</x:v>
      </x:c>
      <x:c r="G27" s="248" t="s">
        <x:v>296</x:v>
      </x:c>
    </x:row>
    <x:row r="28" ht="45.900001525878906" customHeight="1">
      <x:c r="A28" s="257">
        <x:v>21</x:v>
      </x:c>
      <x:c r="B28" s="258" t="s">
        <x:v>81</x:v>
      </x:c>
      <x:c r="C28" s="255" t="s">
        <x:v>156</x:v>
      </x:c>
      <x:c r="D28" s="258" t="s">
        <x:v>12</x:v>
      </x:c>
      <x:c r="E28" s="255" t="s">
        <x:v>11</x:v>
      </x:c>
      <x:c r="F28" s="260" t="s">
        <x:v>297</x:v>
      </x:c>
      <x:c r="G28" s="256" t="s">
        <x:v>298</x:v>
      </x:c>
    </x:row>
    <x:row r="29" ht="45.900001525878906" customHeight="1">
      <x:c r="A29" s="246">
        <x:v>22</x:v>
      </x:c>
      <x:c r="B29" s="246" t="s">
        <x:v>81</x:v>
      </x:c>
      <x:c r="C29" s="247" t="s">
        <x:v>11</x:v>
      </x:c>
      <x:c r="D29" s="249" t="s">
        <x:v>12</x:v>
      </x:c>
      <x:c r="E29" s="247" t="s">
        <x:v>156</x:v>
      </x:c>
      <x:c r="F29" s="250" t="s">
        <x:v>299</x:v>
      </x:c>
      <x:c r="G29" s="248" t="s">
        <x:v>300</x:v>
      </x:c>
    </x:row>
    <x:row r="30" ht="45.900001525878906" customHeight="1">
      <x:c r="A30" s="246">
        <x:v>23</x:v>
      </x:c>
      <x:c r="B30" s="246" t="s">
        <x:v>81</x:v>
      </x:c>
      <x:c r="C30" s="247" t="s">
        <x:v>156</x:v>
      </x:c>
      <x:c r="D30" s="259" t="s">
        <x:v>12</x:v>
      </x:c>
      <x:c r="E30" s="247" t="s">
        <x:v>274</x:v>
      </x:c>
      <x:c r="F30" s="250" t="s">
        <x:v>301</x:v>
      </x:c>
      <x:c r="G30" s="248" t="s">
        <x:v>302</x:v>
      </x:c>
    </x:row>
    <x:row r="31" ht="45.900001525878906" customHeight="1">
      <x:c r="A31" s="246">
        <x:v>24</x:v>
      </x:c>
      <x:c r="B31" s="246" t="s">
        <x:v>81</x:v>
      </x:c>
      <x:c r="C31" s="247" t="s">
        <x:v>274</x:v>
      </x:c>
      <x:c r="D31" s="259" t="s">
        <x:v>12</x:v>
      </x:c>
      <x:c r="E31" s="247" t="s">
        <x:v>303</x:v>
      </x:c>
      <x:c r="F31" s="250" t="s">
        <x:v>304</x:v>
      </x:c>
      <x:c r="G31" s="248" t="s">
        <x:v>305</x:v>
      </x:c>
    </x:row>
    <x:row r="32" ht="45.900001525878906" customHeight="1">
      <x:c r="A32" s="246">
        <x:v>25</x:v>
      </x:c>
      <x:c r="B32" s="246" t="s">
        <x:v>81</x:v>
      </x:c>
      <x:c r="C32" s="247" t="s">
        <x:v>303</x:v>
      </x:c>
      <x:c r="D32" s="259" t="s">
        <x:v>12</x:v>
      </x:c>
      <x:c r="E32" s="247" t="s">
        <x:v>50</x:v>
      </x:c>
      <x:c r="F32" s="250" t="s">
        <x:v>306</x:v>
      </x:c>
      <x:c r="G32" s="248" t="s">
        <x:v>307</x:v>
      </x:c>
    </x:row>
    <x:row r="33" ht="45.900001525878906" customHeight="1">
      <x:c r="A33" s="246">
        <x:v>26</x:v>
      </x:c>
      <x:c r="B33" s="246" t="s">
        <x:v>81</x:v>
      </x:c>
      <x:c r="C33" s="247" t="str">
        <x:f t="shared" ref="C33:C40" si="1">E30</x:f>
        <x:v>C_EliminarCuenta</x:v>
      </x:c>
      <x:c r="D33" s="259" t="s">
        <x:v>53</x:v>
      </x:c>
      <x:c r="E33" s="247" t="s">
        <x:v>303</x:v>
      </x:c>
      <x:c r="F33" s="250" t="s">
        <x:v>308</x:v>
      </x:c>
      <x:c r="G33" s="248" t="s">
        <x:v>309</x:v>
      </x:c>
    </x:row>
    <x:row r="34" ht="45.900001525878906" customHeight="1">
      <x:c r="A34" s="246">
        <x:v>27</x:v>
      </x:c>
      <x:c r="B34" s="246" t="s">
        <x:v>81</x:v>
      </x:c>
      <x:c r="C34" s="247" t="str">
        <x:f t="shared" si="1"/>
        <x:v>C_ValidacionCuenta</x:v>
      </x:c>
      <x:c r="D34" s="259" t="s">
        <x:v>19</x:v>
      </x:c>
      <x:c r="E34" s="247" t="s">
        <x:v>303</x:v>
      </x:c>
      <x:c r="F34" s="250" t="s">
        <x:v>310</x:v>
      </x:c>
      <x:c r="G34" s="248" t="s">
        <x:v>311</x:v>
      </x:c>
    </x:row>
    <x:row r="35" ht="45.900001525878906" customHeight="1">
      <x:c r="A35" s="246">
        <x:v>28</x:v>
      </x:c>
      <x:c r="B35" s="246" t="s">
        <x:v>81</x:v>
      </x:c>
      <x:c r="C35" s="247" t="str">
        <x:f t="shared" si="1"/>
        <x:v>C_ValidacionCuenta</x:v>
      </x:c>
      <x:c r="D35" s="259" t="s">
        <x:v>53</x:v>
      </x:c>
      <x:c r="E35" s="247" t="s">
        <x:v>274</x:v>
      </x:c>
      <x:c r="F35" s="250" t="s">
        <x:v>312</x:v>
      </x:c>
      <x:c r="G35" s="248" t="s">
        <x:v>313</x:v>
      </x:c>
    </x:row>
    <x:row r="36" ht="27.899999618530273" customHeight="1">
      <x:c r="A36" s="371" t="s">
        <x:v>314</x:v>
      </x:c>
      <x:c r="B36" s="371"/>
      <x:c r="C36" s="372" t="str">
        <x:f t="shared" si="1"/>
        <x:v>C_ValidacionCuenta</x:v>
      </x:c>
      <x:c r="D36" s="374"/>
      <x:c r="E36" s="372"/>
      <x:c r="F36" s="372"/>
      <x:c r="G36" s="372"/>
    </x:row>
    <x:row r="37" ht="45.900001525878906" customHeight="1">
      <x:c r="A37" s="246">
        <x:v>29</x:v>
      </x:c>
      <x:c r="B37" s="246" t="s">
        <x:v>110</x:v>
      </x:c>
      <x:c r="C37" s="247" t="str">
        <x:f t="shared" si="1"/>
        <x:v>C_EliminarCuenta</x:v>
      </x:c>
      <x:c r="D37" s="259" t="s">
        <x:v>12</x:v>
      </x:c>
      <x:c r="E37" s="247" t="s">
        <x:v>71</x:v>
      </x:c>
      <x:c r="F37" s="250" t="s">
        <x:v>315</x:v>
      </x:c>
      <x:c r="G37" s="248" t="s">
        <x:v>316</x:v>
      </x:c>
    </x:row>
    <x:row r="38" ht="45.900001525878906" customHeight="1">
      <x:c r="A38" s="246">
        <x:v>30</x:v>
      </x:c>
      <x:c r="B38" s="246" t="s">
        <x:v>110</x:v>
      </x:c>
      <x:c r="C38" s="247" t="str">
        <x:f t="shared" si="1"/>
        <x:v>E_CodigoRecuperacion</x:v>
      </x:c>
      <x:c r="D38" s="259" t="s">
        <x:v>53</x:v>
      </x:c>
      <x:c r="E38" s="247" t="s">
        <x:v>274</x:v>
      </x:c>
      <x:c r="F38" s="250" t="s">
        <x:v>317</x:v>
      </x:c>
      <x:c r="G38" s="248" t="s">
        <x:v>318</x:v>
      </x:c>
    </x:row>
    <x:row r="39" ht="45.900001525878906" customHeight="1">
      <x:c r="A39" s="246">
        <x:v>31</x:v>
      </x:c>
      <x:c r="B39" s="246" t="s">
        <x:v>110</x:v>
      </x:c>
      <x:c r="C39" s="247" t="str">
        <x:f t="shared" si="1"/>
        <x:v>C_EliminarCuenta</x:v>
      </x:c>
      <x:c r="D39" s="259" t="s">
        <x:v>319</x:v>
      </x:c>
      <x:c r="E39" s="247" t="s">
        <x:v>320</x:v>
      </x:c>
      <x:c r="F39" s="250" t="s">
        <x:v>321</x:v>
      </x:c>
      <x:c r="G39" s="248" t="s">
        <x:v>322</x:v>
      </x:c>
    </x:row>
    <x:row r="40" ht="45.900001525878906" customHeight="1">
      <x:c r="A40" s="246">
        <x:v>32</x:v>
      </x:c>
      <x:c r="B40" s="246" t="s">
        <x:v>110</x:v>
      </x:c>
      <x:c r="C40" s="247" t="str">
        <x:f t="shared" si="1"/>
        <x:v>E_CorreoPendiente</x:v>
      </x:c>
      <x:c r="D40" s="259" t="s">
        <x:v>323</x:v>
      </x:c>
      <x:c r="E40" s="247" t="s">
        <x:v>274</x:v>
      </x:c>
      <x:c r="F40" s="250" t="s">
        <x:v>324</x:v>
      </x:c>
      <x:c r="G40" s="248" t="s">
        <x:v>325</x:v>
      </x:c>
    </x:row>
    <x:row r="41" ht="45.900001525878906" customHeight="1">
      <x:c r="A41" s="253">
        <x:v>33</x:v>
      </x:c>
      <x:c r="B41" s="253" t="s">
        <x:v>110</x:v>
      </x:c>
      <x:c r="C41" s="251" t="s">
        <x:v>274</x:v>
      </x:c>
      <x:c r="D41" s="253" t="s">
        <x:v>12</x:v>
      </x:c>
      <x:c r="E41" s="251" t="s">
        <x:v>326</x:v>
      </x:c>
      <x:c r="F41" s="254" t="s">
        <x:v>327</x:v>
      </x:c>
      <x:c r="G41" s="251" t="s">
        <x:v>328</x:v>
      </x:c>
    </x:row>
    <x:row r="42" ht="45.900001525878906" customHeight="1">
      <x:c r="A42" s="253">
        <x:v>34</x:v>
      </x:c>
      <x:c r="B42" s="253" t="s">
        <x:v>110</x:v>
      </x:c>
      <x:c r="C42" s="251" t="s">
        <x:v>326</x:v>
      </x:c>
      <x:c r="D42" s="253" t="s">
        <x:v>12</x:v>
      </x:c>
      <x:c r="E42" s="251" t="s">
        <x:v>11</x:v>
      </x:c>
      <x:c r="F42" s="254" t="s">
        <x:v>329</x:v>
      </x:c>
      <x:c r="G42" s="251" t="s">
        <x:v>330</x:v>
      </x:c>
    </x:row>
    <x:row r="43" ht="45.900001525878906" customHeight="1">
      <x:c r="A43" s="253">
        <x:v>35</x:v>
      </x:c>
      <x:c r="B43" s="253" t="s">
        <x:v>110</x:v>
      </x:c>
      <x:c r="C43" s="251" t="s">
        <x:v>11</x:v>
      </x:c>
      <x:c r="D43" s="253" t="s">
        <x:v>12</x:v>
      </x:c>
      <x:c r="E43" s="251" t="s">
        <x:v>326</x:v>
      </x:c>
      <x:c r="F43" s="254" t="s">
        <x:v>331</x:v>
      </x:c>
      <x:c r="G43" s="251" t="s">
        <x:v>332</x:v>
      </x:c>
    </x:row>
    <x:row r="44" ht="45.900001525878906" customHeight="1">
      <x:c r="A44" s="253">
        <x:v>36</x:v>
      </x:c>
      <x:c r="B44" s="253" t="s">
        <x:v>110</x:v>
      </x:c>
      <x:c r="C44" s="251" t="s">
        <x:v>326</x:v>
      </x:c>
      <x:c r="D44" s="253" t="s">
        <x:v>12</x:v>
      </x:c>
      <x:c r="E44" s="251" t="s">
        <x:v>274</x:v>
      </x:c>
      <x:c r="F44" s="254" t="s">
        <x:v>333</x:v>
      </x:c>
      <x:c r="G44" s="251" t="s">
        <x:v>334</x:v>
      </x:c>
    </x:row>
    <x:row r="45" ht="45.900001525878906" customHeight="1">
      <x:c r="A45" s="253">
        <x:v>37</x:v>
      </x:c>
      <x:c r="B45" s="253" t="s">
        <x:v>110</x:v>
      </x:c>
      <x:c r="C45" s="251" t="s">
        <x:v>274</x:v>
      </x:c>
      <x:c r="D45" s="253" t="s">
        <x:v>12</x:v>
      </x:c>
      <x:c r="E45" s="251" t="s">
        <x:v>71</x:v>
      </x:c>
      <x:c r="F45" s="254" t="s">
        <x:v>335</x:v>
      </x:c>
      <x:c r="G45" s="251" t="s">
        <x:v>336</x:v>
      </x:c>
    </x:row>
    <x:row r="46" ht="45.900001525878906" customHeight="1">
      <x:c r="A46" s="253">
        <x:v>38</x:v>
      </x:c>
      <x:c r="B46" s="253" t="s">
        <x:v>110</x:v>
      </x:c>
      <x:c r="C46" s="251" t="s">
        <x:v>71</x:v>
      </x:c>
      <x:c r="D46" s="253" t="s">
        <x:v>53</x:v>
      </x:c>
      <x:c r="E46" s="251" t="s">
        <x:v>274</x:v>
      </x:c>
      <x:c r="F46" s="254" t="s">
        <x:v>337</x:v>
      </x:c>
      <x:c r="G46" s="251" t="s">
        <x:v>338</x:v>
      </x:c>
    </x:row>
    <x:row r="47" ht="45.900001525878906" customHeight="1">
      <x:c r="A47" s="253">
        <x:v>39</x:v>
      </x:c>
      <x:c r="B47" s="253" t="s">
        <x:v>110</x:v>
      </x:c>
      <x:c r="C47" s="251" t="s">
        <x:v>274</x:v>
      </x:c>
      <x:c r="D47" s="253" t="s">
        <x:v>19</x:v>
      </x:c>
      <x:c r="E47" s="251" t="s">
        <x:v>274</x:v>
      </x:c>
      <x:c r="F47" s="254" t="s">
        <x:v>339</x:v>
      </x:c>
      <x:c r="G47" s="251" t="s">
        <x:v>340</x:v>
      </x:c>
    </x:row>
    <x:row r="48" ht="45.900001525878906" customHeight="1">
      <x:c r="A48" s="253">
        <x:v>40</x:v>
      </x:c>
      <x:c r="B48" s="253" t="s">
        <x:v>110</x:v>
      </x:c>
      <x:c r="C48" s="251" t="s">
        <x:v>274</x:v>
      </x:c>
      <x:c r="D48" s="253" t="s">
        <x:v>12</x:v>
      </x:c>
      <x:c r="E48" s="251" t="s">
        <x:v>71</x:v>
      </x:c>
      <x:c r="F48" s="254" t="s">
        <x:v>341</x:v>
      </x:c>
      <x:c r="G48" s="251" t="s">
        <x:v>342</x:v>
      </x:c>
    </x:row>
    <x:row r="49" ht="27.899999618530273" customHeight="1">
      <x:c r="A49" s="375">
        <x:v>41</x:v>
      </x:c>
      <x:c r="B49" s="375" t="s">
        <x:v>110</x:v>
      </x:c>
      <x:c r="C49" s="375" t="s">
        <x:v>71</x:v>
      </x:c>
      <x:c r="D49" s="375" t="s">
        <x:v>53</x:v>
      </x:c>
      <x:c r="E49" s="375" t="s">
        <x:v>274</x:v>
      </x:c>
      <x:c r="F49" s="375" t="s">
        <x:v>343</x:v>
      </x:c>
      <x:c r="G49" s="375" t="s">
        <x:v>344</x:v>
      </x:c>
    </x:row>
    <x:row r="50" ht="45.900001525878906" customHeight="1">
      <x:c r="A50" s="253" t="s">
        <x:v>345</x:v>
      </x:c>
      <x:c r="B50" s="253"/>
      <x:c r="C50" s="251"/>
      <x:c r="D50" s="253"/>
      <x:c r="E50" s="251"/>
      <x:c r="F50" s="254"/>
      <x:c r="G50" s="251"/>
    </x:row>
    <x:row r="51" ht="45.900001525878906" customHeight="1">
      <x:c r="A51" s="253">
        <x:v>42</x:v>
      </x:c>
      <x:c r="B51" s="253" t="s">
        <x:v>143</x:v>
      </x:c>
      <x:c r="C51" s="251" t="s">
        <x:v>274</x:v>
      </x:c>
      <x:c r="D51" s="253" t="s">
        <x:v>12</x:v>
      </x:c>
      <x:c r="E51" s="251" t="s">
        <x:v>156</x:v>
      </x:c>
      <x:c r="F51" s="254" t="s">
        <x:v>346</x:v>
      </x:c>
      <x:c r="G51" s="251" t="s">
        <x:v>347</x:v>
      </x:c>
    </x:row>
    <x:row r="52" ht="45.900001525878906" customHeight="1">
      <x:c r="A52" s="253">
        <x:v>43</x:v>
      </x:c>
      <x:c r="B52" s="253" t="s">
        <x:v>143</x:v>
      </x:c>
      <x:c r="C52" s="251" t="s">
        <x:v>156</x:v>
      </x:c>
      <x:c r="D52" s="253" t="s">
        <x:v>12</x:v>
      </x:c>
      <x:c r="E52" s="251" t="s">
        <x:v>11</x:v>
      </x:c>
      <x:c r="F52" s="254" t="s">
        <x:v>348</x:v>
      </x:c>
      <x:c r="G52" s="251" t="s">
        <x:v>349</x:v>
      </x:c>
    </x:row>
    <x:row r="53" ht="45.900001525878906" customHeight="1">
      <x:c r="A53" s="253">
        <x:v>44</x:v>
      </x:c>
      <x:c r="B53" s="253" t="s">
        <x:v>143</x:v>
      </x:c>
      <x:c r="C53" s="251" t="s">
        <x:v>11</x:v>
      </x:c>
      <x:c r="D53" s="253" t="s">
        <x:v>12</x:v>
      </x:c>
      <x:c r="E53" s="251" t="s">
        <x:v>156</x:v>
      </x:c>
      <x:c r="F53" s="254" t="s">
        <x:v>350</x:v>
      </x:c>
      <x:c r="G53" s="251" t="s">
        <x:v>351</x:v>
      </x:c>
    </x:row>
    <x:row r="54" ht="45.900001525878906" customHeight="1">
      <x:c r="A54" s="253">
        <x:v>45</x:v>
      </x:c>
      <x:c r="B54" s="253" t="s">
        <x:v>143</x:v>
      </x:c>
      <x:c r="C54" s="251" t="s">
        <x:v>156</x:v>
      </x:c>
      <x:c r="D54" s="253" t="s">
        <x:v>12</x:v>
      </x:c>
      <x:c r="E54" s="251" t="s">
        <x:v>274</x:v>
      </x:c>
      <x:c r="F54" s="254" t="s">
        <x:v>352</x:v>
      </x:c>
      <x:c r="G54" s="251" t="s">
        <x:v>353</x:v>
      </x:c>
    </x:row>
    <x:row r="55" ht="45.900001525878906" customHeight="1">
      <x:c r="A55" s="253">
        <x:v>46</x:v>
      </x:c>
      <x:c r="B55" s="253" t="s">
        <x:v>143</x:v>
      </x:c>
      <x:c r="C55" s="251" t="s">
        <x:v>274</x:v>
      </x:c>
      <x:c r="D55" s="253" t="s">
        <x:v>19</x:v>
      </x:c>
      <x:c r="E55" s="251" t="s">
        <x:v>274</x:v>
      </x:c>
      <x:c r="F55" s="254" t="s">
        <x:v>354</x:v>
      </x:c>
      <x:c r="G55" s="251" t="s">
        <x:v>355</x:v>
      </x:c>
    </x:row>
    <x:row r="56" ht="27.899999618530273" customHeight="1">
      <x:c r="A56" s="375">
        <x:v>47</x:v>
      </x:c>
      <x:c r="B56" s="375" t="s">
        <x:v>143</x:v>
      </x:c>
      <x:c r="C56" s="375" t="s">
        <x:v>274</x:v>
      </x:c>
      <x:c r="D56" s="375" t="s">
        <x:v>12</x:v>
      </x:c>
      <x:c r="E56" s="375" t="s">
        <x:v>50</x:v>
      </x:c>
      <x:c r="F56" s="375" t="s">
        <x:v>356</x:v>
      </x:c>
      <x:c r="G56" s="375" t="s">
        <x:v>357</x:v>
      </x:c>
    </x:row>
    <x:row r="57" ht="45.900001525878906" customHeight="1">
      <x:c r="A57" s="253" t="s">
        <x:v>358</x:v>
      </x:c>
      <x:c r="B57" s="253"/>
      <x:c r="C57" s="251"/>
      <x:c r="D57" s="253"/>
      <x:c r="E57" s="251"/>
      <x:c r="F57" s="254"/>
      <x:c r="G57" s="251"/>
    </x:row>
    <x:row r="58" ht="45.900001525878906" customHeight="1">
      <x:c r="A58" s="253">
        <x:v>48</x:v>
      </x:c>
      <x:c r="B58" s="253" t="s">
        <x:v>155</x:v>
      </x:c>
      <x:c r="C58" s="251" t="s">
        <x:v>50</x:v>
      </x:c>
      <x:c r="D58" s="253" t="s">
        <x:v>53</x:v>
      </x:c>
      <x:c r="E58" s="251" t="s">
        <x:v>274</x:v>
      </x:c>
      <x:c r="F58" s="254" t="s">
        <x:v>359</x:v>
      </x:c>
      <x:c r="G58" s="251" t="s">
        <x:v>360</x:v>
      </x:c>
    </x:row>
    <x:row r="59" ht="45.900001525878906" customHeight="1">
      <x:c r="A59" s="253">
        <x:v>49</x:v>
      </x:c>
      <x:c r="B59" s="253" t="s">
        <x:v>155</x:v>
      </x:c>
      <x:c r="C59" s="251" t="s">
        <x:v>274</x:v>
      </x:c>
      <x:c r="D59" s="253" t="s">
        <x:v>319</x:v>
      </x:c>
      <x:c r="E59" s="251" t="s">
        <x:v>361</x:v>
      </x:c>
      <x:c r="F59" s="254" t="s">
        <x:v>362</x:v>
      </x:c>
      <x:c r="G59" s="251" t="s">
        <x:v>363</x:v>
      </x:c>
    </x:row>
    <x:row r="60" ht="45.900001525878906" customHeight="1">
      <x:c r="A60" s="253">
        <x:v>50</x:v>
      </x:c>
      <x:c r="B60" s="253" t="s">
        <x:v>155</x:v>
      </x:c>
      <x:c r="C60" s="251" t="s">
        <x:v>361</x:v>
      </x:c>
      <x:c r="D60" s="253" t="s">
        <x:v>323</x:v>
      </x:c>
      <x:c r="E60" s="251" t="s">
        <x:v>274</x:v>
      </x:c>
      <x:c r="F60" s="254" t="s">
        <x:v>364</x:v>
      </x:c>
      <x:c r="G60" s="251" t="s">
        <x:v>365</x:v>
      </x:c>
    </x:row>
    <x:row r="61" ht="45.900001525878906" customHeight="1">
      <x:c r="A61" s="253">
        <x:v>51</x:v>
      </x:c>
      <x:c r="B61" s="253" t="s">
        <x:v>155</x:v>
      </x:c>
      <x:c r="C61" s="251" t="s">
        <x:v>274</x:v>
      </x:c>
      <x:c r="D61" s="253" t="s">
        <x:v>12</x:v>
      </x:c>
      <x:c r="E61" s="251" t="s">
        <x:v>366</x:v>
      </x:c>
      <x:c r="F61" s="254" t="s">
        <x:v>367</x:v>
      </x:c>
      <x:c r="G61" s="251" t="s">
        <x:v>368</x:v>
      </x:c>
    </x:row>
    <x:row r="62" ht="45.900001525878906" customHeight="1">
      <x:c r="A62" s="253">
        <x:v>52</x:v>
      </x:c>
      <x:c r="B62" s="253" t="s">
        <x:v>155</x:v>
      </x:c>
      <x:c r="C62" s="251" t="s">
        <x:v>366</x:v>
      </x:c>
      <x:c r="D62" s="253" t="s">
        <x:v>19</x:v>
      </x:c>
      <x:c r="E62" s="251" t="s">
        <x:v>366</x:v>
      </x:c>
      <x:c r="F62" s="254" t="s">
        <x:v>369</x:v>
      </x:c>
      <x:c r="G62" s="251" t="s">
        <x:v>370</x:v>
      </x:c>
    </x:row>
    <x:row r="63" ht="45.900001525878906" customHeight="1">
      <x:c r="A63" s="253">
        <x:v>53</x:v>
      </x:c>
      <x:c r="B63" s="253" t="s">
        <x:v>155</x:v>
      </x:c>
      <x:c r="C63" s="251" t="s">
        <x:v>366</x:v>
      </x:c>
      <x:c r="D63" s="253" t="s">
        <x:v>53</x:v>
      </x:c>
      <x:c r="E63" s="251" t="s">
        <x:v>274</x:v>
      </x:c>
      <x:c r="F63" s="254" t="s">
        <x:v>371</x:v>
      </x:c>
      <x:c r="G63" s="251" t="s">
        <x:v>372</x:v>
      </x:c>
    </x:row>
    <x:row r="64" ht="45.900001525878906" customHeight="1">
      <x:c r="A64" s="253">
        <x:v>54</x:v>
      </x:c>
      <x:c r="B64" s="253" t="s">
        <x:v>155</x:v>
      </x:c>
      <x:c r="C64" s="251" t="s">
        <x:v>274</x:v>
      </x:c>
      <x:c r="D64" s="253" t="s">
        <x:v>12</x:v>
      </x:c>
      <x:c r="E64" s="251" t="s">
        <x:v>373</x:v>
      </x:c>
      <x:c r="F64" s="254" t="s">
        <x:v>374</x:v>
      </x:c>
      <x:c r="G64" s="251" t="s">
        <x:v>375</x:v>
      </x:c>
    </x:row>
    <x:row r="65" ht="45.900001525878906" customHeight="1">
      <x:c r="A65" s="253">
        <x:v>55</x:v>
      </x:c>
      <x:c r="B65" s="253" t="s">
        <x:v>155</x:v>
      </x:c>
      <x:c r="C65" s="251" t="s">
        <x:v>373</x:v>
      </x:c>
      <x:c r="D65" s="253" t="s">
        <x:v>19</x:v>
      </x:c>
      <x:c r="E65" s="251" t="s">
        <x:v>373</x:v>
      </x:c>
      <x:c r="F65" s="254" t="s">
        <x:v>376</x:v>
      </x:c>
      <x:c r="G65" s="251" t="s">
        <x:v>377</x:v>
      </x:c>
    </x:row>
    <x:row r="66" ht="45.900001525878906" customHeight="1">
      <x:c r="A66" s="253">
        <x:v>56</x:v>
      </x:c>
      <x:c r="B66" s="253" t="s">
        <x:v>155</x:v>
      </x:c>
      <x:c r="C66" s="251" t="s">
        <x:v>373</x:v>
      </x:c>
      <x:c r="D66" s="253" t="s">
        <x:v>53</x:v>
      </x:c>
      <x:c r="E66" s="251" t="s">
        <x:v>274</x:v>
      </x:c>
      <x:c r="F66" s="254" t="s">
        <x:v>378</x:v>
      </x:c>
      <x:c r="G66" s="251" t="s">
        <x:v>379</x:v>
      </x:c>
    </x:row>
    <x:row r="67" ht="45.900001525878906" customHeight="1">
      <x:c r="A67" s="253">
        <x:v>57</x:v>
      </x:c>
      <x:c r="B67" s="253" t="s">
        <x:v>155</x:v>
      </x:c>
      <x:c r="C67" s="251" t="s">
        <x:v>274</x:v>
      </x:c>
      <x:c r="D67" s="253" t="s">
        <x:v>12</x:v>
      </x:c>
      <x:c r="E67" s="251" t="s">
        <x:v>380</x:v>
      </x:c>
      <x:c r="F67" s="254" t="s">
        <x:v>381</x:v>
      </x:c>
      <x:c r="G67" s="251" t="s">
        <x:v>382</x:v>
      </x:c>
    </x:row>
    <x:row r="68" ht="45.900001525878906" customHeight="1">
      <x:c r="A68" s="253">
        <x:v>58</x:v>
      </x:c>
      <x:c r="B68" s="253" t="s">
        <x:v>155</x:v>
      </x:c>
      <x:c r="C68" s="251" t="s">
        <x:v>380</x:v>
      </x:c>
      <x:c r="D68" s="253" t="s">
        <x:v>19</x:v>
      </x:c>
      <x:c r="E68" s="251" t="s">
        <x:v>380</x:v>
      </x:c>
      <x:c r="F68" s="254" t="s">
        <x:v>383</x:v>
      </x:c>
      <x:c r="G68" s="251" t="s">
        <x:v>384</x:v>
      </x:c>
    </x:row>
    <x:row r="69" ht="45.900001525878906" customHeight="1">
      <x:c r="A69" s="253">
        <x:v>59</x:v>
      </x:c>
      <x:c r="B69" s="253" t="s">
        <x:v>155</x:v>
      </x:c>
      <x:c r="C69" s="251" t="s">
        <x:v>380</x:v>
      </x:c>
      <x:c r="D69" s="253" t="s">
        <x:v>53</x:v>
      </x:c>
      <x:c r="E69" s="251" t="s">
        <x:v>274</x:v>
      </x:c>
      <x:c r="F69" s="254" t="s">
        <x:v>385</x:v>
      </x:c>
      <x:c r="G69" s="251" t="s">
        <x:v>386</x:v>
      </x:c>
    </x:row>
    <x:row r="70" ht="45.900001525878906" customHeight="1">
      <x:c r="A70" s="253">
        <x:v>60</x:v>
      </x:c>
      <x:c r="B70" s="253" t="s">
        <x:v>155</x:v>
      </x:c>
      <x:c r="C70" s="251" t="s">
        <x:v>274</x:v>
      </x:c>
      <x:c r="D70" s="253" t="s">
        <x:v>12</x:v>
      </x:c>
      <x:c r="E70" s="251" t="s">
        <x:v>387</x:v>
      </x:c>
      <x:c r="F70" s="254" t="s">
        <x:v>388</x:v>
      </x:c>
      <x:c r="G70" s="251" t="s">
        <x:v>389</x:v>
      </x:c>
    </x:row>
    <x:row r="71" ht="27.899999618530273" customHeight="1">
      <x:c r="A71" s="375">
        <x:v>61</x:v>
      </x:c>
      <x:c r="B71" s="375" t="s">
        <x:v>155</x:v>
      </x:c>
      <x:c r="C71" s="375" t="s">
        <x:v>387</x:v>
      </x:c>
      <x:c r="D71" s="375" t="s">
        <x:v>53</x:v>
      </x:c>
      <x:c r="E71" s="375" t="s">
        <x:v>274</x:v>
      </x:c>
      <x:c r="F71" s="375" t="s">
        <x:v>390</x:v>
      </x:c>
      <x:c r="G71" s="375" t="s">
        <x:v>391</x:v>
      </x:c>
    </x:row>
    <x:row r="72" ht="45.900001525878906" customHeight="1">
      <x:c r="A72" s="253">
        <x:v>62</x:v>
      </x:c>
      <x:c r="B72" s="253" t="s">
        <x:v>155</x:v>
      </x:c>
      <x:c r="C72" s="251" t="s">
        <x:v>274</x:v>
      </x:c>
      <x:c r="D72" s="253" t="s">
        <x:v>12</x:v>
      </x:c>
      <x:c r="E72" s="251" t="s">
        <x:v>387</x:v>
      </x:c>
      <x:c r="F72" s="254" t="s">
        <x:v>392</x:v>
      </x:c>
      <x:c r="G72" s="251" t="s">
        <x:v>393</x:v>
      </x:c>
    </x:row>
    <x:row r="73" ht="45.900001525878906" customHeight="1">
      <x:c r="A73" s="253">
        <x:v>63</x:v>
      </x:c>
      <x:c r="B73" s="253" t="s">
        <x:v>155</x:v>
      </x:c>
      <x:c r="C73" s="251" t="s">
        <x:v>387</x:v>
      </x:c>
      <x:c r="D73" s="253" t="s">
        <x:v>53</x:v>
      </x:c>
      <x:c r="E73" s="251" t="s">
        <x:v>274</x:v>
      </x:c>
      <x:c r="F73" s="254" t="s">
        <x:v>394</x:v>
      </x:c>
      <x:c r="G73" s="251" t="s">
        <x:v>395</x:v>
      </x:c>
    </x:row>
    <x:row r="74" ht="45.900001525878906" customHeight="1">
      <x:c r="A74" s="253" t="s">
        <x:v>396</x:v>
      </x:c>
      <x:c r="B74" s="253"/>
      <x:c r="C74" s="251"/>
      <x:c r="D74" s="253"/>
      <x:c r="E74" s="251"/>
      <x:c r="F74" s="254"/>
      <x:c r="G74" s="251"/>
    </x:row>
    <x:row r="75" ht="45.900001525878906" customHeight="1">
      <x:c r="A75" s="253">
        <x:v>64</x:v>
      </x:c>
      <x:c r="B75" s="253" t="s">
        <x:v>397</x:v>
      </x:c>
      <x:c r="C75" s="251" t="s">
        <x:v>274</x:v>
      </x:c>
      <x:c r="D75" s="253" t="s">
        <x:v>19</x:v>
      </x:c>
      <x:c r="E75" s="251" t="s">
        <x:v>274</x:v>
      </x:c>
      <x:c r="F75" s="254" t="s">
        <x:v>398</x:v>
      </x:c>
      <x:c r="G75" s="251" t="s">
        <x:v>399</x:v>
      </x:c>
    </x:row>
    <x:row r="76" ht="45.900001525878906" customHeight="1">
      <x:c r="A76" s="253">
        <x:v>65</x:v>
      </x:c>
      <x:c r="B76" s="253" t="s">
        <x:v>397</x:v>
      </x:c>
      <x:c r="C76" s="251" t="s">
        <x:v>274</x:v>
      </x:c>
      <x:c r="D76" s="253" t="s">
        <x:v>319</x:v>
      </x:c>
      <x:c r="E76" s="251" t="s">
        <x:v>320</x:v>
      </x:c>
      <x:c r="F76" s="254" t="s">
        <x:v>400</x:v>
      </x:c>
      <x:c r="G76" s="251" t="s">
        <x:v>401</x:v>
      </x:c>
    </x:row>
    <x:row r="77" ht="45.900001525878906" customHeight="1">
      <x:c r="A77" s="253">
        <x:v>66</x:v>
      </x:c>
      <x:c r="B77" s="253" t="s">
        <x:v>397</x:v>
      </x:c>
      <x:c r="C77" s="251" t="s">
        <x:v>320</x:v>
      </x:c>
      <x:c r="D77" s="253" t="s">
        <x:v>323</x:v>
      </x:c>
      <x:c r="E77" s="251" t="s">
        <x:v>274</x:v>
      </x:c>
      <x:c r="F77" s="254" t="s">
        <x:v>402</x:v>
      </x:c>
      <x:c r="G77" s="251" t="s">
        <x:v>403</x:v>
      </x:c>
    </x:row>
    <x:row r="78">
      <x:c r="A78">
        <x:v>67</x:v>
      </x:c>
      <x:c r="B78" t="s">
        <x:v>397</x:v>
      </x:c>
      <x:c r="C78" t="s">
        <x:v>274</x:v>
      </x:c>
      <x:c r="D78" t="s">
        <x:v>404</x:v>
      </x:c>
      <x:c r="E78" t="s">
        <x:v>274</x:v>
      </x:c>
      <x:c r="F78" t="s">
        <x:v>405</x:v>
      </x:c>
      <x:c r="G78" t="s">
        <x:v>406</x:v>
      </x:c>
    </x:row>
    <x:row r="79">
      <x:c r="A79">
        <x:v>68</x:v>
      </x:c>
      <x:c r="B79" t="s">
        <x:v>397</x:v>
      </x:c>
      <x:c r="C79" t="s">
        <x:v>274</x:v>
      </x:c>
      <x:c r="D79" t="s">
        <x:v>19</x:v>
      </x:c>
      <x:c r="E79" t="s">
        <x:v>274</x:v>
      </x:c>
      <x:c r="F79" t="s">
        <x:v>407</x:v>
      </x:c>
      <x:c r="G79" t="s">
        <x:v>408</x:v>
      </x:c>
    </x:row>
    <x:row r="80">
      <x:c r="A80">
        <x:v>69</x:v>
      </x:c>
      <x:c r="B80" t="s">
        <x:v>397</x:v>
      </x:c>
      <x:c r="C80" t="s">
        <x:v>274</x:v>
      </x:c>
      <x:c r="D80" t="s">
        <x:v>19</x:v>
      </x:c>
      <x:c r="E80" t="s">
        <x:v>274</x:v>
      </x:c>
      <x:c r="F80" t="s">
        <x:v>409</x:v>
      </x:c>
      <x:c r="G80" t="s">
        <x:v>410</x:v>
      </x:c>
    </x:row>
    <x:row r="81">
      <x:c r="A81">
        <x:v>70</x:v>
      </x:c>
      <x:c r="B81" t="s">
        <x:v>397</x:v>
      </x:c>
      <x:c r="C81" t="s">
        <x:v>274</x:v>
      </x:c>
      <x:c r="D81" t="s">
        <x:v>12</x:v>
      </x:c>
      <x:c r="E81" t="s">
        <x:v>156</x:v>
      </x:c>
      <x:c r="F81" t="s">
        <x:v>411</x:v>
      </x:c>
      <x:c r="G81" t="s">
        <x:v>412</x:v>
      </x:c>
    </x:row>
    <x:row r="82">
      <x:c r="A82">
        <x:v>71</x:v>
      </x:c>
      <x:c r="B82" t="s">
        <x:v>397</x:v>
      </x:c>
      <x:c r="C82" t="s">
        <x:v>156</x:v>
      </x:c>
      <x:c r="D82" t="s">
        <x:v>12</x:v>
      </x:c>
      <x:c r="E82" t="s">
        <x:v>11</x:v>
      </x:c>
      <x:c r="F82" t="s">
        <x:v>413</x:v>
      </x:c>
      <x:c r="G82" t="s">
        <x:v>414</x:v>
      </x:c>
    </x:row>
  </x:sheetData>
  <x:mergeCells>
    <x:mergeCell ref="A26:G26"/>
    <x:mergeCell ref="A36:G36"/>
    <x:mergeCell ref="A49:G49"/>
    <x:mergeCell ref="A56:G56"/>
    <x:mergeCell ref="A71:G71"/>
    <x:mergeCell ref="A1:G1"/>
    <x:mergeCell ref="A2:G2"/>
    <x:mergeCell ref="A4:G4"/>
    <x:mergeCell ref="A13:G13"/>
    <x:mergeCell ref="A21:G21"/>
  </x:mergeCells>
  <x:dataValidations count="1">
    <x:dataValidation type="list" allowBlank="1" showInputMessage="1" showErrorMessage="1" sqref="D5:D12 D14:D17 D19:D22 D24:D27 D29:D38">
      <x:formula1>"───►  (llamada),↩  (auto-msg),◄ ─ ─  (return)"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9.109375" defaultRowHeight="13.800000190734863"/>
  <x:cols>
    <x:col min="1" max="1" width="5" style="159" hidden="0" customWidth="1"/>
    <x:col min="2" max="2" width="8" style="159" hidden="0" customWidth="1"/>
    <x:col min="3" max="3" width="26.44140625" style="158" hidden="0" customWidth="1"/>
    <x:col min="4" max="4" width="17.33203125" style="158" hidden="0" customWidth="1"/>
    <x:col min="5" max="5" width="25.88671875" style="158" hidden="0" customWidth="1"/>
    <x:col min="6" max="6" width="89.6640625" style="158" hidden="0" customWidth="1"/>
    <x:col min="7" max="7" width="90" style="158" hidden="0" customWidth="1"/>
    <x:col min="8" max="16384" width="9.109375" style="158" customWidth="0"/>
    <x:col min="8" max="8" width="17" hidden="0" customWidth="1"/>
    <x:col min="9" max="9" width="58" hidden="0" customWidth="1"/>
  </x:cols>
  <x:sheetData>
    <x:row r="1" ht="16.799999237060547" customHeight="1">
      <x:c r="A1" t="s">
        <x:v>415</x:v>
      </x:c>
      <x:c r="B1"/>
      <x:c r="C1"/>
      <x:c r="D1"/>
      <x:c r="E1"/>
      <x:c r="F1"/>
      <x:c r="G1"/>
      <x:c r="H1"/>
    </x:row>
    <x:row r="2" ht="14.399999618530273" customHeight="1">
      <x:c r="A2" t="s">
        <x:v>416</x:v>
      </x:c>
      <x:c r="B2"/>
      <x:c r="C2"/>
      <x:c r="D2"/>
      <x:c r="E2"/>
      <x:c r="F2"/>
      <x:c r="G2" t="str">
        <x:v> | ACUERDOS 25/10/26: sesión validada por Spring Boot; cuenta SUSPENDIDA bloquea operaciones protegidas; FREE asignado por RF01 en transacción sin trigger.</x:v>
      </x:c>
      <x:c r="H2"/>
    </x:row>
    <x:row r="3" s="159" customFormat="1" ht="14.399999618530273" customHeight="1">
      <x:c r="A3" t="s">
        <x:v>2</x:v>
      </x:c>
      <x:c r="B3" t="s">
        <x:v>3</x:v>
      </x:c>
      <x:c r="C3" t="s">
        <x:v>4</x:v>
      </x:c>
      <x:c r="D3" t="s">
        <x:v>5</x:v>
      </x:c>
      <x:c r="E3" t="s">
        <x:v>6</x:v>
      </x:c>
      <x:c r="F3" t="s">
        <x:v>7</x:v>
      </x:c>
      <x:c r="G3" t="s">
        <x:v>8</x:v>
      </x:c>
      <x:c r="H3" t="s">
        <x:v>417</x:v>
      </x:c>
      <x:c r="I3" t="str">
        <x:v>CONDICIÓN RF65 (NO MVP)</x:v>
      </x:c>
    </x:row>
    <x:row r="4" s="159" customFormat="1" ht="14.399999618530273" customHeight="1">
      <x:c r="A4" t="s">
        <x:v>418</x:v>
      </x:c>
      <x:c r="B4"/>
      <x:c r="C4"/>
      <x:c r="D4"/>
      <x:c r="E4"/>
      <x:c r="F4"/>
      <x:c r="G4"/>
      <x:c r="H4"/>
    </x:row>
    <x:row r="5" ht="14.399999618530273" customHeight="1">
      <x:c r="A5" t="n">
        <x:v>1</x:v>
      </x:c>
      <x:c r="B5" t="s">
        <x:v>10</x:v>
      </x:c>
      <x:c r="C5" t="s">
        <x:v>11</x:v>
      </x:c>
      <x:c r="D5" t="s">
        <x:v>319</x:v>
      </x:c>
      <x:c r="E5" t="s">
        <x:v>164</x:v>
      </x:c>
      <x:c r="F5" t="s">
        <x:v>419</x:v>
      </x:c>
      <x:c r="G5" t="s">
        <x:v>420</x:v>
      </x:c>
      <x:c r="H5" t="s">
        <x:v>421</x:v>
      </x:c>
      <x:c r="I5" s="1071" t="str">
        <x:v>RF65 POST-MVP · CONDICIONADO A APROBACIÓN. Registrar / cupo Free: si RF65 se aprueba, contar únicamente vehículos con estado_registro=VIGENTE, tanto ACTIVOS como INACTIVOS. Liberar placa/VIN exige migración de UNIQUE todavía NO aprobada. Sin aprobación no aplicar filtros ni cambios de BD por RF65.</x:v>
      </x:c>
    </x:row>
    <x:row r="6" ht="14.399999618530273" customHeight="1">
      <x:c r="A6" t="n">
        <x:v>2</x:v>
      </x:c>
      <x:c r="B6" t="s">
        <x:v>10</x:v>
      </x:c>
      <x:c r="C6" t="s">
        <x:v>164</x:v>
      </x:c>
      <x:c r="D6" t="s">
        <x:v>12</x:v>
      </x:c>
      <x:c r="E6" t="s">
        <x:v>167</x:v>
      </x:c>
      <x:c r="F6" t="s">
        <x:v>422</x:v>
      </x:c>
      <x:c r="G6" t="s">
        <x:v>423</x:v>
      </x:c>
      <x:c r="H6" t="s">
        <x:v>421</x:v>
      </x:c>
    </x:row>
    <x:row r="7" ht="14.399999618530273" customHeight="1">
      <x:c r="A7" t="n">
        <x:v>3</x:v>
      </x:c>
      <x:c r="B7" t="s">
        <x:v>10</x:v>
      </x:c>
      <x:c r="C7" t="s">
        <x:v>167</x:v>
      </x:c>
      <x:c r="D7" t="s">
        <x:v>12</x:v>
      </x:c>
      <x:c r="E7" t="s">
        <x:v>424</x:v>
      </x:c>
      <x:c r="F7" t="s">
        <x:v>425</x:v>
      </x:c>
      <x:c r="G7" t="s">
        <x:v>426</x:v>
      </x:c>
      <x:c r="H7" t="s">
        <x:v>421</x:v>
      </x:c>
    </x:row>
    <x:row r="8" ht="14.399999618530273" customHeight="1">
      <x:c r="A8" t="n">
        <x:v>4</x:v>
      </x:c>
      <x:c r="B8" t="s">
        <x:v>10</x:v>
      </x:c>
      <x:c r="C8" t="s">
        <x:v>424</x:v>
      </x:c>
      <x:c r="D8" t="s">
        <x:v>319</x:v>
      </x:c>
      <x:c r="E8" t="s">
        <x:v>11</x:v>
      </x:c>
      <x:c r="F8" t="s">
        <x:v>427</x:v>
      </x:c>
      <x:c r="G8" t="s">
        <x:v>428</x:v>
      </x:c>
      <x:c r="H8" t="s">
        <x:v>421</x:v>
      </x:c>
    </x:row>
    <x:row r="9" ht="14.399999618530273" customHeight="1">
      <x:c r="A9" t="n">
        <x:v>5</x:v>
      </x:c>
      <x:c r="B9" t="s">
        <x:v>10</x:v>
      </x:c>
      <x:c r="C9" t="s">
        <x:v>11</x:v>
      </x:c>
      <x:c r="D9" t="s">
        <x:v>319</x:v>
      </x:c>
      <x:c r="E9" t="s">
        <x:v>424</x:v>
      </x:c>
      <x:c r="F9" t="s">
        <x:v>429</x:v>
      </x:c>
      <x:c r="G9" t="s">
        <x:v>430</x:v>
      </x:c>
      <x:c r="H9" t="s">
        <x:v>421</x:v>
      </x:c>
    </x:row>
    <x:row r="10" ht="14.399999618530273" customHeight="1">
      <x:c r="A10" t="n">
        <x:v>6</x:v>
      </x:c>
      <x:c r="B10" t="s">
        <x:v>10</x:v>
      </x:c>
      <x:c r="C10" t="s">
        <x:v>424</x:v>
      </x:c>
      <x:c r="D10" t="s">
        <x:v>12</x:v>
      </x:c>
      <x:c r="E10" t="s">
        <x:v>431</x:v>
      </x:c>
      <x:c r="F10" t="s">
        <x:v>432</x:v>
      </x:c>
      <x:c r="G10" t="s">
        <x:v>433</x:v>
      </x:c>
      <x:c r="H10" t="s">
        <x:v>421</x:v>
      </x:c>
    </x:row>
    <x:row r="11" ht="27.600000381469727" customHeight="1">
      <x:c r="A11" t="n">
        <x:v>7</x:v>
      </x:c>
      <x:c r="B11" t="s">
        <x:v>10</x:v>
      </x:c>
      <x:c r="C11" t="s">
        <x:v>431</x:v>
      </x:c>
      <x:c r="D11" t="s">
        <x:v>12</x:v>
      </x:c>
      <x:c r="E11" t="s">
        <x:v>434</x:v>
      </x:c>
      <x:c r="F11" t="s">
        <x:v>435</x:v>
      </x:c>
      <x:c r="G11" t="str">
        <x:v>Consulta el plan efectivo FREE desde el servicio de planes, siempre para el usuario identificado por la sesión VALIDADA en Spring Boot. Cuenta nueva: RF01 ya creó suscripción FREE ACTIVA y preferencias en la misma transacción; no hay trigger de asignación. Premium no opera en el MVP.</x:v>
      </x:c>
      <x:c r="H11" t="s">
        <x:v>421</x:v>
      </x:c>
    </x:row>
    <x:row r="12" ht="14.399999618530273" customHeight="1">
      <x:c r="A12" t="n">
        <x:v>8</x:v>
      </x:c>
      <x:c r="B12" t="s">
        <x:v>10</x:v>
      </x:c>
      <x:c r="C12" t="s">
        <x:v>434</x:v>
      </x:c>
      <x:c r="D12" t="s">
        <x:v>12</x:v>
      </x:c>
      <x:c r="E12" t="s">
        <x:v>436</x:v>
      </x:c>
      <x:c r="F12" t="s">
        <x:v>437</x:v>
      </x:c>
      <x:c r="G12" t="str">
        <x:v>Consultar la suscripción FREE ACTIVA realmente persistida y el plan vigente; no inventar una asignación FREE por defecto si RF01 falló. RF01 es transaccional (usuario + suscripción + preferencias) y revierte todo si falla. No existe trigger de alta FREE aprobado.</x:v>
      </x:c>
      <x:c r="H12" t="s">
        <x:v>421</x:v>
      </x:c>
    </x:row>
    <x:row r="13" ht="14.399999618530273" customHeight="1">
      <x:c r="A13" t="n">
        <x:v>9</x:v>
      </x:c>
      <x:c r="B13" t="s">
        <x:v>10</x:v>
      </x:c>
      <x:c r="C13" t="s">
        <x:v>436</x:v>
      </x:c>
      <x:c r="D13" t="s">
        <x:v>53</x:v>
      </x:c>
      <x:c r="E13" t="s">
        <x:v>434</x:v>
      </x:c>
      <x:c r="F13" t="s">
        <x:v>438</x:v>
      </x:c>
      <x:c r="G13" t="str">
        <x:v>Plan efectivo del MVP: código técnico FREE, nombre visible Gratis, estado ACTIVA y fin_utc NULL. No se compra, activa ni simula Premium desde el MVP.</x:v>
      </x:c>
      <x:c r="H13" t="s">
        <x:v>421</x:v>
      </x:c>
    </x:row>
    <x:row r="14" ht="27" customHeight="1">
      <x:c r="A14" t="n">
        <x:v>10</x:v>
      </x:c>
      <x:c r="B14" t="s">
        <x:v>10</x:v>
      </x:c>
      <x:c r="C14" t="s">
        <x:v>434</x:v>
      </x:c>
      <x:c r="D14" t="s">
        <x:v>53</x:v>
      </x:c>
      <x:c r="E14" t="s">
        <x:v>431</x:v>
      </x:c>
      <x:c r="F14" t="s">
        <x:v>439</x:v>
      </x:c>
      <x:c r="G14" t="str">
        <x:v>Cupo consultable por backend: planEfectivo, maxVehiculosRegistrados, vehiculosRegistrados y puedeRegistrar. Esta validación previa permite abrir el formulario solo si hay cupo; no sustituye revalidación transaccional al guardar.</x:v>
      </x:c>
      <x:c r="H14" t="s">
        <x:v>421</x:v>
      </x:c>
    </x:row>
    <x:row r="15" ht="53.400001525878906" customHeight="1">
      <x:c r="A15" t="n">
        <x:v>11</x:v>
      </x:c>
      <x:c r="B15" t="s">
        <x:v>10</x:v>
      </x:c>
      <x:c r="C15" t="s">
        <x:v>431</x:v>
      </x:c>
      <x:c r="D15" t="s">
        <x:v>12</x:v>
      </x:c>
      <x:c r="E15" t="s">
        <x:v>440</x:v>
      </x:c>
      <x:c r="F15" t="s">
        <x:v>441</x:v>
      </x:c>
      <x:c r="G15" t="s">
        <x:v>442</x:v>
      </x:c>
      <x:c r="H15" t="s">
        <x:v>421</x:v>
      </x:c>
    </x:row>
    <x:row r="16" ht="14.399999618530273" customHeight="1">
      <x:c r="A16" t="n">
        <x:v>12</x:v>
      </x:c>
      <x:c r="B16" t="s">
        <x:v>10</x:v>
      </x:c>
      <x:c r="C16" t="s">
        <x:v>440</x:v>
      </x:c>
      <x:c r="D16" t="s">
        <x:v>53</x:v>
      </x:c>
      <x:c r="E16" t="s">
        <x:v>431</x:v>
      </x:c>
      <x:c r="F16" t="s">
        <x:v>443</x:v>
      </x:c>
      <x:c r="G16" t="s">
        <x:v>444</x:v>
      </x:c>
      <x:c r="H16" t="s">
        <x:v>421</x:v>
      </x:c>
    </x:row>
    <x:row r="17" ht="14.399999618530273" customHeight="1">
      <x:c r="A17" t="n">
        <x:v>13</x:v>
      </x:c>
      <x:c r="B17" t="s">
        <x:v>10</x:v>
      </x:c>
      <x:c r="C17" t="s">
        <x:v>431</x:v>
      </x:c>
      <x:c r="D17" t="s">
        <x:v>19</x:v>
      </x:c>
      <x:c r="E17" t="s">
        <x:v>431</x:v>
      </x:c>
      <x:c r="F17" t="s">
        <x:v>445</x:v>
      </x:c>
      <x:c r="G17" t="str">
        <x:v>FREE MVP: permitir registrar si y solo si el total de vehículos aún registrados del usuario (ACTIVOS + INACTIVOS) es CERO. Si ya existe uno, responder LIMITE_FREE sin abrir formulario; Premium es FUTURO. El backend obtiene identidad de la sesión.</x:v>
      </x:c>
      <x:c r="H17" t="s">
        <x:v>421</x:v>
      </x:c>
    </x:row>
    <x:row r="18" ht="14.399999618530273" customHeight="1">
      <x:c r="A18" t="n">
        <x:v>14</x:v>
      </x:c>
      <x:c r="B18" t="s">
        <x:v>10</x:v>
      </x:c>
      <x:c r="C18" t="s">
        <x:v>431</x:v>
      </x:c>
      <x:c r="D18" t="s">
        <x:v>12</x:v>
      </x:c>
      <x:c r="E18" t="s">
        <x:v>446</x:v>
      </x:c>
      <x:c r="F18" t="s">
        <x:v>447</x:v>
      </x:c>
      <x:c r="G18" t="s">
        <x:v>448</x:v>
      </x:c>
      <x:c r="H18" t="s">
        <x:v>421</x:v>
      </x:c>
    </x:row>
    <x:row r="19" ht="27.600000381469727">
      <x:c r="A19" t="n">
        <x:v>15</x:v>
      </x:c>
      <x:c r="B19" t="s">
        <x:v>10</x:v>
      </x:c>
      <x:c r="C19" t="s">
        <x:v>446</x:v>
      </x:c>
      <x:c r="D19" t="s">
        <x:v>319</x:v>
      </x:c>
      <x:c r="E19" t="s">
        <x:v>11</x:v>
      </x:c>
      <x:c r="F19" t="s">
        <x:v>449</x:v>
      </x:c>
      <x:c r="G19" t="s">
        <x:v>450</x:v>
      </x:c>
      <x:c r="H19" t="s">
        <x:v>421</x:v>
      </x:c>
    </x:row>
    <x:row r="20" ht="14.399999618530273" customHeight="1">
      <x:c r="A20" t="s">
        <x:v>451</x:v>
      </x:c>
      <x:c r="B20"/>
      <x:c r="C20"/>
      <x:c r="D20"/>
      <x:c r="E20"/>
      <x:c r="F20"/>
      <x:c r="G20"/>
      <x:c r="H20"/>
    </x:row>
    <x:row r="21" ht="103.19999694824219" customHeight="1">
      <x:c r="A21" t="n">
        <x:v>16</x:v>
      </x:c>
      <x:c r="B21" t="s">
        <x:v>33</x:v>
      </x:c>
      <x:c r="C21" t="s">
        <x:v>11</x:v>
      </x:c>
      <x:c r="D21" t="s">
        <x:v>319</x:v>
      </x:c>
      <x:c r="E21" t="s">
        <x:v>446</x:v>
      </x:c>
      <x:c r="F21" t="s">
        <x:v>452</x:v>
      </x:c>
      <x:c r="G21" t="s">
        <x:v>453</x:v>
      </x:c>
      <x:c r="H21" t="s">
        <x:v>421</x:v>
      </x:c>
    </x:row>
    <x:row r="22" ht="262.20001220703125">
      <x:c r="A22" t="n">
        <x:v>17</x:v>
      </x:c>
      <x:c r="B22" t="s">
        <x:v>33</x:v>
      </x:c>
      <x:c r="C22" t="s">
        <x:v>446</x:v>
      </x:c>
      <x:c r="D22" t="s">
        <x:v>12</x:v>
      </x:c>
      <x:c r="E22" t="s">
        <x:v>431</x:v>
      </x:c>
      <x:c r="F22" t="s">
        <x:v>454</x:v>
      </x:c>
      <x:c r="G22" t="s">
        <x:v>455</x:v>
      </x:c>
      <x:c r="H22" t="s">
        <x:v>421</x:v>
      </x:c>
    </x:row>
    <x:row r="23" s="157" customFormat="1" ht="14.399999618530273" customHeight="1">
      <x:c r="A23" t="n">
        <x:v>18</x:v>
      </x:c>
      <x:c r="B23" t="s">
        <x:v>33</x:v>
      </x:c>
      <x:c r="C23" t="s">
        <x:v>431</x:v>
      </x:c>
      <x:c r="D23" t="s">
        <x:v>12</x:v>
      </x:c>
      <x:c r="E23" t="s">
        <x:v>456</x:v>
      </x:c>
      <x:c r="F23" t="s">
        <x:v>457</x:v>
      </x:c>
      <x:c r="G23" t="s">
        <x:v>458</x:v>
      </x:c>
      <x:c r="H23" t="s">
        <x:v>421</x:v>
      </x:c>
    </x:row>
    <x:row r="24" ht="27.600000381469727">
      <x:c r="A24" t="n">
        <x:v>19</x:v>
      </x:c>
      <x:c r="B24" t="s">
        <x:v>33</x:v>
      </x:c>
      <x:c r="C24" t="s">
        <x:v>456</x:v>
      </x:c>
      <x:c r="D24" t="s">
        <x:v>19</x:v>
      </x:c>
      <x:c r="E24" t="s">
        <x:v>456</x:v>
      </x:c>
      <x:c r="F24" t="s">
        <x:v>459</x:v>
      </x:c>
      <x:c r="G24" t="s">
        <x:v>460</x:v>
      </x:c>
      <x:c r="H24" t="s">
        <x:v>421</x:v>
      </x:c>
    </x:row>
    <x:row r="25" ht="14.399999618530273" customHeight="1">
      <x:c r="A25" t="n">
        <x:v>20</x:v>
      </x:c>
      <x:c r="B25" t="s">
        <x:v>33</x:v>
      </x:c>
      <x:c r="C25" t="s">
        <x:v>456</x:v>
      </x:c>
      <x:c r="D25" t="s">
        <x:v>19</x:v>
      </x:c>
      <x:c r="E25" t="s">
        <x:v>456</x:v>
      </x:c>
      <x:c r="F25" t="s">
        <x:v>461</x:v>
      </x:c>
      <x:c r="G25" t="s">
        <x:v>462</x:v>
      </x:c>
      <x:c r="H25" t="s">
        <x:v>421</x:v>
      </x:c>
    </x:row>
    <x:row r="26" ht="14.399999618530273" customHeight="1">
      <x:c r="A26" t="n">
        <x:v>21</x:v>
      </x:c>
      <x:c r="B26" t="s">
        <x:v>33</x:v>
      </x:c>
      <x:c r="C26" t="s">
        <x:v>456</x:v>
      </x:c>
      <x:c r="D26" t="s">
        <x:v>19</x:v>
      </x:c>
      <x:c r="E26" t="s">
        <x:v>456</x:v>
      </x:c>
      <x:c r="F26" t="s">
        <x:v>463</x:v>
      </x:c>
      <x:c r="G26" t="s">
        <x:v>464</x:v>
      </x:c>
      <x:c r="H26" t="s">
        <x:v>421</x:v>
      </x:c>
    </x:row>
    <x:row r="27" ht="14.399999618530273" customHeight="1">
      <x:c r="A27" t="n">
        <x:v>22</x:v>
      </x:c>
      <x:c r="B27" t="s">
        <x:v>33</x:v>
      </x:c>
      <x:c r="C27" t="s">
        <x:v>456</x:v>
      </x:c>
      <x:c r="D27" t="s">
        <x:v>19</x:v>
      </x:c>
      <x:c r="E27" t="s">
        <x:v>456</x:v>
      </x:c>
      <x:c r="F27" t="s">
        <x:v>465</x:v>
      </x:c>
      <x:c r="G27" t="s">
        <x:v>466</x:v>
      </x:c>
      <x:c r="H27" t="s">
        <x:v>421</x:v>
      </x:c>
    </x:row>
    <x:row r="28" ht="96.5999984741211">
      <x:c r="A28" t="n">
        <x:v>23</x:v>
      </x:c>
      <x:c r="B28" t="s">
        <x:v>33</x:v>
      </x:c>
      <x:c r="C28" t="s">
        <x:v>456</x:v>
      </x:c>
      <x:c r="D28" t="s">
        <x:v>19</x:v>
      </x:c>
      <x:c r="E28" t="s">
        <x:v>456</x:v>
      </x:c>
      <x:c r="F28" t="s">
        <x:v>467</x:v>
      </x:c>
      <x:c r="G28" t="str">
        <x:v>El controlador valida las reglas condicionales del formulario:  
- marca, modelo y color deben estar ingresados como texto;
- si se selecciona “Otro” en tipo de motor, combustible o tipo de aceite, debe haberse ingresado su especificación;
- si el tipo de motor es eléctrico, número de motor, combustible y tipo de aceite no deben requerirse y deben quedar deshabilitados;
- si el tipo de motor no es eléctrico, combustible es obligatorio y tipo de aceite / número de motor se validan si fueron informados. VIN informado: 17 caracteres A–Z/0–9 sin I, O, Q ([A-HJ-NPR-Z0-9]{17}). Motor informado no eléctrico: 5–15, A–Z/0–9/guion/espacio simple ([A-Z0-9 -]{5,15}). Serie informada: mínimo 6 configurable, A–Z/0–9 ([A-Z0-9]{6,}). Coincidencia completa, sin convertir minúsculas ni recortar. Opcionales ausentes/NULL/vacíos se omiten. Error de formato → EA06.</x:v>
      </x:c>
      <x:c r="H28" t="s">
        <x:v>421</x:v>
      </x:c>
    </x:row>
    <x:row r="29" ht="14.399999618530273" customHeight="1">
      <x:c r="A29" t="n">
        <x:v>24</x:v>
      </x:c>
      <x:c r="B29" t="s">
        <x:v>33</x:v>
      </x:c>
      <x:c r="C29" t="s">
        <x:v>456</x:v>
      </x:c>
      <x:c r="D29" t="s">
        <x:v>53</x:v>
      </x:c>
      <x:c r="E29" t="s">
        <x:v>431</x:v>
      </x:c>
      <x:c r="F29" t="s">
        <x:v>468</x:v>
      </x:c>
      <x:c r="G29" t="str">
        <x:v>Devuelve true si todas las validaciones aplicables pasan; si no, lista de errores específicos por campo (longitud recibida, letras VIN prohibidas o caracteres inválidos). No persistir ante errores.</x:v>
      </x:c>
      <x:c r="H29" t="s">
        <x:v>421</x:v>
      </x:c>
    </x:row>
    <x:row r="30" ht="14.399999618530273" customHeight="1">
      <x:c r="A30" t="s">
        <x:v>469</x:v>
      </x:c>
      <x:c r="B30"/>
      <x:c r="C30"/>
      <x:c r="D30"/>
      <x:c r="E30"/>
      <x:c r="F30"/>
      <x:c r="G30"/>
      <x:c r="H30"/>
    </x:row>
    <x:row r="31" ht="27">
      <x:c r="A31" t="n">
        <x:v>25</x:v>
      </x:c>
      <x:c r="B31" t="s">
        <x:v>63</x:v>
      </x:c>
      <x:c r="C31" t="s">
        <x:v>431</x:v>
      </x:c>
      <x:c r="D31" t="s">
        <x:v>12</x:v>
      </x:c>
      <x:c r="E31" t="s">
        <x:v>470</x:v>
      </x:c>
      <x:c r="F31" t="s">
        <x:v>471</x:v>
      </x:c>
      <x:c r="G31" t="s">
        <x:v>472</x:v>
      </x:c>
      <x:c r="H31" t="s">
        <x:v>473</x:v>
      </x:c>
    </x:row>
    <x:row r="32" ht="27">
      <x:c r="A32" t="n">
        <x:v>26</x:v>
      </x:c>
      <x:c r="B32" t="s">
        <x:v>63</x:v>
      </x:c>
      <x:c r="C32" t="s">
        <x:v>470</x:v>
      </x:c>
      <x:c r="D32" t="s">
        <x:v>53</x:v>
      </x:c>
      <x:c r="E32" t="s">
        <x:v>431</x:v>
      </x:c>
      <x:c r="F32" t="s">
        <x:v>474</x:v>
      </x:c>
      <x:c r="G32" t="s">
        <x:v>475</x:v>
      </x:c>
      <x:c r="H32" t="s">
        <x:v>473</x:v>
      </x:c>
    </x:row>
    <x:row r="33" ht="14.399999618530273" customHeight="1">
      <x:c r="A33" t="n">
        <x:v>27</x:v>
      </x:c>
      <x:c r="B33" t="s">
        <x:v>63</x:v>
      </x:c>
      <x:c r="C33" t="s">
        <x:v>431</x:v>
      </x:c>
      <x:c r="D33" t="s">
        <x:v>12</x:v>
      </x:c>
      <x:c r="E33" t="s">
        <x:v>440</x:v>
      </x:c>
      <x:c r="F33" t="s">
        <x:v>476</x:v>
      </x:c>
      <x:c r="G33" t="s">
        <x:v>477</x:v>
      </x:c>
      <x:c r="H33" t="s">
        <x:v>421</x:v>
      </x:c>
    </x:row>
    <x:row r="34" ht="14.399999618530273" customHeight="1">
      <x:c r="A34" t="n">
        <x:v>28</x:v>
      </x:c>
      <x:c r="B34" t="s">
        <x:v>63</x:v>
      </x:c>
      <x:c r="C34" t="s">
        <x:v>440</x:v>
      </x:c>
      <x:c r="D34" t="s">
        <x:v>53</x:v>
      </x:c>
      <x:c r="E34" t="s">
        <x:v>431</x:v>
      </x:c>
      <x:c r="F34" t="s">
        <x:v>478</x:v>
      </x:c>
      <x:c r="G34" t="s">
        <x:v>479</x:v>
      </x:c>
      <x:c r="H34" t="s">
        <x:v>421</x:v>
      </x:c>
    </x:row>
    <x:row r="35" ht="14.399999618530273" customHeight="1">
      <x:c r="A35" t="n">
        <x:v>29</x:v>
      </x:c>
      <x:c r="B35" t="s">
        <x:v>63</x:v>
      </x:c>
      <x:c r="C35" t="s">
        <x:v>431</x:v>
      </x:c>
      <x:c r="D35" t="s">
        <x:v>12</x:v>
      </x:c>
      <x:c r="E35" t="s">
        <x:v>440</x:v>
      </x:c>
      <x:c r="F35" t="s">
        <x:v>480</x:v>
      </x:c>
      <x:c r="G35" t="s">
        <x:v>481</x:v>
      </x:c>
      <x:c r="H35" t="s">
        <x:v>421</x:v>
      </x:c>
    </x:row>
    <x:row r="36" ht="14.399999618530273" customHeight="1">
      <x:c r="A36" t="n">
        <x:v>30</x:v>
      </x:c>
      <x:c r="B36" t="s">
        <x:v>63</x:v>
      </x:c>
      <x:c r="C36" t="s">
        <x:v>440</x:v>
      </x:c>
      <x:c r="D36" t="s">
        <x:v>53</x:v>
      </x:c>
      <x:c r="E36" t="s">
        <x:v>431</x:v>
      </x:c>
      <x:c r="F36" t="s">
        <x:v>482</x:v>
      </x:c>
      <x:c r="G36" t="s">
        <x:v>483</x:v>
      </x:c>
      <x:c r="H36" t="s">
        <x:v>421</x:v>
      </x:c>
    </x:row>
    <x:row r="37" ht="27">
      <x:c r="A37" t="n">
        <x:v>31</x:v>
      </x:c>
      <x:c r="B37" t="s">
        <x:v>63</x:v>
      </x:c>
      <x:c r="C37" t="s">
        <x:v>431</x:v>
      </x:c>
      <x:c r="D37" t="s">
        <x:v>19</x:v>
      </x:c>
      <x:c r="E37" t="s">
        <x:v>431</x:v>
      </x:c>
      <x:c r="F37" t="s">
        <x:v>484</x:v>
      </x:c>
      <x:c r="G37" t="str">
        <x:v>Las validaciones preliminares no conceden cupo definitivo. EN EL POST P32: después de autenticar, primero se resuelve idOperacion+hash; una CONFIRMADA retorna mismo vehículo sin recontar cupo; para NUEVA se verifica placa, VIN, plan y cupo con bloqueo del usuario.</x:v>
      </x:c>
      <x:c r="H37" t="s">
        <x:v>421</x:v>
      </x:c>
    </x:row>
    <x:row r="38" ht="14.399999618530273" customHeight="1">
      <x:c r="A38" t="s">
        <x:v>485</x:v>
      </x:c>
      <x:c r="B38"/>
      <x:c r="C38"/>
      <x:c r="D38"/>
      <x:c r="E38"/>
      <x:c r="F38"/>
      <x:c r="G38"/>
      <x:c r="H38"/>
    </x:row>
    <x:row r="39" ht="40.20000076293945">
      <x:c r="A39" t="n">
        <x:v>32</x:v>
      </x:c>
      <x:c r="B39" t="s">
        <x:v>81</x:v>
      </x:c>
      <x:c r="C39" t="s">
        <x:v>431</x:v>
      </x:c>
      <x:c r="D39" t="s">
        <x:v>12</x:v>
      </x:c>
      <x:c r="E39" t="s">
        <x:v>440</x:v>
      </x:c>
      <x:c r="F39" t="s">
        <x:v>486</x:v>
      </x:c>
      <x:c r="G39" t="str">
        <x:v>RF08 POST: (1) validar sesión/autorización; (2) resolver idOperacion+hash ANTES del cupo: CONFIRMADA con mismo payload devuelve el mismo resultado sin ejecutar P33–P46 de nuevo; distinta carga=conflicto; EN_PROCESO=reconciliar. (3) SOLO NUEVA: bloquear fila USUARIO, validar suscripción FREE ACTIVA y cupo ACTIVO+INACTIVO; sin cupo, LIMITE_FREE. (4) INICIAR transacción de alta y generar idVehiculo, todavía NO confirmar COMMIT: continúan principal (P36–P38), KM inicial (P39–P42) y configuración del recordatorio (P43–P46). ÚNICO COMMIT al concluir P46; ante fallo, ROLLBACK íntegro.</x:v>
      </x:c>
      <x:c r="H39" t="s">
        <x:v>421</x:v>
      </x:c>
    </x:row>
    <x:row r="40">
      <x:c r="A40" t="n">
        <x:v>33</x:v>
      </x:c>
      <x:c r="B40" t="s">
        <x:v>81</x:v>
      </x:c>
      <x:c r="C40" t="s">
        <x:v>440</x:v>
      </x:c>
      <x:c r="D40" t="s">
        <x:v>53</x:v>
      </x:c>
      <x:c r="E40" t="s">
        <x:v>431</x:v>
      </x:c>
      <x:c r="F40" t="s">
        <x:v>487</x:v>
      </x:c>
      <x:c r="G40" t="str">
        <x:v>Retorno INTERNO del idVehiculo generado para la operación NUEVA aún dentro de la transacción: es provisional y NO significa COMMIT ni autoriza mostrar éxito. P36–P46 deben completarse antes del único COMMIT. En el caso CONFIRMADA, el servicio devuelve directamente la misma respuesta/idVehiculo previamente confirmados, sin repetir estas escrituras ni evaluar cupo.</x:v>
      </x:c>
      <x:c r="H40" t="s">
        <x:v>421</x:v>
      </x:c>
    </x:row>
    <x:row r="41" ht="41.400001525878906">
      <x:c r="A41" t="n">
        <x:v>34</x:v>
      </x:c>
      <x:c r="B41" t="s">
        <x:v>81</x:v>
      </x:c>
      <x:c r="C41" t="s">
        <x:v>431</x:v>
      </x:c>
      <x:c r="D41" t="s">
        <x:v>319</x:v>
      </x:c>
      <x:c r="E41" t="s">
        <x:v>488</x:v>
      </x:c>
      <x:c r="F41" t="s">
        <x:v>489</x:v>
      </x:c>
      <x:c r="G41" t="s">
        <x:v>490</x:v>
      </x:c>
      <x:c r="H41" t="s">
        <x:v>473</x:v>
      </x:c>
    </x:row>
    <x:row r="42" ht="27">
      <x:c r="A42" t="n">
        <x:v>35</x:v>
      </x:c>
      <x:c r="B42" t="s">
        <x:v>81</x:v>
      </x:c>
      <x:c r="C42" t="s">
        <x:v>488</x:v>
      </x:c>
      <x:c r="D42" t="s">
        <x:v>323</x:v>
      </x:c>
      <x:c r="E42" t="s">
        <x:v>431</x:v>
      </x:c>
      <x:c r="F42" t="s">
        <x:v>491</x:v>
      </x:c>
      <x:c r="G42" t="s">
        <x:v>492</x:v>
      </x:c>
      <x:c r="H42" t="s">
        <x:v>473</x:v>
      </x:c>
    </x:row>
    <x:row r="43" ht="40.20000076293945">
      <x:c r="A43" t="n">
        <x:v>36</x:v>
      </x:c>
      <x:c r="B43" t="s">
        <x:v>81</x:v>
      </x:c>
      <x:c r="C43" t="s">
        <x:v>431</x:v>
      </x:c>
      <x:c r="D43" t="s">
        <x:v>19</x:v>
      </x:c>
      <x:c r="E43" t="s">
        <x:v>431</x:v>
      </x:c>
      <x:c r="F43" t="s">
        <x:v>493</x:v>
      </x:c>
      <x:c r="G43" t="s">
        <x:v>494</x:v>
      </x:c>
      <x:c r="H43" t="s">
        <x:v>421</x:v>
      </x:c>
    </x:row>
    <x:row r="44" ht="27.600000381469727">
      <x:c r="A44" t="n">
        <x:v>37</x:v>
      </x:c>
      <x:c r="B44" t="s">
        <x:v>81</x:v>
      </x:c>
      <x:c r="C44" t="s">
        <x:v>431</x:v>
      </x:c>
      <x:c r="D44" t="s">
        <x:v>12</x:v>
      </x:c>
      <x:c r="E44" t="s">
        <x:v>440</x:v>
      </x:c>
      <x:c r="F44" t="s">
        <x:v>495</x:v>
      </x:c>
      <x:c r="G44" t="s">
        <x:v>496</x:v>
      </x:c>
      <x:c r="H44" t="s">
        <x:v>421</x:v>
      </x:c>
    </x:row>
    <x:row r="45">
      <x:c r="A45" t="n">
        <x:v>38</x:v>
      </x:c>
      <x:c r="B45" t="s">
        <x:v>81</x:v>
      </x:c>
      <x:c r="C45" t="s">
        <x:v>440</x:v>
      </x:c>
      <x:c r="D45" t="s">
        <x:v>53</x:v>
      </x:c>
      <x:c r="E45" t="s">
        <x:v>431</x:v>
      </x:c>
      <x:c r="F45" t="s">
        <x:v>497</x:v>
      </x:c>
      <x:c r="G45" t="s">
        <x:v>498</x:v>
      </x:c>
      <x:c r="H45" t="s">
        <x:v>421</x:v>
      </x:c>
    </x:row>
    <x:row r="46" ht="14.399999618530273" customHeight="1">
      <x:c r="A46" t="s">
        <x:v>499</x:v>
      </x:c>
      <x:c r="B46"/>
      <x:c r="C46"/>
      <x:c r="D46"/>
      <x:c r="E46"/>
      <x:c r="F46"/>
      <x:c r="G46"/>
      <x:c r="H46"/>
    </x:row>
    <x:row r="47" ht="24" customHeight="1">
      <x:c r="A47" t="n">
        <x:v>39</x:v>
      </x:c>
      <x:c r="B47" t="s">
        <x:v>110</x:v>
      </x:c>
      <x:c r="C47" t="s">
        <x:v>431</x:v>
      </x:c>
      <x:c r="D47" t="s">
        <x:v>12</x:v>
      </x:c>
      <x:c r="E47" t="s">
        <x:v>500</x:v>
      </x:c>
      <x:c r="F47" t="s">
        <x:v>501</x:v>
      </x:c>
      <x:c r="G47" t="s">
        <x:v>502</x:v>
      </x:c>
      <x:c r="H47" t="s">
        <x:v>421</x:v>
      </x:c>
    </x:row>
    <x:row r="48" ht="24" customHeight="1">
      <x:c r="A48" t="n">
        <x:v>40</x:v>
      </x:c>
      <x:c r="B48" t="s">
        <x:v>110</x:v>
      </x:c>
      <x:c r="C48" t="s">
        <x:v>500</x:v>
      </x:c>
      <x:c r="D48" t="s">
        <x:v>12</x:v>
      </x:c>
      <x:c r="E48" t="s">
        <x:v>503</x:v>
      </x:c>
      <x:c r="F48" t="s">
        <x:v>504</x:v>
      </x:c>
      <x:c r="G48" t="s">
        <x:v>505</x:v>
      </x:c>
      <x:c r="H48" t="s">
        <x:v>421</x:v>
      </x:c>
    </x:row>
    <x:row r="49" ht="24" customHeight="1">
      <x:c r="A49" t="n">
        <x:v>41</x:v>
      </x:c>
      <x:c r="B49" t="s">
        <x:v>110</x:v>
      </x:c>
      <x:c r="C49" t="s">
        <x:v>503</x:v>
      </x:c>
      <x:c r="D49" t="s">
        <x:v>53</x:v>
      </x:c>
      <x:c r="E49" t="s">
        <x:v>500</x:v>
      </x:c>
      <x:c r="F49" t="s">
        <x:v>506</x:v>
      </x:c>
      <x:c r="G49" t="s">
        <x:v>507</x:v>
      </x:c>
      <x:c r="H49" t="s">
        <x:v>421</x:v>
      </x:c>
    </x:row>
    <x:row r="50" ht="24" customHeight="1">
      <x:c r="A50" t="n">
        <x:v>42</x:v>
      </x:c>
      <x:c r="B50" t="s">
        <x:v>110</x:v>
      </x:c>
      <x:c r="C50" t="s">
        <x:v>500</x:v>
      </x:c>
      <x:c r="D50" t="s">
        <x:v>53</x:v>
      </x:c>
      <x:c r="E50" t="s">
        <x:v>431</x:v>
      </x:c>
      <x:c r="F50" t="s">
        <x:v>508</x:v>
      </x:c>
      <x:c r="G50" t="s">
        <x:v>509</x:v>
      </x:c>
      <x:c r="H50" t="s">
        <x:v>421</x:v>
      </x:c>
    </x:row>
    <x:row r="51" ht="24" customHeight="1">
      <x:c r="A51" t="n">
        <x:v>43</x:v>
      </x:c>
      <x:c r="B51" t="s">
        <x:v>110</x:v>
      </x:c>
      <x:c r="C51" t="s">
        <x:v>431</x:v>
      </x:c>
      <x:c r="D51" t="s">
        <x:v>12</x:v>
      </x:c>
      <x:c r="E51" t="s">
        <x:v>366</x:v>
      </x:c>
      <x:c r="F51" t="s">
        <x:v>510</x:v>
      </x:c>
      <x:c r="G51" t="s">
        <x:v>511</x:v>
      </x:c>
      <x:c r="H51" t="s">
        <x:v>421</x:v>
      </x:c>
    </x:row>
    <x:row r="52" ht="24" customHeight="1">
      <x:c r="A52" t="n">
        <x:v>44</x:v>
      </x:c>
      <x:c r="B52" t="s">
        <x:v>110</x:v>
      </x:c>
      <x:c r="C52" t="s">
        <x:v>366</x:v>
      </x:c>
      <x:c r="D52" t="s">
        <x:v>12</x:v>
      </x:c>
      <x:c r="E52" t="s">
        <x:v>512</x:v>
      </x:c>
      <x:c r="F52" t="s">
        <x:v>513</x:v>
      </x:c>
      <x:c r="G52" t="s">
        <x:v>514</x:v>
      </x:c>
      <x:c r="H52" t="s">
        <x:v>421</x:v>
      </x:c>
    </x:row>
    <x:row r="53" ht="26.399999618530273" customHeight="1">
      <x:c r="A53" t="n">
        <x:v>45</x:v>
      </x:c>
      <x:c r="B53" t="s">
        <x:v>110</x:v>
      </x:c>
      <x:c r="C53" t="s">
        <x:v>512</x:v>
      </x:c>
      <x:c r="D53" t="s">
        <x:v>53</x:v>
      </x:c>
      <x:c r="E53" t="s">
        <x:v>366</x:v>
      </x:c>
      <x:c r="F53" t="s">
        <x:v>515</x:v>
      </x:c>
      <x:c r="G53" t="s">
        <x:v>516</x:v>
      </x:c>
      <x:c r="H53" t="s">
        <x:v>421</x:v>
      </x:c>
    </x:row>
    <x:row r="54" ht="14.399999618530273" customHeight="1">
      <x:c r="A54" t="n">
        <x:v>46</x:v>
      </x:c>
      <x:c r="B54" t="s">
        <x:v>110</x:v>
      </x:c>
      <x:c r="C54" t="s">
        <x:v>366</x:v>
      </x:c>
      <x:c r="D54" t="s">
        <x:v>53</x:v>
      </x:c>
      <x:c r="E54" t="s">
        <x:v>431</x:v>
      </x:c>
      <x:c r="F54" t="s">
        <x:v>517</x:v>
      </x:c>
      <x:c r="G54" t="str">
        <x:v>CIERRE de la única transacción RF08: al existir VEHICULO con principal correcto, UNA lectura inicial y UNA configuración individual, confirmar COMMIT junto al resultado de idOperacion. Si falla cualquiera, ROLLBACK total. Sólo DESPUÉS de verificar COMMIT se permite P47, confirmación de éxito. Un reintento CONFIRMADO devuelve el resultado original y no recorre las escrituras.</x:v>
      </x:c>
      <x:c r="H54" t="s">
        <x:v>421</x:v>
      </x:c>
    </x:row>
    <x:row r="55" ht="14.399999618530273" customHeight="1">
      <x:c r="A55" t="s">
        <x:v>518</x:v>
      </x:c>
      <x:c r="B55"/>
      <x:c r="C55"/>
      <x:c r="D55"/>
      <x:c r="E55"/>
      <x:c r="F55"/>
      <x:c r="G55"/>
      <x:c r="H55"/>
    </x:row>
    <x:row r="56" ht="26.399999618530273" customHeight="1">
      <x:c r="A56" t="n">
        <x:v>47</x:v>
      </x:c>
      <x:c r="B56" t="s">
        <x:v>143</x:v>
      </x:c>
      <x:c r="C56" t="s">
        <x:v>431</x:v>
      </x:c>
      <x:c r="D56" t="s">
        <x:v>12</x:v>
      </x:c>
      <x:c r="E56" t="s">
        <x:v>519</x:v>
      </x:c>
      <x:c r="F56" t="s">
        <x:v>520</x:v>
      </x:c>
      <x:c r="G56" t="str">
        <x:v>Mostrar éxito en I_ConfirmacionRegistroVehiculo únicamente después del COMMIT conjunto verificado del vehículo + principal + lectura INICIAL + recordatorio; si ya era una idOperacion CONFIRMADA, mostrar el éxito del resultado recuperado. Los botones «Ver mis vehículos» e «Ir a inicio» sólo navegan, sin segunda escritura.</x:v>
      </x:c>
      <x:c r="H56" t="s">
        <x:v>421</x:v>
      </x:c>
    </x:row>
    <x:row r="57" ht="14.399999618530273" customHeight="1">
      <x:c r="A57" t="n">
        <x:v>48</x:v>
      </x:c>
      <x:c r="B57" t="s">
        <x:v>143</x:v>
      </x:c>
      <x:c r="C57" t="s">
        <x:v>519</x:v>
      </x:c>
      <x:c r="D57" t="s">
        <x:v>319</x:v>
      </x:c>
      <x:c r="E57" t="s">
        <x:v>11</x:v>
      </x:c>
      <x:c r="F57" t="s">
        <x:v>521</x:v>
      </x:c>
      <x:c r="G57" t="s">
        <x:v>522</x:v>
      </x:c>
      <x:c r="H57" t="s">
        <x:v>421</x:v>
      </x:c>
    </x:row>
    <x:row r="58">
      <x:c r="A58" t="n">
        <x:v>49</x:v>
      </x:c>
      <x:c r="B58" t="s">
        <x:v>143</x:v>
      </x:c>
      <x:c r="C58" t="s">
        <x:v>11</x:v>
      </x:c>
      <x:c r="D58" t="s">
        <x:v>319</x:v>
      </x:c>
      <x:c r="E58" t="s">
        <x:v>519</x:v>
      </x:c>
      <x:c r="F58" t="s">
        <x:v>523</x:v>
      </x:c>
      <x:c r="G58" t="s">
        <x:v>524</x:v>
      </x:c>
      <x:c r="H58" t="s">
        <x:v>421</x:v>
      </x:c>
    </x:row>
    <x:row r="59">
      <x:c r="A59" t="n">
        <x:v>50</x:v>
      </x:c>
      <x:c r="B59" t="s">
        <x:v>143</x:v>
      </x:c>
      <x:c r="C59" t="s">
        <x:v>519</x:v>
      </x:c>
      <x:c r="D59" t="s">
        <x:v>319</x:v>
      </x:c>
      <x:c r="E59" t="s">
        <x:v>167</x:v>
      </x:c>
      <x:c r="F59" t="s">
        <x:v>422</x:v>
      </x:c>
      <x:c r="G59" t="s">
        <x:v>525</x:v>
      </x:c>
      <x:c r="H59" t="s">
        <x:v>421</x:v>
      </x:c>
    </x:row>
    <x:row r="60">
      <x:c r="A60" t="n">
        <x:v>51</x:v>
      </x:c>
      <x:c r="B60" t="s">
        <x:v>143</x:v>
      </x:c>
      <x:c r="C60" t="s">
        <x:v>167</x:v>
      </x:c>
      <x:c r="D60" t="s">
        <x:v>319</x:v>
      </x:c>
      <x:c r="E60" t="s">
        <x:v>424</x:v>
      </x:c>
      <x:c r="F60" t="s">
        <x:v>526</x:v>
      </x:c>
      <x:c r="G60" t="s">
        <x:v>527</x:v>
      </x:c>
      <x:c r="H60" t="s">
        <x:v>421</x:v>
      </x:c>
    </x:row>
    <x:row r="61">
      <x:c r="A61"/>
      <x:c r="B61"/>
      <x:c r="C61"/>
      <x:c r="D61"/>
      <x:c r="E61"/>
      <x:c r="F61"/>
      <x:c r="G61"/>
      <x:c r="H61"/>
    </x:row>
    <x:row r="62">
      <x:c r="A62"/>
      <x:c r="B62"/>
      <x:c r="C62"/>
      <x:c r="D62"/>
      <x:c r="E62"/>
      <x:c r="F62"/>
      <x:c r="G62"/>
      <x:c r="H62"/>
    </x:row>
    <x:row r="63">
      <x:c r="A63"/>
      <x:c r="B63"/>
      <x:c r="C63"/>
      <x:c r="D63"/>
      <x:c r="E63"/>
      <x:c r="F63"/>
      <x:c r="G63"/>
      <x:c r="H63"/>
    </x:row>
    <x:row r="64">
      <x:c r="A64" t="s">
        <x:v>528</x:v>
      </x:c>
      <x:c r="B64"/>
      <x:c r="C64"/>
      <x:c r="D64"/>
      <x:c r="E64"/>
      <x:c r="F64"/>
      <x:c r="G64"/>
      <x:c r="H64"/>
    </x:row>
    <x:row r="65">
      <x:c r="A65" t="n">
        <x:v>52</x:v>
      </x:c>
      <x:c r="B65" t="s">
        <x:v>143</x:v>
      </x:c>
      <x:c r="C65" t="s">
        <x:v>11</x:v>
      </x:c>
      <x:c r="D65" t="s">
        <x:v>319</x:v>
      </x:c>
      <x:c r="E65" t="s">
        <x:v>519</x:v>
      </x:c>
      <x:c r="F65" t="s">
        <x:v>529</x:v>
      </x:c>
      <x:c r="G65" t="s">
        <x:v>530</x:v>
      </x:c>
      <x:c r="H65" t="s">
        <x:v>421</x:v>
      </x:c>
    </x:row>
    <x:row r="66">
      <x:c r="A66" t="n">
        <x:v>53</x:v>
      </x:c>
      <x:c r="B66" t="s">
        <x:v>143</x:v>
      </x:c>
      <x:c r="C66" t="s">
        <x:v>519</x:v>
      </x:c>
      <x:c r="D66" t="s">
        <x:v>319</x:v>
      </x:c>
      <x:c r="E66" t="s">
        <x:v>167</x:v>
      </x:c>
      <x:c r="F66" t="s">
        <x:v>531</x:v>
      </x:c>
      <x:c r="G66" t="s">
        <x:v>532</x:v>
      </x:c>
      <x:c r="H66" t="s">
        <x:v>421</x:v>
      </x:c>
    </x:row>
    <x:row r="67">
      <x:c r="A67" t="n">
        <x:v>54</x:v>
      </x:c>
      <x:c r="B67" t="s">
        <x:v>143</x:v>
      </x:c>
      <x:c r="C67" t="s">
        <x:v>167</x:v>
      </x:c>
      <x:c r="D67" t="s">
        <x:v>319</x:v>
      </x:c>
      <x:c r="E67" t="s">
        <x:v>164</x:v>
      </x:c>
      <x:c r="F67" t="s">
        <x:v>533</x:v>
      </x:c>
      <x:c r="G67" t="s">
        <x:v>534</x:v>
      </x:c>
      <x:c r="H67" t="s">
        <x:v>421</x:v>
      </x:c>
    </x:row>
  </x:sheetData>
  <x:mergeCells>
    <x:mergeCell ref="A64:C64"/>
    <x:mergeCell ref="A38:G38"/>
    <x:mergeCell ref="A46:G46"/>
    <x:mergeCell ref="A55:G55"/>
    <x:mergeCell ref="A1:G1"/>
    <x:mergeCell ref="A2:G2"/>
    <x:mergeCell ref="A4:G4"/>
    <x:mergeCell ref="A20:G20"/>
    <x:mergeCell ref="A30:G3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9.6640625" defaultRowHeight="14.399999618530273"/>
  <x:cols>
    <x:col min="1" max="1" width="7.6640625" style="171" hidden="0" customWidth="1"/>
    <x:col min="2" max="2" width="11.109375" style="171" hidden="0" customWidth="1"/>
    <x:col min="3" max="3" width="31.109375" style="171" hidden="0" customWidth="1"/>
    <x:col min="4" max="4" width="20" style="171" hidden="0" customWidth="1"/>
    <x:col min="5" max="5" width="32.33203125" style="171" hidden="0" customWidth="1"/>
    <x:col min="6" max="6" width="72.33203125" style="171" hidden="0" customWidth="1"/>
    <x:col min="7" max="7" width="90" style="171" hidden="0" customWidth="1"/>
    <x:col min="8" max="16384" width="9.6640625" style="171" customWidth="0"/>
    <x:col min="8" max="8" width="17" hidden="0" customWidth="1"/>
    <x:col min="9" max="9" width="58" hidden="0" customWidth="1"/>
  </x:cols>
  <x:sheetData>
    <x:row r="1" ht="27.899999618530273" customHeight="1">
      <x:c r="A1" t="s">
        <x:v>535</x:v>
      </x:c>
      <x:c r="B1"/>
      <x:c r="C1"/>
      <x:c r="D1"/>
      <x:c r="E1"/>
      <x:c r="F1"/>
      <x:c r="G1"/>
      <x:c r="H1"/>
    </x:row>
    <x:row r="2" ht="15.899999618530273" customHeight="1">
      <x:c r="A2" t="s">
        <x:v>536</x:v>
      </x:c>
      <x:c r="B2"/>
      <x:c r="C2"/>
      <x:c r="D2"/>
      <x:c r="E2"/>
      <x:c r="F2"/>
      <x:c r="G2" t="str">
        <x:v> | ACUERDOS 25/10/26: sesión validada por Spring Boot; cuenta SUSPENDIDA bloquea operaciones protegidas; FREE asignado por RF01 en transacción sin trigger.</x:v>
      </x:c>
      <x:c r="H2"/>
    </x:row>
    <x:row r="3" ht="20.100000381469727" customHeight="1">
      <x:c r="A3" t="s">
        <x:v>2</x:v>
      </x:c>
      <x:c r="B3" t="s">
        <x:v>3</x:v>
      </x:c>
      <x:c r="C3" t="s">
        <x:v>4</x:v>
      </x:c>
      <x:c r="D3" t="s">
        <x:v>5</x:v>
      </x:c>
      <x:c r="E3" t="s">
        <x:v>6</x:v>
      </x:c>
      <x:c r="F3" t="s">
        <x:v>7</x:v>
      </x:c>
      <x:c r="G3" t="s">
        <x:v>8</x:v>
      </x:c>
      <x:c r="H3" t="s">
        <x:v>417</x:v>
      </x:c>
      <x:c r="I3" t="str">
        <x:v>CONDICIÓN RF65 (NO MVP)</x:v>
      </x:c>
    </x:row>
    <x:row r="4" ht="17.100000381469727" customHeight="1">
      <x:c r="A4" t="s">
        <x:v>537</x:v>
      </x:c>
      <x:c r="B4"/>
      <x:c r="C4"/>
      <x:c r="D4"/>
      <x:c r="E4"/>
      <x:c r="F4"/>
      <x:c r="G4"/>
      <x:c r="H4"/>
    </x:row>
    <x:row r="5" ht="17.100000381469727" customHeight="1">
      <x:c r="A5" t="n">
        <x:v>1</x:v>
      </x:c>
      <x:c r="B5" t="s">
        <x:v>10</x:v>
      </x:c>
      <x:c r="C5" t="s">
        <x:v>11</x:v>
      </x:c>
      <x:c r="D5" t="s">
        <x:v>319</x:v>
      </x:c>
      <x:c r="E5" t="s">
        <x:v>164</x:v>
      </x:c>
      <x:c r="F5" t="s">
        <x:v>538</x:v>
      </x:c>
      <x:c r="G5" t="s">
        <x:v>539</x:v>
      </x:c>
      <x:c r="H5" t="s">
        <x:v>421</x:v>
      </x:c>
      <x:c r="I5" s="1071" t="str">
        <x:v>RF65 POST-MVP · CONDICIONADO A APROBACIÓN. Listado Mis vehículos: excluir ELIMINADOS de tarjetas, filtros, contadores y principal; conservar históricos en BD según retención pendiente. GET continúa sin escrituras. Sin aprobación no aplicar filtros ni cambios de BD por RF65.</x:v>
      </x:c>
    </x:row>
    <x:row r="6" ht="17.100000381469727" customHeight="1">
      <x:c r="A6" t="n">
        <x:v>2</x:v>
      </x:c>
      <x:c r="B6" t="s">
        <x:v>10</x:v>
      </x:c>
      <x:c r="C6" t="s">
        <x:v>164</x:v>
      </x:c>
      <x:c r="D6" t="s">
        <x:v>319</x:v>
      </x:c>
      <x:c r="E6" t="s">
        <x:v>167</x:v>
      </x:c>
      <x:c r="F6" t="s">
        <x:v>422</x:v>
      </x:c>
      <x:c r="G6" t="s">
        <x:v>540</x:v>
      </x:c>
      <x:c r="H6" t="s">
        <x:v>421</x:v>
      </x:c>
    </x:row>
    <x:row r="7" ht="17.100000381469727" customHeight="1">
      <x:c r="A7" t="n">
        <x:v>3</x:v>
      </x:c>
      <x:c r="B7" t="s">
        <x:v>10</x:v>
      </x:c>
      <x:c r="C7" t="s">
        <x:v>167</x:v>
      </x:c>
      <x:c r="D7" t="s">
        <x:v>319</x:v>
      </x:c>
      <x:c r="E7" t="s">
        <x:v>424</x:v>
      </x:c>
      <x:c r="F7" t="s">
        <x:v>425</x:v>
      </x:c>
      <x:c r="G7" t="s">
        <x:v>541</x:v>
      </x:c>
      <x:c r="H7" t="s">
        <x:v>421</x:v>
      </x:c>
    </x:row>
    <x:row r="8" ht="17.399999618530273" customHeight="1">
      <x:c r="A8" t="s">
        <x:v>542</x:v>
      </x:c>
      <x:c r="B8"/>
      <x:c r="C8"/>
      <x:c r="D8"/>
      <x:c r="E8"/>
      <x:c r="F8"/>
      <x:c r="G8"/>
      <x:c r="H8"/>
    </x:row>
    <x:row r="9" ht="17.100000381469727" customHeight="1">
      <x:c r="A9" t="n">
        <x:v>4</x:v>
      </x:c>
      <x:c r="B9" t="s">
        <x:v>33</x:v>
      </x:c>
      <x:c r="C9" t="s">
        <x:v>424</x:v>
      </x:c>
      <x:c r="D9" t="s">
        <x:v>319</x:v>
      </x:c>
      <x:c r="E9" t="s">
        <x:v>543</x:v>
      </x:c>
      <x:c r="F9" t="str">
        <x:v>solicitarListadoVehiculos()</x:v>
      </x:c>
      <x:c r="G9" t="str">
        <x:v>Android solicita el listado sin enviar idUsuario; Spring Boot obtiene la identidad de la sesión validada y solo consulta vehículos de ese propietario.</x:v>
      </x:c>
      <x:c r="H9" t="s">
        <x:v>421</x:v>
      </x:c>
    </x:row>
    <x:row r="10" ht="17.100000381469727" customHeight="1">
      <x:c r="A10" t="n">
        <x:v>5</x:v>
      </x:c>
      <x:c r="B10" t="s">
        <x:v>33</x:v>
      </x:c>
      <x:c r="C10" t="s">
        <x:v>543</x:v>
      </x:c>
      <x:c r="D10" t="s">
        <x:v>319</x:v>
      </x:c>
      <x:c r="E10" t="s">
        <x:v>440</x:v>
      </x:c>
      <x:c r="F10" t="s">
        <x:v>544</x:v>
      </x:c>
      <x:c r="G10" t="s">
        <x:v>545</x:v>
      </x:c>
      <x:c r="H10" t="s">
        <x:v>421</x:v>
      </x:c>
    </x:row>
    <x:row r="11" ht="57.599998474121094" customHeight="1">
      <x:c r="A11" t="n">
        <x:v>6</x:v>
      </x:c>
      <x:c r="B11" t="s">
        <x:v>33</x:v>
      </x:c>
      <x:c r="C11" t="s">
        <x:v>440</x:v>
      </x:c>
      <x:c r="D11" t="s">
        <x:v>323</x:v>
      </x:c>
      <x:c r="E11" t="s">
        <x:v>543</x:v>
      </x:c>
      <x:c r="F11" t="s">
        <x:v>546</x:v>
      </x:c>
      <x:c r="G11" t="s">
        <x:v>547</x:v>
      </x:c>
      <x:c r="H11" t="s">
        <x:v>421</x:v>
      </x:c>
    </x:row>
    <x:row r="12" ht="43.20000076293945" customHeight="1">
      <x:c r="A12" t="n">
        <x:v>7</x:v>
      </x:c>
      <x:c r="B12" t="s">
        <x:v>33</x:v>
      </x:c>
      <x:c r="C12" t="s">
        <x:v>543</x:v>
      </x:c>
      <x:c r="D12" t="s">
        <x:v>319</x:v>
      </x:c>
      <x:c r="E12" t="s">
        <x:v>488</x:v>
      </x:c>
      <x:c r="F12" t="s">
        <x:v>548</x:v>
      </x:c>
      <x:c r="G12" t="s">
        <x:v>549</x:v>
      </x:c>
      <x:c r="H12" t="s">
        <x:v>473</x:v>
      </x:c>
    </x:row>
    <x:row r="13" ht="15" customHeight="1">
      <x:c r="A13" t="n">
        <x:v>8</x:v>
      </x:c>
      <x:c r="B13" t="s">
        <x:v>33</x:v>
      </x:c>
      <x:c r="C13" t="s">
        <x:v>488</x:v>
      </x:c>
      <x:c r="D13" t="s">
        <x:v>323</x:v>
      </x:c>
      <x:c r="E13" t="s">
        <x:v>543</x:v>
      </x:c>
      <x:c r="F13" t="s">
        <x:v>550</x:v>
      </x:c>
      <x:c r="G13" t="s">
        <x:v>551</x:v>
      </x:c>
      <x:c r="H13" t="s">
        <x:v>473</x:v>
      </x:c>
    </x:row>
    <x:row r="14" ht="15" customHeight="1">
      <x:c r="A14" t="n">
        <x:v>9</x:v>
      </x:c>
      <x:c r="B14" t="s">
        <x:v>33</x:v>
      </x:c>
      <x:c r="C14" t="s">
        <x:v>543</x:v>
      </x:c>
      <x:c r="D14" t="s">
        <x:v>319</x:v>
      </x:c>
      <x:c r="E14" t="s">
        <x:v>500</x:v>
      </x:c>
      <x:c r="F14" t="s">
        <x:v>552</x:v>
      </x:c>
      <x:c r="G14" t="s">
        <x:v>553</x:v>
      </x:c>
      <x:c r="H14" t="s">
        <x:v>421</x:v>
      </x:c>
    </x:row>
    <x:row r="15" ht="37.5" customHeight="1">
      <x:c r="A15" t="n">
        <x:v>10</x:v>
      </x:c>
      <x:c r="B15" t="s">
        <x:v>33</x:v>
      </x:c>
      <x:c r="C15" t="s">
        <x:v>500</x:v>
      </x:c>
      <x:c r="D15" t="s">
        <x:v>319</x:v>
      </x:c>
      <x:c r="E15" t="s">
        <x:v>503</x:v>
      </x:c>
      <x:c r="F15" t="s">
        <x:v>554</x:v>
      </x:c>
      <x:c r="G15" t="s">
        <x:v>555</x:v>
      </x:c>
      <x:c r="H15" t="s">
        <x:v>421</x:v>
      </x:c>
    </x:row>
    <x:row r="16" ht="17.100000381469727" customHeight="1">
      <x:c r="A16" t="n">
        <x:v>11</x:v>
      </x:c>
      <x:c r="B16" t="s">
        <x:v>33</x:v>
      </x:c>
      <x:c r="C16" t="s">
        <x:v>503</x:v>
      </x:c>
      <x:c r="D16" t="s">
        <x:v>323</x:v>
      </x:c>
      <x:c r="E16" t="s">
        <x:v>500</x:v>
      </x:c>
      <x:c r="F16" t="s">
        <x:v>556</x:v>
      </x:c>
      <x:c r="G16" t="s">
        <x:v>557</x:v>
      </x:c>
      <x:c r="H16" t="s">
        <x:v>421</x:v>
      </x:c>
    </x:row>
    <x:row r="17" ht="24.75" customHeight="1">
      <x:c r="A17" t="n">
        <x:v>12</x:v>
      </x:c>
      <x:c r="B17" t="s">
        <x:v>33</x:v>
      </x:c>
      <x:c r="C17" t="s">
        <x:v>500</x:v>
      </x:c>
      <x:c r="D17" t="s">
        <x:v>323</x:v>
      </x:c>
      <x:c r="E17" t="s">
        <x:v>543</x:v>
      </x:c>
      <x:c r="F17" t="s">
        <x:v>558</x:v>
      </x:c>
      <x:c r="G17" t="s">
        <x:v>559</x:v>
      </x:c>
      <x:c r="H17" t="s">
        <x:v>421</x:v>
      </x:c>
    </x:row>
    <x:row r="18">
      <x:c r="A18" t="n">
        <x:v>13</x:v>
      </x:c>
      <x:c r="B18" t="s">
        <x:v>33</x:v>
      </x:c>
      <x:c r="C18" t="s">
        <x:v>543</x:v>
      </x:c>
      <x:c r="D18" t="s">
        <x:v>319</x:v>
      </x:c>
      <x:c r="E18" t="s">
        <x:v>560</x:v>
      </x:c>
      <x:c r="F18" t="s">
        <x:v>561</x:v>
      </x:c>
      <x:c r="G18" t="s">
        <x:v>562</x:v>
      </x:c>
      <x:c r="H18" t="s">
        <x:v>473</x:v>
      </x:c>
    </x:row>
    <x:row r="19" ht="17.100000381469727" customHeight="1">
      <x:c r="A19" t="n">
        <x:v>14</x:v>
      </x:c>
      <x:c r="B19" t="s">
        <x:v>33</x:v>
      </x:c>
      <x:c r="C19" t="s">
        <x:v>560</x:v>
      </x:c>
      <x:c r="D19" t="s">
        <x:v>319</x:v>
      </x:c>
      <x:c r="E19" t="s">
        <x:v>563</x:v>
      </x:c>
      <x:c r="F19" t="s">
        <x:v>564</x:v>
      </x:c>
      <x:c r="G19" t="s">
        <x:v>565</x:v>
      </x:c>
      <x:c r="H19" t="s">
        <x:v>473</x:v>
      </x:c>
    </x:row>
    <x:row r="20" ht="28.5" customHeight="1">
      <x:c r="A20" t="n">
        <x:v>15</x:v>
      </x:c>
      <x:c r="B20" t="s">
        <x:v>33</x:v>
      </x:c>
      <x:c r="C20" t="s">
        <x:v>563</x:v>
      </x:c>
      <x:c r="D20" t="s">
        <x:v>323</x:v>
      </x:c>
      <x:c r="E20" t="s">
        <x:v>560</x:v>
      </x:c>
      <x:c r="F20" t="s">
        <x:v>566</x:v>
      </x:c>
      <x:c r="G20" t="s">
        <x:v>567</x:v>
      </x:c>
      <x:c r="H20" t="s">
        <x:v>473</x:v>
      </x:c>
    </x:row>
    <x:row r="21" ht="33" customHeight="1">
      <x:c r="A21" t="n">
        <x:v>16</x:v>
      </x:c>
      <x:c r="B21" t="s">
        <x:v>33</x:v>
      </x:c>
      <x:c r="C21" t="s">
        <x:v>560</x:v>
      </x:c>
      <x:c r="D21" t="s">
        <x:v>323</x:v>
      </x:c>
      <x:c r="E21" t="s">
        <x:v>543</x:v>
      </x:c>
      <x:c r="F21" t="s">
        <x:v>566</x:v>
      </x:c>
      <x:c r="G21" t="s">
        <x:v>568</x:v>
      </x:c>
      <x:c r="H21" t="s">
        <x:v>473</x:v>
      </x:c>
    </x:row>
    <x:row r="22" ht="25.5" customHeight="1">
      <x:c r="A22" t="n">
        <x:v>17</x:v>
      </x:c>
      <x:c r="B22" t="s">
        <x:v>33</x:v>
      </x:c>
      <x:c r="C22" t="s">
        <x:v>543</x:v>
      </x:c>
      <x:c r="D22" t="s">
        <x:v>319</x:v>
      </x:c>
      <x:c r="E22" t="s">
        <x:v>569</x:v>
      </x:c>
      <x:c r="F22" t="s">
        <x:v>570</x:v>
      </x:c>
      <x:c r="G22" t="s">
        <x:v>571</x:v>
      </x:c>
      <x:c r="H22" t="s">
        <x:v>473</x:v>
      </x:c>
    </x:row>
    <x:row r="23">
      <x:c r="A23" t="n">
        <x:v>18</x:v>
      </x:c>
      <x:c r="B23" t="s">
        <x:v>33</x:v>
      </x:c>
      <x:c r="C23" t="s">
        <x:v>569</x:v>
      </x:c>
      <x:c r="D23" t="s">
        <x:v>319</x:v>
      </x:c>
      <x:c r="E23" t="s">
        <x:v>572</x:v>
      </x:c>
      <x:c r="F23" t="s">
        <x:v>573</x:v>
      </x:c>
      <x:c r="G23" t="s">
        <x:v>574</x:v>
      </x:c>
      <x:c r="H23" t="s">
        <x:v>473</x:v>
      </x:c>
    </x:row>
    <x:row r="24" ht="17.100000381469727" customHeight="1">
      <x:c r="A24" t="n">
        <x:v>19</x:v>
      </x:c>
      <x:c r="B24" t="s">
        <x:v>33</x:v>
      </x:c>
      <x:c r="C24" t="s">
        <x:v>572</x:v>
      </x:c>
      <x:c r="D24" t="s">
        <x:v>323</x:v>
      </x:c>
      <x:c r="E24" t="s">
        <x:v>569</x:v>
      </x:c>
      <x:c r="F24" t="s">
        <x:v>575</x:v>
      </x:c>
      <x:c r="G24" t="s">
        <x:v>576</x:v>
      </x:c>
      <x:c r="H24" t="s">
        <x:v>473</x:v>
      </x:c>
    </x:row>
    <x:row r="25" ht="15" customHeight="1">
      <x:c r="A25" t="n">
        <x:v>20</x:v>
      </x:c>
      <x:c r="B25" t="s">
        <x:v>33</x:v>
      </x:c>
      <x:c r="C25" t="s">
        <x:v>569</x:v>
      </x:c>
      <x:c r="D25" t="s">
        <x:v>323</x:v>
      </x:c>
      <x:c r="E25" t="s">
        <x:v>543</x:v>
      </x:c>
      <x:c r="F25" t="s">
        <x:v>575</x:v>
      </x:c>
      <x:c r="G25" t="s">
        <x:v>577</x:v>
      </x:c>
      <x:c r="H25" t="s">
        <x:v>473</x:v>
      </x:c>
    </x:row>
    <x:row r="26" ht="25.5" customHeight="1">
      <x:c r="A26" t="n">
        <x:v>21</x:v>
      </x:c>
      <x:c r="B26" t="s">
        <x:v>33</x:v>
      </x:c>
      <x:c r="C26" t="s">
        <x:v>543</x:v>
      </x:c>
      <x:c r="D26" t="s">
        <x:v>404</x:v>
      </x:c>
      <x:c r="E26" t="s">
        <x:v>543</x:v>
      </x:c>
      <x:c r="F26" t="s">
        <x:v>578</x:v>
      </x:c>
      <x:c r="G26" t="s">
        <x:v>579</x:v>
      </x:c>
      <x:c r="H26" t="s">
        <x:v>421</x:v>
      </x:c>
    </x:row>
    <x:row r="27" ht="17.100000381469727" customHeight="1">
      <x:c r="A27" t="n">
        <x:v>22</x:v>
      </x:c>
      <x:c r="B27" t="s">
        <x:v>33</x:v>
      </x:c>
      <x:c r="C27" t="s">
        <x:v>543</x:v>
      </x:c>
      <x:c r="D27" t="s">
        <x:v>404</x:v>
      </x:c>
      <x:c r="E27" t="s">
        <x:v>543</x:v>
      </x:c>
      <x:c r="F27" t="s">
        <x:v>580</x:v>
      </x:c>
      <x:c r="G27" t="s">
        <x:v>581</x:v>
      </x:c>
      <x:c r="H27" t="s">
        <x:v>421</x:v>
      </x:c>
    </x:row>
    <x:row r="28" ht="17.100000381469727" customHeight="1">
      <x:c r="A28" t="n">
        <x:v>23</x:v>
      </x:c>
      <x:c r="B28" t="s">
        <x:v>33</x:v>
      </x:c>
      <x:c r="C28" t="s">
        <x:v>543</x:v>
      </x:c>
      <x:c r="D28" t="s">
        <x:v>404</x:v>
      </x:c>
      <x:c r="E28" t="s">
        <x:v>543</x:v>
      </x:c>
      <x:c r="F28" t="s">
        <x:v>582</x:v>
      </x:c>
      <x:c r="G28" t="s">
        <x:v>583</x:v>
      </x:c>
      <x:c r="H28" t="s">
        <x:v>421</x:v>
      </x:c>
    </x:row>
    <x:row r="29" ht="25.5" customHeight="1">
      <x:c r="A29" t="n">
        <x:v>24</x:v>
      </x:c>
      <x:c r="B29" t="s">
        <x:v>33</x:v>
      </x:c>
      <x:c r="C29" t="s">
        <x:v>543</x:v>
      </x:c>
      <x:c r="D29" t="s">
        <x:v>404</x:v>
      </x:c>
      <x:c r="E29" t="s">
        <x:v>543</x:v>
      </x:c>
      <x:c r="F29" t="s">
        <x:v>584</x:v>
      </x:c>
      <x:c r="G29" t="s">
        <x:v>585</x:v>
      </x:c>
      <x:c r="H29" t="s">
        <x:v>421</x:v>
      </x:c>
    </x:row>
    <x:row r="30" ht="28.799999237060547">
      <x:c r="A30" t="n">
        <x:v>25</x:v>
      </x:c>
      <x:c r="B30" t="s">
        <x:v>33</x:v>
      </x:c>
      <x:c r="C30" t="s">
        <x:v>543</x:v>
      </x:c>
      <x:c r="D30" t="s">
        <x:v>319</x:v>
      </x:c>
      <x:c r="E30" t="s">
        <x:v>424</x:v>
      </x:c>
      <x:c r="F30" t="s">
        <x:v>586</x:v>
      </x:c>
      <x:c r="G30" t="s">
        <x:v>587</x:v>
      </x:c>
      <x:c r="H30" t="s">
        <x:v>421</x:v>
      </x:c>
    </x:row>
    <x:row r="31" ht="15" customHeight="1">
      <x:c r="A31" t="n">
        <x:v>26</x:v>
      </x:c>
      <x:c r="B31" t="s">
        <x:v>33</x:v>
      </x:c>
      <x:c r="C31" t="s">
        <x:v>424</x:v>
      </x:c>
      <x:c r="D31" t="s">
        <x:v>319</x:v>
      </x:c>
      <x:c r="E31" t="s">
        <x:v>11</x:v>
      </x:c>
      <x:c r="F31" t="s">
        <x:v>588</x:v>
      </x:c>
      <x:c r="G31" t="s">
        <x:v>589</x:v>
      </x:c>
      <x:c r="H31" t="s">
        <x:v>421</x:v>
      </x:c>
    </x:row>
    <x:row r="32">
      <x:c r="A32" t="s">
        <x:v>590</x:v>
      </x:c>
      <x:c r="B32"/>
      <x:c r="C32"/>
      <x:c r="D32"/>
      <x:c r="E32"/>
      <x:c r="F32"/>
      <x:c r="G32"/>
      <x:c r="H32"/>
    </x:row>
    <x:row r="33">
      <x:c r="A33" t="n">
        <x:v>27</x:v>
      </x:c>
      <x:c r="B33" t="s">
        <x:v>63</x:v>
      </x:c>
      <x:c r="C33" t="s">
        <x:v>11</x:v>
      </x:c>
      <x:c r="D33" t="s">
        <x:v>319</x:v>
      </x:c>
      <x:c r="E33" t="s">
        <x:v>424</x:v>
      </x:c>
      <x:c r="F33" t="s">
        <x:v>591</x:v>
      </x:c>
      <x:c r="G33" t="s">
        <x:v>592</x:v>
      </x:c>
      <x:c r="H33" t="s">
        <x:v>421</x:v>
      </x:c>
    </x:row>
    <x:row r="34">
      <x:c r="A34" t="n">
        <x:v>28</x:v>
      </x:c>
      <x:c r="B34" t="s">
        <x:v>63</x:v>
      </x:c>
      <x:c r="C34" t="s">
        <x:v>424</x:v>
      </x:c>
      <x:c r="D34" t="s">
        <x:v>319</x:v>
      </x:c>
      <x:c r="E34" t="s">
        <x:v>543</x:v>
      </x:c>
      <x:c r="F34" t="str">
        <x:v>solicitarConsultaVehiculos(textoBusqueda,estadoFiltro)</x:v>
      </x:c>
      <x:c r="G34" t="str">
        <x:v>La interfaz envía solo filtros y búsqueda; Spring Boot resuelve idUsuario desde la sesión autenticada, sin confiar en un identificador remitido por Android.</x:v>
      </x:c>
      <x:c r="H34" t="s">
        <x:v>421</x:v>
      </x:c>
    </x:row>
    <x:row r="35">
      <x:c r="A35" t="n">
        <x:v>29</x:v>
      </x:c>
      <x:c r="B35" t="s">
        <x:v>63</x:v>
      </x:c>
      <x:c r="C35" t="s">
        <x:v>543</x:v>
      </x:c>
      <x:c r="D35" t="s">
        <x:v>404</x:v>
      </x:c>
      <x:c r="E35" t="s">
        <x:v>543</x:v>
      </x:c>
      <x:c r="F35" t="s">
        <x:v>593</x:v>
      </x:c>
      <x:c r="G35" t="s">
        <x:v>594</x:v>
      </x:c>
      <x:c r="H35" t="s">
        <x:v>421</x:v>
      </x:c>
    </x:row>
    <x:row r="36" ht="28.799999237060547">
      <x:c r="A36" t="n">
        <x:v>30</x:v>
      </x:c>
      <x:c r="B36" t="s">
        <x:v>63</x:v>
      </x:c>
      <x:c r="C36" t="s">
        <x:v>543</x:v>
      </x:c>
      <x:c r="D36" t="s">
        <x:v>319</x:v>
      </x:c>
      <x:c r="E36" t="s">
        <x:v>440</x:v>
      </x:c>
      <x:c r="F36" t="s">
        <x:v>595</x:v>
      </x:c>
      <x:c r="G36" t="s">
        <x:v>596</x:v>
      </x:c>
      <x:c r="H36" t="s">
        <x:v>421</x:v>
      </x:c>
    </x:row>
    <x:row r="37" ht="27.600000381469727" customHeight="1">
      <x:c r="A37" t="n">
        <x:v>31</x:v>
      </x:c>
      <x:c r="B37" t="s">
        <x:v>63</x:v>
      </x:c>
      <x:c r="C37" t="s">
        <x:v>440</x:v>
      </x:c>
      <x:c r="D37" t="s">
        <x:v>323</x:v>
      </x:c>
      <x:c r="E37" t="s">
        <x:v>543</x:v>
      </x:c>
      <x:c r="F37" t="s">
        <x:v>597</x:v>
      </x:c>
      <x:c r="G37" t="s">
        <x:v>598</x:v>
      </x:c>
      <x:c r="H37" t="s">
        <x:v>421</x:v>
      </x:c>
    </x:row>
    <x:row r="38" ht="26.399999618530273" customHeight="1">
      <x:c r="A38" t="n">
        <x:v>32</x:v>
      </x:c>
      <x:c r="B38" t="s">
        <x:v>63</x:v>
      </x:c>
      <x:c r="C38" t="s">
        <x:v>543</x:v>
      </x:c>
      <x:c r="D38" t="s">
        <x:v>319</x:v>
      </x:c>
      <x:c r="E38" t="s">
        <x:v>488</x:v>
      </x:c>
      <x:c r="F38" t="s">
        <x:v>599</x:v>
      </x:c>
      <x:c r="G38" t="s">
        <x:v>549</x:v>
      </x:c>
      <x:c r="H38" t="s">
        <x:v>473</x:v>
      </x:c>
    </x:row>
    <x:row r="39" ht="15.75" customHeight="1">
      <x:c r="A39" t="n">
        <x:v>33</x:v>
      </x:c>
      <x:c r="B39" t="s">
        <x:v>63</x:v>
      </x:c>
      <x:c r="C39" t="s">
        <x:v>488</x:v>
      </x:c>
      <x:c r="D39" t="s">
        <x:v>323</x:v>
      </x:c>
      <x:c r="E39" t="s">
        <x:v>543</x:v>
      </x:c>
      <x:c r="F39" t="s">
        <x:v>550</x:v>
      </x:c>
      <x:c r="G39" t="s">
        <x:v>551</x:v>
      </x:c>
      <x:c r="H39" t="s">
        <x:v>473</x:v>
      </x:c>
    </x:row>
    <x:row r="40" ht="27.600000381469727" customHeight="1">
      <x:c r="A40" t="n">
        <x:v>34</x:v>
      </x:c>
      <x:c r="B40" t="s">
        <x:v>63</x:v>
      </x:c>
      <x:c r="C40" t="s">
        <x:v>543</x:v>
      </x:c>
      <x:c r="D40" t="s">
        <x:v>319</x:v>
      </x:c>
      <x:c r="E40" t="s">
        <x:v>500</x:v>
      </x:c>
      <x:c r="F40" t="s">
        <x:v>600</x:v>
      </x:c>
      <x:c r="G40" t="s">
        <x:v>601</x:v>
      </x:c>
      <x:c r="H40" t="s">
        <x:v>421</x:v>
      </x:c>
    </x:row>
    <x:row r="41">
      <x:c r="A41" t="n">
        <x:v>35</x:v>
      </x:c>
      <x:c r="B41" t="s">
        <x:v>63</x:v>
      </x:c>
      <x:c r="C41" t="s">
        <x:v>500</x:v>
      </x:c>
      <x:c r="D41" t="s">
        <x:v>319</x:v>
      </x:c>
      <x:c r="E41" t="s">
        <x:v>503</x:v>
      </x:c>
      <x:c r="F41" t="s">
        <x:v>602</x:v>
      </x:c>
      <x:c r="G41" t="s">
        <x:v>603</x:v>
      </x:c>
      <x:c r="H41" t="s">
        <x:v>421</x:v>
      </x:c>
    </x:row>
    <x:row r="42">
      <x:c r="A42" t="n">
        <x:v>36</x:v>
      </x:c>
      <x:c r="B42" t="s">
        <x:v>63</x:v>
      </x:c>
      <x:c r="C42" t="s">
        <x:v>503</x:v>
      </x:c>
      <x:c r="D42" t="s">
        <x:v>323</x:v>
      </x:c>
      <x:c r="E42" t="s">
        <x:v>500</x:v>
      </x:c>
      <x:c r="F42" t="s">
        <x:v>556</x:v>
      </x:c>
      <x:c r="G42" t="s">
        <x:v>604</x:v>
      </x:c>
      <x:c r="H42" t="s">
        <x:v>421</x:v>
      </x:c>
    </x:row>
    <x:row r="43">
      <x:c r="A43" t="n">
        <x:v>37</x:v>
      </x:c>
      <x:c r="B43" t="s">
        <x:v>63</x:v>
      </x:c>
      <x:c r="C43" t="s">
        <x:v>500</x:v>
      </x:c>
      <x:c r="D43" t="s">
        <x:v>323</x:v>
      </x:c>
      <x:c r="E43" t="s">
        <x:v>543</x:v>
      </x:c>
      <x:c r="F43" t="s">
        <x:v>558</x:v>
      </x:c>
      <x:c r="G43" t="s">
        <x:v>605</x:v>
      </x:c>
      <x:c r="H43" t="s">
        <x:v>421</x:v>
      </x:c>
    </x:row>
    <x:row r="44">
      <x:c r="A44" t="n">
        <x:v>38</x:v>
      </x:c>
      <x:c r="B44" t="s">
        <x:v>63</x:v>
      </x:c>
      <x:c r="C44" t="s">
        <x:v>543</x:v>
      </x:c>
      <x:c r="D44" t="s">
        <x:v>319</x:v>
      </x:c>
      <x:c r="E44" t="s">
        <x:v>560</x:v>
      </x:c>
      <x:c r="F44" t="s">
        <x:v>606</x:v>
      </x:c>
      <x:c r="G44" t="s">
        <x:v>607</x:v>
      </x:c>
      <x:c r="H44" t="s">
        <x:v>473</x:v>
      </x:c>
    </x:row>
    <x:row r="45">
      <x:c r="A45" t="n">
        <x:v>39</x:v>
      </x:c>
      <x:c r="B45" t="s">
        <x:v>63</x:v>
      </x:c>
      <x:c r="C45" t="s">
        <x:v>560</x:v>
      </x:c>
      <x:c r="D45" t="s">
        <x:v>319</x:v>
      </x:c>
      <x:c r="E45" t="s">
        <x:v>563</x:v>
      </x:c>
      <x:c r="F45" t="s">
        <x:v>608</x:v>
      </x:c>
      <x:c r="G45" t="s">
        <x:v>609</x:v>
      </x:c>
      <x:c r="H45" t="s">
        <x:v>473</x:v>
      </x:c>
    </x:row>
    <x:row r="46">
      <x:c r="A46" t="n">
        <x:v>40</x:v>
      </x:c>
      <x:c r="B46" t="s">
        <x:v>63</x:v>
      </x:c>
      <x:c r="C46" t="s">
        <x:v>563</x:v>
      </x:c>
      <x:c r="D46" t="s">
        <x:v>323</x:v>
      </x:c>
      <x:c r="E46" t="s">
        <x:v>560</x:v>
      </x:c>
      <x:c r="F46" t="s">
        <x:v>566</x:v>
      </x:c>
      <x:c r="G46" t="s">
        <x:v>610</x:v>
      </x:c>
      <x:c r="H46" t="s">
        <x:v>473</x:v>
      </x:c>
    </x:row>
    <x:row r="47">
      <x:c r="A47" t="n">
        <x:v>41</x:v>
      </x:c>
      <x:c r="B47" t="s">
        <x:v>63</x:v>
      </x:c>
      <x:c r="C47" t="s">
        <x:v>560</x:v>
      </x:c>
      <x:c r="D47" t="s">
        <x:v>323</x:v>
      </x:c>
      <x:c r="E47" t="s">
        <x:v>543</x:v>
      </x:c>
      <x:c r="F47" t="s">
        <x:v>566</x:v>
      </x:c>
      <x:c r="G47" t="s">
        <x:v>611</x:v>
      </x:c>
      <x:c r="H47" t="s">
        <x:v>473</x:v>
      </x:c>
    </x:row>
    <x:row r="48">
      <x:c r="A48" t="n">
        <x:v>42</x:v>
      </x:c>
      <x:c r="B48" t="s">
        <x:v>63</x:v>
      </x:c>
      <x:c r="C48" t="s">
        <x:v>543</x:v>
      </x:c>
      <x:c r="D48" t="s">
        <x:v>319</x:v>
      </x:c>
      <x:c r="E48" t="s">
        <x:v>569</x:v>
      </x:c>
      <x:c r="F48" t="s">
        <x:v>612</x:v>
      </x:c>
      <x:c r="G48" t="s">
        <x:v>613</x:v>
      </x:c>
      <x:c r="H48" t="s">
        <x:v>473</x:v>
      </x:c>
    </x:row>
    <x:row r="49">
      <x:c r="A49" t="n">
        <x:v>43</x:v>
      </x:c>
      <x:c r="B49" t="s">
        <x:v>63</x:v>
      </x:c>
      <x:c r="C49" t="s">
        <x:v>569</x:v>
      </x:c>
      <x:c r="D49" t="s">
        <x:v>319</x:v>
      </x:c>
      <x:c r="E49" t="s">
        <x:v>572</x:v>
      </x:c>
      <x:c r="F49" t="s">
        <x:v>614</x:v>
      </x:c>
      <x:c r="G49" t="s">
        <x:v>615</x:v>
      </x:c>
      <x:c r="H49" t="s">
        <x:v>473</x:v>
      </x:c>
    </x:row>
    <x:row r="50">
      <x:c r="A50" t="n">
        <x:v>44</x:v>
      </x:c>
      <x:c r="B50" t="s">
        <x:v>63</x:v>
      </x:c>
      <x:c r="C50" t="s">
        <x:v>572</x:v>
      </x:c>
      <x:c r="D50" t="s">
        <x:v>323</x:v>
      </x:c>
      <x:c r="E50" t="s">
        <x:v>569</x:v>
      </x:c>
      <x:c r="F50" t="s">
        <x:v>575</x:v>
      </x:c>
      <x:c r="G50" t="s">
        <x:v>616</x:v>
      </x:c>
      <x:c r="H50" t="s">
        <x:v>473</x:v>
      </x:c>
    </x:row>
    <x:row r="51">
      <x:c r="A51" t="n">
        <x:v>45</x:v>
      </x:c>
      <x:c r="B51" t="s">
        <x:v>63</x:v>
      </x:c>
      <x:c r="C51" t="s">
        <x:v>569</x:v>
      </x:c>
      <x:c r="D51" t="s">
        <x:v>323</x:v>
      </x:c>
      <x:c r="E51" t="s">
        <x:v>543</x:v>
      </x:c>
      <x:c r="F51" t="s">
        <x:v>575</x:v>
      </x:c>
      <x:c r="G51" t="s">
        <x:v>617</x:v>
      </x:c>
      <x:c r="H51" t="s">
        <x:v>473</x:v>
      </x:c>
    </x:row>
    <x:row r="52" ht="28.799999237060547">
      <x:c r="A52" t="n">
        <x:v>46</x:v>
      </x:c>
      <x:c r="B52" t="s">
        <x:v>63</x:v>
      </x:c>
      <x:c r="C52" t="s">
        <x:v>543</x:v>
      </x:c>
      <x:c r="D52" t="s">
        <x:v>404</x:v>
      </x:c>
      <x:c r="E52" t="s">
        <x:v>543</x:v>
      </x:c>
      <x:c r="F52" t="s">
        <x:v>578</x:v>
      </x:c>
      <x:c r="G52" t="s">
        <x:v>579</x:v>
      </x:c>
      <x:c r="H52" t="s">
        <x:v>421</x:v>
      </x:c>
    </x:row>
    <x:row r="53">
      <x:c r="A53" t="n">
        <x:v>47</x:v>
      </x:c>
      <x:c r="B53" t="s">
        <x:v>63</x:v>
      </x:c>
      <x:c r="C53" t="s">
        <x:v>543</x:v>
      </x:c>
      <x:c r="D53" t="s">
        <x:v>404</x:v>
      </x:c>
      <x:c r="E53" t="s">
        <x:v>543</x:v>
      </x:c>
      <x:c r="F53" t="s">
        <x:v>580</x:v>
      </x:c>
      <x:c r="G53" t="s">
        <x:v>618</x:v>
      </x:c>
      <x:c r="H53" t="s">
        <x:v>421</x:v>
      </x:c>
    </x:row>
    <x:row r="54">
      <x:c r="A54" t="s">
        <x:v>619</x:v>
      </x:c>
      <x:c r="B54"/>
      <x:c r="C54"/>
      <x:c r="D54"/>
      <x:c r="E54"/>
      <x:c r="F54"/>
      <x:c r="G54"/>
      <x:c r="H54"/>
    </x:row>
    <x:row r="55" ht="28.799999237060547">
      <x:c r="A55" t="n">
        <x:v>48</x:v>
      </x:c>
      <x:c r="B55" t="s">
        <x:v>81</x:v>
      </x:c>
      <x:c r="C55" t="s">
        <x:v>543</x:v>
      </x:c>
      <x:c r="D55" t="s">
        <x:v>319</x:v>
      </x:c>
      <x:c r="E55" t="s">
        <x:v>424</x:v>
      </x:c>
      <x:c r="F55" t="s">
        <x:v>620</x:v>
      </x:c>
      <x:c r="G55" t="s">
        <x:v>621</x:v>
      </x:c>
      <x:c r="H55" t="s">
        <x:v>421</x:v>
      </x:c>
    </x:row>
    <x:row r="56" ht="28.799999237060547">
      <x:c r="A56" t="n">
        <x:v>49</x:v>
      </x:c>
      <x:c r="B56" t="s">
        <x:v>81</x:v>
      </x:c>
      <x:c r="C56" t="s">
        <x:v>424</x:v>
      </x:c>
      <x:c r="D56" t="s">
        <x:v>319</x:v>
      </x:c>
      <x:c r="E56" t="s">
        <x:v>11</x:v>
      </x:c>
      <x:c r="F56" t="s">
        <x:v>622</x:v>
      </x:c>
      <x:c r="G56" t="s">
        <x:v>623</x:v>
      </x:c>
      <x:c r="H56" t="s">
        <x:v>421</x:v>
      </x:c>
    </x:row>
    <x:row r="57">
      <x:c r="A57"/>
      <x:c r="B57"/>
    </x:row>
  </x:sheetData>
  <x:mergeCells>
    <x:mergeCell ref="A54:G54"/>
    <x:mergeCell ref="A1:G1"/>
    <x:mergeCell ref="A4:G4"/>
    <x:mergeCell ref="A2:G2"/>
    <x:mergeCell ref="A8:G8"/>
    <x:mergeCell ref="A32:G3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9.6640625" defaultRowHeight="14.399999618530273"/>
  <x:cols>
    <x:col min="1" max="1" width="3" style="171" hidden="0" customWidth="1"/>
    <x:col min="2" max="2" width="7.88671875" style="171" hidden="0" customWidth="1"/>
    <x:col min="3" max="3" width="32.33203125" style="171" hidden="0" customWidth="1"/>
    <x:col min="4" max="4" width="26.6640625" style="171" hidden="0" customWidth="1"/>
    <x:col min="5" max="5" width="32.33203125" style="171" hidden="0" customWidth="1"/>
    <x:col min="6" max="6" width="83.33203125" style="171" hidden="0" customWidth="1"/>
    <x:col min="7" max="7" width="90" style="171" hidden="0" customWidth="1"/>
    <x:col min="8" max="16384" width="9.6640625" style="171" customWidth="0"/>
    <x:col min="8" max="8" width="17" hidden="0" customWidth="1"/>
    <x:col min="9" max="9" width="58" hidden="0" customWidth="1"/>
  </x:cols>
  <x:sheetData>
    <x:row r="1" ht="21.600000381469727" customHeight="1">
      <x:c r="A1" t="s">
        <x:v>624</x:v>
      </x:c>
      <x:c r="B1"/>
      <x:c r="C1"/>
      <x:c r="D1"/>
      <x:c r="E1"/>
      <x:c r="F1"/>
      <x:c r="G1"/>
      <x:c r="H1"/>
    </x:row>
    <x:row r="2" ht="14.399999618530273" customHeight="1">
      <x:c r="A2" t="s">
        <x:v>625</x:v>
      </x:c>
      <x:c r="B2"/>
      <x:c r="C2"/>
      <x:c r="D2"/>
      <x:c r="E2"/>
      <x:c r="F2"/>
      <x:c r="G2" t="str">
        <x:v> | ACUERDOS 25/10/26: sesión validada por Spring Boot; cuenta SUSPENDIDA bloquea operaciones protegidas; FREE asignado por RF01 en transacción sin trigger.</x:v>
      </x:c>
      <x:c r="H2"/>
    </x:row>
    <x:row r="3" ht="14.399999618530273" customHeight="1">
      <x:c r="A3" t="s">
        <x:v>2</x:v>
      </x:c>
      <x:c r="B3" t="s">
        <x:v>3</x:v>
      </x:c>
      <x:c r="C3" t="s">
        <x:v>4</x:v>
      </x:c>
      <x:c r="D3" t="s">
        <x:v>5</x:v>
      </x:c>
      <x:c r="E3" t="s">
        <x:v>6</x:v>
      </x:c>
      <x:c r="F3" t="s">
        <x:v>7</x:v>
      </x:c>
      <x:c r="G3" t="s">
        <x:v>8</x:v>
      </x:c>
      <x:c r="H3" t="s">
        <x:v>417</x:v>
      </x:c>
      <x:c r="I3" t="str">
        <x:v>CONDICIÓN RF65 (NO MVP)</x:v>
      </x:c>
    </x:row>
    <x:row r="4" ht="14.399999618530273" customHeight="1">
      <x:c r="A4" t="s">
        <x:v>626</x:v>
      </x:c>
      <x:c r="B4"/>
      <x:c r="C4"/>
      <x:c r="D4"/>
      <x:c r="E4"/>
      <x:c r="F4"/>
      <x:c r="G4"/>
      <x:c r="H4"/>
    </x:row>
    <x:row r="5" ht="14.399999618530273" customHeight="1">
      <x:c r="A5" t="n">
        <x:v>1</x:v>
      </x:c>
      <x:c r="B5" t="s">
        <x:v>10</x:v>
      </x:c>
      <x:c r="C5" t="s">
        <x:v>11</x:v>
      </x:c>
      <x:c r="D5" t="s">
        <x:v>319</x:v>
      </x:c>
      <x:c r="E5" t="s">
        <x:v>424</x:v>
      </x:c>
      <x:c r="F5" t="s">
        <x:v>627</x:v>
      </x:c>
      <x:c r="G5" t="s">
        <x:v>628</x:v>
      </x:c>
      <x:c r="H5" t="s">
        <x:v>421</x:v>
      </x:c>
      <x:c r="I5" s="1071" t="str">
        <x:v>RF65 POST-MVP · CONDICIONADO A APROBACIÓN. Detalle: consultar solo vehículos propios VIGENTES, incluso por URL antigua. Acción Eliminar inicia RF65 solo cuando esté aprobado; no confundir con RF12. Sin aprobación no aplicar filtros ni cambios de BD por RF65.</x:v>
      </x:c>
    </x:row>
    <x:row r="6" ht="14.399999618530273" customHeight="1">
      <x:c r="A6" t="n">
        <x:v>2</x:v>
      </x:c>
      <x:c r="B6" t="s">
        <x:v>10</x:v>
      </x:c>
      <x:c r="C6" t="s">
        <x:v>424</x:v>
      </x:c>
      <x:c r="D6" t="s">
        <x:v>319</x:v>
      </x:c>
      <x:c r="E6" t="s">
        <x:v>629</x:v>
      </x:c>
      <x:c r="F6" t="str">
        <x:v>solicitarDetalleVehiculo(idVehiculo)</x:v>
      </x:c>
      <x:c r="G6" t="str">
        <x:v>Android envía el idVehiculo seleccionado; Spring Boot extrae idUsuario de la sesión y verifica propiedad antes de devolver el detalle.</x:v>
      </x:c>
      <x:c r="H6" t="s">
        <x:v>421</x:v>
      </x:c>
    </x:row>
    <x:row r="7" ht="14.399999618530273" customHeight="1">
      <x:c r="A7" t="n">
        <x:v>3</x:v>
      </x:c>
      <x:c r="B7" t="s">
        <x:v>10</x:v>
      </x:c>
      <x:c r="C7" t="s">
        <x:v>629</x:v>
      </x:c>
      <x:c r="D7" t="s">
        <x:v>319</x:v>
      </x:c>
      <x:c r="E7" t="s">
        <x:v>440</x:v>
      </x:c>
      <x:c r="F7" t="s">
        <x:v>630</x:v>
      </x:c>
      <x:c r="G7" t="s">
        <x:v>631</x:v>
      </x:c>
      <x:c r="H7" t="s">
        <x:v>421</x:v>
      </x:c>
    </x:row>
    <x:row r="8" ht="52.79999923706055" customHeight="1">
      <x:c r="A8" t="n">
        <x:v>4</x:v>
      </x:c>
      <x:c r="B8" t="s">
        <x:v>10</x:v>
      </x:c>
      <x:c r="C8" t="s">
        <x:v>440</x:v>
      </x:c>
      <x:c r="D8" t="s">
        <x:v>323</x:v>
      </x:c>
      <x:c r="E8" t="s">
        <x:v>629</x:v>
      </x:c>
      <x:c r="F8" t="s">
        <x:v>632</x:v>
      </x:c>
      <x:c r="G8" t="s">
        <x:v>633</x:v>
      </x:c>
      <x:c r="H8" t="s">
        <x:v>421</x:v>
      </x:c>
    </x:row>
    <x:row r="9" ht="14.399999618530273" customHeight="1">
      <x:c r="A9" t="n">
        <x:v>5</x:v>
      </x:c>
      <x:c r="B9" t="s">
        <x:v>10</x:v>
      </x:c>
      <x:c r="C9" t="s">
        <x:v>629</x:v>
      </x:c>
      <x:c r="D9" t="s">
        <x:v>404</x:v>
      </x:c>
      <x:c r="E9" t="s">
        <x:v>629</x:v>
      </x:c>
      <x:c r="F9" t="s">
        <x:v>634</x:v>
      </x:c>
      <x:c r="G9" t="s">
        <x:v>635</x:v>
      </x:c>
      <x:c r="H9" t="s">
        <x:v>421</x:v>
      </x:c>
    </x:row>
    <x:row r="10" ht="14.399999618530273" customHeight="1">
      <x:c r="A10" t="s">
        <x:v>636</x:v>
      </x:c>
      <x:c r="B10"/>
      <x:c r="C10"/>
      <x:c r="D10"/>
      <x:c r="E10"/>
      <x:c r="F10"/>
      <x:c r="G10"/>
      <x:c r="H10"/>
    </x:row>
    <x:row r="11" ht="14.399999618530273" customHeight="1">
      <x:c r="A11" t="n">
        <x:v>6</x:v>
      </x:c>
      <x:c r="B11" t="s">
        <x:v>33</x:v>
      </x:c>
      <x:c r="C11" t="s">
        <x:v>629</x:v>
      </x:c>
      <x:c r="D11" t="s">
        <x:v>319</x:v>
      </x:c>
      <x:c r="E11" t="s">
        <x:v>500</x:v>
      </x:c>
      <x:c r="F11" t="s">
        <x:v>637</x:v>
      </x:c>
      <x:c r="G11" t="s">
        <x:v>638</x:v>
      </x:c>
      <x:c r="H11" t="s">
        <x:v>421</x:v>
      </x:c>
    </x:row>
    <x:row r="12" ht="14.399999618530273" customHeight="1">
      <x:c r="A12" t="n">
        <x:v>7</x:v>
      </x:c>
      <x:c r="B12" t="s">
        <x:v>33</x:v>
      </x:c>
      <x:c r="C12" t="s">
        <x:v>500</x:v>
      </x:c>
      <x:c r="D12" t="s">
        <x:v>319</x:v>
      </x:c>
      <x:c r="E12" t="s">
        <x:v>503</x:v>
      </x:c>
      <x:c r="F12" t="s">
        <x:v>639</x:v>
      </x:c>
      <x:c r="G12" t="s">
        <x:v>640</x:v>
      </x:c>
      <x:c r="H12" t="s">
        <x:v>421</x:v>
      </x:c>
    </x:row>
    <x:row r="13" ht="14.399999618530273" customHeight="1">
      <x:c r="A13" t="n">
        <x:v>8</x:v>
      </x:c>
      <x:c r="B13" t="s">
        <x:v>33</x:v>
      </x:c>
      <x:c r="C13" t="s">
        <x:v>503</x:v>
      </x:c>
      <x:c r="D13" t="s">
        <x:v>323</x:v>
      </x:c>
      <x:c r="E13" t="s">
        <x:v>500</x:v>
      </x:c>
      <x:c r="F13" t="s">
        <x:v>641</x:v>
      </x:c>
      <x:c r="G13" t="s">
        <x:v>642</x:v>
      </x:c>
      <x:c r="H13" t="s">
        <x:v>421</x:v>
      </x:c>
    </x:row>
    <x:row r="14" ht="14.399999618530273" customHeight="1">
      <x:c r="A14" t="n">
        <x:v>9</x:v>
      </x:c>
      <x:c r="B14" t="s">
        <x:v>33</x:v>
      </x:c>
      <x:c r="C14" t="s">
        <x:v>500</x:v>
      </x:c>
      <x:c r="D14" t="s">
        <x:v>323</x:v>
      </x:c>
      <x:c r="E14" t="s">
        <x:v>629</x:v>
      </x:c>
      <x:c r="F14" t="s">
        <x:v>641</x:v>
      </x:c>
      <x:c r="G14" t="s">
        <x:v>643</x:v>
      </x:c>
      <x:c r="H14" t="s">
        <x:v>421</x:v>
      </x:c>
    </x:row>
    <x:row r="15" ht="14.399999618530273" customHeight="1">
      <x:c r="A15" t="s">
        <x:v>644</x:v>
      </x:c>
      <x:c r="B15"/>
      <x:c r="C15"/>
      <x:c r="D15"/>
      <x:c r="E15"/>
      <x:c r="F15"/>
      <x:c r="G15"/>
      <x:c r="H15"/>
    </x:row>
    <x:row r="16" ht="14.399999618530273" customHeight="1">
      <x:c r="A16" t="n">
        <x:v>10</x:v>
      </x:c>
      <x:c r="B16" t="s">
        <x:v>63</x:v>
      </x:c>
      <x:c r="C16" t="s">
        <x:v>629</x:v>
      </x:c>
      <x:c r="D16" t="s">
        <x:v>319</x:v>
      </x:c>
      <x:c r="E16" t="s">
        <x:v>560</x:v>
      </x:c>
      <x:c r="F16" t="s">
        <x:v>645</x:v>
      </x:c>
      <x:c r="G16" t="s">
        <x:v>646</x:v>
      </x:c>
      <x:c r="H16" t="s">
        <x:v>473</x:v>
      </x:c>
    </x:row>
    <x:row r="17" ht="14.399999618530273" customHeight="1">
      <x:c r="A17" t="n">
        <x:v>11</x:v>
      </x:c>
      <x:c r="B17" t="s">
        <x:v>63</x:v>
      </x:c>
      <x:c r="C17" t="s">
        <x:v>560</x:v>
      </x:c>
      <x:c r="D17" t="s">
        <x:v>319</x:v>
      </x:c>
      <x:c r="E17" t="s">
        <x:v>563</x:v>
      </x:c>
      <x:c r="F17" t="s">
        <x:v>647</x:v>
      </x:c>
      <x:c r="G17" t="s">
        <x:v>648</x:v>
      </x:c>
      <x:c r="H17" t="s">
        <x:v>473</x:v>
      </x:c>
    </x:row>
    <x:row r="18" ht="14.399999618530273" customHeight="1">
      <x:c r="A18" t="n">
        <x:v>12</x:v>
      </x:c>
      <x:c r="B18" t="s">
        <x:v>63</x:v>
      </x:c>
      <x:c r="C18" t="s">
        <x:v>563</x:v>
      </x:c>
      <x:c r="D18" t="s">
        <x:v>323</x:v>
      </x:c>
      <x:c r="E18" t="s">
        <x:v>560</x:v>
      </x:c>
      <x:c r="F18" t="s">
        <x:v>649</x:v>
      </x:c>
      <x:c r="G18" t="s">
        <x:v>650</x:v>
      </x:c>
      <x:c r="H18" t="s">
        <x:v>473</x:v>
      </x:c>
    </x:row>
    <x:row r="19" ht="14.399999618530273" customHeight="1">
      <x:c r="A19" t="n">
        <x:v>13</x:v>
      </x:c>
      <x:c r="B19" t="s">
        <x:v>63</x:v>
      </x:c>
      <x:c r="C19" t="s">
        <x:v>560</x:v>
      </x:c>
      <x:c r="D19" t="s">
        <x:v>323</x:v>
      </x:c>
      <x:c r="E19" t="s">
        <x:v>629</x:v>
      </x:c>
      <x:c r="F19" t="s">
        <x:v>651</x:v>
      </x:c>
      <x:c r="G19" t="s">
        <x:v>652</x:v>
      </x:c>
      <x:c r="H19" t="s">
        <x:v>473</x:v>
      </x:c>
    </x:row>
    <x:row r="20" ht="14.399999618530273" customHeight="1">
      <x:c r="A20" t="s">
        <x:v>653</x:v>
      </x:c>
      <x:c r="B20"/>
      <x:c r="C20"/>
      <x:c r="D20"/>
      <x:c r="E20"/>
      <x:c r="F20"/>
      <x:c r="G20"/>
      <x:c r="H20"/>
    </x:row>
    <x:row r="21" ht="14.399999618530273" customHeight="1">
      <x:c r="A21" t="n">
        <x:v>14</x:v>
      </x:c>
      <x:c r="B21" t="s">
        <x:v>81</x:v>
      </x:c>
      <x:c r="C21" t="s">
        <x:v>629</x:v>
      </x:c>
      <x:c r="D21" t="s">
        <x:v>319</x:v>
      </x:c>
      <x:c r="E21" t="s">
        <x:v>569</x:v>
      </x:c>
      <x:c r="F21" t="s">
        <x:v>654</x:v>
      </x:c>
      <x:c r="G21" t="s">
        <x:v>655</x:v>
      </x:c>
      <x:c r="H21" t="s">
        <x:v>473</x:v>
      </x:c>
    </x:row>
    <x:row r="22" ht="14.399999618530273" customHeight="1">
      <x:c r="A22" t="n">
        <x:v>15</x:v>
      </x:c>
      <x:c r="B22" t="s">
        <x:v>81</x:v>
      </x:c>
      <x:c r="C22" t="s">
        <x:v>569</x:v>
      </x:c>
      <x:c r="D22" t="s">
        <x:v>319</x:v>
      </x:c>
      <x:c r="E22" t="s">
        <x:v>572</x:v>
      </x:c>
      <x:c r="F22" t="s">
        <x:v>656</x:v>
      </x:c>
      <x:c r="G22" t="s">
        <x:v>657</x:v>
      </x:c>
      <x:c r="H22" t="s">
        <x:v>473</x:v>
      </x:c>
    </x:row>
    <x:row r="23" ht="14.399999618530273" customHeight="1">
      <x:c r="A23" t="n">
        <x:v>16</x:v>
      </x:c>
      <x:c r="B23" t="s">
        <x:v>81</x:v>
      </x:c>
      <x:c r="C23" t="s">
        <x:v>572</x:v>
      </x:c>
      <x:c r="D23" t="s">
        <x:v>323</x:v>
      </x:c>
      <x:c r="E23" t="s">
        <x:v>569</x:v>
      </x:c>
      <x:c r="F23" t="s">
        <x:v>658</x:v>
      </x:c>
      <x:c r="G23" t="s">
        <x:v>659</x:v>
      </x:c>
      <x:c r="H23" t="s">
        <x:v>473</x:v>
      </x:c>
    </x:row>
    <x:row r="24" ht="24" customHeight="1">
      <x:c r="A24" t="n">
        <x:v>17</x:v>
      </x:c>
      <x:c r="B24" t="s">
        <x:v>81</x:v>
      </x:c>
      <x:c r="C24" t="s">
        <x:v>569</x:v>
      </x:c>
      <x:c r="D24" t="s">
        <x:v>323</x:v>
      </x:c>
      <x:c r="E24" t="s">
        <x:v>629</x:v>
      </x:c>
      <x:c r="F24" t="s">
        <x:v>660</x:v>
      </x:c>
      <x:c r="G24" t="s">
        <x:v>661</x:v>
      </x:c>
      <x:c r="H24" t="s">
        <x:v>473</x:v>
      </x:c>
    </x:row>
    <x:row r="25" ht="14.399999618530273" customHeight="1">
      <x:c r="A25" t="s">
        <x:v>662</x:v>
      </x:c>
      <x:c r="B25"/>
      <x:c r="C25"/>
      <x:c r="D25"/>
      <x:c r="E25"/>
      <x:c r="F25"/>
      <x:c r="G25"/>
      <x:c r="H25"/>
    </x:row>
    <x:row r="26" ht="14.399999618530273" customHeight="1">
      <x:c r="A26" t="n">
        <x:v>18</x:v>
      </x:c>
      <x:c r="B26" t="s">
        <x:v>110</x:v>
      </x:c>
      <x:c r="C26" t="s">
        <x:v>629</x:v>
      </x:c>
      <x:c r="D26" t="s">
        <x:v>319</x:v>
      </x:c>
      <x:c r="E26" t="s">
        <x:v>488</x:v>
      </x:c>
      <x:c r="F26" t="s">
        <x:v>663</x:v>
      </x:c>
      <x:c r="G26" t="s">
        <x:v>664</x:v>
      </x:c>
      <x:c r="H26" t="s">
        <x:v>473</x:v>
      </x:c>
    </x:row>
    <x:row r="27" ht="14.399999618530273" customHeight="1">
      <x:c r="A27" t="n">
        <x:v>19</x:v>
      </x:c>
      <x:c r="B27" t="s">
        <x:v>110</x:v>
      </x:c>
      <x:c r="C27" t="s">
        <x:v>488</x:v>
      </x:c>
      <x:c r="D27" t="s">
        <x:v>319</x:v>
      </x:c>
      <x:c r="E27" t="s">
        <x:v>665</x:v>
      </x:c>
      <x:c r="F27" t="s">
        <x:v>666</x:v>
      </x:c>
      <x:c r="G27" t="s">
        <x:v>667</x:v>
      </x:c>
      <x:c r="H27" t="s">
        <x:v>473</x:v>
      </x:c>
    </x:row>
    <x:row r="28" ht="14.399999618530273" customHeight="1">
      <x:c r="A28" t="n">
        <x:v>20</x:v>
      </x:c>
      <x:c r="B28" t="s">
        <x:v>110</x:v>
      </x:c>
      <x:c r="C28" t="s">
        <x:v>665</x:v>
      </x:c>
      <x:c r="D28" t="s">
        <x:v>323</x:v>
      </x:c>
      <x:c r="E28" t="s">
        <x:v>488</x:v>
      </x:c>
      <x:c r="F28" t="s">
        <x:v>668</x:v>
      </x:c>
      <x:c r="G28" t="s">
        <x:v>669</x:v>
      </x:c>
      <x:c r="H28" t="s">
        <x:v>473</x:v>
      </x:c>
    </x:row>
    <x:row r="29" ht="14.399999618530273" customHeight="1">
      <x:c r="A29" t="n">
        <x:v>21</x:v>
      </x:c>
      <x:c r="B29" t="s">
        <x:v>110</x:v>
      </x:c>
      <x:c r="C29" t="s">
        <x:v>488</x:v>
      </x:c>
      <x:c r="D29" t="s">
        <x:v>323</x:v>
      </x:c>
      <x:c r="E29" t="s">
        <x:v>629</x:v>
      </x:c>
      <x:c r="F29" t="s">
        <x:v>668</x:v>
      </x:c>
      <x:c r="G29" t="s">
        <x:v>670</x:v>
      </x:c>
      <x:c r="H29" t="s">
        <x:v>473</x:v>
      </x:c>
    </x:row>
    <x:row r="30" ht="39.599998474121094" customHeight="1">
      <x:c r="A30" t="n">
        <x:v>22</x:v>
      </x:c>
      <x:c r="B30" t="s">
        <x:v>110</x:v>
      </x:c>
      <x:c r="C30" t="s">
        <x:v>629</x:v>
      </x:c>
      <x:c r="D30" t="s">
        <x:v>404</x:v>
      </x:c>
      <x:c r="E30" t="s">
        <x:v>629</x:v>
      </x:c>
      <x:c r="F30" t="s">
        <x:v>671</x:v>
      </x:c>
      <x:c r="G30" t="s">
        <x:v>672</x:v>
      </x:c>
      <x:c r="H30" t="s">
        <x:v>421</x:v>
      </x:c>
    </x:row>
    <x:row r="31" ht="14.399999618530273" customHeight="1">
      <x:c r="A31" t="s">
        <x:v>673</x:v>
      </x:c>
      <x:c r="B31"/>
      <x:c r="C31"/>
      <x:c r="D31"/>
      <x:c r="E31"/>
      <x:c r="F31"/>
      <x:c r="G31"/>
      <x:c r="H31"/>
    </x:row>
    <x:row r="32" ht="26.399999618530273" customHeight="1">
      <x:c r="A32" t="n">
        <x:v>23</x:v>
      </x:c>
      <x:c r="B32" t="s">
        <x:v>143</x:v>
      </x:c>
      <x:c r="C32" t="s">
        <x:v>629</x:v>
      </x:c>
      <x:c r="D32" t="s">
        <x:v>319</x:v>
      </x:c>
      <x:c r="E32" t="s">
        <x:v>674</x:v>
      </x:c>
      <x:c r="F32" t="s">
        <x:v>675</x:v>
      </x:c>
      <x:c r="G32" t="s">
        <x:v>676</x:v>
      </x:c>
      <x:c r="H32" t="s">
        <x:v>421</x:v>
      </x:c>
    </x:row>
    <x:row r="33" ht="39.599998474121094" customHeight="1">
      <x:c r="A33" t="n">
        <x:v>24</x:v>
      </x:c>
      <x:c r="B33" t="s">
        <x:v>143</x:v>
      </x:c>
      <x:c r="C33" t="s">
        <x:v>674</x:v>
      </x:c>
      <x:c r="D33" t="s">
        <x:v>319</x:v>
      </x:c>
      <x:c r="E33" t="s">
        <x:v>11</x:v>
      </x:c>
      <x:c r="F33" t="s">
        <x:v>677</x:v>
      </x:c>
      <x:c r="G33" t="s">
        <x:v>678</x:v>
      </x:c>
      <x:c r="H33" t="s">
        <x:v>421</x:v>
      </x:c>
    </x:row>
  </x:sheetData>
  <x:mergeCells>
    <x:mergeCell ref="A20:G20"/>
    <x:mergeCell ref="A25:G25"/>
    <x:mergeCell ref="A31:G31"/>
    <x:mergeCell ref="A1:G1"/>
    <x:mergeCell ref="A2:G2"/>
    <x:mergeCell ref="A4:G4"/>
    <x:mergeCell ref="A10:G10"/>
    <x:mergeCell ref="A15:G15"/>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9.6640625" defaultRowHeight="14.399999618530273"/>
  <x:cols>
    <x:col min="1" max="1" width="3" style="171" customWidth="1"/>
    <x:col min="2" max="2" width="7.88671875" style="171" customWidth="1"/>
    <x:col min="3" max="3" width="31.109375" style="171" customWidth="1"/>
    <x:col min="4" max="4" width="21.109375" style="171" customWidth="1"/>
    <x:col min="5" max="5" width="32.33203125" style="171" customWidth="1"/>
    <x:col min="6" max="6" width="58.88671875" style="171" customWidth="1"/>
    <x:col min="7" max="7" width="111.109375" style="171" customWidth="1"/>
    <x:col min="8" max="16384" width="9.6640625" style="171" customWidth="0"/>
    <x:col min="8" max="8" width="58" hidden="0" customWidth="1"/>
  </x:cols>
  <x:sheetData>
    <x:row r="1" ht="33" customHeight="1">
      <x:c r="A1" s="391" t="s">
        <x:v>679</x:v>
      </x:c>
      <x:c r="B1" s="391"/>
      <x:c r="C1" s="391"/>
      <x:c r="D1" s="391"/>
      <x:c r="E1" s="391"/>
      <x:c r="F1" s="391"/>
      <x:c r="G1" s="391"/>
    </x:row>
    <x:row r="2" ht="27" customHeight="1">
      <x:c r="A2" s="394" t="s">
        <x:v>680</x:v>
      </x:c>
      <x:c r="B2" s="394"/>
      <x:c r="C2" s="394"/>
      <x:c r="D2" s="394"/>
      <x:c r="E2" s="394"/>
      <x:c r="F2" s="394"/>
      <x:c r="G2" s="394"/>
    </x:row>
    <x:row r="3" ht="28.049999237060547" customHeight="1">
      <x:c r="A3" s="185" t="s">
        <x:v>2</x:v>
      </x:c>
      <x:c r="B3" s="185" t="s">
        <x:v>3</x:v>
      </x:c>
      <x:c r="C3" s="185" t="s">
        <x:v>4</x:v>
      </x:c>
      <x:c r="D3" s="185" t="s">
        <x:v>5</x:v>
      </x:c>
      <x:c r="E3" s="185" t="s">
        <x:v>6</x:v>
      </x:c>
      <x:c r="F3" s="185" t="s">
        <x:v>7</x:v>
      </x:c>
      <x:c r="G3" s="185" t="s">
        <x:v>8</x:v>
      </x:c>
      <x:c r="H3" t="str">
        <x:v>CONDICIÓN RF65 (NO MVP)</x:v>
      </x:c>
    </x:row>
    <x:row r="4" ht="25.049999237060547" customHeight="1">
      <x:c r="A4" s="393" t="s">
        <x:v>681</x:v>
      </x:c>
      <x:c r="B4" s="393"/>
      <x:c r="C4" s="393"/>
      <x:c r="D4" s="393"/>
      <x:c r="E4" s="393"/>
      <x:c r="F4" s="393"/>
      <x:c r="G4" s="393"/>
    </x:row>
    <x:row r="5" ht="49.20000076293945" customHeight="1">
      <x:c r="A5" s="186">
        <x:v>1</x:v>
      </x:c>
      <x:c r="B5" s="186" t="s">
        <x:v>10</x:v>
      </x:c>
      <x:c r="C5" s="182" t="s">
        <x:v>11</x:v>
      </x:c>
      <x:c r="D5" s="182" t="s">
        <x:v>319</x:v>
      </x:c>
      <x:c r="E5" s="182" t="s">
        <x:v>674</x:v>
      </x:c>
      <x:c r="F5" s="182" t="s">
        <x:v>193</x:v>
      </x:c>
      <x:c r="G5" s="182" t="s">
        <x:v>682</x:v>
      </x:c>
      <x:c r="H5" s="1071" t="str">
        <x:v>RF65 POST-MVP · CONDICIONADO A APROBACIÓN. Edición de vehículo: validar estado_registro=VIGENTE en servidor antes de modificar; un ELIMINADO no es editable. Sin aprobación no aplicar filtros ni cambios de BD por RF65.</x:v>
      </x:c>
    </x:row>
    <x:row r="6" ht="49.20000076293945" customHeight="1">
      <x:c r="A6" s="186">
        <x:v>2</x:v>
      </x:c>
      <x:c r="B6" s="186" t="s">
        <x:v>10</x:v>
      </x:c>
      <x:c r="C6" s="183" t="s">
        <x:v>674</x:v>
      </x:c>
      <x:c r="D6" s="183" t="s">
        <x:v>319</x:v>
      </x:c>
      <x:c r="E6" s="183" t="s">
        <x:v>683</x:v>
      </x:c>
      <x:c r="F6" s="183" t="s">
        <x:v>684</x:v>
      </x:c>
      <x:c r="G6" s="183" t="s">
        <x:v>685</x:v>
      </x:c>
    </x:row>
    <x:row r="7" ht="49.20000076293945" customHeight="1">
      <x:c r="A7" s="186">
        <x:v>3</x:v>
      </x:c>
      <x:c r="B7" s="186" t="s">
        <x:v>10</x:v>
      </x:c>
      <x:c r="C7" s="182" t="s">
        <x:v>683</x:v>
      </x:c>
      <x:c r="D7" s="182" t="s">
        <x:v>319</x:v>
      </x:c>
      <x:c r="E7" s="182" t="s">
        <x:v>440</x:v>
      </x:c>
      <x:c r="F7" s="182" t="s">
        <x:v>686</x:v>
      </x:c>
      <x:c r="G7" s="182" t="s">
        <x:v>687</x:v>
      </x:c>
    </x:row>
    <x:row r="8" ht="70.19999694824219" customHeight="1">
      <x:c r="A8" s="186">
        <x:v>4</x:v>
      </x:c>
      <x:c r="B8" s="186" t="s">
        <x:v>10</x:v>
      </x:c>
      <x:c r="C8" s="183" t="s">
        <x:v>440</x:v>
      </x:c>
      <x:c r="D8" s="183" t="s">
        <x:v>323</x:v>
      </x:c>
      <x:c r="E8" s="183" t="s">
        <x:v>683</x:v>
      </x:c>
      <x:c r="F8" s="184" t="s">
        <x:v>632</x:v>
      </x:c>
      <x:c r="G8" s="184" t="str">
        <x:v>La entidad devuelve únicamente los datos del vehículo del usuario: placa, marca, modelo, usoVehiculo, anioFabricacion, color, tipoMotor, combustible cuando corresponda, tipoAceite, numeroVin, numeroSerie, numeroMotor, especificaciones «Otro» cuando existan y estado. Los campos no aplicables al tipo eléctrico se consideran nulos; la imagen y el kilometraje se consultan por separado. Incluye indicador tieneTIVE derivado por idVehiculo (consulta por FK) para permitir o bloquear la edición ordinaria del VIN.</x:v>
      </x:c>
    </x:row>
    <x:row r="9" ht="70.19999694824219" customHeight="1">
      <x:c r="A9" s="186">
        <x:v>5</x:v>
      </x:c>
      <x:c r="B9" s="186" t="s">
        <x:v>10</x:v>
      </x:c>
      <x:c r="C9" s="182" t="s">
        <x:v>683</x:v>
      </x:c>
      <x:c r="D9" s="182" t="s">
        <x:v>319</x:v>
      </x:c>
      <x:c r="E9" s="182" t="s">
        <x:v>488</x:v>
      </x:c>
      <x:c r="F9" s="184" t="s">
        <x:v>688</x:v>
      </x:c>
      <x:c r="G9" s="184" t="s">
        <x:v>689</x:v>
      </x:c>
    </x:row>
    <x:row r="10" ht="49.20000076293945" customHeight="1">
      <x:c r="A10" s="186">
        <x:v>6</x:v>
      </x:c>
      <x:c r="B10" s="186" t="s">
        <x:v>10</x:v>
      </x:c>
      <x:c r="C10" s="183" t="s">
        <x:v>488</x:v>
      </x:c>
      <x:c r="D10" s="183" t="s">
        <x:v>323</x:v>
      </x:c>
      <x:c r="E10" s="183" t="s">
        <x:v>683</x:v>
      </x:c>
      <x:c r="F10" s="183" t="s">
        <x:v>690</x:v>
      </x:c>
      <x:c r="G10" s="183" t="s">
        <x:v>691</x:v>
      </x:c>
    </x:row>
    <x:row r="11" ht="49.20000076293945" customHeight="1">
      <x:c r="A11" s="186">
        <x:v>7</x:v>
      </x:c>
      <x:c r="B11" s="186" t="s">
        <x:v>10</x:v>
      </x:c>
      <x:c r="C11" s="182" t="s">
        <x:v>683</x:v>
      </x:c>
      <x:c r="D11" s="182" t="s">
        <x:v>404</x:v>
      </x:c>
      <x:c r="E11" s="182" t="s">
        <x:v>683</x:v>
      </x:c>
      <x:c r="F11" s="182" t="s">
        <x:v>692</x:v>
      </x:c>
      <x:c r="G11" s="182" t="s">
        <x:v>693</x:v>
      </x:c>
    </x:row>
    <x:row r="12" ht="25.049999237060547" customHeight="1">
      <x:c r="A12" s="393" t="s">
        <x:v>694</x:v>
      </x:c>
      <x:c r="B12" s="393"/>
      <x:c r="C12" s="393"/>
      <x:c r="D12" s="393"/>
      <x:c r="E12" s="393"/>
      <x:c r="F12" s="393"/>
      <x:c r="G12" s="393"/>
    </x:row>
    <x:row r="13" ht="49.20000076293945" customHeight="1">
      <x:c r="A13" s="186">
        <x:v>8</x:v>
      </x:c>
      <x:c r="B13" s="186" t="s">
        <x:v>33</x:v>
      </x:c>
      <x:c r="C13" s="183" t="s">
        <x:v>683</x:v>
      </x:c>
      <x:c r="D13" s="183" t="s">
        <x:v>319</x:v>
      </x:c>
      <x:c r="E13" s="183" t="s">
        <x:v>500</x:v>
      </x:c>
      <x:c r="F13" s="183" t="s">
        <x:v>695</x:v>
      </x:c>
      <x:c r="G13" s="183" t="s">
        <x:v>696</x:v>
      </x:c>
    </x:row>
    <x:row r="14" ht="49.20000076293945" customHeight="1">
      <x:c r="A14" s="186">
        <x:v>9</x:v>
      </x:c>
      <x:c r="B14" s="186" t="s">
        <x:v>33</x:v>
      </x:c>
      <x:c r="C14" s="182" t="s">
        <x:v>500</x:v>
      </x:c>
      <x:c r="D14" s="182" t="s">
        <x:v>319</x:v>
      </x:c>
      <x:c r="E14" s="182" t="s">
        <x:v>503</x:v>
      </x:c>
      <x:c r="F14" s="182" t="s">
        <x:v>697</x:v>
      </x:c>
      <x:c r="G14" s="182" t="s">
        <x:v>698</x:v>
      </x:c>
    </x:row>
    <x:row r="15" ht="49.20000076293945" customHeight="1">
      <x:c r="A15" s="186">
        <x:v>10</x:v>
      </x:c>
      <x:c r="B15" s="186" t="s">
        <x:v>33</x:v>
      </x:c>
      <x:c r="C15" s="183" t="s">
        <x:v>503</x:v>
      </x:c>
      <x:c r="D15" s="183" t="s">
        <x:v>323</x:v>
      </x:c>
      <x:c r="E15" s="183" t="s">
        <x:v>500</x:v>
      </x:c>
      <x:c r="F15" s="183" t="s">
        <x:v>641</x:v>
      </x:c>
      <x:c r="G15" s="183" t="s">
        <x:v>642</x:v>
      </x:c>
    </x:row>
    <x:row r="16" ht="49.20000076293945" customHeight="1">
      <x:c r="A16" s="186">
        <x:v>11</x:v>
      </x:c>
      <x:c r="B16" s="186" t="s">
        <x:v>33</x:v>
      </x:c>
      <x:c r="C16" s="182" t="s">
        <x:v>500</x:v>
      </x:c>
      <x:c r="D16" s="182" t="s">
        <x:v>323</x:v>
      </x:c>
      <x:c r="E16" s="182" t="s">
        <x:v>683</x:v>
      </x:c>
      <x:c r="F16" s="182" t="s">
        <x:v>699</x:v>
      </x:c>
      <x:c r="G16" s="182" t="s">
        <x:v>700</x:v>
      </x:c>
    </x:row>
    <x:row r="17" ht="70.19999694824219" customHeight="1">
      <x:c r="A17" s="186">
        <x:v>12</x:v>
      </x:c>
      <x:c r="B17" s="186" t="s">
        <x:v>33</x:v>
      </x:c>
      <x:c r="C17" s="183" t="s">
        <x:v>683</x:v>
      </x:c>
      <x:c r="D17" s="183" t="s">
        <x:v>319</x:v>
      </x:c>
      <x:c r="E17" s="183" t="s">
        <x:v>701</x:v>
      </x:c>
      <x:c r="F17" s="184" t="s">
        <x:v>702</x:v>
      </x:c>
      <x:c r="G17" s="184" t="str">
        <x:v>El controlador carga I_EdicionVehiculo con datos actuales, fotografía visible y botón «Gestionar foto», placa y kilometraje en solo lectura, además de los campos editables incluido color. La fotografía se gestiona en otro RF. Si tieneTIVE=true, numeroVin se presenta en SOLO LECTURA; se muestra una indicación de corrección controlada fuera del guardado ordinario de RF11. Si no hay TIVE, VIN permanece opcional/editable.</x:v>
      </x:c>
    </x:row>
    <x:row r="18" ht="70.19999694824219" customHeight="1">
      <x:c r="A18" s="186">
        <x:v>13</x:v>
      </x:c>
      <x:c r="B18" s="186" t="s">
        <x:v>33</x:v>
      </x:c>
      <x:c r="C18" s="182" t="s">
        <x:v>701</x:v>
      </x:c>
      <x:c r="D18" s="182" t="s">
        <x:v>319</x:v>
      </x:c>
      <x:c r="E18" s="182" t="s">
        <x:v>11</x:v>
      </x:c>
      <x:c r="F18" s="184" t="s">
        <x:v>703</x:v>
      </x:c>
      <x:c r="G18" s="184" t="str">
        <x:v>Muestra marca, modelo y color como textos editables, y selectores de uso, motor, combustible y aceite con opción «Otro». Permite editar año, numeroSerie y numeroMotor cuando aplique. VIN solo es editable si tieneTIVE=false; si existe TIVE, se presenta bloqueado. La placa y el kilometraje vigente son de solo lectura; la foto se gestiona en otro RF.</x:v>
      </x:c>
    </x:row>
    <x:row r="19" ht="25.049999237060547" customHeight="1">
      <x:c r="A19" s="393" t="s">
        <x:v>704</x:v>
      </x:c>
      <x:c r="B19" s="393"/>
      <x:c r="C19" s="393"/>
      <x:c r="D19" s="393"/>
      <x:c r="E19" s="393"/>
      <x:c r="F19" s="393"/>
      <x:c r="G19" s="393"/>
    </x:row>
    <x:row r="20" ht="70.19999694824219" customHeight="1">
      <x:c r="A20" s="186">
        <x:v>14</x:v>
      </x:c>
      <x:c r="B20" s="186" t="s">
        <x:v>63</x:v>
      </x:c>
      <x:c r="C20" s="183" t="s">
        <x:v>11</x:v>
      </x:c>
      <x:c r="D20" s="183" t="s">
        <x:v>319</x:v>
      </x:c>
      <x:c r="E20" s="183" t="s">
        <x:v>701</x:v>
      </x:c>
      <x:c r="F20" s="184" t="s">
        <x:v>705</x:v>
      </x:c>
      <x:c r="G20" s="184" t="str">
        <x:v>El usuario modifica uno o más campos permitidos (por ejemplo marca, modelo, uso, año, color, identificación adicional o datos de motor). La placa, el kilometraje y la fotografía no se cambian dentro de RF11. VIN no puede cambiar por esta ruta cuando tieneTIVE=true. Una corrección documental debe tramitarse por procedimiento controlado futuro y no se simula como modificación común.</x:v>
      </x:c>
    </x:row>
    <x:row r="21" ht="70.19999694824219" customHeight="1">
      <x:c r="A21" s="186">
        <x:v>15</x:v>
      </x:c>
      <x:c r="B21" s="186" t="s">
        <x:v>63</x:v>
      </x:c>
      <x:c r="C21" s="182" t="s">
        <x:v>701</x:v>
      </x:c>
      <x:c r="D21" s="182" t="s">
        <x:v>319</x:v>
      </x:c>
      <x:c r="E21" s="182" t="s">
        <x:v>11</x:v>
      </x:c>
      <x:c r="F21" s="184" t="s">
        <x:v>706</x:v>
      </x:c>
      <x:c r="G21" s="184" t="s">
        <x:v>707</x:v>
      </x:c>
    </x:row>
    <x:row r="22" ht="49.20000076293945" customHeight="1">
      <x:c r="A22" s="186">
        <x:v>16</x:v>
      </x:c>
      <x:c r="B22" s="186" t="s">
        <x:v>63</x:v>
      </x:c>
      <x:c r="C22" s="183" t="s">
        <x:v>11</x:v>
      </x:c>
      <x:c r="D22" s="183" t="s">
        <x:v>319</x:v>
      </x:c>
      <x:c r="E22" s="183" t="s">
        <x:v>701</x:v>
      </x:c>
      <x:c r="F22" s="183" t="s">
        <x:v>708</x:v>
      </x:c>
      <x:c r="G22" s="183" t="s">
        <x:v>709</x:v>
      </x:c>
    </x:row>
    <x:row r="23" ht="70.19999694824219" customHeight="1">
      <x:c r="A23" s="186">
        <x:v>17</x:v>
      </x:c>
      <x:c r="B23" s="186" t="s">
        <x:v>63</x:v>
      </x:c>
      <x:c r="C23" s="182" t="s">
        <x:v>701</x:v>
      </x:c>
      <x:c r="D23" s="182" t="s">
        <x:v>319</x:v>
      </x:c>
      <x:c r="E23" s="182" t="s">
        <x:v>683</x:v>
      </x:c>
      <x:c r="F23" s="184" t="s">
        <x:v>710</x:v>
      </x:c>
      <x:c r="G23" s="184" t="str">
        <x:v>I_EdicionVehiculo envía los campos editables modificados y el idVehiculo. Los valores no modificados permanecen en datosActuales para integrar el formulario completo antes de la validación. El servidor no acepta una alteración de numeroVin cuando el vehículo tiene TIVE, aunque la aplicación haya sido manipulada; idVehiculo se toma como referencia fija.</x:v>
      </x:c>
    </x:row>
    <x:row r="24" ht="70.19999694824219" customHeight="1">
      <x:c r="A24" s="186">
        <x:v>18</x:v>
      </x:c>
      <x:c r="B24" s="186" t="s">
        <x:v>63</x:v>
      </x:c>
      <x:c r="C24" s="183" t="s">
        <x:v>683</x:v>
      </x:c>
      <x:c r="D24" s="183" t="s">
        <x:v>404</x:v>
      </x:c>
      <x:c r="E24" s="183" t="s">
        <x:v>683</x:v>
      </x:c>
      <x:c r="F24" s="184" t="s">
        <x:v>711</x:v>
      </x:c>
      <x:c r="G24" s="184" t="str">
        <x:v>El controlador combina los cambios recibidos con los datos actuales, comprueba que el vehículo esté Activo y que exista al menos una modificación real; obtiene datosConsolidados para validar todos los campos obligatorios sin exigir que vuelvan a enviarse los no modificados. El conjunto consolidado mantiene idVehiculo e idUsuario originales; los datos de identidad o propiedad nunca forman parte de los campos editables.</x:v>
      </x:c>
    </x:row>
    <x:row r="25" ht="70.19999694824219" customHeight="1">
      <x:c r="A25" s="186">
        <x:v>19</x:v>
      </x:c>
      <x:c r="B25" s="186" t="s">
        <x:v>63</x:v>
      </x:c>
      <x:c r="C25" s="182" t="s">
        <x:v>683</x:v>
      </x:c>
      <x:c r="D25" s="182" t="s">
        <x:v>319</x:v>
      </x:c>
      <x:c r="E25" s="182" t="s">
        <x:v>456</x:v>
      </x:c>
      <x:c r="F25" s="184" t="s">
        <x:v>712</x:v>
      </x:c>
      <x:c r="G25" s="184" t="s">
        <x:v>713</x:v>
      </x:c>
    </x:row>
    <x:row r="26" ht="70.19999694824219" customHeight="1">
      <x:c r="A26" s="186">
        <x:v>20</x:v>
      </x:c>
      <x:c r="B26" s="186" t="s">
        <x:v>63</x:v>
      </x:c>
      <x:c r="C26" s="183" t="s">
        <x:v>456</x:v>
      </x:c>
      <x:c r="D26" s="183" t="s">
        <x:v>404</x:v>
      </x:c>
      <x:c r="E26" s="183" t="s">
        <x:v>456</x:v>
      </x:c>
      <x:c r="F26" s="184" t="s">
        <x:v>714</x:v>
      </x:c>
      <x:c r="G26" s="184" t="s">
        <x:v>715</x:v>
      </x:c>
    </x:row>
    <x:row r="27" ht="70.19999694824219" customHeight="1">
      <x:c r="A27" s="186">
        <x:v>21</x:v>
      </x:c>
      <x:c r="B27" s="186" t="s">
        <x:v>63</x:v>
      </x:c>
      <x:c r="C27" s="182" t="s">
        <x:v>456</x:v>
      </x:c>
      <x:c r="D27" s="182" t="s">
        <x:v>404</x:v>
      </x:c>
      <x:c r="E27" s="182" t="s">
        <x:v>456</x:v>
      </x:c>
      <x:c r="F27" s="184" t="s">
        <x:v>463</x:v>
      </x:c>
      <x:c r="G27" s="184" t="s">
        <x:v>716</x:v>
      </x:c>
    </x:row>
    <x:row r="28" ht="70.19999694824219" customHeight="1">
      <x:c r="A28" s="186">
        <x:v>22</x:v>
      </x:c>
      <x:c r="B28" s="186" t="s">
        <x:v>63</x:v>
      </x:c>
      <x:c r="C28" s="183" t="s">
        <x:v>456</x:v>
      </x:c>
      <x:c r="D28" s="183" t="s">
        <x:v>404</x:v>
      </x:c>
      <x:c r="E28" s="183" t="s">
        <x:v>456</x:v>
      </x:c>
      <x:c r="F28" s="184" t="s">
        <x:v>717</x:v>
      </x:c>
      <x:c r="G28" s="184" t="s">
        <x:v>718</x:v>
      </x:c>
    </x:row>
    <x:row r="29" ht="70.19999694824219" customHeight="1">
      <x:c r="A29" s="186">
        <x:v>23</x:v>
      </x:c>
      <x:c r="B29" s="186" t="s">
        <x:v>63</x:v>
      </x:c>
      <x:c r="C29" s="182" t="s">
        <x:v>456</x:v>
      </x:c>
      <x:c r="D29" s="182" t="s">
        <x:v>323</x:v>
      </x:c>
      <x:c r="E29" s="182" t="s">
        <x:v>683</x:v>
      </x:c>
      <x:c r="F29" s="184" t="s">
        <x:v>468</x:v>
      </x:c>
      <x:c r="G29" s="184" t="s">
        <x:v>719</x:v>
      </x:c>
    </x:row>
    <x:row r="30" ht="70.19999694824219" customHeight="1">
      <x:c r="A30" s="186">
        <x:v>24</x:v>
      </x:c>
      <x:c r="B30" s="186" t="s">
        <x:v>63</x:v>
      </x:c>
      <x:c r="C30" s="183" t="s">
        <x:v>683</x:v>
      </x:c>
      <x:c r="D30" s="183" t="s">
        <x:v>319</x:v>
      </x:c>
      <x:c r="E30" s="183" t="s">
        <x:v>440</x:v>
      </x:c>
      <x:c r="F30" s="184" t="str">
        <x:v>verificarEdicionVINPermitidaYUnica(idVehiculo,numeroVinActual,numeroVinPropuesto)</x:v>
      </x:c>
      <x:c r="G30" s="184" t="str">
        <x:v>En RF11, si numeroVin cambia, el servidor comprueba EN TRANSACCIÓN: (1) TIVE inexistente para idVehiculo; (2) VIN globalmente disponible si informado. Si TIVE existe, RF11 BLOQUEA el cambio, incluso si lo intenta por API. Corrección excepcional se tramita por SOPORTE con revisión documental en un procedimiento separado todavía NO incluido en RF01–RF64.</x:v>
      </x:c>
    </x:row>
    <x:row r="31" ht="70.19999694824219" customHeight="1">
      <x:c r="A31" s="186">
        <x:v>25</x:v>
      </x:c>
      <x:c r="B31" s="186" t="s">
        <x:v>63</x:v>
      </x:c>
      <x:c r="C31" s="182" t="s">
        <x:v>440</x:v>
      </x:c>
      <x:c r="D31" s="182" t="s">
        <x:v>323</x:v>
      </x:c>
      <x:c r="E31" s="182" t="s">
        <x:v>683</x:v>
      </x:c>
      <x:c r="F31" s="184" t="str">
        <x:v>retornarPermisoEdicionVIN(puedeEditar,existeTIVE,vinDisponible)</x:v>
      </x:c>
      <x:c r="G31" s="184" t="str">
        <x:v>Devuelve permiso verdadero únicamente si el VIN sigue igual, o si el VIN cambia sin TIVE existente y no colisiona con otro VIN informado. La validación se repite al guardar bajo bloqueo/versión para evitar carreras con RF54.</x:v>
      </x:c>
    </x:row>
    <x:row r="32" ht="25.049999237060547" customHeight="1">
      <x:c r="A32" s="393" t="s">
        <x:v>720</x:v>
      </x:c>
      <x:c r="B32" s="393"/>
      <x:c r="C32" s="393"/>
      <x:c r="D32" s="393"/>
      <x:c r="E32" s="393"/>
      <x:c r="F32" s="393"/>
      <x:c r="G32" s="393"/>
    </x:row>
    <x:row r="33" ht="70.19999694824219" customHeight="1">
      <x:c r="A33" s="186">
        <x:v>26</x:v>
      </x:c>
      <x:c r="B33" s="186" t="s">
        <x:v>81</x:v>
      </x:c>
      <x:c r="C33" s="183" t="s">
        <x:v>683</x:v>
      </x:c>
      <x:c r="D33" s="183" t="s">
        <x:v>404</x:v>
      </x:c>
      <x:c r="E33" s="183" t="s">
        <x:v>683</x:v>
      </x:c>
      <x:c r="F33" s="184" t="s">
        <x:v>721</x:v>
      </x:c>
      <x:c r="G33" s="184" t="str">
        <x:v>Confirma que todos los datos consolidados y la unicidad del VIN, cuando corresponda, son válidos. Si se cambia a ELÉCTRICO, prepara la limpieza de numeroMotor, combustible, tipoAceite y especificaciones asociadas. Si se elige «Otro», exige y conserva el texto especificado. Se deniega el éxito cuando se intentó modificar VIN con TIVE registrada; esta decisión NO cambia los demás campos editables.</x:v>
      </x:c>
    </x:row>
    <x:row r="34" ht="70.19999694824219" customHeight="1">
      <x:c r="A34" s="186">
        <x:v>27</x:v>
      </x:c>
      <x:c r="B34" s="186" t="s">
        <x:v>81</x:v>
      </x:c>
      <x:c r="C34" s="182" t="s">
        <x:v>683</x:v>
      </x:c>
      <x:c r="D34" s="182" t="s">
        <x:v>319</x:v>
      </x:c>
      <x:c r="E34" s="182" t="s">
        <x:v>440</x:v>
      </x:c>
      <x:c r="F34" s="184" t="s">
        <x:v>722</x:v>
      </x:c>
      <x:c r="G34" s="184" t="str">
        <x:v>Actualiza en E_Vehiculo únicamente los datos generales editables: marca, modelo, usoVehiculo, anioFabricacion, color, tipoMotor, combustible y tipoAceite cuando apliquen, numeroVin, numeroSerie, numeroMotor y textos «Otro». Si ahora es ELÉCTRICO, guarda nulos en numeroMotor, combustible, tipoAceite y especificaciones correspondientes. No modifica placa, foto ni kilometraje. Antes del UPDATE, bajo transacción, revalida que si numeroVin cambió NO exista TIVE para idVehiculo y que el nuevo valor UNIQUE esté libre; no reemplaza idVehiculo. Si ya existe TIVE, se prohíbe cambiar o borrar numeroVin en edición ordinaria.</x:v>
      </x:c>
    </x:row>
    <x:row r="35" ht="70.19999694824219" customHeight="1">
      <x:c r="A35" s="186">
        <x:v>28</x:v>
      </x:c>
      <x:c r="B35" s="186" t="s">
        <x:v>81</x:v>
      </x:c>
      <x:c r="C35" s="183" t="s">
        <x:v>440</x:v>
      </x:c>
      <x:c r="D35" s="183" t="s">
        <x:v>323</x:v>
      </x:c>
      <x:c r="E35" s="183" t="s">
        <x:v>683</x:v>
      </x:c>
      <x:c r="F35" s="184" t="s">
        <x:v>723</x:v>
      </x:c>
      <x:c r="G35" s="184" t="s">
        <x:v>724</x:v>
      </x:c>
    </x:row>
    <x:row r="36" ht="25.049999237060547" customHeight="1">
      <x:c r="A36" s="393" t="s">
        <x:v>725</x:v>
      </x:c>
      <x:c r="B36" s="393"/>
      <x:c r="C36" s="393"/>
      <x:c r="D36" s="393"/>
      <x:c r="E36" s="393"/>
      <x:c r="F36" s="393"/>
      <x:c r="G36" s="393"/>
    </x:row>
    <x:row r="37" ht="70.19999694824219" customHeight="1">
      <x:c r="A37" s="186">
        <x:v>29</x:v>
      </x:c>
      <x:c r="B37" s="186" t="s">
        <x:v>110</x:v>
      </x:c>
      <x:c r="C37" s="182" t="s">
        <x:v>683</x:v>
      </x:c>
      <x:c r="D37" s="182" t="s">
        <x:v>319</x:v>
      </x:c>
      <x:c r="E37" s="182" t="s">
        <x:v>629</x:v>
      </x:c>
      <x:c r="F37" s="184" t="s">
        <x:v>726</x:v>
      </x:c>
      <x:c r="G37" s="184" t="s">
        <x:v>727</x:v>
      </x:c>
    </x:row>
    <x:row r="38" ht="70.19999694824219" customHeight="1">
      <x:c r="A38" s="186">
        <x:v>30</x:v>
      </x:c>
      <x:c r="B38" s="186" t="s">
        <x:v>110</x:v>
      </x:c>
      <x:c r="C38" s="183" t="s">
        <x:v>629</x:v>
      </x:c>
      <x:c r="D38" s="183" t="s">
        <x:v>323</x:v>
      </x:c>
      <x:c r="E38" s="183" t="s">
        <x:v>683</x:v>
      </x:c>
      <x:c r="F38" s="184" t="s">
        <x:v>728</x:v>
      </x:c>
      <x:c r="G38" s="184" t="s">
        <x:v>729</x:v>
      </x:c>
    </x:row>
    <x:row r="39" ht="70.19999694824219" customHeight="1">
      <x:c r="A39" s="186">
        <x:v>31</x:v>
      </x:c>
      <x:c r="B39" s="186" t="s">
        <x:v>110</x:v>
      </x:c>
      <x:c r="C39" s="182" t="s">
        <x:v>683</x:v>
      </x:c>
      <x:c r="D39" s="182" t="s">
        <x:v>319</x:v>
      </x:c>
      <x:c r="E39" s="182" t="s">
        <x:v>674</x:v>
      </x:c>
      <x:c r="F39" s="184" t="s">
        <x:v>730</x:v>
      </x:c>
      <x:c r="G39" s="184" t="s">
        <x:v>731</x:v>
      </x:c>
    </x:row>
    <x:row r="40" ht="70.19999694824219" customHeight="1">
      <x:c r="A40" s="186">
        <x:v>32</x:v>
      </x:c>
      <x:c r="B40" s="186" t="s">
        <x:v>110</x:v>
      </x:c>
      <x:c r="C40" s="183" t="s">
        <x:v>674</x:v>
      </x:c>
      <x:c r="D40" s="183" t="s">
        <x:v>319</x:v>
      </x:c>
      <x:c r="E40" s="183" t="s">
        <x:v>11</x:v>
      </x:c>
      <x:c r="F40" s="184" t="s">
        <x:v>732</x:v>
      </x:c>
      <x:c r="G40" s="184" t="s">
        <x:v>733</x:v>
      </x:c>
    </x:row>
  </x:sheetData>
  <x:mergeCells>
    <x:mergeCell ref="A32:G32"/>
    <x:mergeCell ref="A36:G36"/>
    <x:mergeCell ref="A1:G1"/>
    <x:mergeCell ref="A2:G2"/>
    <x:mergeCell ref="A4:G4"/>
    <x:mergeCell ref="A12:G12"/>
    <x:mergeCell ref="A19:G1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9.6640625" defaultRowHeight="14.399999618530273"/>
  <x:cols>
    <x:col min="1" max="1" width="3.33203125" style="171" customWidth="1"/>
    <x:col min="2" max="2" width="7.88671875" style="171" customWidth="1"/>
    <x:col min="3" max="3" width="33.33203125" style="171" customWidth="1"/>
    <x:col min="4" max="4" width="24.44140625" style="171" customWidth="1"/>
    <x:col min="5" max="5" width="33.33203125" style="171" customWidth="1"/>
    <x:col min="6" max="6" width="72.33203125" style="171" customWidth="1"/>
    <x:col min="7" max="7" width="105.5546875" style="171" customWidth="1"/>
    <x:col min="8" max="16384" width="9.6640625" style="171" customWidth="0"/>
    <x:col min="8" max="8" width="23" hidden="0" customWidth="1"/>
    <x:col min="9" max="9" width="58" hidden="0" customWidth="1"/>
  </x:cols>
  <x:sheetData>
    <x:row r="1" ht="39" customHeight="1">
      <x:c r="A1" s="396" t="s">
        <x:v>734</x:v>
      </x:c>
      <x:c r="B1" s="397"/>
      <x:c r="C1" s="397"/>
      <x:c r="D1" s="397"/>
      <x:c r="E1" s="397"/>
      <x:c r="F1" s="397"/>
      <x:c r="G1" s="397"/>
    </x:row>
    <x:row r="2" ht="28.049999237060547" customHeight="1">
      <x:c r="A2" s="398" t="s">
        <x:v>735</x:v>
      </x:c>
      <x:c r="B2" s="398"/>
      <x:c r="C2" s="398"/>
      <x:c r="D2" s="398"/>
      <x:c r="E2" s="398"/>
      <x:c r="F2" s="398"/>
      <x:c r="G2" s="398"/>
    </x:row>
    <x:row r="3">
      <x:c r="I3" t="str">
        <x:v>CONDICIÓN RF65 (NO MVP)</x:v>
      </x:c>
    </x:row>
    <x:row r="4" ht="30" customHeight="1">
      <x:c r="A4" s="190" t="s">
        <x:v>2</x:v>
      </x:c>
      <x:c r="B4" s="190" t="s">
        <x:v>3</x:v>
      </x:c>
      <x:c r="C4" s="190" t="s">
        <x:v>4</x:v>
      </x:c>
      <x:c r="D4" s="190" t="s">
        <x:v>5</x:v>
      </x:c>
      <x:c r="E4" s="190" t="s">
        <x:v>6</x:v>
      </x:c>
      <x:c r="F4" s="190" t="s">
        <x:v>7</x:v>
      </x:c>
      <x:c r="G4" s="190" t="s">
        <x:v>8</x:v>
      </x:c>
      <x:c r="H4" t="str">
        <x:v>ALCANCE 28/10</x:v>
      </x:c>
    </x:row>
    <x:row r="5" ht="27" customHeight="1">
      <x:c r="A5" s="399" t="s">
        <x:v>736</x:v>
      </x:c>
      <x:c r="B5" s="399"/>
      <x:c r="C5" s="399"/>
      <x:c r="D5" s="399"/>
      <x:c r="E5" s="399"/>
      <x:c r="F5" s="399"/>
      <x:c r="G5" s="399"/>
      <x:c r="I5" s="1071" t="str">
        <x:v>RF65 POST-MVP · CONDICIONADO A APROBACIÓN. Activación/desactivación: operar solo VIGENTES; RF65 no es una desactivación y puede dejar cero vehículos ACTIVOS (post-MVP). La sincronización RF23 ocurre solo al abrir Mis alertas en MVP. Sin aprobación no aplicar filtros ni cambios de BD por RF65.</x:v>
      </x:c>
    </x:row>
    <x:row r="6" ht="55.20000076293945" customHeight="1">
      <x:c r="A6" s="193">
        <x:v>1</x:v>
      </x:c>
      <x:c r="B6" s="193" t="s">
        <x:v>10</x:v>
      </x:c>
      <x:c r="C6" s="194" t="s">
        <x:v>11</x:v>
      </x:c>
      <x:c r="D6" s="194" t="s">
        <x:v>319</x:v>
      </x:c>
      <x:c r="E6" s="194" t="s">
        <x:v>674</x:v>
      </x:c>
      <x:c r="F6" s="194" t="s">
        <x:v>737</x:v>
      </x:c>
      <x:c r="G6" s="194" t="s">
        <x:v>738</x:v>
      </x:c>
    </x:row>
    <x:row r="7" ht="55.20000076293945" customHeight="1">
      <x:c r="A7" s="193">
        <x:v>2</x:v>
      </x:c>
      <x:c r="B7" s="193" t="s">
        <x:v>10</x:v>
      </x:c>
      <x:c r="C7" s="195" t="s">
        <x:v>674</x:v>
      </x:c>
      <x:c r="D7" s="195" t="s">
        <x:v>319</x:v>
      </x:c>
      <x:c r="E7" s="195" t="s">
        <x:v>739</x:v>
      </x:c>
      <x:c r="F7" s="195" t="s">
        <x:v>740</x:v>
      </x:c>
      <x:c r="G7" s="195" t="s">
        <x:v>741</x:v>
      </x:c>
    </x:row>
    <x:row r="8" ht="55.20000076293945" customHeight="1">
      <x:c r="A8" s="193">
        <x:v>3</x:v>
      </x:c>
      <x:c r="B8" s="193" t="s">
        <x:v>10</x:v>
      </x:c>
      <x:c r="C8" s="194" t="s">
        <x:v>739</x:v>
      </x:c>
      <x:c r="D8" s="194" t="s">
        <x:v>319</x:v>
      </x:c>
      <x:c r="E8" s="194" t="s">
        <x:v>440</x:v>
      </x:c>
      <x:c r="F8" s="194" t="s">
        <x:v>742</x:v>
      </x:c>
      <x:c r="G8" s="194" t="s">
        <x:v>743</x:v>
      </x:c>
    </x:row>
    <x:row r="9" ht="55.20000076293945" customHeight="1">
      <x:c r="A9" s="193">
        <x:v>4</x:v>
      </x:c>
      <x:c r="B9" s="193" t="s">
        <x:v>10</x:v>
      </x:c>
      <x:c r="C9" s="195" t="s">
        <x:v>440</x:v>
      </x:c>
      <x:c r="D9" s="195" t="s">
        <x:v>323</x:v>
      </x:c>
      <x:c r="E9" s="195" t="s">
        <x:v>739</x:v>
      </x:c>
      <x:c r="F9" s="195" t="s">
        <x:v>744</x:v>
      </x:c>
      <x:c r="G9" s="195" t="s">
        <x:v>745</x:v>
      </x:c>
    </x:row>
    <x:row r="10" ht="55.20000076293945" customHeight="1">
      <x:c r="A10" s="193">
        <x:v>5</x:v>
      </x:c>
      <x:c r="B10" s="193" t="s">
        <x:v>10</x:v>
      </x:c>
      <x:c r="C10" s="194" t="s">
        <x:v>739</x:v>
      </x:c>
      <x:c r="D10" s="194" t="s">
        <x:v>404</x:v>
      </x:c>
      <x:c r="E10" s="194" t="s">
        <x:v>739</x:v>
      </x:c>
      <x:c r="F10" s="194" t="s">
        <x:v>746</x:v>
      </x:c>
      <x:c r="G10" s="194" t="s">
        <x:v>747</x:v>
      </x:c>
    </x:row>
    <x:row r="11" ht="55.20000076293945" customHeight="1">
      <x:c r="A11" s="193">
        <x:v>6</x:v>
      </x:c>
      <x:c r="B11" s="193" t="s">
        <x:v>10</x:v>
      </x:c>
      <x:c r="C11" s="195" t="s">
        <x:v>739</x:v>
      </x:c>
      <x:c r="D11" s="195" t="s">
        <x:v>404</x:v>
      </x:c>
      <x:c r="E11" s="195" t="s">
        <x:v>739</x:v>
      </x:c>
      <x:c r="F11" s="195" t="s">
        <x:v>748</x:v>
      </x:c>
      <x:c r="G11" s="195" t="s">
        <x:v>749</x:v>
      </x:c>
    </x:row>
    <x:row r="12" ht="55.20000076293945" customHeight="1">
      <x:c r="A12" s="400" t="s">
        <x:v>750</x:v>
      </x:c>
      <x:c r="B12" s="400"/>
      <x:c r="C12" s="400"/>
      <x:c r="D12" s="400"/>
      <x:c r="E12" s="400"/>
      <x:c r="F12" s="400"/>
      <x:c r="G12" s="400"/>
    </x:row>
    <x:row r="13" ht="55.20000076293945" customHeight="1">
      <x:c r="A13" s="193">
        <x:v>7</x:v>
      </x:c>
      <x:c r="B13" s="193" t="s">
        <x:v>33</x:v>
      </x:c>
      <x:c r="C13" s="195" t="s">
        <x:v>739</x:v>
      </x:c>
      <x:c r="D13" s="195" t="s">
        <x:v>319</x:v>
      </x:c>
      <x:c r="E13" s="195" t="s">
        <x:v>751</x:v>
      </x:c>
      <x:c r="F13" s="195" t="s">
        <x:v>752</x:v>
      </x:c>
      <x:c r="G13" s="207" t="s">
        <x:v>753</x:v>
      </x:c>
    </x:row>
    <x:row r="14" ht="55.20000076293945" customHeight="1">
      <x:c r="A14" s="193">
        <x:v>8</x:v>
      </x:c>
      <x:c r="B14" s="193" t="s">
        <x:v>33</x:v>
      </x:c>
      <x:c r="C14" s="194" t="s">
        <x:v>751</x:v>
      </x:c>
      <x:c r="D14" s="194" t="s">
        <x:v>319</x:v>
      </x:c>
      <x:c r="E14" s="194" t="s">
        <x:v>754</x:v>
      </x:c>
      <x:c r="F14" s="207" t="s">
        <x:v>755</x:v>
      </x:c>
      <x:c r="G14" s="207" t="s">
        <x:v>756</x:v>
      </x:c>
    </x:row>
    <x:row r="15" ht="55.20000076293945" customHeight="1">
      <x:c r="A15" s="193">
        <x:v>9</x:v>
      </x:c>
      <x:c r="B15" s="193" t="s">
        <x:v>33</x:v>
      </x:c>
      <x:c r="C15" s="195" t="s">
        <x:v>754</x:v>
      </x:c>
      <x:c r="D15" s="195" t="s">
        <x:v>323</x:v>
      </x:c>
      <x:c r="E15" s="195" t="s">
        <x:v>751</x:v>
      </x:c>
      <x:c r="F15" s="207" t="s">
        <x:v>757</x:v>
      </x:c>
      <x:c r="G15" s="207" t="s">
        <x:v>758</x:v>
      </x:c>
    </x:row>
    <x:row r="16" ht="55.20000076293945" customHeight="1">
      <x:c r="A16" s="193">
        <x:v>10</x:v>
      </x:c>
      <x:c r="B16" s="193" t="s">
        <x:v>33</x:v>
      </x:c>
      <x:c r="C16" s="194" t="s">
        <x:v>751</x:v>
      </x:c>
      <x:c r="D16" s="194" t="s">
        <x:v>323</x:v>
      </x:c>
      <x:c r="E16" s="194" t="s">
        <x:v>739</x:v>
      </x:c>
      <x:c r="F16" s="207" t="s">
        <x:v>759</x:v>
      </x:c>
      <x:c r="G16" s="207" t="s">
        <x:v>760</x:v>
      </x:c>
    </x:row>
    <x:row r="17" ht="55.20000076293945" customHeight="1">
      <x:c r="A17" s="193">
        <x:v>11</x:v>
      </x:c>
      <x:c r="B17" s="193" t="s">
        <x:v>33</x:v>
      </x:c>
      <x:c r="C17" s="195" t="s">
        <x:v>739</x:v>
      </x:c>
      <x:c r="D17" s="195" t="s">
        <x:v>319</x:v>
      </x:c>
      <x:c r="E17" s="195" t="s">
        <x:v>440</x:v>
      </x:c>
      <x:c r="F17" s="195" t="s">
        <x:v>761</x:v>
      </x:c>
      <x:c r="G17" s="207" t="s">
        <x:v>762</x:v>
      </x:c>
    </x:row>
    <x:row r="18" ht="55.20000076293945" customHeight="1">
      <x:c r="A18" s="193">
        <x:v>12</x:v>
      </x:c>
      <x:c r="B18" s="193" t="s">
        <x:v>33</x:v>
      </x:c>
      <x:c r="C18" s="194" t="s">
        <x:v>440</x:v>
      </x:c>
      <x:c r="D18" s="194" t="s">
        <x:v>323</x:v>
      </x:c>
      <x:c r="E18" s="194" t="s">
        <x:v>739</x:v>
      </x:c>
      <x:c r="F18" s="194" t="s">
        <x:v>763</x:v>
      </x:c>
      <x:c r="G18" s="194" t="s">
        <x:v>764</x:v>
      </x:c>
    </x:row>
    <x:row r="19" ht="55.20000076293945" customHeight="1">
      <x:c r="A19" s="193">
        <x:v>13</x:v>
      </x:c>
      <x:c r="B19" s="193" t="s">
        <x:v>33</x:v>
      </x:c>
      <x:c r="C19" s="195" t="s">
        <x:v>739</x:v>
      </x:c>
      <x:c r="D19" s="195" t="s">
        <x:v>404</x:v>
      </x:c>
      <x:c r="E19" s="195" t="s">
        <x:v>739</x:v>
      </x:c>
      <x:c r="F19" s="195" t="s">
        <x:v>765</x:v>
      </x:c>
      <x:c r="G19" s="207" t="str">
        <x:v>ACTIVAR: FREE deniega segundo ACTIVO, conservando inactivos heredados. PREMIUM permite activar solo si activos + 1 no supera cupoVehiculosActivos configurado (o es ilimitado); revalidar plan y cupo en una transacción.</x:v>
      </x:c>
    </x:row>
    <x:row r="20" ht="55.20000076293945" customHeight="1">
      <x:c r="A20" s="193">
        <x:v>14</x:v>
      </x:c>
      <x:c r="B20" s="193" t="s">
        <x:v>33</x:v>
      </x:c>
      <x:c r="C20" s="194" t="s">
        <x:v>739</x:v>
      </x:c>
      <x:c r="D20" s="194" t="s">
        <x:v>404</x:v>
      </x:c>
      <x:c r="E20" s="194" t="s">
        <x:v>739</x:v>
      </x:c>
      <x:c r="F20" s="194" t="s">
        <x:v>766</x:v>
      </x:c>
      <x:c r="G20" s="194" t="s">
        <x:v>767</x:v>
      </x:c>
    </x:row>
    <x:row r="21" ht="55.20000076293945" customHeight="1">
      <x:c r="A21" s="400" t="s">
        <x:v>768</x:v>
      </x:c>
      <x:c r="B21" s="400"/>
      <x:c r="C21" s="400"/>
      <x:c r="D21" s="400"/>
      <x:c r="E21" s="400"/>
      <x:c r="F21" s="400"/>
      <x:c r="G21" s="400"/>
    </x:row>
    <x:row r="22" ht="55.20000076293945" customHeight="1">
      <x:c r="A22" s="193">
        <x:v>15</x:v>
      </x:c>
      <x:c r="B22" s="193" t="s">
        <x:v>63</x:v>
      </x:c>
      <x:c r="C22" s="194" t="s">
        <x:v>739</x:v>
      </x:c>
      <x:c r="D22" s="194" t="s">
        <x:v>319</x:v>
      </x:c>
      <x:c r="E22" s="194" t="s">
        <x:v>440</x:v>
      </x:c>
      <x:c r="F22" s="194" t="s">
        <x:v>769</x:v>
      </x:c>
      <x:c r="G22" s="194" t="s">
        <x:v>770</x:v>
      </x:c>
    </x:row>
    <x:row r="23" ht="55.20000076293945" customHeight="1">
      <x:c r="A23" s="193">
        <x:v>16</x:v>
      </x:c>
      <x:c r="B23" s="193" t="s">
        <x:v>63</x:v>
      </x:c>
      <x:c r="C23" s="195" t="s">
        <x:v>440</x:v>
      </x:c>
      <x:c r="D23" s="195" t="s">
        <x:v>323</x:v>
      </x:c>
      <x:c r="E23" s="195" t="s">
        <x:v>739</x:v>
      </x:c>
      <x:c r="F23" s="195" t="s">
        <x:v>771</x:v>
      </x:c>
      <x:c r="G23" s="195" t="s">
        <x:v>772</x:v>
      </x:c>
    </x:row>
    <x:row r="24" ht="55.20000076293945" customHeight="1">
      <x:c r="A24" s="193">
        <x:v>17</x:v>
      </x:c>
      <x:c r="B24" s="193" t="s">
        <x:v>63</x:v>
      </x:c>
      <x:c r="C24" s="194" t="s">
        <x:v>739</x:v>
      </x:c>
      <x:c r="D24" s="194" t="s">
        <x:v>404</x:v>
      </x:c>
      <x:c r="E24" s="194" t="s">
        <x:v>739</x:v>
      </x:c>
      <x:c r="F24" s="194" t="s">
        <x:v>773</x:v>
      </x:c>
      <x:c r="G24" s="194" t="s">
        <x:v>774</x:v>
      </x:c>
    </x:row>
    <x:row r="25" ht="55.20000076293945" customHeight="1">
      <x:c r="A25" s="395" t="s">
        <x:v>775</x:v>
      </x:c>
      <x:c r="B25" s="395"/>
      <x:c r="C25" s="395"/>
      <x:c r="D25" s="395"/>
      <x:c r="E25" s="395"/>
      <x:c r="F25" s="395"/>
      <x:c r="G25" s="395"/>
    </x:row>
    <x:row r="26" ht="55.20000076293945" customHeight="1">
      <x:c r="A26" s="193">
        <x:v>18</x:v>
      </x:c>
      <x:c r="B26" s="193" t="s">
        <x:v>81</x:v>
      </x:c>
      <x:c r="C26" s="194" t="s">
        <x:v>739</x:v>
      </x:c>
      <x:c r="D26" s="194" t="s">
        <x:v>319</x:v>
      </x:c>
      <x:c r="E26" s="194" t="s">
        <x:v>776</x:v>
      </x:c>
      <x:c r="F26" s="194" t="s">
        <x:v>777</x:v>
      </x:c>
      <x:c r="G26" s="194" t="s">
        <x:v>778</x:v>
      </x:c>
    </x:row>
    <x:row r="27" ht="55.20000076293945" customHeight="1">
      <x:c r="A27" s="193">
        <x:v>19</x:v>
      </x:c>
      <x:c r="B27" s="193" t="s">
        <x:v>81</x:v>
      </x:c>
      <x:c r="C27" s="195" t="s">
        <x:v>776</x:v>
      </x:c>
      <x:c r="D27" s="195" t="s">
        <x:v>319</x:v>
      </x:c>
      <x:c r="E27" s="195" t="s">
        <x:v>11</x:v>
      </x:c>
      <x:c r="F27" s="195" t="s">
        <x:v>779</x:v>
      </x:c>
      <x:c r="G27" s="195" t="s">
        <x:v>780</x:v>
      </x:c>
    </x:row>
    <x:row r="28" ht="55.20000076293945" customHeight="1">
      <x:c r="A28" s="193">
        <x:v>20</x:v>
      </x:c>
      <x:c r="B28" s="193" t="s">
        <x:v>81</x:v>
      </x:c>
      <x:c r="C28" s="194" t="s">
        <x:v>11</x:v>
      </x:c>
      <x:c r="D28" s="194" t="s">
        <x:v>319</x:v>
      </x:c>
      <x:c r="E28" s="194" t="s">
        <x:v>776</x:v>
      </x:c>
      <x:c r="F28" s="194" t="s">
        <x:v>781</x:v>
      </x:c>
      <x:c r="G28" s="194" t="s">
        <x:v>782</x:v>
      </x:c>
    </x:row>
    <x:row r="29" ht="55.20000076293945" customHeight="1">
      <x:c r="A29" s="193">
        <x:v>21</x:v>
      </x:c>
      <x:c r="B29" s="193" t="s">
        <x:v>81</x:v>
      </x:c>
      <x:c r="C29" s="195" t="s">
        <x:v>776</x:v>
      </x:c>
      <x:c r="D29" s="195" t="s">
        <x:v>319</x:v>
      </x:c>
      <x:c r="E29" s="195" t="s">
        <x:v>739</x:v>
      </x:c>
      <x:c r="F29" s="195" t="s">
        <x:v>783</x:v>
      </x:c>
      <x:c r="G29" s="195" t="s">
        <x:v>784</x:v>
      </x:c>
    </x:row>
    <x:row r="30" ht="55.20000076293945" customHeight="1">
      <x:c r="A30" s="193">
        <x:v>22</x:v>
      </x:c>
      <x:c r="B30" s="193" t="s">
        <x:v>81</x:v>
      </x:c>
      <x:c r="C30" s="194" t="s">
        <x:v>739</x:v>
      </x:c>
      <x:c r="D30" s="194" t="s">
        <x:v>404</x:v>
      </x:c>
      <x:c r="E30" s="194" t="s">
        <x:v>739</x:v>
      </x:c>
      <x:c r="F30" s="194" t="s">
        <x:v>785</x:v>
      </x:c>
      <x:c r="G30" s="194" t="s">
        <x:v>786</x:v>
      </x:c>
    </x:row>
    <x:row r="31" ht="55.20000076293945" customHeight="1">
      <x:c r="A31" s="193">
        <x:v>23</x:v>
      </x:c>
      <x:c r="B31" s="193" t="s">
        <x:v>81</x:v>
      </x:c>
      <x:c r="C31" s="195" t="s">
        <x:v>739</x:v>
      </x:c>
      <x:c r="D31" s="195" t="s">
        <x:v>319</x:v>
      </x:c>
      <x:c r="E31" s="195" t="s">
        <x:v>440</x:v>
      </x:c>
      <x:c r="F31" s="195" t="s">
        <x:v>787</x:v>
      </x:c>
      <x:c r="G31" s="207" t="str">
        <x:v>Aplicación atómica: antes de ACTIVAR, revalida plan efectivo y cupo actual para evitar dos activaciones simultáneas en FREE. Si cambia el plan o se ocupa el cupo, no modifica el estado. DESACTIVAR manualmente solo procede sobre un no principal dejando al menos un activo; la desactivación AUTOMÁTICA por pérdida de Premium se documenta aparte en RF030_ALT_FIN_PREMIUM. Después de degradar Premium a Free los autos secundarios conservados siguen registrados pero INACTIVOS. No se permite activar un segundo automóvil mientras el principal esté ACTIVO; RF12 no borra ninguno. En MVP el cambio de estado NO dispara recálculo ni escrituras de E_Alerta/E_HistorialAlerta/E_Notificacion; RF23 sincroniza al abrir Mis alertas.</x:v>
      </x:c>
    </x:row>
    <x:row r="32" ht="55.20000076293945" customHeight="1">
      <x:c r="A32" s="193">
        <x:v>24</x:v>
      </x:c>
      <x:c r="B32" s="193" t="s">
        <x:v>81</x:v>
      </x:c>
      <x:c r="C32" s="194" t="s">
        <x:v>440</x:v>
      </x:c>
      <x:c r="D32" s="194" t="s">
        <x:v>323</x:v>
      </x:c>
      <x:c r="E32" s="194" t="s">
        <x:v>739</x:v>
      </x:c>
      <x:c r="F32" s="194" t="s">
        <x:v>788</x:v>
      </x:c>
      <x:c r="G32" s="194" t="s">
        <x:v>789</x:v>
      </x:c>
    </x:row>
    <x:row r="33" ht="55.20000076293945" customHeight="1">
      <x:c r="A33" s="395" t="str">
        <x:v>BLOQUE 5 · COMPATIBILIDAD DE ALERTAS/AVISOS (Pasos 25–38 · SOLO FUTURO, NO MVP)</x:v>
      </x:c>
      <x:c r="B33" s="395"/>
      <x:c r="C33" s="395"/>
      <x:c r="D33" s="395"/>
      <x:c r="E33" s="395"/>
      <x:c r="F33" s="395"/>
      <x:c r="G33" s="395"/>
    </x:row>
    <x:row r="34" ht="55.20000076293945" customHeight="1">
      <x:c r="A34" s="193">
        <x:v>25</x:v>
      </x:c>
      <x:c r="B34" s="193" t="s">
        <x:v>110</x:v>
      </x:c>
      <x:c r="C34" s="194" t="s">
        <x:v>739</x:v>
      </x:c>
      <x:c r="D34" s="194" t="s">
        <x:v>319</x:v>
      </x:c>
      <x:c r="E34" s="194" t="s">
        <x:v>373</x:v>
      </x:c>
      <x:c r="F34" s="194" t="s">
        <x:v>790</x:v>
      </x:c>
      <x:c r="G34" s="194" t="str">
        <x:v>SOLO POST-MVP (NO EJECUTAR EN MVP): El controlador de estado solicita aplicar las reglas de alertas correspondientes al nuevo estado del vehículo.</x:v>
      </x:c>
      <x:c r="H34" t="str">
        <x:v>FUTURO / NO MVP</x:v>
      </x:c>
    </x:row>
    <x:row r="35" ht="55.20000076293945" customHeight="1">
      <x:c r="A35" s="193">
        <x:v>26</x:v>
      </x:c>
      <x:c r="B35" s="193" t="s">
        <x:v>110</x:v>
      </x:c>
      <x:c r="C35" s="195" t="s">
        <x:v>373</x:v>
      </x:c>
      <x:c r="D35" s="195" t="s">
        <x:v>319</x:v>
      </x:c>
      <x:c r="E35" s="195" t="s">
        <x:v>791</x:v>
      </x:c>
      <x:c r="F35" s="195" t="s">
        <x:v>792</x:v>
      </x:c>
      <x:c r="G35" s="195" t="str">
        <x:v>SOLO POST-MVP (NO EJECUTAR EN MVP): El controlador consulta las alertas existentes del vehículo para conservar trazabilidad y, en una reactivación, recalcular únicamente lo vigente.</x:v>
      </x:c>
      <x:c r="H35" t="str">
        <x:v>FUTURO / NO MVP</x:v>
      </x:c>
    </x:row>
    <x:row r="36" ht="55.20000076293945" customHeight="1">
      <x:c r="A36" s="193">
        <x:v>27</x:v>
      </x:c>
      <x:c r="B36" s="193" t="s">
        <x:v>110</x:v>
      </x:c>
      <x:c r="C36" s="194" t="s">
        <x:v>791</x:v>
      </x:c>
      <x:c r="D36" s="194" t="s">
        <x:v>323</x:v>
      </x:c>
      <x:c r="E36" s="194" t="s">
        <x:v>373</x:v>
      </x:c>
      <x:c r="F36" s="194" t="s">
        <x:v>793</x:v>
      </x:c>
      <x:c r="G36" s="194" t="str">
        <x:v>SOLO POST-MVP (NO EJECUTAR EN MVP): La entidad devuelve las alertas existentes del vehículo sin modificar sus estados.</x:v>
      </x:c>
      <x:c r="H36" t="str">
        <x:v>FUTURO / NO MVP</x:v>
      </x:c>
    </x:row>
    <x:row r="37" ht="55.20000076293945" customHeight="1">
      <x:c r="A37" s="193">
        <x:v>28</x:v>
      </x:c>
      <x:c r="B37" s="193" t="s">
        <x:v>110</x:v>
      </x:c>
      <x:c r="C37" s="195" t="s">
        <x:v>373</x:v>
      </x:c>
      <x:c r="D37" s="195" t="s">
        <x:v>404</x:v>
      </x:c>
      <x:c r="E37" s="195" t="s">
        <x:v>373</x:v>
      </x:c>
      <x:c r="F37" s="195" t="s">
        <x:v>794</x:v>
      </x:c>
      <x:c r="G37" s="195" t="str">
        <x:v>SOLO POST-MVP (NO EJECUTAR EN MVP): Si queda INACTIVO, conserva las alertas y suspende nuevos avisos. Si queda ACTIVO, aplica las reglas centrales de estado también usadas por el bloque automático de RF23 para recalcular únicamente la situación vigente: actualiza fecha_estado_actual cuando cambia el estado y permite VENCIDA→ANULADA cuando ya cumplió 30 días. No genera avisos retroactivos por cada intervalo omitido.</x:v>
      </x:c>
      <x:c r="H37" t="str">
        <x:v>FUTURO / NO MVP</x:v>
      </x:c>
    </x:row>
    <x:row r="38" ht="55.20000076293945" customHeight="1">
      <x:c r="A38" s="193">
        <x:v>29</x:v>
      </x:c>
      <x:c r="B38" s="193" t="s">
        <x:v>110</x:v>
      </x:c>
      <x:c r="C38" s="194" t="s">
        <x:v>373</x:v>
      </x:c>
      <x:c r="D38" s="194" t="s">
        <x:v>319</x:v>
      </x:c>
      <x:c r="E38" s="194" t="s">
        <x:v>791</x:v>
      </x:c>
      <x:c r="F38" s="194" t="s">
        <x:v>795</x:v>
      </x:c>
      <x:c r="G38" s="194" t="str">
        <x:v>SOLO POST-MVP (NO EJECUTAR EN MVP): Solo cuando el recálculo requiere cambios, actualiza E_Alerta. C_ControlAlerta conserva la trazabilidad de cada transición con las mismas reglas centrales del bloque automático de RF23; RF23 también reconcilia al consultar. Una alerta ANULADA no se reactiva por reactivar el vehículo.</x:v>
      </x:c>
      <x:c r="H38" t="str">
        <x:v>FUTURO / NO MVP</x:v>
      </x:c>
    </x:row>
    <x:row r="39" ht="55.20000076293945" customHeight="1">
      <x:c r="A39" s="193">
        <x:v>30</x:v>
      </x:c>
      <x:c r="B39" s="193" t="s">
        <x:v>110</x:v>
      </x:c>
      <x:c r="C39" s="195" t="s">
        <x:v>791</x:v>
      </x:c>
      <x:c r="D39" s="195" t="s">
        <x:v>323</x:v>
      </x:c>
      <x:c r="E39" s="195" t="s">
        <x:v>373</x:v>
      </x:c>
      <x:c r="F39" s="195" t="s">
        <x:v>796</x:v>
      </x:c>
      <x:c r="G39" s="195" t="str">
        <x:v>SOLO POST-MVP (NO EJECUTAR EN MVP): La entidad confirma la sincronización y devuelve únicamente las transiciones reales aplicadas; si no hubo cambios, la lista queda vacía.</x:v>
      </x:c>
      <x:c r="H39" t="str">
        <x:v>FUTURO / NO MVP</x:v>
      </x:c>
    </x:row>
    <x:row r="40" ht="55.20000076293945" customHeight="1">
      <x:c r="A40" s="193">
        <x:v>31</x:v>
      </x:c>
      <x:c r="B40" s="193" t="s">
        <x:v>110</x:v>
      </x:c>
      <x:c r="C40" s="194" t="s">
        <x:v>373</x:v>
      </x:c>
      <x:c r="D40" s="194" t="s">
        <x:v>12</x:v>
      </x:c>
      <x:c r="E40" s="194" t="s">
        <x:v>797</x:v>
      </x:c>
      <x:c r="F40" s="194" t="s">
        <x:v>798</x:v>
      </x:c>
      <x:c r="G40" s="194" t="str">
        <x:v>SOLO POST-MVP (NO EJECUTAR EN MVP): Solo cuando la reactivación produjo cambios reales, registra cada transición en E_HistorialAlerta. La desactivación por sí sola no crea una transición de estado de alerta y una alerta ANULADA nunca se reactiva.</x:v>
      </x:c>
      <x:c r="H40" t="str">
        <x:v>FUTURO / NO MVP</x:v>
      </x:c>
    </x:row>
    <x:row r="41" ht="55.20000076293945" customHeight="1">
      <x:c r="A41" s="193">
        <x:v>32</x:v>
      </x:c>
      <x:c r="B41" s="193" t="s">
        <x:v>110</x:v>
      </x:c>
      <x:c r="C41" s="195" t="s">
        <x:v>797</x:v>
      </x:c>
      <x:c r="D41" s="195" t="s">
        <x:v>53</x:v>
      </x:c>
      <x:c r="E41" s="195" t="s">
        <x:v>373</x:v>
      </x:c>
      <x:c r="F41" s="195" t="s">
        <x:v>799</x:v>
      </x:c>
      <x:c r="G41" s="195" t="str">
        <x:v>SOLO POST-MVP (NO EJECUTAR EN MVP): La entidad confirma la trazabilidad registrada cuando correspondía.</x:v>
      </x:c>
      <x:c r="H41" t="str">
        <x:v>FUTURO / NO MVP</x:v>
      </x:c>
    </x:row>
    <x:row r="42" ht="55.20000076293945" customHeight="1">
      <x:c r="A42" s="193">
        <x:v>33</x:v>
      </x:c>
      <x:c r="B42" s="193" t="s">
        <x:v>110</x:v>
      </x:c>
      <x:c r="C42" s="194" t="s">
        <x:v>373</x:v>
      </x:c>
      <x:c r="D42" s="194" t="s">
        <x:v>319</x:v>
      </x:c>
      <x:c r="E42" s="194" t="s">
        <x:v>380</x:v>
      </x:c>
      <x:c r="F42" s="194" t="s">
        <x:v>800</x:v>
      </x:c>
      <x:c r="G42" s="194" t="str">
        <x:v>SOLO POST-MVP (NO EJECUTAR EN MVP): Solicita reconciliar las notificaciones del vehículo con el nuevo estado. INACTIVO suspende visualización activa y reemisiones; ACTIVO reevalúa la vigencia sin crear duplicados.</x:v>
      </x:c>
      <x:c r="H42" t="str">
        <x:v>FUTURO / NO MVP</x:v>
      </x:c>
    </x:row>
    <x:row r="43" ht="55.20000076293945" customHeight="1">
      <x:c r="A43" s="193">
        <x:v>34</x:v>
      </x:c>
      <x:c r="B43" s="193" t="s">
        <x:v>110</x:v>
      </x:c>
      <x:c r="C43" s="195" t="s">
        <x:v>380</x:v>
      </x:c>
      <x:c r="D43" s="195" t="s">
        <x:v>404</x:v>
      </x:c>
      <x:c r="E43" s="195" t="s">
        <x:v>380</x:v>
      </x:c>
      <x:c r="F43" s="195" t="s">
        <x:v>801</x:v>
      </x:c>
      <x:c r="G43" s="195" t="str">
        <x:v>SOLO POST-MVP (NO EJECUTAR EN MVP): Determina la vigencia de los avisos. Con vehículo INACTIVO ningún aviso se muestra como pendiente ni se reemite. Al quedar ACTIVO, Mantenimiento/SOAT solo pueden permanecer activos si la alerta está PRÓXIMA o PENDIENTE; VENCIDA, REALIZADA o ANULADA quedan en Historial. Los recordatorios KM además respetan RF44.</x:v>
      </x:c>
      <x:c r="H43" t="str">
        <x:v>FUTURO / NO MVP</x:v>
      </x:c>
    </x:row>
    <x:row r="44" ht="55.20000076293945" customHeight="1">
      <x:c r="A44" s="193">
        <x:v>35</x:v>
      </x:c>
      <x:c r="B44" s="193" t="s">
        <x:v>110</x:v>
      </x:c>
      <x:c r="C44" s="194" t="s">
        <x:v>380</x:v>
      </x:c>
      <x:c r="D44" s="194" t="s">
        <x:v>319</x:v>
      </x:c>
      <x:c r="E44" s="194" t="s">
        <x:v>802</x:v>
      </x:c>
      <x:c r="F44" s="194" t="s">
        <x:v>803</x:v>
      </x:c>
      <x:c r="G44" s="194" t="str">
        <x:v>SOLO POST-MVP (NO EJECUTAR EN MVP): Persiste la conciliación sin borrar historial: suspende avisos del vehículo INACTIVO y, al reactivarlo, mantiene o recupera solo los avisos que siguen vigentes. No genera avisos retroactivos.</x:v>
      </x:c>
      <x:c r="H44" t="str">
        <x:v>FUTURO / NO MVP</x:v>
      </x:c>
    </x:row>
    <x:row r="45" ht="55.20000076293945" customHeight="1">
      <x:c r="A45" s="193">
        <x:v>36</x:v>
      </x:c>
      <x:c r="B45" s="193" t="s">
        <x:v>110</x:v>
      </x:c>
      <x:c r="C45" s="195" t="s">
        <x:v>802</x:v>
      </x:c>
      <x:c r="D45" s="195" t="s">
        <x:v>323</x:v>
      </x:c>
      <x:c r="E45" s="195" t="s">
        <x:v>380</x:v>
      </x:c>
      <x:c r="F45" s="195" t="s">
        <x:v>804</x:v>
      </x:c>
      <x:c r="G45" s="195" t="str">
        <x:v>SOLO POST-MVP (NO EJECUTAR EN MVP): La entidad confirma los avisos suspendidos, reactivados o cerrados según la situación vigente.</x:v>
      </x:c>
      <x:c r="H45" t="str">
        <x:v>FUTURO / NO MVP</x:v>
      </x:c>
    </x:row>
    <x:row r="46" ht="55.20000076293945" customHeight="1">
      <x:c r="A46" s="193">
        <x:v>37</x:v>
      </x:c>
      <x:c r="B46" s="193" t="s">
        <x:v>110</x:v>
      </x:c>
      <x:c r="C46" s="194" t="s">
        <x:v>380</x:v>
      </x:c>
      <x:c r="D46" s="194" t="s">
        <x:v>323</x:v>
      </x:c>
      <x:c r="E46" s="194" t="s">
        <x:v>373</x:v>
      </x:c>
      <x:c r="F46" s="194" t="s">
        <x:v>805</x:v>
      </x:c>
      <x:c r="G46" s="194" t="str">
        <x:v>SOLO POST-MVP (NO EJECUTAR EN MVP): El controlador de notificaciones informa que la regla de futuros envíos quedó aplicada.</x:v>
      </x:c>
      <x:c r="H46" t="str">
        <x:v>FUTURO / NO MVP</x:v>
      </x:c>
    </x:row>
    <x:row r="47" ht="55.20000076293945" customHeight="1">
      <x:c r="A47" s="193">
        <x:v>38</x:v>
      </x:c>
      <x:c r="B47" s="193" t="s">
        <x:v>110</x:v>
      </x:c>
      <x:c r="C47" s="195" t="s">
        <x:v>373</x:v>
      </x:c>
      <x:c r="D47" s="195" t="s">
        <x:v>323</x:v>
      </x:c>
      <x:c r="E47" s="195" t="s">
        <x:v>739</x:v>
      </x:c>
      <x:c r="F47" s="195" t="s">
        <x:v>806</x:v>
      </x:c>
      <x:c r="G47" s="195" t="str">
        <x:v>SOLO POST-MVP (NO EJECUTAR EN MVP): El controlador de alertas informa que las reglas posteriores al cambio de estado fueron procesadas.</x:v>
      </x:c>
      <x:c r="H47" t="str">
        <x:v>FUTURO / NO MVP</x:v>
      </x:c>
    </x:row>
    <x:row r="48" ht="55.20000076293945" customHeight="1">
      <x:c r="A48" s="395" t="s">
        <x:v>807</x:v>
      </x:c>
      <x:c r="B48" s="395"/>
      <x:c r="C48" s="395"/>
      <x:c r="D48" s="395"/>
      <x:c r="E48" s="395"/>
      <x:c r="F48" s="395"/>
      <x:c r="G48" s="395"/>
    </x:row>
    <x:row r="49" ht="55.20000076293945" customHeight="1">
      <x:c r="A49" s="193">
        <x:v>39</x:v>
      </x:c>
      <x:c r="B49" s="193" t="s">
        <x:v>143</x:v>
      </x:c>
      <x:c r="C49" s="195" t="s">
        <x:v>739</x:v>
      </x:c>
      <x:c r="D49" s="195" t="s">
        <x:v>319</x:v>
      </x:c>
      <x:c r="E49" s="195" t="s">
        <x:v>156</x:v>
      </x:c>
      <x:c r="F49" s="195" t="s">
        <x:v>808</x:v>
      </x:c>
      <x:c r="G49" s="195" t="s">
        <x:v>809</x:v>
      </x:c>
    </x:row>
    <x:row r="50" ht="55.20000076293945" customHeight="1">
      <x:c r="A50" s="193">
        <x:v>40</x:v>
      </x:c>
      <x:c r="B50" s="193" t="s">
        <x:v>143</x:v>
      </x:c>
      <x:c r="C50" s="194" t="s">
        <x:v>156</x:v>
      </x:c>
      <x:c r="D50" s="194" t="s">
        <x:v>319</x:v>
      </x:c>
      <x:c r="E50" s="194" t="s">
        <x:v>11</x:v>
      </x:c>
      <x:c r="F50" s="194" t="s">
        <x:v>810</x:v>
      </x:c>
      <x:c r="G50" s="194" t="s">
        <x:v>811</x:v>
      </x:c>
    </x:row>
    <x:row r="51" ht="55.20000076293945" customHeight="1">
      <x:c r="A51" s="193">
        <x:v>41</x:v>
      </x:c>
      <x:c r="B51" s="193" t="s">
        <x:v>143</x:v>
      </x:c>
      <x:c r="C51" s="195" t="s">
        <x:v>11</x:v>
      </x:c>
      <x:c r="D51" s="195" t="s">
        <x:v>319</x:v>
      </x:c>
      <x:c r="E51" s="195" t="s">
        <x:v>156</x:v>
      </x:c>
      <x:c r="F51" s="195" t="s">
        <x:v>812</x:v>
      </x:c>
      <x:c r="G51" s="195" t="s">
        <x:v>813</x:v>
      </x:c>
    </x:row>
    <x:row r="52" ht="55.20000076293945" customHeight="1">
      <x:c r="A52" s="193">
        <x:v>42</x:v>
      </x:c>
      <x:c r="B52" s="193" t="s">
        <x:v>143</x:v>
      </x:c>
      <x:c r="C52" s="194" t="s">
        <x:v>156</x:v>
      </x:c>
      <x:c r="D52" s="194" t="s">
        <x:v>319</x:v>
      </x:c>
      <x:c r="E52" s="194" t="s">
        <x:v>739</x:v>
      </x:c>
      <x:c r="F52" s="194" t="s">
        <x:v>814</x:v>
      </x:c>
      <x:c r="G52" s="194" t="s">
        <x:v>815</x:v>
      </x:c>
    </x:row>
    <x:row r="53" ht="55.20000076293945" customHeight="1">
      <x:c r="A53" s="395" t="s">
        <x:v>816</x:v>
      </x:c>
      <x:c r="B53" s="395"/>
      <x:c r="C53" s="395"/>
      <x:c r="D53" s="395"/>
      <x:c r="E53" s="395"/>
      <x:c r="F53" s="395"/>
      <x:c r="G53" s="395"/>
    </x:row>
    <x:row r="54" ht="55.20000076293945" customHeight="1">
      <x:c r="A54" s="193">
        <x:v>43</x:v>
      </x:c>
      <x:c r="B54" s="193" t="s">
        <x:v>155</x:v>
      </x:c>
      <x:c r="C54" s="194" t="s">
        <x:v>739</x:v>
      </x:c>
      <x:c r="D54" s="194" t="s">
        <x:v>319</x:v>
      </x:c>
      <x:c r="E54" s="194" t="s">
        <x:v>543</x:v>
      </x:c>
      <x:c r="F54" s="194" t="s">
        <x:v>817</x:v>
      </x:c>
      <x:c r="G54" s="194" t="s">
        <x:v>818</x:v>
      </x:c>
    </x:row>
    <x:row r="55" ht="55.20000076293945" customHeight="1">
      <x:c r="A55" s="193">
        <x:v>44</x:v>
      </x:c>
      <x:c r="B55" s="193" t="s">
        <x:v>155</x:v>
      </x:c>
      <x:c r="C55" s="196" t="s">
        <x:v>543</x:v>
      </x:c>
      <x:c r="D55" s="196" t="s">
        <x:v>319</x:v>
      </x:c>
      <x:c r="E55" s="196" t="s">
        <x:v>440</x:v>
      </x:c>
      <x:c r="F55" s="196" t="s">
        <x:v>544</x:v>
      </x:c>
      <x:c r="G55" s="196" t="s">
        <x:v>819</x:v>
      </x:c>
    </x:row>
    <x:row r="56" ht="55.20000076293945" customHeight="1">
      <x:c r="A56" s="193">
        <x:v>45</x:v>
      </x:c>
      <x:c r="B56" s="193" t="s">
        <x:v>155</x:v>
      </x:c>
      <x:c r="C56" s="196" t="s">
        <x:v>440</x:v>
      </x:c>
      <x:c r="D56" s="196" t="s">
        <x:v>323</x:v>
      </x:c>
      <x:c r="E56" s="196" t="s">
        <x:v>543</x:v>
      </x:c>
      <x:c r="F56" s="196" t="s">
        <x:v>546</x:v>
      </x:c>
      <x:c r="G56" s="196" t="s">
        <x:v>820</x:v>
      </x:c>
    </x:row>
    <x:row r="57" ht="55.20000076293945" customHeight="1">
      <x:c r="A57" s="193">
        <x:v>46</x:v>
      </x:c>
      <x:c r="B57" s="193" t="s">
        <x:v>155</x:v>
      </x:c>
      <x:c r="C57" s="196" t="s">
        <x:v>543</x:v>
      </x:c>
      <x:c r="D57" s="196" t="s">
        <x:v>319</x:v>
      </x:c>
      <x:c r="E57" s="196" t="s">
        <x:v>488</x:v>
      </x:c>
      <x:c r="F57" s="196" t="s">
        <x:v>548</x:v>
      </x:c>
      <x:c r="G57" s="196" t="s">
        <x:v>821</x:v>
      </x:c>
    </x:row>
    <x:row r="58" ht="55.20000076293945" customHeight="1">
      <x:c r="A58" s="193">
        <x:v>47</x:v>
      </x:c>
      <x:c r="B58" s="193" t="s">
        <x:v>155</x:v>
      </x:c>
      <x:c r="C58" s="196" t="s">
        <x:v>488</x:v>
      </x:c>
      <x:c r="D58" s="196" t="s">
        <x:v>323</x:v>
      </x:c>
      <x:c r="E58" s="196" t="s">
        <x:v>543</x:v>
      </x:c>
      <x:c r="F58" s="196" t="s">
        <x:v>550</x:v>
      </x:c>
      <x:c r="G58" s="196" t="s">
        <x:v>822</x:v>
      </x:c>
    </x:row>
    <x:row r="59" ht="55.20000076293945" customHeight="1">
      <x:c r="A59" s="193">
        <x:v>48</x:v>
      </x:c>
      <x:c r="B59" s="193" t="s">
        <x:v>155</x:v>
      </x:c>
      <x:c r="C59" s="196" t="s">
        <x:v>543</x:v>
      </x:c>
      <x:c r="D59" s="196" t="s">
        <x:v>319</x:v>
      </x:c>
      <x:c r="E59" s="196" t="s">
        <x:v>500</x:v>
      </x:c>
      <x:c r="F59" s="196" t="s">
        <x:v>552</x:v>
      </x:c>
      <x:c r="G59" s="196" t="s">
        <x:v>823</x:v>
      </x:c>
    </x:row>
    <x:row r="60" ht="55.20000076293945" customHeight="1">
      <x:c r="A60" s="193">
        <x:v>49</x:v>
      </x:c>
      <x:c r="B60" s="193" t="s">
        <x:v>155</x:v>
      </x:c>
      <x:c r="C60" s="196" t="s">
        <x:v>500</x:v>
      </x:c>
      <x:c r="D60" s="196" t="s">
        <x:v>319</x:v>
      </x:c>
      <x:c r="E60" s="196" t="s">
        <x:v>503</x:v>
      </x:c>
      <x:c r="F60" s="196" t="s">
        <x:v>554</x:v>
      </x:c>
      <x:c r="G60" s="196" t="s">
        <x:v>824</x:v>
      </x:c>
    </x:row>
    <x:row r="61" ht="55.20000076293945" customHeight="1">
      <x:c r="A61" s="193">
        <x:v>50</x:v>
      </x:c>
      <x:c r="B61" s="193" t="s">
        <x:v>155</x:v>
      </x:c>
      <x:c r="C61" s="196" t="s">
        <x:v>503</x:v>
      </x:c>
      <x:c r="D61" s="196" t="s">
        <x:v>323</x:v>
      </x:c>
      <x:c r="E61" s="196" t="s">
        <x:v>500</x:v>
      </x:c>
      <x:c r="F61" s="196" t="s">
        <x:v>556</x:v>
      </x:c>
      <x:c r="G61" s="196" t="s">
        <x:v>825</x:v>
      </x:c>
    </x:row>
    <x:row r="62" ht="55.20000076293945" customHeight="1">
      <x:c r="A62" s="193">
        <x:v>51</x:v>
      </x:c>
      <x:c r="B62" s="193" t="s">
        <x:v>155</x:v>
      </x:c>
      <x:c r="C62" s="196" t="s">
        <x:v>500</x:v>
      </x:c>
      <x:c r="D62" s="196" t="s">
        <x:v>323</x:v>
      </x:c>
      <x:c r="E62" s="196" t="s">
        <x:v>543</x:v>
      </x:c>
      <x:c r="F62" s="196" t="s">
        <x:v>558</x:v>
      </x:c>
      <x:c r="G62" s="196" t="s">
        <x:v>826</x:v>
      </x:c>
    </x:row>
    <x:row r="63" ht="55.20000076293945" customHeight="1">
      <x:c r="A63" s="193">
        <x:v>52</x:v>
      </x:c>
      <x:c r="B63" s="193" t="s">
        <x:v>155</x:v>
      </x:c>
      <x:c r="C63" s="196" t="s">
        <x:v>543</x:v>
      </x:c>
      <x:c r="D63" s="196" t="s">
        <x:v>319</x:v>
      </x:c>
      <x:c r="E63" s="196" t="s">
        <x:v>560</x:v>
      </x:c>
      <x:c r="F63" s="196" t="s">
        <x:v>561</x:v>
      </x:c>
      <x:c r="G63" s="196" t="s">
        <x:v>827</x:v>
      </x:c>
    </x:row>
    <x:row r="64" ht="55.20000076293945" customHeight="1">
      <x:c r="A64" s="193">
        <x:v>53</x:v>
      </x:c>
      <x:c r="B64" s="193" t="s">
        <x:v>155</x:v>
      </x:c>
      <x:c r="C64" s="196" t="s">
        <x:v>560</x:v>
      </x:c>
      <x:c r="D64" s="196" t="s">
        <x:v>319</x:v>
      </x:c>
      <x:c r="E64" s="196" t="s">
        <x:v>563</x:v>
      </x:c>
      <x:c r="F64" s="196" t="s">
        <x:v>564</x:v>
      </x:c>
      <x:c r="G64" s="196" t="str">
        <x:v>Para cada vehículo consultar el SOAT marcado esActual=true; VIGENTE/VENCIDO/FUTURO se determina por fechas de cobertura y no por la marca ACTUAL. Si no hay registro actual, NO_REGISTRADO. Las pólizas históricas se conservan y no reemplazan silenciosamente el documento actual.</x:v>
      </x:c>
    </x:row>
    <x:row r="65" ht="55.20000076293945" customHeight="1">
      <x:c r="A65" s="193">
        <x:v>54</x:v>
      </x:c>
      <x:c r="B65" s="193" t="s">
        <x:v>155</x:v>
      </x:c>
      <x:c r="C65" s="196" t="s">
        <x:v>563</x:v>
      </x:c>
      <x:c r="D65" s="196" t="s">
        <x:v>323</x:v>
      </x:c>
      <x:c r="E65" s="196" t="s">
        <x:v>560</x:v>
      </x:c>
      <x:c r="F65" s="196" t="s">
        <x:v>566</x:v>
      </x:c>
      <x:c r="G65" s="196" t="s">
        <x:v>828</x:v>
      </x:c>
    </x:row>
    <x:row r="66" ht="55.20000076293945" customHeight="1">
      <x:c r="A66" s="193">
        <x:v>55</x:v>
      </x:c>
      <x:c r="B66" s="193" t="s">
        <x:v>155</x:v>
      </x:c>
      <x:c r="C66" s="196" t="s">
        <x:v>560</x:v>
      </x:c>
      <x:c r="D66" s="196" t="s">
        <x:v>323</x:v>
      </x:c>
      <x:c r="E66" s="196" t="s">
        <x:v>543</x:v>
      </x:c>
      <x:c r="F66" s="196" t="s">
        <x:v>566</x:v>
      </x:c>
      <x:c r="G66" s="196" t="s">
        <x:v>829</x:v>
      </x:c>
    </x:row>
    <x:row r="67" ht="55.20000076293945" customHeight="1">
      <x:c r="A67" s="193">
        <x:v>56</x:v>
      </x:c>
      <x:c r="B67" s="193" t="s">
        <x:v>155</x:v>
      </x:c>
      <x:c r="C67" s="196" t="s">
        <x:v>543</x:v>
      </x:c>
      <x:c r="D67" s="196" t="s">
        <x:v>319</x:v>
      </x:c>
      <x:c r="E67" s="196" t="s">
        <x:v>569</x:v>
      </x:c>
      <x:c r="F67" s="196" t="s">
        <x:v>570</x:v>
      </x:c>
      <x:c r="G67" s="196" t="s">
        <x:v>830</x:v>
      </x:c>
    </x:row>
    <x:row r="68" ht="55.20000076293945" customHeight="1">
      <x:c r="A68" s="193">
        <x:v>57</x:v>
      </x:c>
      <x:c r="B68" s="193" t="s">
        <x:v>155</x:v>
      </x:c>
      <x:c r="C68" s="196" t="s">
        <x:v>569</x:v>
      </x:c>
      <x:c r="D68" s="196" t="s">
        <x:v>319</x:v>
      </x:c>
      <x:c r="E68" s="196" t="s">
        <x:v>572</x:v>
      </x:c>
      <x:c r="F68" s="196" t="s">
        <x:v>573</x:v>
      </x:c>
      <x:c r="G68" s="196" t="str">
        <x:v>La entidad consulta si cada vehículo tiene TIVE registrada. No trata la TIVE como un documento con vencimiento. Comprobar la presencia de TIVE por TIVE.idVehiculo, no por VIN.</x:v>
      </x:c>
    </x:row>
    <x:row r="69" ht="55.20000076293945" customHeight="1">
      <x:c r="A69" s="193">
        <x:v>58</x:v>
      </x:c>
      <x:c r="B69" s="193" t="s">
        <x:v>155</x:v>
      </x:c>
      <x:c r="C69" s="196" t="s">
        <x:v>572</x:v>
      </x:c>
      <x:c r="D69" s="196" t="s">
        <x:v>323</x:v>
      </x:c>
      <x:c r="E69" s="196" t="s">
        <x:v>569</x:v>
      </x:c>
      <x:c r="F69" s="196" t="s">
        <x:v>575</x:v>
      </x:c>
      <x:c r="G69" s="196" t="s">
        <x:v>831</x:v>
      </x:c>
    </x:row>
    <x:row r="70" ht="55.20000076293945" customHeight="1">
      <x:c r="A70" s="193">
        <x:v>59</x:v>
      </x:c>
      <x:c r="B70" s="193" t="s">
        <x:v>155</x:v>
      </x:c>
      <x:c r="C70" s="196" t="s">
        <x:v>569</x:v>
      </x:c>
      <x:c r="D70" s="196" t="s">
        <x:v>323</x:v>
      </x:c>
      <x:c r="E70" s="196" t="s">
        <x:v>543</x:v>
      </x:c>
      <x:c r="F70" s="196" t="s">
        <x:v>575</x:v>
      </x:c>
      <x:c r="G70" s="196" t="s">
        <x:v>832</x:v>
      </x:c>
    </x:row>
    <x:row r="71" ht="55.20000076293945" customHeight="1">
      <x:c r="A71" s="193">
        <x:v>60</x:v>
      </x:c>
      <x:c r="B71" s="193" t="s">
        <x:v>155</x:v>
      </x:c>
      <x:c r="C71" s="196" t="s">
        <x:v>543</x:v>
      </x:c>
      <x:c r="D71" s="196" t="s">
        <x:v>404</x:v>
      </x:c>
      <x:c r="E71" s="196" t="s">
        <x:v>543</x:v>
      </x:c>
      <x:c r="F71" s="196" t="s">
        <x:v>833</x:v>
      </x:c>
      <x:c r="G71" s="196" t="s">
        <x:v>834</x:v>
      </x:c>
    </x:row>
    <x:row r="72" ht="55.20000076293945" customHeight="1">
      <x:c r="A72" s="193">
        <x:v>61</x:v>
      </x:c>
      <x:c r="B72" s="193" t="s">
        <x:v>155</x:v>
      </x:c>
      <x:c r="C72" s="196" t="s">
        <x:v>543</x:v>
      </x:c>
      <x:c r="D72" s="196" t="s">
        <x:v>404</x:v>
      </x:c>
      <x:c r="E72" s="196" t="s">
        <x:v>543</x:v>
      </x:c>
      <x:c r="F72" s="196" t="s">
        <x:v>584</x:v>
      </x:c>
      <x:c r="G72" s="196" t="s">
        <x:v>835</x:v>
      </x:c>
    </x:row>
    <x:row r="73" ht="55.20000076293945" customHeight="1">
      <x:c r="A73" s="193">
        <x:v>62</x:v>
      </x:c>
      <x:c r="B73" s="193" t="s">
        <x:v>155</x:v>
      </x:c>
      <x:c r="C73" s="196" t="s">
        <x:v>543</x:v>
      </x:c>
      <x:c r="D73" s="196" t="s">
        <x:v>319</x:v>
      </x:c>
      <x:c r="E73" s="196" t="s">
        <x:v>424</x:v>
      </x:c>
      <x:c r="F73" s="196" t="s">
        <x:v>836</x:v>
      </x:c>
      <x:c r="G73" s="196" t="s">
        <x:v>837</x:v>
      </x:c>
    </x:row>
    <x:row r="74" ht="55.20000076293945" customHeight="1">
      <x:c r="A74" s="193">
        <x:v>63</x:v>
      </x:c>
      <x:c r="B74" s="193" t="s">
        <x:v>155</x:v>
      </x:c>
      <x:c r="C74" s="196" t="s">
        <x:v>424</x:v>
      </x:c>
      <x:c r="D74" s="196" t="s">
        <x:v>319</x:v>
      </x:c>
      <x:c r="E74" s="196" t="s">
        <x:v>11</x:v>
      </x:c>
      <x:c r="F74" s="196" t="s">
        <x:v>838</x:v>
      </x:c>
      <x:c r="G74" s="196" t="s">
        <x:v>839</x:v>
      </x:c>
    </x:row>
  </x:sheetData>
  <x:mergeCells>
    <x:mergeCell ref="A53:G53"/>
    <x:mergeCell ref="A1:G1"/>
    <x:mergeCell ref="A2:G2"/>
    <x:mergeCell ref="A5:G5"/>
    <x:mergeCell ref="A12:G12"/>
    <x:mergeCell ref="A21:G21"/>
    <x:mergeCell ref="A25:G25"/>
    <x:mergeCell ref="A33:G33"/>
    <x:mergeCell ref="A48:G4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9.6640625" defaultRowHeight="14.399999618530273"/>
  <x:cols>
    <x:col min="1" max="1" width="3.33203125" style="171" customWidth="1"/>
    <x:col min="2" max="2" width="7.88671875" style="171" customWidth="1"/>
    <x:col min="3" max="3" width="33.33203125" style="171" customWidth="1"/>
    <x:col min="4" max="4" width="24.44140625" style="171" customWidth="1"/>
    <x:col min="5" max="5" width="33.33203125" style="171" customWidth="1"/>
    <x:col min="6" max="6" width="72.33203125" style="171" customWidth="1"/>
    <x:col min="7" max="7" width="105.5546875" style="171" customWidth="1"/>
    <x:col min="8" max="16384" width="9.6640625" style="171" customWidth="0"/>
    <x:col min="8" max="8" width="58" hidden="0" customWidth="1"/>
  </x:cols>
  <x:sheetData>
    <x:row r="1" ht="39" customHeight="1">
      <x:c r="A1" s="401" t="s">
        <x:v>840</x:v>
      </x:c>
      <x:c r="B1" s="402"/>
      <x:c r="C1" s="403"/>
      <x:c r="D1" s="403"/>
      <x:c r="E1" s="403"/>
      <x:c r="F1" s="403"/>
      <x:c r="G1" s="403"/>
    </x:row>
    <x:row r="2" ht="28.049999237060547" customHeight="1">
      <x:c r="A2" s="404" t="s">
        <x:v>841</x:v>
      </x:c>
      <x:c r="B2" s="404"/>
      <x:c r="C2" s="404"/>
      <x:c r="D2" s="404"/>
      <x:c r="E2" s="404"/>
      <x:c r="F2" s="404"/>
      <x:c r="G2" s="404"/>
    </x:row>
    <x:row r="3">
      <x:c r="H3" t="str">
        <x:v>CONDICIÓN RF65 (NO MVP)</x:v>
      </x:c>
    </x:row>
    <x:row r="4" ht="30" customHeight="1">
      <x:c r="A4" s="190" t="s">
        <x:v>2</x:v>
      </x:c>
      <x:c r="B4" s="190" t="s">
        <x:v>3</x:v>
      </x:c>
      <x:c r="C4" s="190" t="s">
        <x:v>4</x:v>
      </x:c>
      <x:c r="D4" s="190" t="s">
        <x:v>5</x:v>
      </x:c>
      <x:c r="E4" s="190" t="s">
        <x:v>6</x:v>
      </x:c>
      <x:c r="F4" s="190" t="s">
        <x:v>7</x:v>
      </x:c>
      <x:c r="G4" s="187" t="s">
        <x:v>8</x:v>
      </x:c>
    </x:row>
    <x:row r="5" ht="55.20000076293945" customHeight="1">
      <x:c r="A5" s="399" t="s">
        <x:v>842</x:v>
      </x:c>
      <x:c r="B5" s="399"/>
      <x:c r="C5" s="399"/>
      <x:c r="D5" s="399"/>
      <x:c r="E5" s="399"/>
      <x:c r="F5" s="399"/>
      <x:c r="G5" s="399"/>
      <x:c r="H5" s="1071" t="str">
        <x:v>RF65 POST-MVP · CONDICIONADO A APROBACIÓN. Principal manual: permitir selección solo entre vehículos ACTIVOS y VIGENTES; reelección automática al eliminar principal es regla de RF65 pendiente de aprobación. Sin aprobación no aplicar filtros ni cambios de BD por RF65.</x:v>
      </x:c>
    </x:row>
    <x:row r="6" ht="55.20000076293945" customHeight="1">
      <x:c r="A6" s="191">
        <x:v>1</x:v>
      </x:c>
      <x:c r="B6" s="191" t="s">
        <x:v>10</x:v>
      </x:c>
      <x:c r="C6" s="188" t="s">
        <x:v>11</x:v>
      </x:c>
      <x:c r="D6" s="188" t="s">
        <x:v>319</x:v>
      </x:c>
      <x:c r="E6" s="188" t="s">
        <x:v>674</x:v>
      </x:c>
      <x:c r="F6" s="188" t="s">
        <x:v>843</x:v>
      </x:c>
      <x:c r="G6" s="188" t="s">
        <x:v>844</x:v>
      </x:c>
    </x:row>
    <x:row r="7" ht="55.20000076293945" customHeight="1">
      <x:c r="A7" s="197">
        <x:v>2</x:v>
      </x:c>
      <x:c r="B7" s="191" t="s">
        <x:v>10</x:v>
      </x:c>
      <x:c r="C7" s="189" t="s">
        <x:v>674</x:v>
      </x:c>
      <x:c r="D7" s="189" t="s">
        <x:v>319</x:v>
      </x:c>
      <x:c r="E7" s="189" t="s">
        <x:v>845</x:v>
      </x:c>
      <x:c r="F7" s="189" t="s">
        <x:v>846</x:v>
      </x:c>
      <x:c r="G7" s="189" t="s">
        <x:v>847</x:v>
      </x:c>
    </x:row>
    <x:row r="8" ht="55.20000076293945" customHeight="1">
      <x:c r="A8" s="197">
        <x:v>3</x:v>
      </x:c>
      <x:c r="B8" s="191" t="s">
        <x:v>10</x:v>
      </x:c>
      <x:c r="C8" s="188" t="s">
        <x:v>845</x:v>
      </x:c>
      <x:c r="D8" s="188" t="s">
        <x:v>319</x:v>
      </x:c>
      <x:c r="E8" s="188" t="s">
        <x:v>440</x:v>
      </x:c>
      <x:c r="F8" s="188" t="s">
        <x:v>848</x:v>
      </x:c>
      <x:c r="G8" s="188" t="s">
        <x:v>849</x:v>
      </x:c>
    </x:row>
    <x:row r="9" ht="55.20000076293945" customHeight="1">
      <x:c r="A9" s="191">
        <x:v>4</x:v>
      </x:c>
      <x:c r="B9" s="191" t="s">
        <x:v>10</x:v>
      </x:c>
      <x:c r="C9" s="189" t="s">
        <x:v>440</x:v>
      </x:c>
      <x:c r="D9" s="189" t="s">
        <x:v>323</x:v>
      </x:c>
      <x:c r="E9" s="189" t="s">
        <x:v>845</x:v>
      </x:c>
      <x:c r="F9" s="189" t="s">
        <x:v>632</x:v>
      </x:c>
      <x:c r="G9" s="189" t="s">
        <x:v>850</x:v>
      </x:c>
    </x:row>
    <x:row r="10" ht="55.20000076293945" customHeight="1">
      <x:c r="A10" s="191">
        <x:v>5</x:v>
      </x:c>
      <x:c r="B10" s="191" t="s">
        <x:v>10</x:v>
      </x:c>
      <x:c r="C10" s="188" t="s">
        <x:v>845</x:v>
      </x:c>
      <x:c r="D10" s="188" t="s">
        <x:v>404</x:v>
      </x:c>
      <x:c r="E10" s="188" t="s">
        <x:v>845</x:v>
      </x:c>
      <x:c r="F10" s="188" t="s">
        <x:v>851</x:v>
      </x:c>
      <x:c r="G10" s="208" t="str">
        <x:v>Solo admite un vehículo ACTIVO, del usuario y distinto del principal. En FREE, donde únicamente permanece activo el principal tras vencer Premium, no puede elegirse como nuevo principal un secundario INACTIVO. El usuario FREE con varios vehículos registrados heredados de Premium mantiene únicamente principal ACTIVO; no debe habilitar cambio hacia uno INACTIVO mediante RF13.</x:v>
      </x:c>
    </x:row>
    <x:row r="11" ht="55.20000076293945" customHeight="1">
      <x:c r="A11" s="197">
        <x:v>6</x:v>
      </x:c>
      <x:c r="B11" s="191" t="s">
        <x:v>10</x:v>
      </x:c>
      <x:c r="C11" s="189" t="s">
        <x:v>845</x:v>
      </x:c>
      <x:c r="D11" s="189" t="s">
        <x:v>319</x:v>
      </x:c>
      <x:c r="E11" s="189" t="s">
        <x:v>440</x:v>
      </x:c>
      <x:c r="F11" s="189" t="s">
        <x:v>852</x:v>
      </x:c>
      <x:c r="G11" s="189" t="s">
        <x:v>853</x:v>
      </x:c>
    </x:row>
    <x:row r="12" ht="55.20000076293945" customHeight="1">
      <x:c r="A12" s="197">
        <x:v>7</x:v>
      </x:c>
      <x:c r="B12" s="191" t="s">
        <x:v>10</x:v>
      </x:c>
      <x:c r="C12" s="188" t="s">
        <x:v>440</x:v>
      </x:c>
      <x:c r="D12" s="188" t="s">
        <x:v>323</x:v>
      </x:c>
      <x:c r="E12" s="188" t="s">
        <x:v>845</x:v>
      </x:c>
      <x:c r="F12" s="188" t="s">
        <x:v>854</x:v>
      </x:c>
      <x:c r="G12" s="188" t="s">
        <x:v>855</x:v>
      </x:c>
    </x:row>
    <x:row r="13" ht="55.20000076293945" customHeight="1">
      <x:c r="A13" s="191">
        <x:v>8</x:v>
      </x:c>
      <x:c r="B13" s="191" t="s">
        <x:v>10</x:v>
      </x:c>
      <x:c r="C13" s="189" t="s">
        <x:v>845</x:v>
      </x:c>
      <x:c r="D13" s="189" t="s">
        <x:v>404</x:v>
      </x:c>
      <x:c r="E13" s="189" t="s">
        <x:v>845</x:v>
      </x:c>
      <x:c r="F13" s="189" t="s">
        <x:v>856</x:v>
      </x:c>
      <x:c r="G13" s="189" t="s">
        <x:v>857</x:v>
      </x:c>
    </x:row>
    <x:row r="14" ht="55.20000076293945" customHeight="1">
      <x:c r="A14" s="399" t="s">
        <x:v>858</x:v>
      </x:c>
      <x:c r="B14" s="399"/>
      <x:c r="C14" s="399"/>
      <x:c r="D14" s="399"/>
      <x:c r="E14" s="399"/>
      <x:c r="F14" s="399"/>
      <x:c r="G14" s="399"/>
    </x:row>
    <x:row r="15" ht="55.20000076293945" customHeight="1">
      <x:c r="A15" s="191">
        <x:v>9</x:v>
      </x:c>
      <x:c r="B15" s="191" t="s">
        <x:v>33</x:v>
      </x:c>
      <x:c r="C15" s="189" t="s">
        <x:v>845</x:v>
      </x:c>
      <x:c r="D15" s="189" t="s">
        <x:v>319</x:v>
      </x:c>
      <x:c r="E15" s="189" t="s">
        <x:v>859</x:v>
      </x:c>
      <x:c r="F15" s="189" t="s">
        <x:v>860</x:v>
      </x:c>
      <x:c r="G15" s="189" t="s">
        <x:v>861</x:v>
      </x:c>
    </x:row>
    <x:row r="16" ht="55.20000076293945" customHeight="1">
      <x:c r="A16" s="197">
        <x:v>10</x:v>
      </x:c>
      <x:c r="B16" s="191" t="s">
        <x:v>33</x:v>
      </x:c>
      <x:c r="C16" s="188" t="s">
        <x:v>859</x:v>
      </x:c>
      <x:c r="D16" s="188" t="s">
        <x:v>319</x:v>
      </x:c>
      <x:c r="E16" s="188" t="s">
        <x:v>11</x:v>
      </x:c>
      <x:c r="F16" s="188" t="s">
        <x:v>862</x:v>
      </x:c>
      <x:c r="G16" s="188" t="s">
        <x:v>863</x:v>
      </x:c>
    </x:row>
    <x:row r="17" ht="55.20000076293945" customHeight="1">
      <x:c r="A17" s="197">
        <x:v>11</x:v>
      </x:c>
      <x:c r="B17" s="191" t="s">
        <x:v>33</x:v>
      </x:c>
      <x:c r="C17" s="189" t="s">
        <x:v>11</x:v>
      </x:c>
      <x:c r="D17" s="189" t="s">
        <x:v>319</x:v>
      </x:c>
      <x:c r="E17" s="189" t="s">
        <x:v>859</x:v>
      </x:c>
      <x:c r="F17" s="189" t="s">
        <x:v>864</x:v>
      </x:c>
      <x:c r="G17" s="189" t="s">
        <x:v>865</x:v>
      </x:c>
    </x:row>
    <x:row r="18" ht="55.20000076293945" customHeight="1">
      <x:c r="A18" s="191">
        <x:v>12</x:v>
      </x:c>
      <x:c r="B18" s="191" t="s">
        <x:v>33</x:v>
      </x:c>
      <x:c r="C18" s="188" t="s">
        <x:v>859</x:v>
      </x:c>
      <x:c r="D18" s="188" t="s">
        <x:v>319</x:v>
      </x:c>
      <x:c r="E18" s="188" t="s">
        <x:v>845</x:v>
      </x:c>
      <x:c r="F18" s="188" t="s">
        <x:v>866</x:v>
      </x:c>
      <x:c r="G18" s="188" t="s">
        <x:v>867</x:v>
      </x:c>
    </x:row>
    <x:row r="19" ht="55.20000076293945" customHeight="1">
      <x:c r="A19" s="399" t="s">
        <x:v>868</x:v>
      </x:c>
      <x:c r="B19" s="399"/>
      <x:c r="C19" s="399"/>
      <x:c r="D19" s="399"/>
      <x:c r="E19" s="399"/>
      <x:c r="F19" s="399"/>
      <x:c r="G19" s="399"/>
    </x:row>
    <x:row r="20" ht="55.20000076293945" customHeight="1">
      <x:c r="A20" s="191">
        <x:v>13</x:v>
      </x:c>
      <x:c r="B20" s="191" t="s">
        <x:v>63</x:v>
      </x:c>
      <x:c r="C20" s="188" t="s">
        <x:v>845</x:v>
      </x:c>
      <x:c r="D20" s="188" t="s">
        <x:v>319</x:v>
      </x:c>
      <x:c r="E20" s="188" t="s">
        <x:v>440</x:v>
      </x:c>
      <x:c r="F20" s="188" t="s">
        <x:v>869</x:v>
      </x:c>
      <x:c r="G20" s="188" t="s">
        <x:v>870</x:v>
      </x:c>
    </x:row>
    <x:row r="21" ht="55.20000076293945" customHeight="1">
      <x:c r="A21" s="197">
        <x:v>14</x:v>
      </x:c>
      <x:c r="B21" s="191" t="s">
        <x:v>63</x:v>
      </x:c>
      <x:c r="C21" s="189" t="s">
        <x:v>440</x:v>
      </x:c>
      <x:c r="D21" s="189" t="s">
        <x:v>323</x:v>
      </x:c>
      <x:c r="E21" s="189" t="s">
        <x:v>845</x:v>
      </x:c>
      <x:c r="F21" s="189" t="s">
        <x:v>871</x:v>
      </x:c>
      <x:c r="G21" s="189" t="s">
        <x:v>872</x:v>
      </x:c>
    </x:row>
    <x:row r="22" ht="55.20000076293945" customHeight="1">
      <x:c r="A22" s="197">
        <x:v>15</x:v>
      </x:c>
      <x:c r="B22" s="191" t="s">
        <x:v>63</x:v>
      </x:c>
      <x:c r="C22" s="188" t="s">
        <x:v>845</x:v>
      </x:c>
      <x:c r="D22" s="188" t="s">
        <x:v>404</x:v>
      </x:c>
      <x:c r="E22" s="188" t="s">
        <x:v>845</x:v>
      </x:c>
      <x:c r="F22" s="188" t="s">
        <x:v>873</x:v>
      </x:c>
      <x:c r="G22" s="208" t="s">
        <x:v>874</x:v>
      </x:c>
    </x:row>
    <x:row r="23" ht="55.20000076293945" customHeight="1">
      <x:c r="A23" s="191">
        <x:v>16</x:v>
      </x:c>
      <x:c r="B23" s="191" t="s">
        <x:v>63</x:v>
      </x:c>
      <x:c r="C23" s="189" t="s">
        <x:v>845</x:v>
      </x:c>
      <x:c r="D23" s="189" t="s">
        <x:v>319</x:v>
      </x:c>
      <x:c r="E23" s="189" t="s">
        <x:v>440</x:v>
      </x:c>
      <x:c r="F23" s="189" t="s">
        <x:v>875</x:v>
      </x:c>
      <x:c r="G23" s="208" t="s">
        <x:v>876</x:v>
      </x:c>
    </x:row>
    <x:row r="24" ht="55.20000076293945" customHeight="1">
      <x:c r="A24" s="191">
        <x:v>17</x:v>
      </x:c>
      <x:c r="B24" s="191" t="s">
        <x:v>63</x:v>
      </x:c>
      <x:c r="C24" s="188" t="s">
        <x:v>440</x:v>
      </x:c>
      <x:c r="D24" s="188" t="s">
        <x:v>323</x:v>
      </x:c>
      <x:c r="E24" s="188" t="s">
        <x:v>845</x:v>
      </x:c>
      <x:c r="F24" s="188" t="s">
        <x:v>877</x:v>
      </x:c>
      <x:c r="G24" s="188" t="s">
        <x:v>878</x:v>
      </x:c>
    </x:row>
    <x:row r="25" ht="55.20000076293945" customHeight="1">
      <x:c r="A25" s="399" t="s">
        <x:v>879</x:v>
      </x:c>
      <x:c r="B25" s="399"/>
      <x:c r="C25" s="399"/>
      <x:c r="D25" s="399"/>
      <x:c r="E25" s="399"/>
      <x:c r="F25" s="399"/>
      <x:c r="G25" s="399"/>
    </x:row>
    <x:row r="26" ht="55.20000076293945" customHeight="1">
      <x:c r="A26" s="191">
        <x:v>18</x:v>
      </x:c>
      <x:c r="B26" s="191" t="s">
        <x:v>81</x:v>
      </x:c>
      <x:c r="C26" s="188" t="s">
        <x:v>845</x:v>
      </x:c>
      <x:c r="D26" s="188" t="s">
        <x:v>319</x:v>
      </x:c>
      <x:c r="E26" s="188" t="s">
        <x:v>156</x:v>
      </x:c>
      <x:c r="F26" s="188" t="s">
        <x:v>880</x:v>
      </x:c>
      <x:c r="G26" s="188" t="s">
        <x:v>881</x:v>
      </x:c>
    </x:row>
    <x:row r="27" ht="55.20000076293945" customHeight="1">
      <x:c r="A27" s="197">
        <x:v>19</x:v>
      </x:c>
      <x:c r="B27" s="191" t="s">
        <x:v>81</x:v>
      </x:c>
      <x:c r="C27" s="189" t="s">
        <x:v>156</x:v>
      </x:c>
      <x:c r="D27" s="189" t="s">
        <x:v>319</x:v>
      </x:c>
      <x:c r="E27" s="189" t="s">
        <x:v>11</x:v>
      </x:c>
      <x:c r="F27" s="189" t="s">
        <x:v>882</x:v>
      </x:c>
      <x:c r="G27" s="189" t="s">
        <x:v>883</x:v>
      </x:c>
    </x:row>
    <x:row r="28" ht="55.20000076293945" customHeight="1">
      <x:c r="A28" s="197">
        <x:v>20</x:v>
      </x:c>
      <x:c r="B28" s="191" t="s">
        <x:v>81</x:v>
      </x:c>
      <x:c r="C28" s="188" t="s">
        <x:v>11</x:v>
      </x:c>
      <x:c r="D28" s="188" t="s">
        <x:v>319</x:v>
      </x:c>
      <x:c r="E28" s="188" t="s">
        <x:v>156</x:v>
      </x:c>
      <x:c r="F28" s="188" t="s">
        <x:v>812</x:v>
      </x:c>
      <x:c r="G28" s="188" t="s">
        <x:v>884</x:v>
      </x:c>
    </x:row>
    <x:row r="29" ht="55.20000076293945" customHeight="1">
      <x:c r="A29" s="191">
        <x:v>21</x:v>
      </x:c>
      <x:c r="B29" s="191" t="s">
        <x:v>81</x:v>
      </x:c>
      <x:c r="C29" s="189" t="s">
        <x:v>156</x:v>
      </x:c>
      <x:c r="D29" s="189" t="s">
        <x:v>319</x:v>
      </x:c>
      <x:c r="E29" s="189" t="s">
        <x:v>845</x:v>
      </x:c>
      <x:c r="F29" s="189" t="s">
        <x:v>814</x:v>
      </x:c>
      <x:c r="G29" s="189" t="s">
        <x:v>885</x:v>
      </x:c>
    </x:row>
    <x:row r="30" ht="55.20000076293945" customHeight="1">
      <x:c r="A30" s="399" t="s">
        <x:v>886</x:v>
      </x:c>
      <x:c r="B30" s="399"/>
      <x:c r="C30" s="399"/>
      <x:c r="D30" s="399"/>
      <x:c r="E30" s="399"/>
      <x:c r="F30" s="399"/>
      <x:c r="G30" s="399"/>
    </x:row>
    <x:row r="31" ht="55.20000076293945" customHeight="1">
      <x:c r="A31" s="191">
        <x:v>22</x:v>
      </x:c>
      <x:c r="B31" s="191" t="s">
        <x:v>110</x:v>
      </x:c>
      <x:c r="C31" s="192" t="s">
        <x:v>845</x:v>
      </x:c>
      <x:c r="D31" s="192" t="s">
        <x:v>319</x:v>
      </x:c>
      <x:c r="E31" s="192" t="s">
        <x:v>543</x:v>
      </x:c>
      <x:c r="F31" s="192" t="s">
        <x:v>817</x:v>
      </x:c>
      <x:c r="G31" s="192" t="s">
        <x:v>887</x:v>
      </x:c>
    </x:row>
    <x:row r="32" ht="55.20000076293945" customHeight="1">
      <x:c r="A32" s="197">
        <x:v>23</x:v>
      </x:c>
      <x:c r="B32" s="191" t="s">
        <x:v>110</x:v>
      </x:c>
      <x:c r="C32" s="192" t="s">
        <x:v>543</x:v>
      </x:c>
      <x:c r="D32" s="192" t="s">
        <x:v>319</x:v>
      </x:c>
      <x:c r="E32" s="192" t="s">
        <x:v>440</x:v>
      </x:c>
      <x:c r="F32" s="192" t="s">
        <x:v>544</x:v>
      </x:c>
      <x:c r="G32" s="192" t="s">
        <x:v>888</x:v>
      </x:c>
    </x:row>
    <x:row r="33" ht="55.20000076293945" customHeight="1">
      <x:c r="A33" s="197">
        <x:v>24</x:v>
      </x:c>
      <x:c r="B33" s="191" t="s">
        <x:v>110</x:v>
      </x:c>
      <x:c r="C33" s="192" t="s">
        <x:v>440</x:v>
      </x:c>
      <x:c r="D33" s="192" t="s">
        <x:v>323</x:v>
      </x:c>
      <x:c r="E33" s="192" t="s">
        <x:v>543</x:v>
      </x:c>
      <x:c r="F33" s="192" t="s">
        <x:v>546</x:v>
      </x:c>
      <x:c r="G33" s="192" t="s">
        <x:v>889</x:v>
      </x:c>
    </x:row>
    <x:row r="34" ht="55.20000076293945" customHeight="1">
      <x:c r="A34" s="191">
        <x:v>25</x:v>
      </x:c>
      <x:c r="B34" s="191" t="s">
        <x:v>110</x:v>
      </x:c>
      <x:c r="C34" s="192" t="s">
        <x:v>543</x:v>
      </x:c>
      <x:c r="D34" s="192" t="s">
        <x:v>319</x:v>
      </x:c>
      <x:c r="E34" s="192" t="s">
        <x:v>488</x:v>
      </x:c>
      <x:c r="F34" s="192" t="s">
        <x:v>548</x:v>
      </x:c>
      <x:c r="G34" s="192" t="s">
        <x:v>821</x:v>
      </x:c>
    </x:row>
    <x:row r="35" ht="55.20000076293945" customHeight="1">
      <x:c r="A35" s="191">
        <x:v>26</x:v>
      </x:c>
      <x:c r="B35" s="191" t="s">
        <x:v>110</x:v>
      </x:c>
      <x:c r="C35" s="192" t="s">
        <x:v>488</x:v>
      </x:c>
      <x:c r="D35" s="192" t="s">
        <x:v>323</x:v>
      </x:c>
      <x:c r="E35" s="192" t="s">
        <x:v>543</x:v>
      </x:c>
      <x:c r="F35" s="192" t="s">
        <x:v>550</x:v>
      </x:c>
      <x:c r="G35" s="192" t="s">
        <x:v>822</x:v>
      </x:c>
    </x:row>
    <x:row r="36" ht="55.20000076293945" customHeight="1">
      <x:c r="A36" s="191">
        <x:v>27</x:v>
      </x:c>
      <x:c r="B36" s="191" t="s">
        <x:v>110</x:v>
      </x:c>
      <x:c r="C36" s="192" t="s">
        <x:v>543</x:v>
      </x:c>
      <x:c r="D36" s="192" t="s">
        <x:v>319</x:v>
      </x:c>
      <x:c r="E36" s="192" t="s">
        <x:v>500</x:v>
      </x:c>
      <x:c r="F36" s="192" t="s">
        <x:v>552</x:v>
      </x:c>
      <x:c r="G36" s="192" t="s">
        <x:v>890</x:v>
      </x:c>
    </x:row>
    <x:row r="37" ht="55.20000076293945" customHeight="1">
      <x:c r="A37" s="191">
        <x:v>28</x:v>
      </x:c>
      <x:c r="B37" s="191" t="s">
        <x:v>110</x:v>
      </x:c>
      <x:c r="C37" s="192" t="s">
        <x:v>500</x:v>
      </x:c>
      <x:c r="D37" s="192" t="s">
        <x:v>319</x:v>
      </x:c>
      <x:c r="E37" s="192" t="s">
        <x:v>503</x:v>
      </x:c>
      <x:c r="F37" s="192" t="s">
        <x:v>554</x:v>
      </x:c>
      <x:c r="G37" s="192" t="s">
        <x:v>891</x:v>
      </x:c>
    </x:row>
    <x:row r="38" ht="55.20000076293945" customHeight="1">
      <x:c r="A38" s="191">
        <x:v>29</x:v>
      </x:c>
      <x:c r="B38" s="191" t="s">
        <x:v>110</x:v>
      </x:c>
      <x:c r="C38" s="192" t="s">
        <x:v>503</x:v>
      </x:c>
      <x:c r="D38" s="192" t="s">
        <x:v>323</x:v>
      </x:c>
      <x:c r="E38" s="192" t="s">
        <x:v>500</x:v>
      </x:c>
      <x:c r="F38" s="192" t="s">
        <x:v>556</x:v>
      </x:c>
      <x:c r="G38" s="192" t="s">
        <x:v>892</x:v>
      </x:c>
    </x:row>
    <x:row r="39" ht="55.20000076293945" customHeight="1">
      <x:c r="A39" s="191">
        <x:v>30</x:v>
      </x:c>
      <x:c r="B39" s="191" t="s">
        <x:v>110</x:v>
      </x:c>
      <x:c r="C39" s="192" t="s">
        <x:v>500</x:v>
      </x:c>
      <x:c r="D39" s="192" t="s">
        <x:v>323</x:v>
      </x:c>
      <x:c r="E39" s="192" t="s">
        <x:v>543</x:v>
      </x:c>
      <x:c r="F39" s="192" t="s">
        <x:v>558</x:v>
      </x:c>
      <x:c r="G39" s="192" t="s">
        <x:v>893</x:v>
      </x:c>
    </x:row>
    <x:row r="40" ht="55.20000076293945" customHeight="1">
      <x:c r="A40" s="197">
        <x:v>31</x:v>
      </x:c>
      <x:c r="B40" s="191" t="s">
        <x:v>110</x:v>
      </x:c>
      <x:c r="C40" s="192" t="s">
        <x:v>543</x:v>
      </x:c>
      <x:c r="D40" s="192" t="s">
        <x:v>319</x:v>
      </x:c>
      <x:c r="E40" s="192" t="s">
        <x:v>560</x:v>
      </x:c>
      <x:c r="F40" s="192" t="s">
        <x:v>561</x:v>
      </x:c>
      <x:c r="G40" s="192" t="s">
        <x:v>827</x:v>
      </x:c>
    </x:row>
    <x:row r="41" ht="55.20000076293945" customHeight="1">
      <x:c r="A41" s="197">
        <x:v>32</x:v>
      </x:c>
      <x:c r="B41" s="191" t="s">
        <x:v>110</x:v>
      </x:c>
      <x:c r="C41" s="192" t="s">
        <x:v>560</x:v>
      </x:c>
      <x:c r="D41" s="192" t="s">
        <x:v>319</x:v>
      </x:c>
      <x:c r="E41" s="192" t="s">
        <x:v>563</x:v>
      </x:c>
      <x:c r="F41" s="192" t="s">
        <x:v>564</x:v>
      </x:c>
      <x:c r="G41" s="192" t="str">
        <x:v>Para cada vehículo consultar el SOAT marcado esActual=true; VIGENTE/VENCIDO/FUTURO se determina por fechas de cobertura y no por la marca ACTUAL. Si no hay registro actual, NO_REGISTRADO. Las pólizas históricas se conservan y no reemplazan silenciosamente el documento actual.</x:v>
      </x:c>
    </x:row>
    <x:row r="42" ht="55.20000076293945" customHeight="1">
      <x:c r="A42" s="197">
        <x:v>33</x:v>
      </x:c>
      <x:c r="B42" s="191" t="s">
        <x:v>110</x:v>
      </x:c>
      <x:c r="C42" s="192" t="s">
        <x:v>563</x:v>
      </x:c>
      <x:c r="D42" s="192" t="s">
        <x:v>323</x:v>
      </x:c>
      <x:c r="E42" s="192" t="s">
        <x:v>560</x:v>
      </x:c>
      <x:c r="F42" s="192" t="s">
        <x:v>566</x:v>
      </x:c>
      <x:c r="G42" s="192" t="s">
        <x:v>828</x:v>
      </x:c>
    </x:row>
    <x:row r="43" ht="55.20000076293945" customHeight="1">
      <x:c r="A43" s="197">
        <x:v>34</x:v>
      </x:c>
      <x:c r="B43" s="191" t="s">
        <x:v>110</x:v>
      </x:c>
      <x:c r="C43" s="192" t="s">
        <x:v>560</x:v>
      </x:c>
      <x:c r="D43" s="192" t="s">
        <x:v>323</x:v>
      </x:c>
      <x:c r="E43" s="192" t="s">
        <x:v>543</x:v>
      </x:c>
      <x:c r="F43" s="192" t="s">
        <x:v>566</x:v>
      </x:c>
      <x:c r="G43" s="192" t="s">
        <x:v>829</x:v>
      </x:c>
    </x:row>
    <x:row r="44" ht="55.20000076293945" customHeight="1">
      <x:c r="A44" s="197">
        <x:v>35</x:v>
      </x:c>
      <x:c r="B44" s="191" t="s">
        <x:v>110</x:v>
      </x:c>
      <x:c r="C44" s="192" t="s">
        <x:v>543</x:v>
      </x:c>
      <x:c r="D44" s="192" t="s">
        <x:v>319</x:v>
      </x:c>
      <x:c r="E44" s="192" t="s">
        <x:v>569</x:v>
      </x:c>
      <x:c r="F44" s="192" t="s">
        <x:v>570</x:v>
      </x:c>
      <x:c r="G44" s="192" t="s">
        <x:v>830</x:v>
      </x:c>
    </x:row>
    <x:row r="45" ht="55.20000076293945" customHeight="1">
      <x:c r="A45" s="197">
        <x:v>36</x:v>
      </x:c>
      <x:c r="B45" s="191" t="s">
        <x:v>110</x:v>
      </x:c>
      <x:c r="C45" s="192" t="s">
        <x:v>569</x:v>
      </x:c>
      <x:c r="D45" s="192" t="s">
        <x:v>319</x:v>
      </x:c>
      <x:c r="E45" s="192" t="s">
        <x:v>572</x:v>
      </x:c>
      <x:c r="F45" s="192" t="s">
        <x:v>573</x:v>
      </x:c>
      <x:c r="G45" s="192" t="str">
        <x:v>La entidad consulta si cada vehículo tiene TIVE registrada. No trata la TIVE como un documento con vencimiento. Consultar TIVE por idVehiculo de cada tarjeta, sin vincular por VIN.</x:v>
      </x:c>
    </x:row>
    <x:row r="46" ht="55.20000076293945" customHeight="1">
      <x:c r="A46" s="197">
        <x:v>37</x:v>
      </x:c>
      <x:c r="B46" s="191" t="s">
        <x:v>110</x:v>
      </x:c>
      <x:c r="C46" s="192" t="s">
        <x:v>572</x:v>
      </x:c>
      <x:c r="D46" s="192" t="s">
        <x:v>323</x:v>
      </x:c>
      <x:c r="E46" s="192" t="s">
        <x:v>569</x:v>
      </x:c>
      <x:c r="F46" s="192" t="s">
        <x:v>575</x:v>
      </x:c>
      <x:c r="G46" s="192" t="s">
        <x:v>831</x:v>
      </x:c>
    </x:row>
    <x:row r="47" ht="55.20000076293945" customHeight="1">
      <x:c r="A47" s="197">
        <x:v>38</x:v>
      </x:c>
      <x:c r="B47" s="191" t="s">
        <x:v>110</x:v>
      </x:c>
      <x:c r="C47" s="192" t="s">
        <x:v>569</x:v>
      </x:c>
      <x:c r="D47" s="192" t="s">
        <x:v>323</x:v>
      </x:c>
      <x:c r="E47" s="192" t="s">
        <x:v>543</x:v>
      </x:c>
      <x:c r="F47" s="192" t="s">
        <x:v>575</x:v>
      </x:c>
      <x:c r="G47" s="192" t="s">
        <x:v>832</x:v>
      </x:c>
    </x:row>
    <x:row r="48" ht="55.20000076293945" customHeight="1">
      <x:c r="A48" s="197">
        <x:v>39</x:v>
      </x:c>
      <x:c r="B48" s="191" t="s">
        <x:v>110</x:v>
      </x:c>
      <x:c r="C48" s="192" t="s">
        <x:v>543</x:v>
      </x:c>
      <x:c r="D48" s="192" t="s">
        <x:v>404</x:v>
      </x:c>
      <x:c r="E48" s="192" t="s">
        <x:v>543</x:v>
      </x:c>
      <x:c r="F48" s="192" t="s">
        <x:v>894</x:v>
      </x:c>
      <x:c r="G48" s="192" t="s">
        <x:v>895</x:v>
      </x:c>
    </x:row>
    <x:row r="49" ht="55.20000076293945" customHeight="1">
      <x:c r="A49" s="191">
        <x:v>40</x:v>
      </x:c>
      <x:c r="B49" s="191" t="s">
        <x:v>110</x:v>
      </x:c>
      <x:c r="C49" s="192" t="s">
        <x:v>543</x:v>
      </x:c>
      <x:c r="D49" s="192" t="s">
        <x:v>404</x:v>
      </x:c>
      <x:c r="E49" s="192" t="s">
        <x:v>543</x:v>
      </x:c>
      <x:c r="F49" s="192" t="s">
        <x:v>580</x:v>
      </x:c>
      <x:c r="G49" s="192" t="s">
        <x:v>896</x:v>
      </x:c>
    </x:row>
    <x:row r="50" ht="55.20000076293945" customHeight="1">
      <x:c r="A50" s="191">
        <x:v>41</x:v>
      </x:c>
      <x:c r="B50" s="191" t="s">
        <x:v>110</x:v>
      </x:c>
      <x:c r="C50" s="192" t="s">
        <x:v>543</x:v>
      </x:c>
      <x:c r="D50" s="192" t="s">
        <x:v>404</x:v>
      </x:c>
      <x:c r="E50" s="192" t="s">
        <x:v>543</x:v>
      </x:c>
      <x:c r="F50" s="192" t="s">
        <x:v>582</x:v>
      </x:c>
      <x:c r="G50" s="192" t="s">
        <x:v>897</x:v>
      </x:c>
    </x:row>
    <x:row r="51" ht="55.20000076293945" customHeight="1">
      <x:c r="A51" s="191">
        <x:v>42</x:v>
      </x:c>
      <x:c r="B51" s="191" t="s">
        <x:v>110</x:v>
      </x:c>
      <x:c r="C51" s="192" t="s">
        <x:v>543</x:v>
      </x:c>
      <x:c r="D51" s="192" t="s">
        <x:v>404</x:v>
      </x:c>
      <x:c r="E51" s="192" t="s">
        <x:v>543</x:v>
      </x:c>
      <x:c r="F51" s="192" t="s">
        <x:v>584</x:v>
      </x:c>
      <x:c r="G51" s="192" t="s">
        <x:v>898</x:v>
      </x:c>
    </x:row>
    <x:row r="52" ht="55.20000076293945" customHeight="1">
      <x:c r="A52" s="197">
        <x:v>43</x:v>
      </x:c>
      <x:c r="B52" s="191" t="s">
        <x:v>110</x:v>
      </x:c>
      <x:c r="C52" s="192" t="s">
        <x:v>543</x:v>
      </x:c>
      <x:c r="D52" s="192" t="s">
        <x:v>319</x:v>
      </x:c>
      <x:c r="E52" s="192" t="s">
        <x:v>424</x:v>
      </x:c>
      <x:c r="F52" s="192" t="s">
        <x:v>836</x:v>
      </x:c>
      <x:c r="G52" s="192" t="s">
        <x:v>899</x:v>
      </x:c>
    </x:row>
    <x:row r="53" ht="55.20000076293945" customHeight="1">
      <x:c r="A53" s="197">
        <x:v>44</x:v>
      </x:c>
      <x:c r="B53" s="191" t="s">
        <x:v>110</x:v>
      </x:c>
      <x:c r="C53" s="192" t="s">
        <x:v>424</x:v>
      </x:c>
      <x:c r="D53" s="192" t="s">
        <x:v>319</x:v>
      </x:c>
      <x:c r="E53" s="192" t="s">
        <x:v>11</x:v>
      </x:c>
      <x:c r="F53" s="192" t="s">
        <x:v>900</x:v>
      </x:c>
      <x:c r="G53" s="192" t="s">
        <x:v>901</x:v>
      </x:c>
    </x:row>
  </x:sheetData>
  <x:mergeCells>
    <x:mergeCell ref="A30:G30"/>
    <x:mergeCell ref="A1:G1"/>
    <x:mergeCell ref="A2:G2"/>
    <x:mergeCell ref="A5:G5"/>
    <x:mergeCell ref="A14:G14"/>
    <x:mergeCell ref="A19:G19"/>
    <x:mergeCell ref="A25:G25"/>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10" defaultColWidth="9.109375" defaultRowHeight="14.399999618530273"/>
  <x:cols>
    <x:col min="1" max="1" width="7" style="1" hidden="0" customWidth="1"/>
    <x:col min="2" max="2" width="10" style="1" hidden="0" customWidth="1"/>
    <x:col min="3" max="3" width="25" hidden="0" customWidth="1"/>
    <x:col min="4" max="4" width="20" hidden="0" customWidth="1"/>
    <x:col min="5" max="5" width="28" hidden="0" customWidth="1"/>
    <x:col min="6" max="6" width="38" hidden="0" customWidth="1"/>
    <x:col min="7" max="7" width="90" hidden="0" customWidth="1"/>
    <x:col min="8" max="8" width="17" hidden="0" customWidth="1"/>
    <x:col min="9" max="9" width="58" hidden="0" customWidth="1"/>
  </x:cols>
  <x:sheetData>
    <x:row r="1" ht="31.799999237060547" customHeight="1">
      <x:c r="A1" t="s">
        <x:v>902</x:v>
      </x:c>
      <x:c r="B1"/>
      <x:c r="C1"/>
      <x:c r="D1"/>
      <x:c r="E1"/>
      <x:c r="F1"/>
      <x:c r="G1"/>
      <x:c r="H1"/>
    </x:row>
    <x:row r="2" ht="25.049999237060547" customHeight="1">
      <x:c r="A2" t="s">
        <x:v>903</x:v>
      </x:c>
      <x:c r="B2"/>
      <x:c r="C2"/>
      <x:c r="D2"/>
      <x:c r="E2"/>
      <x:c r="F2"/>
      <x:c r="G2" t="str">
        <x:v>RF14 MVP: formulario → vista previa SIN escritura → 'Continuar' en vista previa confirma UNA lectura (idOperacion, validación y COMMIT) → I_ConfirmacionKilometraje con 'Continuar' / 'Ir a inicio'. 'Continuar' FINAL SOLO NAVEGA: origen normal → I_DetalleKilometraje; origen RF17 → RF17 con borrador temporal intacto. RF14 no sincroniza alertas (eso corresponde a RF23). | ACUERDOS 25/10/26: sesión validada por Spring Boot; cuenta SUSPENDIDA bloquea operaciones protegidas; FREE asignado por RF01 en transacción sin trigger.</x:v>
      </x:c>
      <x:c r="H2"/>
    </x:row>
    <x:row r="3" s="1" customFormat="1" ht="22.799999237060547" customHeight="1">
      <x:c r="A3" t="s">
        <x:v>2</x:v>
      </x:c>
      <x:c r="B3" t="s">
        <x:v>3</x:v>
      </x:c>
      <x:c r="C3" t="s">
        <x:v>4</x:v>
      </x:c>
      <x:c r="D3" t="s">
        <x:v>5</x:v>
      </x:c>
      <x:c r="E3" t="s">
        <x:v>6</x:v>
      </x:c>
      <x:c r="F3" t="s">
        <x:v>7</x:v>
      </x:c>
      <x:c r="G3" t="s">
        <x:v>8</x:v>
      </x:c>
      <x:c r="H3" t="s">
        <x:v>417</x:v>
      </x:c>
      <x:c r="I3" t="str">
        <x:v>CONDICIÓN RF65 (NO MVP)</x:v>
      </x:c>
    </x:row>
    <x:row r="4" s="1" customFormat="1" ht="25.799999237060547" customHeight="1">
      <x:c r="A4" t="s">
        <x:v>904</x:v>
      </x:c>
      <x:c r="B4"/>
      <x:c r="C4"/>
      <x:c r="D4"/>
      <x:c r="E4"/>
      <x:c r="F4"/>
      <x:c r="G4"/>
      <x:c r="H4"/>
    </x:row>
    <x:row r="5" ht="42" customHeight="1">
      <x:c r="A5" t="n">
        <x:v>1</x:v>
      </x:c>
      <x:c r="B5" t="s">
        <x:v>10</x:v>
      </x:c>
      <x:c r="C5" t="s">
        <x:v>11</x:v>
      </x:c>
      <x:c r="D5" t="s">
        <x:v>319</x:v>
      </x:c>
      <x:c r="E5" t="s">
        <x:v>674</x:v>
      </x:c>
      <x:c r="F5" t="s">
        <x:v>905</x:v>
      </x:c>
      <x:c r="G5" t="str">
        <x:v>RUTA NORMAL: el usuario abre Actualizar KM desde Detalle del vehículo o Detalle de kilometraje. RUTA RF17: abre DIRECTAMENTE I_ActualizarKilometraje desde el formulario de mantenimiento, sin pasar por Detalle. Ver hoja INTEGRACION_RF17_RF14; no se cambia el guardado común RF14.</x:v>
      </x:c>
      <x:c r="H5" t="s">
        <x:v>421</x:v>
      </x:c>
      <x:c r="I5" s="1071" t="str">
        <x:v>RF65 POST-MVP · CONDICIONADO A APROBACIÓN. Lecturas nuevas: escribir solo sobre vehículo propio ACTIVO VIGENTE; vehículo ELIMINADO conserva lectura histórica pero no admite nuevos cambios. RF14 no cambia alertas en MVP. Sin aprobación no aplicar filtros ni cambios de BD por RF65.</x:v>
      </x:c>
    </x:row>
    <x:row r="6" ht="42" customHeight="1">
      <x:c r="A6" t="n">
        <x:v>2</x:v>
      </x:c>
      <x:c r="B6" t="s">
        <x:v>10</x:v>
      </x:c>
      <x:c r="C6" t="s">
        <x:v>674</x:v>
      </x:c>
      <x:c r="D6" t="s">
        <x:v>319</x:v>
      </x:c>
      <x:c r="E6" t="s">
        <x:v>500</x:v>
      </x:c>
      <x:c r="F6" t="s">
        <x:v>906</x:v>
      </x:c>
      <x:c r="G6" t="s">
        <x:v>907</x:v>
      </x:c>
      <x:c r="H6" t="s">
        <x:v>421</x:v>
      </x:c>
    </x:row>
    <x:row r="7" ht="42" customHeight="1">
      <x:c r="A7" t="n">
        <x:v>3</x:v>
      </x:c>
      <x:c r="B7" t="s">
        <x:v>10</x:v>
      </x:c>
      <x:c r="C7" t="s">
        <x:v>500</x:v>
      </x:c>
      <x:c r="D7" t="s">
        <x:v>319</x:v>
      </x:c>
      <x:c r="E7" t="s">
        <x:v>908</x:v>
      </x:c>
      <x:c r="F7" t="s">
        <x:v>909</x:v>
      </x:c>
      <x:c r="G7" t="str">
        <x:v>Validar sesión autorizada por Spring Boot, propiedad del vehículo y estado ACTIVO. Si la cuenta realmente está SUSPENDIDA, toda operación protegida se deniega aun con sesión presente. Bloqueo temporal por tres contraseñas erróneas NO suspende cuenta ni interrumpe sesiones ya abiertas. Premium no es operativo en MVP.</x:v>
      </x:c>
      <x:c r="H7" t="s">
        <x:v>421</x:v>
      </x:c>
    </x:row>
    <x:row r="8" ht="42" customHeight="1">
      <x:c r="A8" t="n">
        <x:v>4</x:v>
      </x:c>
      <x:c r="B8" t="s">
        <x:v>10</x:v>
      </x:c>
      <x:c r="C8" t="s">
        <x:v>908</x:v>
      </x:c>
      <x:c r="D8" t="s">
        <x:v>319</x:v>
      </x:c>
      <x:c r="E8" t="s">
        <x:v>440</x:v>
      </x:c>
      <x:c r="F8" t="s">
        <x:v>630</x:v>
      </x:c>
      <x:c r="G8" t="s">
        <x:v>910</x:v>
      </x:c>
      <x:c r="H8" t="s">
        <x:v>421</x:v>
      </x:c>
    </x:row>
    <x:row r="9" ht="42" customHeight="1">
      <x:c r="A9" t="n">
        <x:v>5</x:v>
      </x:c>
      <x:c r="B9" t="s">
        <x:v>10</x:v>
      </x:c>
      <x:c r="C9" t="s">
        <x:v>440</x:v>
      </x:c>
      <x:c r="D9" t="s">
        <x:v>323</x:v>
      </x:c>
      <x:c r="E9" t="s">
        <x:v>908</x:v>
      </x:c>
      <x:c r="F9" t="s">
        <x:v>632</x:v>
      </x:c>
      <x:c r="G9" t="s">
        <x:v>911</x:v>
      </x:c>
      <x:c r="H9" t="s">
        <x:v>421</x:v>
      </x:c>
    </x:row>
    <x:row r="10" ht="42" customHeight="1">
      <x:c r="A10" t="n">
        <x:v>6</x:v>
      </x:c>
      <x:c r="B10" t="s">
        <x:v>10</x:v>
      </x:c>
      <x:c r="C10" t="s">
        <x:v>908</x:v>
      </x:c>
      <x:c r="D10" t="s">
        <x:v>323</x:v>
      </x:c>
      <x:c r="E10" t="s">
        <x:v>500</x:v>
      </x:c>
      <x:c r="F10" t="s">
        <x:v>912</x:v>
      </x:c>
      <x:c r="G10" t="s">
        <x:v>913</x:v>
      </x:c>
      <x:c r="H10" t="s">
        <x:v>421</x:v>
      </x:c>
    </x:row>
    <x:row r="11" ht="42" customHeight="1">
      <x:c r="A11" t="n">
        <x:v>7</x:v>
      </x:c>
      <x:c r="B11" t="s">
        <x:v>10</x:v>
      </x:c>
      <x:c r="C11" t="s">
        <x:v>500</x:v>
      </x:c>
      <x:c r="D11" t="s">
        <x:v>319</x:v>
      </x:c>
      <x:c r="E11" t="s">
        <x:v>503</x:v>
      </x:c>
      <x:c r="F11" t="s">
        <x:v>914</x:v>
      </x:c>
      <x:c r="G11" t="s">
        <x:v>915</x:v>
      </x:c>
      <x:c r="H11" t="s">
        <x:v>421</x:v>
      </x:c>
    </x:row>
    <x:row r="12" ht="42" customHeight="1">
      <x:c r="A12" t="n">
        <x:v>8</x:v>
      </x:c>
      <x:c r="B12" t="s">
        <x:v>10</x:v>
      </x:c>
      <x:c r="C12" t="s">
        <x:v>503</x:v>
      </x:c>
      <x:c r="D12" t="s">
        <x:v>323</x:v>
      </x:c>
      <x:c r="E12" t="s">
        <x:v>500</x:v>
      </x:c>
      <x:c r="F12" t="s">
        <x:v>916</x:v>
      </x:c>
      <x:c r="G12" t="s">
        <x:v>917</x:v>
      </x:c>
      <x:c r="H12" t="s">
        <x:v>421</x:v>
      </x:c>
    </x:row>
    <x:row r="13" ht="42" customHeight="1">
      <x:c r="A13" t="n">
        <x:v>9</x:v>
      </x:c>
      <x:c r="B13" t="s">
        <x:v>10</x:v>
      </x:c>
      <x:c r="C13" t="s">
        <x:v>500</x:v>
      </x:c>
      <x:c r="D13" t="s">
        <x:v>319</x:v>
      </x:c>
      <x:c r="E13" t="s">
        <x:v>918</x:v>
      </x:c>
      <x:c r="F13" t="s">
        <x:v>919</x:v>
      </x:c>
      <x:c r="G13" t="s">
        <x:v>920</x:v>
      </x:c>
      <x:c r="H13" t="s">
        <x:v>421</x:v>
      </x:c>
    </x:row>
    <x:row r="14" ht="42" customHeight="1">
      <x:c r="A14" t="n">
        <x:v>10</x:v>
      </x:c>
      <x:c r="B14" t="s">
        <x:v>10</x:v>
      </x:c>
      <x:c r="C14" t="s">
        <x:v>918</x:v>
      </x:c>
      <x:c r="D14" t="s">
        <x:v>319</x:v>
      </x:c>
      <x:c r="E14" t="s">
        <x:v>11</x:v>
      </x:c>
      <x:c r="F14" t="s">
        <x:v>921</x:v>
      </x:c>
      <x:c r="G14" t="str">
        <x:v>Visualiza km previo (solo lectura), km nuevo editable y botones Continuar / Cancelar. Cancelar NO guarda: regresa a origen normal (Detalle) o, si vino de RF17, al borrador temporal de mantenimiento.</x:v>
      </x:c>
      <x:c r="H14" t="s">
        <x:v>421</x:v>
      </x:c>
    </x:row>
    <x:row r="15" ht="25.799999237060547" customHeight="1">
      <x:c r="A15" t="s">
        <x:v>922</x:v>
      </x:c>
      <x:c r="B15"/>
      <x:c r="C15"/>
      <x:c r="D15"/>
      <x:c r="E15"/>
      <x:c r="F15"/>
      <x:c r="G15"/>
      <x:c r="H15"/>
    </x:row>
    <x:row r="16" ht="42" customHeight="1">
      <x:c r="A16" t="n">
        <x:v>11</x:v>
      </x:c>
      <x:c r="B16" t="s">
        <x:v>33</x:v>
      </x:c>
      <x:c r="C16" t="s">
        <x:v>11</x:v>
      </x:c>
      <x:c r="D16" t="s">
        <x:v>319</x:v>
      </x:c>
      <x:c r="E16" t="s">
        <x:v>918</x:v>
      </x:c>
      <x:c r="F16" t="s">
        <x:v>923</x:v>
      </x:c>
      <x:c r="G16" t="s">
        <x:v>924</x:v>
      </x:c>
      <x:c r="H16" t="s">
        <x:v>421</x:v>
      </x:c>
    </x:row>
    <x:row r="17" ht="42" customHeight="1">
      <x:c r="A17" t="n">
        <x:v>12</x:v>
      </x:c>
      <x:c r="B17" t="s">
        <x:v>33</x:v>
      </x:c>
      <x:c r="C17" t="s">
        <x:v>918</x:v>
      </x:c>
      <x:c r="D17" t="s">
        <x:v>319</x:v>
      </x:c>
      <x:c r="E17" t="s">
        <x:v>500</x:v>
      </x:c>
      <x:c r="F17" t="s">
        <x:v>925</x:v>
      </x:c>
      <x:c r="G17" t="s">
        <x:v>926</x:v>
      </x:c>
      <x:c r="H17" t="s">
        <x:v>421</x:v>
      </x:c>
    </x:row>
    <x:row r="18" ht="42" customHeight="1">
      <x:c r="A18" t="n">
        <x:v>13</x:v>
      </x:c>
      <x:c r="B18" t="s">
        <x:v>33</x:v>
      </x:c>
      <x:c r="C18" t="s">
        <x:v>500</x:v>
      </x:c>
      <x:c r="D18" t="s">
        <x:v>404</x:v>
      </x:c>
      <x:c r="E18" t="s">
        <x:v>500</x:v>
      </x:c>
      <x:c r="F18" t="s">
        <x:v>927</x:v>
      </x:c>
      <x:c r="G18" t="str">
        <x:v>El kilometraje nuevo debe ser entero positivo y estrictamente mayor que la última lectura efectiva vigente; nunca se admite un valor igual o inferior. Las correcciones de lecturas corresponden a RF16, no a RF14.</x:v>
      </x:c>
      <x:c r="H18" t="s">
        <x:v>421</x:v>
      </x:c>
    </x:row>
    <x:row r="19" ht="42" customHeight="1">
      <x:c r="A19" t="n">
        <x:v>14</x:v>
      </x:c>
      <x:c r="B19" t="s">
        <x:v>33</x:v>
      </x:c>
      <x:c r="C19" t="s">
        <x:v>500</x:v>
      </x:c>
      <x:c r="D19" t="s">
        <x:v>319</x:v>
      </x:c>
      <x:c r="E19" t="s">
        <x:v>928</x:v>
      </x:c>
      <x:c r="F19" t="s">
        <x:v>929</x:v>
      </x:c>
      <x:c r="G19" t="str">
        <x:v>Vista previa: 'Volver a editar' y 'Continuar'. Pulsar Atrás aquí equivale a 'Volver a editar': retorna I_ActualizarKilometraje sin persistir, conservando el valor propuesto.</x:v>
      </x:c>
      <x:c r="H19" t="s">
        <x:v>421</x:v>
      </x:c>
    </x:row>
    <x:row r="20" ht="42" customHeight="1">
      <x:c r="A20" t="n">
        <x:v>15</x:v>
      </x:c>
      <x:c r="B20" t="s">
        <x:v>33</x:v>
      </x:c>
      <x:c r="C20" t="s">
        <x:v>928</x:v>
      </x:c>
      <x:c r="D20" t="s">
        <x:v>319</x:v>
      </x:c>
      <x:c r="E20" t="s">
        <x:v>11</x:v>
      </x:c>
      <x:c r="F20" t="s">
        <x:v>930</x:v>
      </x:c>
      <x:c r="G20" t="s">
        <x:v>931</x:v>
      </x:c>
      <x:c r="H20" t="s">
        <x:v>421</x:v>
      </x:c>
    </x:row>
    <x:row r="21" ht="42" customHeight="1">
      <x:c r="A21" t="n">
        <x:v>16</x:v>
      </x:c>
      <x:c r="B21" t="s">
        <x:v>33</x:v>
      </x:c>
      <x:c r="C21" t="s">
        <x:v>11</x:v>
      </x:c>
      <x:c r="D21" t="s">
        <x:v>319</x:v>
      </x:c>
      <x:c r="E21" t="s">
        <x:v>928</x:v>
      </x:c>
      <x:c r="F21" t="s">
        <x:v>932</x:v>
      </x:c>
      <x:c r="G21" t="str">
        <x:v>'Continuar' DE VISTA PREVIA es el único clic que intenta guardar; 'Volver a editar' y Atrás vuelven al formulario sin escritura. No confundir este Continuar con el de la confirmación FINAL, que solo navega.</x:v>
      </x:c>
      <x:c r="H21" t="s">
        <x:v>421</x:v>
      </x:c>
    </x:row>
    <x:row r="22" ht="42" customHeight="1">
      <x:c r="A22" t="n">
        <x:v>17</x:v>
      </x:c>
      <x:c r="B22" t="s">
        <x:v>33</x:v>
      </x:c>
      <x:c r="C22" t="s">
        <x:v>928</x:v>
      </x:c>
      <x:c r="D22" t="s">
        <x:v>319</x:v>
      </x:c>
      <x:c r="E22" t="s">
        <x:v>500</x:v>
      </x:c>
      <x:c r="F22" t="s">
        <x:v>933</x:v>
      </x:c>
      <x:c r="G22" t="s">
        <x:v>934</x:v>
      </x:c>
      <x:c r="H22" t="s">
        <x:v>421</x:v>
      </x:c>
    </x:row>
    <x:row r="23" s="8" customFormat="1" ht="25.799999237060547" customHeight="1">
      <x:c r="A23" t="s">
        <x:v>935</x:v>
      </x:c>
      <x:c r="B23"/>
      <x:c r="C23"/>
      <x:c r="D23"/>
      <x:c r="E23"/>
      <x:c r="F23"/>
      <x:c r="G23"/>
      <x:c r="H23"/>
    </x:row>
    <x:row r="24" ht="42" customHeight="1">
      <x:c r="A24" t="n">
        <x:v>18</x:v>
      </x:c>
      <x:c r="B24" t="s">
        <x:v>63</x:v>
      </x:c>
      <x:c r="C24" t="s">
        <x:v>500</x:v>
      </x:c>
      <x:c r="D24" t="s">
        <x:v>319</x:v>
      </x:c>
      <x:c r="E24" t="s">
        <x:v>908</x:v>
      </x:c>
      <x:c r="F24" t="s">
        <x:v>936</x:v>
      </x:c>
      <x:c r="G24" t="s">
        <x:v>937</x:v>
      </x:c>
      <x:c r="H24" t="s">
        <x:v>421</x:v>
      </x:c>
    </x:row>
    <x:row r="25" ht="42" customHeight="1">
      <x:c r="A25" t="n">
        <x:v>19</x:v>
      </x:c>
      <x:c r="B25" t="s">
        <x:v>63</x:v>
      </x:c>
      <x:c r="C25" t="s">
        <x:v>908</x:v>
      </x:c>
      <x:c r="D25" t="s">
        <x:v>323</x:v>
      </x:c>
      <x:c r="E25" t="s">
        <x:v>500</x:v>
      </x:c>
      <x:c r="F25" t="s">
        <x:v>912</x:v>
      </x:c>
      <x:c r="G25" t="s">
        <x:v>938</x:v>
      </x:c>
      <x:c r="H25" t="s">
        <x:v>421</x:v>
      </x:c>
    </x:row>
    <x:row r="26" ht="42" customHeight="1">
      <x:c r="A26" t="n">
        <x:v>20</x:v>
      </x:c>
      <x:c r="B26" t="s">
        <x:v>63</x:v>
      </x:c>
      <x:c r="C26" t="s">
        <x:v>500</x:v>
      </x:c>
      <x:c r="D26" t="s">
        <x:v>319</x:v>
      </x:c>
      <x:c r="E26" t="s">
        <x:v>503</x:v>
      </x:c>
      <x:c r="F26" t="s">
        <x:v>939</x:v>
      </x:c>
      <x:c r="G26" t="s">
        <x:v>940</x:v>
      </x:c>
      <x:c r="H26" t="s">
        <x:v>421</x:v>
      </x:c>
    </x:row>
    <x:row r="27" ht="42" customHeight="1">
      <x:c r="A27" t="n">
        <x:v>21</x:v>
      </x:c>
      <x:c r="B27" t="s">
        <x:v>63</x:v>
      </x:c>
      <x:c r="C27" t="s">
        <x:v>503</x:v>
      </x:c>
      <x:c r="D27" t="s">
        <x:v>323</x:v>
      </x:c>
      <x:c r="E27" t="s">
        <x:v>500</x:v>
      </x:c>
      <x:c r="F27" t="s">
        <x:v>941</x:v>
      </x:c>
      <x:c r="G27" t="s">
        <x:v>942</x:v>
      </x:c>
      <x:c r="H27" t="s">
        <x:v>421</x:v>
      </x:c>
    </x:row>
    <x:row r="28" ht="42" customHeight="1">
      <x:c r="A28" t="n">
        <x:v>22</x:v>
      </x:c>
      <x:c r="B28" t="s">
        <x:v>63</x:v>
      </x:c>
      <x:c r="C28" t="s">
        <x:v>500</x:v>
      </x:c>
      <x:c r="D28" t="s">
        <x:v>404</x:v>
      </x:c>
      <x:c r="E28" t="s">
        <x:v>500</x:v>
      </x:c>
      <x:c r="F28" t="s">
        <x:v>943</x:v>
      </x:c>
      <x:c r="G28" t="str">
        <x:v>Si cambió el valor entre vista previa y confirmación, NO guardar; solicitar revisión de vista previa nueva.  |  AJUSTE 2026-10-24: Controlar versión/idLectura y idOperacion al confirmar. Si cambió km vigente, aplicar RF14_EA06 (nueva vista previa), no guardar datos obsoletos.</x:v>
      </x:c>
      <x:c r="H28" t="s">
        <x:v>421</x:v>
      </x:c>
    </x:row>
    <x:row r="29" ht="42" customHeight="1">
      <x:c r="A29" t="n">
        <x:v>23</x:v>
      </x:c>
      <x:c r="B29" t="s">
        <x:v>63</x:v>
      </x:c>
      <x:c r="C29" t="s">
        <x:v>500</x:v>
      </x:c>
      <x:c r="D29" t="s">
        <x:v>319</x:v>
      </x:c>
      <x:c r="E29" t="s">
        <x:v>503</x:v>
      </x:c>
      <x:c r="F29" t="s">
        <x:v>944</x:v>
      </x:c>
      <x:c r="G29" t="str">
        <x:v>SOLO tras «Continuar» desde I_VistaPreviaKilometraje: validar sesión y resolver primero idOperacion+contenido. Si YA está CONFIRMADA y coincide, recuperar la misma lectura/respuesta sin nueva escritura ni revalidación del km como operación NUEVA; si difiere, conflicto; si EN_PROCESO, reconciliar. SOLO si es NUEVA: validar autorización, bloquear/revalidar versión y km vigente e insertar UNA lectura con fecha de servidor dentro de la transacción. RF14 no modifica ALERTA ni HISTORIAL_ALERTA.</x:v>
      </x:c>
      <x:c r="H29" t="s">
        <x:v>421</x:v>
      </x:c>
    </x:row>
    <x:row r="30" ht="42" customHeight="1">
      <x:c r="A30" t="n">
        <x:v>24</x:v>
      </x:c>
      <x:c r="B30" t="s">
        <x:v>63</x:v>
      </x:c>
      <x:c r="C30" t="s">
        <x:v>503</x:v>
      </x:c>
      <x:c r="D30" t="s">
        <x:v>323</x:v>
      </x:c>
      <x:c r="E30" t="s">
        <x:v>500</x:v>
      </x:c>
      <x:c r="F30" t="s">
        <x:v>945</x:v>
      </x:c>
      <x:c r="G30" t="str">
        <x:v>Devolver idLectura, kilometraje y fecha únicamente con COMMIT verificado; si idOperacion ya estaba CONFIRMADA, devolver el MISMO resultado almacenado, sin segundo INSERT. Si se perdió la respuesta, recuperar por idOperacion antes de reintentar. RF23 sincroniza estados de alertas al abrir Mis alertas.</x:v>
      </x:c>
      <x:c r="H30" t="s">
        <x:v>421</x:v>
      </x:c>
    </x:row>
    <x:row r="31" ht="25.799999237060547" customHeight="1">
      <x:c r="A31" t="s">
        <x:v>946</x:v>
      </x:c>
      <x:c r="B31"/>
      <x:c r="C31"/>
      <x:c r="D31"/>
      <x:c r="E31"/>
      <x:c r="F31"/>
      <x:c r="G31"/>
      <x:c r="H31"/>
    </x:row>
    <x:row r="32" ht="42" customHeight="1">
      <x:c r="A32" t="n">
        <x:v>25</x:v>
      </x:c>
      <x:c r="B32" t="s">
        <x:v>81</x:v>
      </x:c>
      <x:c r="C32" t="s">
        <x:v>500</x:v>
      </x:c>
      <x:c r="D32" t="s">
        <x:v>319</x:v>
      </x:c>
      <x:c r="E32" t="s">
        <x:v>373</x:v>
      </x:c>
      <x:c r="F32" t="s">
        <x:v>947</x:v>
      </x:c>
      <x:c r="G32" t="s">
        <x:v>948</x:v>
      </x:c>
      <x:c r="H32" t="s">
        <x:v>473</x:v>
      </x:c>
    </x:row>
    <x:row r="33" ht="42" customHeight="1">
      <x:c r="A33" t="n">
        <x:v>26</x:v>
      </x:c>
      <x:c r="B33" t="s">
        <x:v>81</x:v>
      </x:c>
      <x:c r="C33" t="s">
        <x:v>373</x:v>
      </x:c>
      <x:c r="D33" t="s">
        <x:v>319</x:v>
      </x:c>
      <x:c r="E33" t="s">
        <x:v>791</x:v>
      </x:c>
      <x:c r="F33" t="s">
        <x:v>949</x:v>
      </x:c>
      <x:c r="G33" t="s">
        <x:v>950</x:v>
      </x:c>
      <x:c r="H33" t="s">
        <x:v>473</x:v>
      </x:c>
    </x:row>
    <x:row r="34" ht="42" customHeight="1">
      <x:c r="A34" t="n">
        <x:v>27</x:v>
      </x:c>
      <x:c r="B34" t="s">
        <x:v>81</x:v>
      </x:c>
      <x:c r="C34" t="s">
        <x:v>791</x:v>
      </x:c>
      <x:c r="D34" t="s">
        <x:v>323</x:v>
      </x:c>
      <x:c r="E34" t="s">
        <x:v>373</x:v>
      </x:c>
      <x:c r="F34" t="s">
        <x:v>951</x:v>
      </x:c>
      <x:c r="G34" t="s">
        <x:v>952</x:v>
      </x:c>
      <x:c r="H34" t="s">
        <x:v>473</x:v>
      </x:c>
    </x:row>
    <x:row r="35" ht="42" customHeight="1">
      <x:c r="A35" t="n">
        <x:v>28</x:v>
      </x:c>
      <x:c r="B35" t="s">
        <x:v>81</x:v>
      </x:c>
      <x:c r="C35" t="s">
        <x:v>373</x:v>
      </x:c>
      <x:c r="D35" t="s">
        <x:v>404</x:v>
      </x:c>
      <x:c r="E35" t="s">
        <x:v>373</x:v>
      </x:c>
      <x:c r="F35" t="s">
        <x:v>953</x:v>
      </x:c>
      <x:c r="G35" t="s">
        <x:v>954</x:v>
      </x:c>
      <x:c r="H35" t="s">
        <x:v>473</x:v>
      </x:c>
    </x:row>
    <x:row r="36" ht="42" customHeight="1">
      <x:c r="A36" t="n">
        <x:v>29</x:v>
      </x:c>
      <x:c r="B36" t="s">
        <x:v>81</x:v>
      </x:c>
      <x:c r="C36" t="s">
        <x:v>373</x:v>
      </x:c>
      <x:c r="D36" t="s">
        <x:v>319</x:v>
      </x:c>
      <x:c r="E36" t="s">
        <x:v>791</x:v>
      </x:c>
      <x:c r="F36" t="s">
        <x:v>955</x:v>
      </x:c>
      <x:c r="G36" t="s">
        <x:v>956</x:v>
      </x:c>
      <x:c r="H36" t="s">
        <x:v>473</x:v>
      </x:c>
    </x:row>
    <x:row r="37" ht="42" customHeight="1">
      <x:c r="A37" t="n">
        <x:v>30</x:v>
      </x:c>
      <x:c r="B37" t="s">
        <x:v>81</x:v>
      </x:c>
      <x:c r="C37" t="s">
        <x:v>791</x:v>
      </x:c>
      <x:c r="D37" t="s">
        <x:v>323</x:v>
      </x:c>
      <x:c r="E37" t="s">
        <x:v>373</x:v>
      </x:c>
      <x:c r="F37" t="s">
        <x:v>957</x:v>
      </x:c>
      <x:c r="G37" t="s">
        <x:v>958</x:v>
      </x:c>
      <x:c r="H37" t="s">
        <x:v>473</x:v>
      </x:c>
    </x:row>
    <x:row r="38" ht="42" customHeight="1">
      <x:c r="A38" t="n">
        <x:v>31</x:v>
      </x:c>
      <x:c r="B38" t="s">
        <x:v>81</x:v>
      </x:c>
      <x:c r="C38" t="s">
        <x:v>373</x:v>
      </x:c>
      <x:c r="D38" t="s">
        <x:v>319</x:v>
      </x:c>
      <x:c r="E38" t="s">
        <x:v>797</x:v>
      </x:c>
      <x:c r="F38" t="s">
        <x:v>959</x:v>
      </x:c>
      <x:c r="G38" t="s">
        <x:v>960</x:v>
      </x:c>
      <x:c r="H38" t="s">
        <x:v>473</x:v>
      </x:c>
    </x:row>
    <x:row r="39" ht="42" customHeight="1">
      <x:c r="A39" t="n">
        <x:v>32</x:v>
      </x:c>
      <x:c r="B39" t="s">
        <x:v>81</x:v>
      </x:c>
      <x:c r="C39" t="s">
        <x:v>797</x:v>
      </x:c>
      <x:c r="D39" t="s">
        <x:v>323</x:v>
      </x:c>
      <x:c r="E39" t="s">
        <x:v>373</x:v>
      </x:c>
      <x:c r="F39" t="s">
        <x:v>961</x:v>
      </x:c>
      <x:c r="G39" t="s">
        <x:v>962</x:v>
      </x:c>
      <x:c r="H39" t="s">
        <x:v>473</x:v>
      </x:c>
    </x:row>
    <x:row r="40" ht="42" customHeight="1">
      <x:c r="A40" t="n">
        <x:v>33</x:v>
      </x:c>
      <x:c r="B40" t="s">
        <x:v>81</x:v>
      </x:c>
      <x:c r="C40" t="s">
        <x:v>373</x:v>
      </x:c>
      <x:c r="D40" t="s">
        <x:v>323</x:v>
      </x:c>
      <x:c r="E40" t="s">
        <x:v>500</x:v>
      </x:c>
      <x:c r="F40" t="s">
        <x:v>963</x:v>
      </x:c>
      <x:c r="G40" t="s">
        <x:v>964</x:v>
      </x:c>
      <x:c r="H40" t="s">
        <x:v>473</x:v>
      </x:c>
    </x:row>
    <x:row r="41" ht="25.799999237060547" customHeight="1">
      <x:c r="A41" t="s">
        <x:v>965</x:v>
      </x:c>
      <x:c r="B41"/>
      <x:c r="C41"/>
      <x:c r="D41"/>
      <x:c r="E41"/>
      <x:c r="F41"/>
      <x:c r="G41"/>
      <x:c r="H41"/>
    </x:row>
    <x:row r="42" ht="42" customHeight="1">
      <x:c r="A42" t="n">
        <x:v>34</x:v>
      </x:c>
      <x:c r="B42" t="s">
        <x:v>110</x:v>
      </x:c>
      <x:c r="C42" t="s">
        <x:v>500</x:v>
      </x:c>
      <x:c r="D42" t="s">
        <x:v>319</x:v>
      </x:c>
      <x:c r="E42" t="s">
        <x:v>366</x:v>
      </x:c>
      <x:c r="F42" t="s">
        <x:v>966</x:v>
      </x:c>
      <x:c r="G42" t="s">
        <x:v>967</x:v>
      </x:c>
      <x:c r="H42" t="s">
        <x:v>473</x:v>
      </x:c>
    </x:row>
    <x:row r="43" ht="42" customHeight="1">
      <x:c r="A43" t="n">
        <x:v>35</x:v>
      </x:c>
      <x:c r="B43" t="s">
        <x:v>110</x:v>
      </x:c>
      <x:c r="C43" t="s">
        <x:v>366</x:v>
      </x:c>
      <x:c r="D43" t="s">
        <x:v>319</x:v>
      </x:c>
      <x:c r="E43" t="s">
        <x:v>512</x:v>
      </x:c>
      <x:c r="F43" t="s">
        <x:v>968</x:v>
      </x:c>
      <x:c r="G43" t="s">
        <x:v>969</x:v>
      </x:c>
      <x:c r="H43" t="s">
        <x:v>473</x:v>
      </x:c>
    </x:row>
    <x:row r="44" ht="42" customHeight="1">
      <x:c r="A44" t="n">
        <x:v>36</x:v>
      </x:c>
      <x:c r="B44" t="s">
        <x:v>110</x:v>
      </x:c>
      <x:c r="C44" t="s">
        <x:v>512</x:v>
      </x:c>
      <x:c r="D44" t="s">
        <x:v>323</x:v>
      </x:c>
      <x:c r="E44" t="s">
        <x:v>366</x:v>
      </x:c>
      <x:c r="F44" t="s">
        <x:v>970</x:v>
      </x:c>
      <x:c r="G44" t="s">
        <x:v>971</x:v>
      </x:c>
      <x:c r="H44" t="s">
        <x:v>473</x:v>
      </x:c>
    </x:row>
    <x:row r="45" ht="42" customHeight="1">
      <x:c r="A45" t="n">
        <x:v>37</x:v>
      </x:c>
      <x:c r="B45" t="s">
        <x:v>110</x:v>
      </x:c>
      <x:c r="C45" t="s">
        <x:v>366</x:v>
      </x:c>
      <x:c r="D45" t="s">
        <x:v>323</x:v>
      </x:c>
      <x:c r="E45" t="s">
        <x:v>500</x:v>
      </x:c>
      <x:c r="F45" t="s">
        <x:v>972</x:v>
      </x:c>
      <x:c r="G45" t="s">
        <x:v>973</x:v>
      </x:c>
      <x:c r="H45" t="s">
        <x:v>473</x:v>
      </x:c>
    </x:row>
    <x:row r="46" ht="42" customHeight="1">
      <x:c r="A46" t="n">
        <x:v>38</x:v>
      </x:c>
      <x:c r="B46" t="s">
        <x:v>110</x:v>
      </x:c>
      <x:c r="C46" t="s">
        <x:v>500</x:v>
      </x:c>
      <x:c r="D46" t="s">
        <x:v>319</x:v>
      </x:c>
      <x:c r="E46" t="s">
        <x:v>380</x:v>
      </x:c>
      <x:c r="F46" t="s">
        <x:v>974</x:v>
      </x:c>
      <x:c r="G46" t="s">
        <x:v>975</x:v>
      </x:c>
      <x:c r="H46" t="s">
        <x:v>473</x:v>
      </x:c>
    </x:row>
    <x:row r="47" ht="42" customHeight="1">
      <x:c r="A47" t="n">
        <x:v>39</x:v>
      </x:c>
      <x:c r="B47" t="s">
        <x:v>110</x:v>
      </x:c>
      <x:c r="C47" t="s">
        <x:v>380</x:v>
      </x:c>
      <x:c r="D47" t="s">
        <x:v>319</x:v>
      </x:c>
      <x:c r="E47" t="s">
        <x:v>802</x:v>
      </x:c>
      <x:c r="F47" t="s">
        <x:v>976</x:v>
      </x:c>
      <x:c r="G47" t="s">
        <x:v>977</x:v>
      </x:c>
      <x:c r="H47" t="s">
        <x:v>473</x:v>
      </x:c>
    </x:row>
    <x:row r="48" ht="42" customHeight="1">
      <x:c r="A48" t="n">
        <x:v>40</x:v>
      </x:c>
      <x:c r="B48" t="s">
        <x:v>110</x:v>
      </x:c>
      <x:c r="C48" t="s">
        <x:v>802</x:v>
      </x:c>
      <x:c r="D48" t="s">
        <x:v>323</x:v>
      </x:c>
      <x:c r="E48" t="s">
        <x:v>380</x:v>
      </x:c>
      <x:c r="F48" t="s">
        <x:v>978</x:v>
      </x:c>
      <x:c r="G48" t="s">
        <x:v>979</x:v>
      </x:c>
      <x:c r="H48" t="s">
        <x:v>473</x:v>
      </x:c>
    </x:row>
    <x:row r="49" ht="42" customHeight="1">
      <x:c r="A49" t="n">
        <x:v>41</x:v>
      </x:c>
      <x:c r="B49" t="s">
        <x:v>110</x:v>
      </x:c>
      <x:c r="C49" t="s">
        <x:v>380</x:v>
      </x:c>
      <x:c r="D49" t="s">
        <x:v>323</x:v>
      </x:c>
      <x:c r="E49" t="s">
        <x:v>500</x:v>
      </x:c>
      <x:c r="F49" t="s">
        <x:v>980</x:v>
      </x:c>
      <x:c r="G49" t="s">
        <x:v>981</x:v>
      </x:c>
      <x:c r="H49" t="s">
        <x:v>473</x:v>
      </x:c>
    </x:row>
    <x:row r="50" ht="25.799999237060547" customHeight="1">
      <x:c r="A50" t="str">
        <x:v>BLOQUE 6 · CONFIRMACIÓN EXITOSA + CONTINUAR (P42–P49; P44–P49 rama ORIGEN NORMAL, ver anexo RF17)</x:v>
      </x:c>
      <x:c r="B50"/>
      <x:c r="C50"/>
      <x:c r="D50"/>
      <x:c r="E50"/>
      <x:c r="F50"/>
      <x:c r="G50"/>
      <x:c r="H50"/>
    </x:row>
    <x:row r="51" ht="42" customHeight="1">
      <x:c r="A51" t="n">
        <x:v>42</x:v>
      </x:c>
      <x:c r="B51" t="s">
        <x:v>143</x:v>
      </x:c>
      <x:c r="C51" t="s">
        <x:v>500</x:v>
      </x:c>
      <x:c r="D51" t="s">
        <x:v>319</x:v>
      </x:c>
      <x:c r="E51" t="s">
        <x:v>982</x:v>
      </x:c>
      <x:c r="F51" t="s">
        <x:v>983</x:v>
      </x:c>
      <x:c r="G51" t="str">
        <x:v>Tras COMMIT confirmado muestra I_ConfirmacionKilometraje y mensaje «Kilometraje actualizado correctamente». La misma pantalla sirve a origen NORMAL y RF17. No vuelve a insertar lecturas, ni sincroniza alertas RF23.</x:v>
      </x:c>
      <x:c r="H51" t="s">
        <x:v>421</x:v>
      </x:c>
    </x:row>
    <x:row r="52" ht="42" customHeight="1">
      <x:c r="A52" t="n">
        <x:v>43</x:v>
      </x:c>
      <x:c r="B52" t="s">
        <x:v>143</x:v>
      </x:c>
      <x:c r="C52" t="s">
        <x:v>982</x:v>
      </x:c>
      <x:c r="D52" t="s">
        <x:v>319</x:v>
      </x:c>
      <x:c r="E52" t="s">
        <x:v>11</x:v>
      </x:c>
      <x:c r="F52" t="s">
        <x:v>984</x:v>
      </x:c>
      <x:c r="G52" t="str">
        <x:v>La pantalla presenta EXACTAMENTE dos botones: «Continuar» e «Ir a inicio». El Continuar FINAL no crea ni actualiza lecturas: solo navega según origen. NO confundir con el Continuar de la vista previa.</x:v>
      </x:c>
      <x:c r="H52" t="s">
        <x:v>421</x:v>
      </x:c>
    </x:row>
    <x:row r="53" ht="42" customHeight="1">
      <x:c r="A53" t="n">
        <x:v>44</x:v>
      </x:c>
      <x:c r="B53" t="s">
        <x:v>143</x:v>
      </x:c>
      <x:c r="C53" t="s">
        <x:v>11</x:v>
      </x:c>
      <x:c r="D53" t="s">
        <x:v>319</x:v>
      </x:c>
      <x:c r="E53" t="s">
        <x:v>982</x:v>
      </x:c>
      <x:c r="F53" t="str">
        <x:v>seleccionarContinuarFinal()</x:v>
      </x:c>
      <x:c r="G53" t="str">
        <x:v>Rama A: usuario pulsa «Continuar» en confirmación, DESPUÉS del COMMIT. Si origen NORMAL, seguir P45–P49 para consultar I_DetalleKilometraje. Si origen RF17, seguir ruta RF17 del anexo INTEGRACION_RF17_RF14 para recuperar borrador.</x:v>
      </x:c>
      <x:c r="H53" t="s">
        <x:v>421</x:v>
      </x:c>
    </x:row>
    <x:row r="54" ht="42" customHeight="1">
      <x:c r="A54" t="n">
        <x:v>45</x:v>
      </x:c>
      <x:c r="B54" t="s">
        <x:v>143</x:v>
      </x:c>
      <x:c r="C54" t="s">
        <x:v>982</x:v>
      </x:c>
      <x:c r="D54" t="s">
        <x:v>319</x:v>
      </x:c>
      <x:c r="E54" t="s">
        <x:v>500</x:v>
      </x:c>
      <x:c r="F54" t="s">
        <x:v>985</x:v>
      </x:c>
      <x:c r="G54" t="str">
        <x:v>Rama A-NORMAL: solo cuando origen es Detalle/Kilometraje. Releer lectura guardada sin INSERT. Con origen RF17 NO abrir I_DetalleKilometraje: volver al formulario del mantenimiento.</x:v>
      </x:c>
      <x:c r="H54" t="s">
        <x:v>421</x:v>
      </x:c>
    </x:row>
    <x:row r="55" ht="37.95000076293945" customHeight="1">
      <x:c r="A55" t="n">
        <x:v>46</x:v>
      </x:c>
      <x:c r="B55" t="s">
        <x:v>143</x:v>
      </x:c>
      <x:c r="C55" t="s">
        <x:v>500</x:v>
      </x:c>
      <x:c r="D55" t="s">
        <x:v>319</x:v>
      </x:c>
      <x:c r="E55" t="s">
        <x:v>503</x:v>
      </x:c>
      <x:c r="F55" t="s">
        <x:v>986</x:v>
      </x:c>
      <x:c r="G55" t="str">
        <x:v>Rama A-NORMAL: consulta nueva del km vigente; solo lectura, sin repetir escritura ni sincronización de alertas.</x:v>
      </x:c>
      <x:c r="H55" t="s">
        <x:v>421</x:v>
      </x:c>
    </x:row>
    <x:row r="56" ht="37.95000076293945" customHeight="1">
      <x:c r="A56" t="n">
        <x:v>47</x:v>
      </x:c>
      <x:c r="B56" t="s">
        <x:v>143</x:v>
      </x:c>
      <x:c r="C56" t="s">
        <x:v>503</x:v>
      </x:c>
      <x:c r="D56" t="s">
        <x:v>323</x:v>
      </x:c>
      <x:c r="E56" t="s">
        <x:v>500</x:v>
      </x:c>
      <x:c r="F56" t="s">
        <x:v>987</x:v>
      </x:c>
      <x:c r="G56" t="str">
        <x:v>Rama A-NORMAL: devolver km efectivo y fecha para el detalle; RF17 utiliza la MISMA consulta al regresar a mantenimiento (anexo).</x:v>
      </x:c>
      <x:c r="H56" t="s">
        <x:v>421</x:v>
      </x:c>
    </x:row>
    <x:row r="57" ht="37.95000076293945" customHeight="1">
      <x:c r="A57" t="n">
        <x:v>48</x:v>
      </x:c>
      <x:c r="B57" t="s">
        <x:v>143</x:v>
      </x:c>
      <x:c r="C57" t="s">
        <x:v>500</x:v>
      </x:c>
      <x:c r="D57" t="s">
        <x:v>319</x:v>
      </x:c>
      <x:c r="E57" t="s">
        <x:v>988</x:v>
      </x:c>
      <x:c r="F57" t="s">
        <x:v>989</x:v>
      </x:c>
      <x:c r="G57" t="str">
        <x:v>Rama A-NORMAL: I_DetalleKilometraje presenta los datos confirmados; ruta RF17 muestra el km vigente en formulario de mantenimiento y conserva los datos del servicio.</x:v>
      </x:c>
      <x:c r="H57" t="s">
        <x:v>421</x:v>
      </x:c>
    </x:row>
    <x:row r="58" ht="37.95000076293945" customHeight="1">
      <x:c r="A58" t="n">
        <x:v>49</x:v>
      </x:c>
      <x:c r="B58" t="s">
        <x:v>143</x:v>
      </x:c>
      <x:c r="C58" t="s">
        <x:v>988</x:v>
      </x:c>
      <x:c r="D58" t="s">
        <x:v>319</x:v>
      </x:c>
      <x:c r="E58" t="s">
        <x:v>11</x:v>
      </x:c>
      <x:c r="F58" t="s">
        <x:v>990</x:v>
      </x:c>
      <x:c r="G58" t="str">
        <x:v>FIN de rama A-NORMAL: km persistido visible. Ruta desde RF17 documentada separadamente sin alterar los 53 pasos originales.</x:v>
      </x:c>
      <x:c r="H58" t="s">
        <x:v>421</x:v>
      </x:c>
    </x:row>
    <x:row r="59">
      <x:c r="A59" t="s">
        <x:v>991</x:v>
      </x:c>
      <x:c r="B59"/>
      <x:c r="C59"/>
      <x:c r="D59"/>
      <x:c r="E59"/>
      <x:c r="F59"/>
      <x:c r="G59"/>
      <x:c r="H59"/>
    </x:row>
    <x:row r="60">
      <x:c r="A60" t="n">
        <x:v>50</x:v>
      </x:c>
      <x:c r="B60" t="s">
        <x:v>155</x:v>
      </x:c>
      <x:c r="C60" t="s">
        <x:v>11</x:v>
      </x:c>
      <x:c r="D60" t="s">
        <x:v>319</x:v>
      </x:c>
      <x:c r="E60" t="s">
        <x:v>982</x:v>
      </x:c>
      <x:c r="F60" t="s">
        <x:v>529</x:v>
      </x:c>
      <x:c r="G60" t="str">
        <x:v>Rama B: usuario pulsa «Ir a inicio» en la MISMA pantalla de confirmación, cualquiera sea el origen. Abandona el borrador no guardado de RF17 si existía; NO repite INSERT de lectura.</x:v>
      </x:c>
      <x:c r="H60" t="s">
        <x:v>421</x:v>
      </x:c>
    </x:row>
    <x:row r="61">
      <x:c r="A61" t="n">
        <x:v>51</x:v>
      </x:c>
      <x:c r="B61" t="s">
        <x:v>155</x:v>
      </x:c>
      <x:c r="C61" t="s">
        <x:v>982</x:v>
      </x:c>
      <x:c r="D61" t="s">
        <x:v>319</x:v>
      </x:c>
      <x:c r="E61" t="s">
        <x:v>167</x:v>
      </x:c>
      <x:c r="F61" t="s">
        <x:v>531</x:v>
      </x:c>
      <x:c r="G61" t="s">
        <x:v>992</x:v>
      </x:c>
      <x:c r="H61" t="s">
        <x:v>421</x:v>
      </x:c>
    </x:row>
    <x:row r="62">
      <x:c r="A62" t="n">
        <x:v>52</x:v>
      </x:c>
      <x:c r="B62" t="s">
        <x:v>155</x:v>
      </x:c>
      <x:c r="C62" t="s">
        <x:v>167</x:v>
      </x:c>
      <x:c r="D62" t="s">
        <x:v>319</x:v>
      </x:c>
      <x:c r="E62" t="s">
        <x:v>164</x:v>
      </x:c>
      <x:c r="F62" t="s">
        <x:v>533</x:v>
      </x:c>
      <x:c r="G62" t="s">
        <x:v>993</x:v>
      </x:c>
      <x:c r="H62" t="s">
        <x:v>421</x:v>
      </x:c>
    </x:row>
    <x:row r="63">
      <x:c r="A63" t="n">
        <x:v>53</x:v>
      </x:c>
      <x:c r="B63" t="s">
        <x:v>155</x:v>
      </x:c>
      <x:c r="C63" t="s">
        <x:v>164</x:v>
      </x:c>
      <x:c r="D63" t="s">
        <x:v>319</x:v>
      </x:c>
      <x:c r="E63" t="s">
        <x:v>11</x:v>
      </x:c>
      <x:c r="F63" t="s">
        <x:v>994</x:v>
      </x:c>
      <x:c r="G63" t="s">
        <x:v>995</x:v>
      </x:c>
      <x:c r="H63" t="s">
        <x:v>421</x:v>
      </x:c>
    </x:row>
    <x:row r="64">
      <x:c r="A64"/>
      <x:c r="B64"/>
    </x:row>
    <x:row r="65">
      <x:c r="A65"/>
      <x:c r="B65"/>
    </x:row>
    <x:row r="66">
      <x:c r="A66"/>
      <x:c r="B66"/>
    </x:row>
    <x:row r="67">
      <x:c r="A67"/>
      <x:c r="B67"/>
    </x:row>
    <x:row r="68">
      <x:c r="A68"/>
      <x:c r="B68"/>
    </x:row>
    <x:row r="69">
      <x:c r="A69"/>
      <x:c r="B69"/>
    </x:row>
    <x:row r="70">
      <x:c r="A70"/>
      <x:c r="B70"/>
    </x:row>
    <x:row r="71">
      <x:c r="A71"/>
      <x:c r="B71"/>
    </x:row>
    <x:row r="72">
      <x:c r="A72"/>
      <x:c r="B72"/>
    </x:row>
    <x:row r="73">
      <x:c r="A73"/>
      <x:c r="B73"/>
    </x:row>
    <x:row r="74">
      <x:c r="A74"/>
      <x:c r="B74"/>
    </x:row>
    <x:row r="75">
      <x:c r="A75"/>
      <x:c r="B75"/>
    </x:row>
    <x:row r="76">
      <x:c r="A76"/>
      <x:c r="B76"/>
    </x:row>
    <x:row r="77">
      <x:c r="A77"/>
      <x:c r="B77"/>
    </x:row>
    <x:row r="78">
      <x:c r="A78"/>
      <x:c r="B78"/>
    </x:row>
    <x:row r="79">
      <x:c r="A79"/>
      <x:c r="B79"/>
    </x:row>
    <x:row r="80">
      <x:c r="A80"/>
      <x:c r="B80"/>
    </x:row>
    <x:row r="81">
      <x:c r="A81"/>
      <x:c r="B81"/>
    </x:row>
    <x:row r="82">
      <x:c r="A82"/>
      <x:c r="B82"/>
    </x:row>
    <x:row r="83">
      <x:c r="A83"/>
      <x:c r="B83"/>
    </x:row>
    <x:row r="84">
      <x:c r="A84"/>
      <x:c r="B84"/>
    </x:row>
    <x:row r="85">
      <x:c r="A85"/>
      <x:c r="B85"/>
    </x:row>
    <x:row r="86">
      <x:c r="A86"/>
      <x:c r="B86"/>
    </x:row>
    <x:row r="87">
      <x:c r="A87"/>
      <x:c r="B87"/>
    </x:row>
    <x:row r="88">
      <x:c r="A88"/>
      <x:c r="B88"/>
    </x:row>
    <x:row r="89">
      <x:c r="A89"/>
      <x:c r="B89"/>
    </x:row>
    <x:row r="90">
      <x:c r="A90"/>
      <x:c r="B90"/>
    </x:row>
  </x:sheetData>
  <x:mergeCells>
    <x:mergeCell ref="A59:G59"/>
    <x:mergeCell ref="A50:G50"/>
    <x:mergeCell ref="A48:G48"/>
    <x:mergeCell ref="A41:G41"/>
    <x:mergeCell ref="A1:G1"/>
    <x:mergeCell ref="A2:G2"/>
    <x:mergeCell ref="A17:G17"/>
    <x:mergeCell ref="A26:G26"/>
    <x:mergeCell ref="A39:G39"/>
    <x:mergeCell ref="A4:G4"/>
    <x:mergeCell ref="A15:G15"/>
    <x:mergeCell ref="A23:G23"/>
    <x:mergeCell ref="A31:G3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1" customWidth="1"/>
    <x:col min="2" max="2" width="6.88671875" style="1" customWidth="1"/>
    <x:col min="3" max="3" width="24.44140625" customWidth="1"/>
    <x:col min="4" max="4" width="17.33203125" customWidth="1"/>
    <x:col min="5" max="5" width="25" customWidth="1"/>
    <x:col min="6" max="6" width="50.109375" customWidth="1"/>
    <x:col min="7" max="7" width="97.6640625" customWidth="1"/>
    <x:col min="8" max="8" width="58" hidden="0" customWidth="1"/>
  </x:cols>
  <x:sheetData>
    <x:row r="1" ht="27.899999618530273" customHeight="1">
      <x:c r="A1" s="424" t="s">
        <x:v>996</x:v>
      </x:c>
      <x:c r="B1" s="6"/>
      <x:c r="C1" s="423"/>
      <x:c r="D1" s="423"/>
      <x:c r="E1" s="423"/>
      <x:c r="F1" s="423"/>
      <x:c r="G1" s="423"/>
    </x:row>
    <x:row r="2" ht="15.899999618530273" customHeight="1">
      <x:c r="A2" s="425" t="s">
        <x:v>997</x:v>
      </x:c>
      <x:c r="B2" s="6"/>
      <x:c r="C2" s="423"/>
      <x:c r="D2" s="423"/>
      <x:c r="E2" s="423"/>
      <x:c r="F2" s="423"/>
      <x:c r="G2" s="423"/>
    </x:row>
    <x:row r="3" s="1" customFormat="1" ht="20.100000381469727" customHeight="1">
      <x:c r="A3" s="17" t="s">
        <x:v>2</x:v>
      </x:c>
      <x:c r="B3" s="17" t="s">
        <x:v>3</x:v>
      </x:c>
      <x:c r="C3" s="17" t="s">
        <x:v>4</x:v>
      </x:c>
      <x:c r="D3" s="17" t="s">
        <x:v>5</x:v>
      </x:c>
      <x:c r="E3" s="17" t="s">
        <x:v>6</x:v>
      </x:c>
      <x:c r="F3" s="17" t="s">
        <x:v>7</x:v>
      </x:c>
      <x:c r="G3" s="17" t="s">
        <x:v>8</x:v>
      </x:c>
      <x:c r="H3" t="str">
        <x:v>CONDICIÓN RF65 (NO MVP)</x:v>
      </x:c>
    </x:row>
    <x:row r="4" s="1" customFormat="1" ht="17.100000381469727" customHeight="1">
      <x:c r="A4" s="422" t="s">
        <x:v>998</x:v>
      </x:c>
      <x:c r="B4" s="6"/>
      <x:c r="C4" s="6"/>
      <x:c r="D4" s="6"/>
      <x:c r="E4" s="6"/>
      <x:c r="F4" s="6"/>
      <x:c r="G4" s="6"/>
    </x:row>
    <x:row r="5" ht="17.100000381469727" customHeight="1">
      <x:c r="A5" s="12">
        <x:v>1</x:v>
      </x:c>
      <x:c r="B5" s="13" t="s">
        <x:v>10</x:v>
      </x:c>
      <x:c r="C5" s="18" t="s">
        <x:v>11</x:v>
      </x:c>
      <x:c r="D5" s="18" t="s">
        <x:v>319</x:v>
      </x:c>
      <x:c r="E5" s="18" t="s">
        <x:v>164</x:v>
      </x:c>
      <x:c r="F5" s="18" t="s">
        <x:v>999</x:v>
      </x:c>
      <x:c r="G5" s="18" t="s">
        <x:v>1000</x:v>
      </x:c>
      <x:c r="H5" s="1071" t="str">
        <x:v>RF65 POST-MVP · CONDICIONADO A APROBACIÓN. Historial KM: conservar y proteger lecturas vinculadas a vehículo eliminado; excluirlo del selector normal, sujeto a política de acceso a históricos por aprobar. Sin aprobación no aplicar filtros ni cambios de BD por RF65.</x:v>
      </x:c>
    </x:row>
    <x:row r="6" ht="17.100000381469727" customHeight="1">
      <x:c r="A6" s="15">
        <x:v>2</x:v>
      </x:c>
      <x:c r="B6" s="16" t="s">
        <x:v>10</x:v>
      </x:c>
      <x:c r="C6" s="18" t="s">
        <x:v>164</x:v>
      </x:c>
      <x:c r="D6" s="18" t="s">
        <x:v>319</x:v>
      </x:c>
      <x:c r="E6" s="18" t="s">
        <x:v>167</x:v>
      </x:c>
      <x:c r="F6" s="18" t="s">
        <x:v>1001</x:v>
      </x:c>
      <x:c r="G6" s="18" t="s">
        <x:v>1002</x:v>
      </x:c>
    </x:row>
    <x:row r="7" ht="17.100000381469727" customHeight="1">
      <x:c r="A7" s="15">
        <x:v>3</x:v>
      </x:c>
      <x:c r="B7" s="16" t="s">
        <x:v>10</x:v>
      </x:c>
      <x:c r="C7" s="18" t="s">
        <x:v>167</x:v>
      </x:c>
      <x:c r="D7" s="18" t="s">
        <x:v>319</x:v>
      </x:c>
      <x:c r="E7" s="18" t="s">
        <x:v>1003</x:v>
      </x:c>
      <x:c r="F7" s="18" t="s">
        <x:v>1004</x:v>
      </x:c>
      <x:c r="G7" s="18" t="s">
        <x:v>1005</x:v>
      </x:c>
    </x:row>
    <x:row r="8" ht="33" customHeight="1">
      <x:c r="A8" s="15">
        <x:v>4</x:v>
      </x:c>
      <x:c r="B8" s="16" t="s">
        <x:v>10</x:v>
      </x:c>
      <x:c r="C8" s="18" t="s">
        <x:v>1003</x:v>
      </x:c>
      <x:c r="D8" s="18" t="s">
        <x:v>319</x:v>
      </x:c>
      <x:c r="E8" s="18" t="s">
        <x:v>11</x:v>
      </x:c>
      <x:c r="F8" s="18" t="s">
        <x:v>1006</x:v>
      </x:c>
      <x:c r="G8" s="18" t="s">
        <x:v>1007</x:v>
      </x:c>
    </x:row>
    <x:row r="9" ht="17.100000381469727" customHeight="1">
      <x:c r="A9" s="15">
        <x:v>5</x:v>
      </x:c>
      <x:c r="B9" s="16" t="s">
        <x:v>10</x:v>
      </x:c>
      <x:c r="C9" s="18" t="s">
        <x:v>11</x:v>
      </x:c>
      <x:c r="D9" s="18" t="s">
        <x:v>319</x:v>
      </x:c>
      <x:c r="E9" s="18" t="s">
        <x:v>1003</x:v>
      </x:c>
      <x:c r="F9" s="18" t="s">
        <x:v>1008</x:v>
      </x:c>
      <x:c r="G9" s="18" t="s">
        <x:v>1009</x:v>
      </x:c>
    </x:row>
    <x:row r="10" ht="17.100000381469727" customHeight="1">
      <x:c r="A10" s="15">
        <x:v>6</x:v>
      </x:c>
      <x:c r="B10" s="16" t="s">
        <x:v>10</x:v>
      </x:c>
      <x:c r="C10" s="18" t="s">
        <x:v>1003</x:v>
      </x:c>
      <x:c r="D10" s="18" t="s">
        <x:v>319</x:v>
      </x:c>
      <x:c r="E10" s="18" t="s">
        <x:v>1010</x:v>
      </x:c>
      <x:c r="F10" s="18" t="s">
        <x:v>1011</x:v>
      </x:c>
      <x:c r="G10" s="18" t="s">
        <x:v>1012</x:v>
      </x:c>
    </x:row>
    <x:row r="11" ht="17.100000381469727" customHeight="1">
      <x:c r="A11" s="15">
        <x:v>7</x:v>
      </x:c>
      <x:c r="B11" s="16" t="s">
        <x:v>10</x:v>
      </x:c>
      <x:c r="C11" s="18" t="s">
        <x:v>1010</x:v>
      </x:c>
      <x:c r="D11" s="18" t="s">
        <x:v>319</x:v>
      </x:c>
      <x:c r="E11" s="18" t="s">
        <x:v>1013</x:v>
      </x:c>
      <x:c r="F11" s="18" t="s">
        <x:v>1014</x:v>
      </x:c>
      <x:c r="G11" s="18" t="s">
        <x:v>1015</x:v>
      </x:c>
    </x:row>
    <x:row r="12" ht="24.75" customHeight="1">
      <x:c r="A12" s="15">
        <x:v>8</x:v>
      </x:c>
      <x:c r="B12" s="16" t="s">
        <x:v>10</x:v>
      </x:c>
      <x:c r="C12" s="18" t="s">
        <x:v>1013</x:v>
      </x:c>
      <x:c r="D12" s="18" t="s">
        <x:v>319</x:v>
      </x:c>
      <x:c r="E12" s="18" t="s">
        <x:v>908</x:v>
      </x:c>
      <x:c r="F12" s="18" t="s">
        <x:v>1016</x:v>
      </x:c>
      <x:c r="G12" s="209" t="s">
        <x:v>1017</x:v>
      </x:c>
    </x:row>
    <x:row r="13" ht="17.100000381469727" customHeight="1">
      <x:c r="A13" s="15">
        <x:v>9</x:v>
      </x:c>
      <x:c r="B13" s="16" t="s">
        <x:v>10</x:v>
      </x:c>
      <x:c r="C13" s="18" t="s">
        <x:v>908</x:v>
      </x:c>
      <x:c r="D13" s="18" t="s">
        <x:v>319</x:v>
      </x:c>
      <x:c r="E13" s="18" t="s">
        <x:v>440</x:v>
      </x:c>
      <x:c r="F13" s="18" t="s">
        <x:v>1018</x:v>
      </x:c>
      <x:c r="G13" s="209" t="s">
        <x:v>1019</x:v>
      </x:c>
    </x:row>
    <x:row r="14" ht="17.100000381469727" customHeight="1">
      <x:c r="A14" s="15">
        <x:v>10</x:v>
      </x:c>
      <x:c r="B14" s="16" t="s">
        <x:v>10</x:v>
      </x:c>
      <x:c r="C14" s="18" t="s">
        <x:v>440</x:v>
      </x:c>
      <x:c r="D14" s="18" t="s">
        <x:v>323</x:v>
      </x:c>
      <x:c r="E14" s="18" t="s">
        <x:v>908</x:v>
      </x:c>
      <x:c r="F14" s="18" t="s">
        <x:v>1020</x:v>
      </x:c>
      <x:c r="G14" s="18" t="s">
        <x:v>1021</x:v>
      </x:c>
    </x:row>
    <x:row r="15" ht="37.5" customHeight="1">
      <x:c r="A15" s="15">
        <x:v>11</x:v>
      </x:c>
      <x:c r="B15" s="16" t="s">
        <x:v>10</x:v>
      </x:c>
      <x:c r="C15" s="18" t="s">
        <x:v>908</x:v>
      </x:c>
      <x:c r="D15" s="18" t="s">
        <x:v>323</x:v>
      </x:c>
      <x:c r="E15" s="18" t="s">
        <x:v>1013</x:v>
      </x:c>
      <x:c r="F15" s="18" t="s">
        <x:v>1020</x:v>
      </x:c>
      <x:c r="G15" s="18" t="s">
        <x:v>1022</x:v>
      </x:c>
    </x:row>
    <x:row r="16" ht="17.100000381469727" customHeight="1">
      <x:c r="A16" s="422" t="s">
        <x:v>1023</x:v>
      </x:c>
      <x:c r="B16" s="6"/>
      <x:c r="C16" s="423"/>
      <x:c r="D16" s="423"/>
      <x:c r="E16" s="423"/>
      <x:c r="F16" s="423"/>
      <x:c r="G16" s="423"/>
    </x:row>
    <x:row r="17" ht="24.75" customHeight="1">
      <x:c r="A17" s="12">
        <x:v>12</x:v>
      </x:c>
      <x:c r="B17" s="13" t="s">
        <x:v>33</x:v>
      </x:c>
      <x:c r="C17" s="18" t="s">
        <x:v>1013</x:v>
      </x:c>
      <x:c r="D17" s="18" t="s">
        <x:v>319</x:v>
      </x:c>
      <x:c r="E17" s="18" t="s">
        <x:v>1010</x:v>
      </x:c>
      <x:c r="F17" s="18" t="s">
        <x:v>1024</x:v>
      </x:c>
      <x:c r="G17" s="18" t="s">
        <x:v>1025</x:v>
      </x:c>
    </x:row>
    <x:row r="18" ht="37.5" customHeight="1">
      <x:c r="A18" s="15">
        <x:v>13</x:v>
      </x:c>
      <x:c r="B18" s="16" t="s">
        <x:v>33</x:v>
      </x:c>
      <x:c r="C18" s="18" t="s">
        <x:v>1010</x:v>
      </x:c>
      <x:c r="D18" s="18" t="s">
        <x:v>319</x:v>
      </x:c>
      <x:c r="E18" s="18" t="s">
        <x:v>500</x:v>
      </x:c>
      <x:c r="F18" s="18" t="s">
        <x:v>1026</x:v>
      </x:c>
      <x:c r="G18" s="18" t="s">
        <x:v>1027</x:v>
      </x:c>
    </x:row>
    <x:row r="19" ht="17.100000381469727" customHeight="1">
      <x:c r="A19" s="15">
        <x:v>14</x:v>
      </x:c>
      <x:c r="B19" s="16" t="s">
        <x:v>33</x:v>
      </x:c>
      <x:c r="C19" s="18" t="s">
        <x:v>500</x:v>
      </x:c>
      <x:c r="D19" s="18" t="s">
        <x:v>319</x:v>
      </x:c>
      <x:c r="E19" s="18" t="s">
        <x:v>503</x:v>
      </x:c>
      <x:c r="F19" s="18" t="s">
        <x:v>1028</x:v>
      </x:c>
      <x:c r="G19" s="18" t="s">
        <x:v>1029</x:v>
      </x:c>
    </x:row>
    <x:row r="20" ht="28.5" customHeight="1">
      <x:c r="A20" s="15">
        <x:v>15</x:v>
      </x:c>
      <x:c r="B20" s="16" t="s">
        <x:v>33</x:v>
      </x:c>
      <x:c r="C20" s="18" t="s">
        <x:v>503</x:v>
      </x:c>
      <x:c r="D20" s="18" t="s">
        <x:v>323</x:v>
      </x:c>
      <x:c r="E20" s="18" t="s">
        <x:v>500</x:v>
      </x:c>
      <x:c r="F20" s="18" t="s">
        <x:v>1030</x:v>
      </x:c>
      <x:c r="G20" s="18" t="s">
        <x:v>1031</x:v>
      </x:c>
    </x:row>
    <x:row r="21" ht="33" customHeight="1">
      <x:c r="A21" s="15">
        <x:v>16</x:v>
      </x:c>
      <x:c r="B21" s="16" t="s">
        <x:v>33</x:v>
      </x:c>
      <x:c r="C21" s="18" t="s">
        <x:v>500</x:v>
      </x:c>
      <x:c r="D21" s="18" t="s">
        <x:v>319</x:v>
      </x:c>
      <x:c r="E21" s="18" t="s">
        <x:v>1032</x:v>
      </x:c>
      <x:c r="F21" s="18" t="s">
        <x:v>1033</x:v>
      </x:c>
      <x:c r="G21" s="18" t="s">
        <x:v>1034</x:v>
      </x:c>
    </x:row>
    <x:row r="22" ht="25.5" customHeight="1">
      <x:c r="A22" s="15">
        <x:v>17</x:v>
      </x:c>
      <x:c r="B22" s="16" t="s">
        <x:v>33</x:v>
      </x:c>
      <x:c r="C22" s="18" t="s">
        <x:v>1032</x:v>
      </x:c>
      <x:c r="D22" s="18" t="s">
        <x:v>323</x:v>
      </x:c>
      <x:c r="E22" s="18" t="s">
        <x:v>500</x:v>
      </x:c>
      <x:c r="F22" s="18" t="s">
        <x:v>1035</x:v>
      </x:c>
      <x:c r="G22" s="18" t="s">
        <x:v>1036</x:v>
      </x:c>
    </x:row>
    <x:row r="23" s="8" customFormat="1" ht="32.25" customHeight="1">
      <x:c r="A23" s="15">
        <x:v>18</x:v>
      </x:c>
      <x:c r="B23" s="16" t="s">
        <x:v>33</x:v>
      </x:c>
      <x:c r="C23" s="18" t="s">
        <x:v>500</x:v>
      </x:c>
      <x:c r="D23" s="18" t="s">
        <x:v>404</x:v>
      </x:c>
      <x:c r="E23" s="18" t="s">
        <x:v>500</x:v>
      </x:c>
      <x:c r="F23" s="18" t="s">
        <x:v>1037</x:v>
      </x:c>
      <x:c r="G23" s="18" t="s">
        <x:v>1038</x:v>
      </x:c>
    </x:row>
    <x:row r="24" ht="17.100000381469727" customHeight="1">
      <x:c r="A24" s="15">
        <x:v>19</x:v>
      </x:c>
      <x:c r="B24" s="16" t="s">
        <x:v>33</x:v>
      </x:c>
      <x:c r="C24" s="18" t="s">
        <x:v>500</x:v>
      </x:c>
      <x:c r="D24" s="18" t="s">
        <x:v>404</x:v>
      </x:c>
      <x:c r="E24" s="18" t="s">
        <x:v>500</x:v>
      </x:c>
      <x:c r="F24" s="18" t="s">
        <x:v>1039</x:v>
      </x:c>
      <x:c r="G24" s="18" t="s">
        <x:v>1040</x:v>
      </x:c>
    </x:row>
    <x:row r="25" ht="12.75" customHeight="1">
      <x:c r="A25" s="15">
        <x:v>20</x:v>
      </x:c>
      <x:c r="B25" s="16" t="s">
        <x:v>33</x:v>
      </x:c>
      <x:c r="C25" s="18" t="s">
        <x:v>500</x:v>
      </x:c>
      <x:c r="D25" s="18" t="s">
        <x:v>323</x:v>
      </x:c>
      <x:c r="E25" s="18" t="s">
        <x:v>1010</x:v>
      </x:c>
      <x:c r="F25" s="18" t="s">
        <x:v>1041</x:v>
      </x:c>
      <x:c r="G25" s="18" t="s">
        <x:v>1042</x:v>
      </x:c>
    </x:row>
    <x:row r="26" ht="28.5" customHeight="1">
      <x:c r="A26" s="15">
        <x:v>21</x:v>
      </x:c>
      <x:c r="B26" s="16" t="s">
        <x:v>33</x:v>
      </x:c>
      <x:c r="C26" s="18" t="s">
        <x:v>1010</x:v>
      </x:c>
      <x:c r="D26" s="18" t="s">
        <x:v>404</x:v>
      </x:c>
      <x:c r="E26" s="18" t="s">
        <x:v>1010</x:v>
      </x:c>
      <x:c r="F26" s="18" t="s">
        <x:v>1043</x:v>
      </x:c>
      <x:c r="G26" s="18" t="s">
        <x:v>1044</x:v>
      </x:c>
    </x:row>
    <x:row r="27" ht="17.100000381469727" customHeight="1">
      <x:c r="A27" s="15">
        <x:v>22</x:v>
      </x:c>
      <x:c r="B27" s="16" t="s">
        <x:v>33</x:v>
      </x:c>
      <x:c r="C27" s="18" t="s">
        <x:v>1010</x:v>
      </x:c>
      <x:c r="D27" s="18" t="s">
        <x:v>319</x:v>
      </x:c>
      <x:c r="E27" s="18" t="s">
        <x:v>1013</x:v>
      </x:c>
      <x:c r="F27" s="18" t="s">
        <x:v>1045</x:v>
      </x:c>
      <x:c r="G27" s="18" t="s">
        <x:v>1046</x:v>
      </x:c>
    </x:row>
    <x:row r="28" ht="17.100000381469727" customHeight="1">
      <x:c r="A28" s="15">
        <x:v>23</x:v>
      </x:c>
      <x:c r="B28" s="16" t="s">
        <x:v>33</x:v>
      </x:c>
      <x:c r="C28" s="18" t="s">
        <x:v>1013</x:v>
      </x:c>
      <x:c r="D28" s="18" t="s">
        <x:v>319</x:v>
      </x:c>
      <x:c r="E28" s="18" t="s">
        <x:v>11</x:v>
      </x:c>
      <x:c r="F28" s="18" t="s">
        <x:v>1047</x:v>
      </x:c>
      <x:c r="G28" s="18" t="s">
        <x:v>1048</x:v>
      </x:c>
    </x:row>
    <x:row r="29" ht="25.5" customHeight="1">
      <x:c r="A29" s="422" t="s">
        <x:v>1049</x:v>
      </x:c>
      <x:c r="B29" s="6"/>
      <x:c r="C29" s="423"/>
      <x:c r="D29" s="423"/>
      <x:c r="E29" s="423"/>
      <x:c r="F29" s="423"/>
      <x:c r="G29" s="423"/>
    </x:row>
    <x:row r="30" ht="25.5" customHeight="1">
      <x:c r="A30" s="12">
        <x:v>24</x:v>
      </x:c>
      <x:c r="B30" s="13" t="s">
        <x:v>63</x:v>
      </x:c>
      <x:c r="C30" s="18" t="s">
        <x:v>11</x:v>
      </x:c>
      <x:c r="D30" s="18" t="s">
        <x:v>319</x:v>
      </x:c>
      <x:c r="E30" s="18" t="s">
        <x:v>1013</x:v>
      </x:c>
      <x:c r="F30" s="18" t="s">
        <x:v>1050</x:v>
      </x:c>
      <x:c r="G30" s="18" t="s">
        <x:v>1051</x:v>
      </x:c>
    </x:row>
    <x:row r="31" ht="27" customHeight="1">
      <x:c r="A31" s="15">
        <x:v>25</x:v>
      </x:c>
      <x:c r="B31" s="16" t="s">
        <x:v>63</x:v>
      </x:c>
      <x:c r="C31" s="18" t="s">
        <x:v>1013</x:v>
      </x:c>
      <x:c r="D31" s="18" t="s">
        <x:v>319</x:v>
      </x:c>
      <x:c r="E31" s="18" t="s">
        <x:v>1010</x:v>
      </x:c>
      <x:c r="F31" s="18" t="s">
        <x:v>1052</x:v>
      </x:c>
      <x:c r="G31" s="18" t="s">
        <x:v>1053</x:v>
      </x:c>
    </x:row>
    <x:row r="32" ht="27" customHeight="1">
      <x:c r="A32" s="15">
        <x:v>26</x:v>
      </x:c>
      <x:c r="B32" s="16" t="s">
        <x:v>63</x:v>
      </x:c>
      <x:c r="C32" s="18" t="s">
        <x:v>1010</x:v>
      </x:c>
      <x:c r="D32" s="18" t="s">
        <x:v>319</x:v>
      </x:c>
      <x:c r="E32" s="18" t="s">
        <x:v>1054</x:v>
      </x:c>
      <x:c r="F32" s="18" t="s">
        <x:v>1055</x:v>
      </x:c>
      <x:c r="G32" s="18" t="s">
        <x:v>1056</x:v>
      </x:c>
    </x:row>
    <x:row r="33">
      <x:c r="A33" s="15">
        <x:v>27</x:v>
      </x:c>
      <x:c r="B33" s="16" t="s">
        <x:v>63</x:v>
      </x:c>
      <x:c r="C33" s="18" t="s">
        <x:v>1054</x:v>
      </x:c>
      <x:c r="D33" s="18" t="s">
        <x:v>319</x:v>
      </x:c>
      <x:c r="E33" s="18" t="s">
        <x:v>11</x:v>
      </x:c>
      <x:c r="F33" s="18" t="s">
        <x:v>1057</x:v>
      </x:c>
      <x:c r="G33" s="18" t="s">
        <x:v>1058</x:v>
      </x:c>
    </x:row>
    <x:row r="34">
      <x:c r="A34" s="422" t="s">
        <x:v>1059</x:v>
      </x:c>
      <x:c r="B34" s="6"/>
      <x:c r="C34" s="423"/>
      <x:c r="D34" s="423"/>
      <x:c r="E34" s="423"/>
      <x:c r="F34" s="423"/>
      <x:c r="G34" s="423"/>
    </x:row>
    <x:row r="35" ht="27" customHeight="1">
      <x:c r="A35" s="12">
        <x:v>28</x:v>
      </x:c>
      <x:c r="B35" s="13" t="s">
        <x:v>81</x:v>
      </x:c>
      <x:c r="C35" s="18" t="s">
        <x:v>11</x:v>
      </x:c>
      <x:c r="D35" s="18" t="s">
        <x:v>319</x:v>
      </x:c>
      <x:c r="E35" s="18" t="s">
        <x:v>1054</x:v>
      </x:c>
      <x:c r="F35" s="18" t="s">
        <x:v>1060</x:v>
      </x:c>
      <x:c r="G35" s="18" t="s">
        <x:v>1061</x:v>
      </x:c>
    </x:row>
    <x:row r="36" ht="27" customHeight="1">
      <x:c r="A36" s="15">
        <x:v>29</x:v>
      </x:c>
      <x:c r="B36" s="16" t="s">
        <x:v>81</x:v>
      </x:c>
      <x:c r="C36" s="18" t="s">
        <x:v>1054</x:v>
      </x:c>
      <x:c r="D36" s="18" t="s">
        <x:v>319</x:v>
      </x:c>
      <x:c r="E36" s="18" t="s">
        <x:v>1010</x:v>
      </x:c>
      <x:c r="F36" s="18" t="s">
        <x:v>1062</x:v>
      </x:c>
      <x:c r="G36" s="18" t="s">
        <x:v>1063</x:v>
      </x:c>
    </x:row>
    <x:row r="37" ht="27" customHeight="1">
      <x:c r="A37" s="15">
        <x:v>30</x:v>
      </x:c>
      <x:c r="B37" s="16" t="s">
        <x:v>81</x:v>
      </x:c>
      <x:c r="C37" s="18" t="s">
        <x:v>1010</x:v>
      </x:c>
      <x:c r="D37" s="18" t="s">
        <x:v>404</x:v>
      </x:c>
      <x:c r="E37" s="18" t="s">
        <x:v>1010</x:v>
      </x:c>
      <x:c r="F37" s="18" t="s">
        <x:v>1064</x:v>
      </x:c>
      <x:c r="G37" s="18" t="s">
        <x:v>1065</x:v>
      </x:c>
    </x:row>
    <x:row r="38">
      <x:c r="A38" s="15">
        <x:v>31</x:v>
      </x:c>
      <x:c r="B38" s="16" t="s">
        <x:v>81</x:v>
      </x:c>
      <x:c r="C38" s="18" t="s">
        <x:v>1010</x:v>
      </x:c>
      <x:c r="D38" s="18" t="s">
        <x:v>319</x:v>
      </x:c>
      <x:c r="E38" s="18" t="s">
        <x:v>908</x:v>
      </x:c>
      <x:c r="F38" s="18" t="s">
        <x:v>1066</x:v>
      </x:c>
      <x:c r="G38" s="18" t="s">
        <x:v>1067</x:v>
      </x:c>
    </x:row>
    <x:row r="39">
      <x:c r="A39" s="15">
        <x:v>32</x:v>
      </x:c>
      <x:c r="B39" s="16" t="s">
        <x:v>81</x:v>
      </x:c>
      <x:c r="C39" s="18" t="s">
        <x:v>908</x:v>
      </x:c>
      <x:c r="D39" s="18" t="s">
        <x:v>319</x:v>
      </x:c>
      <x:c r="E39" s="18" t="s">
        <x:v>440</x:v>
      </x:c>
      <x:c r="F39" s="18" t="s">
        <x:v>630</x:v>
      </x:c>
      <x:c r="G39" s="18" t="s">
        <x:v>1068</x:v>
      </x:c>
    </x:row>
    <x:row r="40">
      <x:c r="A40" s="15">
        <x:v>33</x:v>
      </x:c>
      <x:c r="B40" s="16" t="s">
        <x:v>81</x:v>
      </x:c>
      <x:c r="C40" s="18" t="s">
        <x:v>440</x:v>
      </x:c>
      <x:c r="D40" s="18" t="s">
        <x:v>323</x:v>
      </x:c>
      <x:c r="E40" s="18" t="s">
        <x:v>908</x:v>
      </x:c>
      <x:c r="F40" s="18" t="s">
        <x:v>632</x:v>
      </x:c>
      <x:c r="G40" s="18" t="s">
        <x:v>1069</x:v>
      </x:c>
    </x:row>
    <x:row r="41" ht="27" customHeight="1">
      <x:c r="A41" s="15">
        <x:v>34</x:v>
      </x:c>
      <x:c r="B41" s="16" t="s">
        <x:v>81</x:v>
      </x:c>
      <x:c r="C41" s="18" t="s">
        <x:v>908</x:v>
      </x:c>
      <x:c r="D41" s="18" t="s">
        <x:v>323</x:v>
      </x:c>
      <x:c r="E41" s="18" t="s">
        <x:v>1010</x:v>
      </x:c>
      <x:c r="F41" s="18" t="s">
        <x:v>912</x:v>
      </x:c>
      <x:c r="G41" s="18" t="s">
        <x:v>1070</x:v>
      </x:c>
    </x:row>
    <x:row r="42">
      <x:c r="A42" s="422" t="s">
        <x:v>1071</x:v>
      </x:c>
      <x:c r="B42" s="6"/>
      <x:c r="C42" s="423"/>
      <x:c r="D42" s="423"/>
      <x:c r="E42" s="423"/>
      <x:c r="F42" s="423"/>
      <x:c r="G42" s="423"/>
    </x:row>
    <x:row r="43">
      <x:c r="A43" s="12">
        <x:v>35</x:v>
      </x:c>
      <x:c r="B43" s="13" t="s">
        <x:v>110</x:v>
      </x:c>
      <x:c r="C43" s="18" t="s">
        <x:v>1010</x:v>
      </x:c>
      <x:c r="D43" s="18" t="s">
        <x:v>319</x:v>
      </x:c>
      <x:c r="E43" s="18" t="s">
        <x:v>500</x:v>
      </x:c>
      <x:c r="F43" s="18" t="s">
        <x:v>1072</x:v>
      </x:c>
      <x:c r="G43" s="18" t="s">
        <x:v>1073</x:v>
      </x:c>
    </x:row>
    <x:row r="44">
      <x:c r="A44" s="15">
        <x:v>36</x:v>
      </x:c>
      <x:c r="B44" s="16" t="s">
        <x:v>110</x:v>
      </x:c>
      <x:c r="C44" s="18" t="s">
        <x:v>500</x:v>
      </x:c>
      <x:c r="D44" s="18" t="s">
        <x:v>319</x:v>
      </x:c>
      <x:c r="E44" s="18" t="s">
        <x:v>503</x:v>
      </x:c>
      <x:c r="F44" s="18" t="s">
        <x:v>1074</x:v>
      </x:c>
      <x:c r="G44" s="18" t="s">
        <x:v>1075</x:v>
      </x:c>
    </x:row>
    <x:row r="45">
      <x:c r="A45" s="15">
        <x:v>37</x:v>
      </x:c>
      <x:c r="B45" s="16" t="s">
        <x:v>110</x:v>
      </x:c>
      <x:c r="C45" s="18" t="s">
        <x:v>503</x:v>
      </x:c>
      <x:c r="D45" s="18" t="s">
        <x:v>323</x:v>
      </x:c>
      <x:c r="E45" s="18" t="s">
        <x:v>500</x:v>
      </x:c>
      <x:c r="F45" s="18" t="s">
        <x:v>1030</x:v>
      </x:c>
      <x:c r="G45" s="18" t="s">
        <x:v>1076</x:v>
      </x:c>
    </x:row>
    <x:row r="46">
      <x:c r="A46" s="15">
        <x:v>38</x:v>
      </x:c>
      <x:c r="B46" s="16" t="s">
        <x:v>110</x:v>
      </x:c>
      <x:c r="C46" s="18" t="s">
        <x:v>500</x:v>
      </x:c>
      <x:c r="D46" s="18" t="s">
        <x:v>319</x:v>
      </x:c>
      <x:c r="E46" s="18" t="s">
        <x:v>1032</x:v>
      </x:c>
      <x:c r="F46" s="18" t="s">
        <x:v>1033</x:v>
      </x:c>
      <x:c r="G46" s="18" t="s">
        <x:v>1077</x:v>
      </x:c>
    </x:row>
    <x:row r="47">
      <x:c r="A47" s="15">
        <x:v>39</x:v>
      </x:c>
      <x:c r="B47" s="16" t="s">
        <x:v>110</x:v>
      </x:c>
      <x:c r="C47" s="18" t="s">
        <x:v>1032</x:v>
      </x:c>
      <x:c r="D47" s="18" t="s">
        <x:v>323</x:v>
      </x:c>
      <x:c r="E47" s="18" t="s">
        <x:v>500</x:v>
      </x:c>
      <x:c r="F47" s="18" t="s">
        <x:v>1035</x:v>
      </x:c>
      <x:c r="G47" s="18" t="s">
        <x:v>1078</x:v>
      </x:c>
    </x:row>
    <x:row r="48">
      <x:c r="A48" s="15">
        <x:v>40</x:v>
      </x:c>
      <x:c r="B48" s="16" t="s">
        <x:v>110</x:v>
      </x:c>
      <x:c r="C48" s="18" t="s">
        <x:v>500</x:v>
      </x:c>
      <x:c r="D48" s="18" t="s">
        <x:v>404</x:v>
      </x:c>
      <x:c r="E48" s="18" t="s">
        <x:v>500</x:v>
      </x:c>
      <x:c r="F48" s="18" t="s">
        <x:v>1037</x:v>
      </x:c>
      <x:c r="G48" s="18" t="s">
        <x:v>1079</x:v>
      </x:c>
    </x:row>
    <x:row r="49" ht="27" customHeight="1">
      <x:c r="A49" s="15">
        <x:v>41</x:v>
      </x:c>
      <x:c r="B49" s="16" t="s">
        <x:v>110</x:v>
      </x:c>
      <x:c r="C49" s="18" t="s">
        <x:v>500</x:v>
      </x:c>
      <x:c r="D49" s="18" t="s">
        <x:v>404</x:v>
      </x:c>
      <x:c r="E49" s="18" t="s">
        <x:v>500</x:v>
      </x:c>
      <x:c r="F49" s="18" t="s">
        <x:v>1039</x:v>
      </x:c>
      <x:c r="G49" s="18" t="s">
        <x:v>1080</x:v>
      </x:c>
    </x:row>
    <x:row r="50">
      <x:c r="A50" s="15">
        <x:v>42</x:v>
      </x:c>
      <x:c r="B50" s="16" t="s">
        <x:v>110</x:v>
      </x:c>
      <x:c r="C50" s="18" t="s">
        <x:v>500</x:v>
      </x:c>
      <x:c r="D50" s="18" t="s">
        <x:v>323</x:v>
      </x:c>
      <x:c r="E50" s="18" t="s">
        <x:v>1010</x:v>
      </x:c>
      <x:c r="F50" s="18" t="s">
        <x:v>1041</x:v>
      </x:c>
      <x:c r="G50" s="18" t="s">
        <x:v>1081</x:v>
      </x:c>
    </x:row>
    <x:row r="51" ht="27" customHeight="1">
      <x:c r="A51" s="15">
        <x:v>43</x:v>
      </x:c>
      <x:c r="B51" s="16" t="s">
        <x:v>110</x:v>
      </x:c>
      <x:c r="C51" s="18" t="s">
        <x:v>1010</x:v>
      </x:c>
      <x:c r="D51" s="18" t="s">
        <x:v>404</x:v>
      </x:c>
      <x:c r="E51" s="18" t="s">
        <x:v>1010</x:v>
      </x:c>
      <x:c r="F51" s="18" t="s">
        <x:v>1082</x:v>
      </x:c>
      <x:c r="G51" s="18" t="s">
        <x:v>1083</x:v>
      </x:c>
    </x:row>
    <x:row r="52">
      <x:c r="A52" s="422" t="s">
        <x:v>1084</x:v>
      </x:c>
      <x:c r="B52" s="6"/>
      <x:c r="C52" s="423"/>
      <x:c r="D52" s="423"/>
      <x:c r="E52" s="423"/>
      <x:c r="F52" s="423"/>
      <x:c r="G52" s="423"/>
    </x:row>
    <x:row r="53" ht="27" customHeight="1">
      <x:c r="A53" s="12">
        <x:v>44</x:v>
      </x:c>
      <x:c r="B53" s="13" t="s">
        <x:v>143</x:v>
      </x:c>
      <x:c r="C53" s="18" t="s">
        <x:v>1010</x:v>
      </x:c>
      <x:c r="D53" s="18" t="s">
        <x:v>319</x:v>
      </x:c>
      <x:c r="E53" s="18" t="s">
        <x:v>1013</x:v>
      </x:c>
      <x:c r="F53" s="18" t="s">
        <x:v>1085</x:v>
      </x:c>
      <x:c r="G53" s="18" t="s">
        <x:v>1086</x:v>
      </x:c>
    </x:row>
    <x:row r="54" ht="27">
      <x:c r="A54" s="15">
        <x:v>45</x:v>
      </x:c>
      <x:c r="B54" s="16" t="s">
        <x:v>143</x:v>
      </x:c>
      <x:c r="C54" s="18" t="s">
        <x:v>1013</x:v>
      </x:c>
      <x:c r="D54" s="18" t="s">
        <x:v>319</x:v>
      </x:c>
      <x:c r="E54" s="18" t="s">
        <x:v>11</x:v>
      </x:c>
      <x:c r="F54" s="18" t="s">
        <x:v>1087</x:v>
      </x:c>
      <x:c r="G54" s="18" t="s">
        <x:v>1088</x:v>
      </x:c>
    </x:row>
  </x:sheetData>
  <x:mergeCells>
    <x:mergeCell ref="A52:G52"/>
    <x:mergeCell ref="A29:G29"/>
    <x:mergeCell ref="A42:G42"/>
    <x:mergeCell ref="A1:G1"/>
    <x:mergeCell ref="A34:G34"/>
    <x:mergeCell ref="A4:G4"/>
    <x:mergeCell ref="A16:G16"/>
    <x:mergeCell ref="A2:G2"/>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3" topLeftCell="A4" activePane="bottomLeft" state="frozen"/>
    </x:sheetView>
  </x:sheetViews>
  <x:sheetFormatPr baseColWidth="10" defaultColWidth="9.109375" defaultRowHeight="14.399999618530273"/>
  <x:cols>
    <x:col min="1" max="1" width="12" style="1" hidden="0" customWidth="1"/>
    <x:col min="2" max="2" width="13" style="1" hidden="0" customWidth="1"/>
    <x:col min="3" max="3" width="31" hidden="0" customWidth="1"/>
    <x:col min="4" max="4" width="19" hidden="0" customWidth="1"/>
    <x:col min="5" max="5" width="37" hidden="0" customWidth="1"/>
    <x:col min="6" max="6" width="81" hidden="0" customWidth="1"/>
    <x:col min="7" max="7" width="112" hidden="0" customWidth="1"/>
    <x:col min="8" max="8" width="23" hidden="0" customWidth="1"/>
    <x:col min="9" max="9" width="58" hidden="0" customWidth="1"/>
  </x:cols>
  <x:sheetData>
    <x:row r="1" ht="32" customHeight="1">
      <x:c r="A1" s="1018" t="str">
        <x:v>DIAGRAMA DE SECUENCIAS — RF016 · CORREGIR KILOMETRAJE (MODO COMPARTIDO) | EF01 CORREGIDO</x:v>
      </x:c>
      <x:c r="B1" s="1019" t="str"/>
      <x:c r="C1" s="1019" t="str"/>
      <x:c r="D1" s="1019" t="str"/>
      <x:c r="E1" s="1019" t="str"/>
      <x:c r="F1" s="1019" t="str"/>
      <x:c r="G1" s="1019" t="str"/>
    </x:row>
    <x:row r="2" ht="29" customHeight="1">
      <x:c r="A2" s="1024" t="str">
        <x:v>Patrón BCE · 39 mensajes · 5 bloques · Vista previa obligatoria · Sin motivo · COMMIT posterior a confirmar</x:v>
      </x:c>
      <x:c r="B2" s="1025" t="str"/>
      <x:c r="C2" s="1025" t="str"/>
      <x:c r="D2" s="1025" t="str"/>
      <x:c r="E2" s="1025" t="str"/>
      <x:c r="F2" s="1025" t="str"/>
      <x:c r="G2" s="1025" t="str"/>
    </x:row>
    <x:row r="3" s="1" customFormat="1" ht="25" customHeight="1">
      <x:c r="A3" s="1030" t="str">
        <x:v>#</x:v>
      </x:c>
      <x:c r="B3" s="1030" t="str">
        <x:v>Bloque</x:v>
      </x:c>
      <x:c r="C3" s="1030" t="str">
        <x:v>Objeto Origen</x:v>
      </x:c>
      <x:c r="D3" s="1030" t="str">
        <x:v>Flecha</x:v>
      </x:c>
      <x:c r="E3" s="1030" t="str">
        <x:v>Objeto Destino</x:v>
      </x:c>
      <x:c r="F3" s="1030" t="str">
        <x:v>Método / Mensaje</x:v>
      </x:c>
      <x:c r="G3" s="1030" t="str">
        <x:v>Descripción / Nota</x:v>
      </x:c>
      <x:c r="H3" t="str">
        <x:v>ALCANCE 28/10</x:v>
      </x:c>
      <x:c r="I3" t="str">
        <x:v>CONDICIÓN RF65 (NO MVP)</x:v>
      </x:c>
    </x:row>
    <x:row r="4" s="1" customFormat="1" ht="24" customHeight="1">
      <x:c r="A4" s="1034" t="str">
        <x:v>BLOQUE 1 — ACCESO Y LECTURA VIGENTE (MENSAJES 1–10)</x:v>
      </x:c>
      <x:c r="B4" s="1035" t="str"/>
      <x:c r="C4" s="1035" t="str"/>
      <x:c r="D4" s="1035" t="str"/>
      <x:c r="E4" s="1035" t="str"/>
      <x:c r="F4" s="1035" t="str"/>
      <x:c r="G4" s="1035" t="str"/>
    </x:row>
    <x:row r="5" ht="42" customHeight="1">
      <x:c r="A5" s="287" t="str">
        <x:v>1</x:v>
      </x:c>
      <x:c r="B5" s="288" t="str">
        <x:v>B1</x:v>
      </x:c>
      <x:c r="C5" s="289" t="str">
        <x:v>AS_Usuario</x:v>
      </x:c>
      <x:c r="D5" s="284" t="str">
        <x:v>────► (llamada)</x:v>
      </x:c>
      <x:c r="E5" s="289" t="str">
        <x:v>I_ActualizarKilometraje</x:v>
      </x:c>
      <x:c r="F5" s="289" t="str">
        <x:v>seleccionarCorregirKilometraje()</x:v>
      </x:c>
      <x:c r="G5" s="289" t="str">
        <x:v>Desde el módulo Kilometraje se activa el modo CORRECCIÓN sin pasar por Historial.</x:v>
      </x:c>
      <x:c r="I5" s="1071" t="str">
        <x:v>RF65 POST-MVP · CONDICIONADO A APROBACIÓN. Corrección KM: rechazar ELIMINADO en backend; conservar lectura técnica histórica. Sin Motivo visible. En MVP NO actualizar estados de alerta desde RF16. Sin aprobación no aplicar filtros ni cambios de BD por RF65.</x:v>
      </x:c>
    </x:row>
    <x:row r="6" ht="42" customHeight="1">
      <x:c r="A6" s="290" t="str">
        <x:v>2</x:v>
      </x:c>
      <x:c r="B6" s="291" t="str">
        <x:v>B1</x:v>
      </x:c>
      <x:c r="C6" s="289" t="str">
        <x:v>I_ActualizarKilometraje</x:v>
      </x:c>
      <x:c r="D6" s="293" t="str">
        <x:v>────► (llamada)</x:v>
      </x:c>
      <x:c r="E6" s="289" t="str">
        <x:v>C_ControlKilometraje</x:v>
      </x:c>
      <x:c r="F6" s="289" t="str">
        <x:v>solicitarInicioCorreccion(idVehiculo)</x:v>
      </x:c>
      <x:c r="G6" s="289" t="str">
        <x:v>Envia el identificador del vehículo; idUsuario se obtiene de la sesión autenticada.</x:v>
      </x:c>
    </x:row>
    <x:row r="7" ht="42" customHeight="1">
      <x:c r="A7" s="290" t="str">
        <x:v>3</x:v>
      </x:c>
      <x:c r="B7" s="291" t="str">
        <x:v>B1</x:v>
      </x:c>
      <x:c r="C7" s="289" t="str">
        <x:v>C_ControlKilometraje</x:v>
      </x:c>
      <x:c r="D7" s="294" t="str">
        <x:v>────► (llamada)</x:v>
      </x:c>
      <x:c r="E7" s="289" t="str">
        <x:v>C_ControlVehiculo</x:v>
      </x:c>
      <x:c r="F7" s="289" t="str">
        <x:v>verificarVehiculoUsuarioActivo(idUsuario,idVehiculo)</x:v>
      </x:c>
      <x:c r="G7" s="289" t="str">
        <x:v>Reutiliza validación de propiedad y estado ACTIVO de RF14; Free/Premium según acceso al vehículo.</x:v>
      </x:c>
    </x:row>
    <x:row r="8" ht="42" customHeight="1">
      <x:c r="A8" s="290" t="str">
        <x:v>4</x:v>
      </x:c>
      <x:c r="B8" s="291" t="str">
        <x:v>B1</x:v>
      </x:c>
      <x:c r="C8" s="289" t="str">
        <x:v>C_ControlVehiculo</x:v>
      </x:c>
      <x:c r="D8" s="294" t="str">
        <x:v>────► (llamada)</x:v>
      </x:c>
      <x:c r="E8" s="289" t="str">
        <x:v>E_Vehiculo</x:v>
      </x:c>
      <x:c r="F8" s="289" t="str">
        <x:v>consultarVehiculoUsuario(idUsuario,idVehiculo)</x:v>
      </x:c>
      <x:c r="G8" s="289" t="str">
        <x:v>Consulta titularidad y estado vigentes en servidor.</x:v>
      </x:c>
    </x:row>
    <x:row r="9" ht="42" customHeight="1">
      <x:c r="A9" s="290" t="str">
        <x:v>5</x:v>
      </x:c>
      <x:c r="B9" s="291" t="str">
        <x:v>B1</x:v>
      </x:c>
      <x:c r="C9" s="289" t="str">
        <x:v>E_Vehiculo</x:v>
      </x:c>
      <x:c r="D9" s="295" t="str">
        <x:v>◄ ─ ─ (return)</x:v>
      </x:c>
      <x:c r="E9" s="289" t="str">
        <x:v>C_ControlVehiculo</x:v>
      </x:c>
      <x:c r="F9" s="289" t="str">
        <x:v>retornarDatosVehiculo(datosVehiculo)</x:v>
      </x:c>
      <x:c r="G9" s="289" t="str">
        <x:v>Datos para autorizar el modo corrección.</x:v>
      </x:c>
    </x:row>
    <x:row r="10" ht="42" customHeight="1">
      <x:c r="A10" s="290" t="str">
        <x:v>6</x:v>
      </x:c>
      <x:c r="B10" s="291" t="str">
        <x:v>B1</x:v>
      </x:c>
      <x:c r="C10" s="289" t="str">
        <x:v>C_ControlVehiculo</x:v>
      </x:c>
      <x:c r="D10" s="294" t="str">
        <x:v>◄ ─ ─ (return)</x:v>
      </x:c>
      <x:c r="E10" s="289" t="str">
        <x:v>C_ControlKilometraje</x:v>
      </x:c>
      <x:c r="F10" s="289" t="str">
        <x:v>retornarVehiculoValidado(datosVehiculo)</x:v>
      </x:c>
      <x:c r="G10" s="289" t="str">
        <x:v>El flujo termina en alternativa de acceso denegado si el vehículo está inactivo o es ajeno.</x:v>
      </x:c>
    </x:row>
    <x:row r="11" ht="42" customHeight="1">
      <x:c r="A11" s="290" t="str">
        <x:v>7</x:v>
      </x:c>
      <x:c r="B11" s="291" t="str">
        <x:v>B1</x:v>
      </x:c>
      <x:c r="C11" s="289" t="str">
        <x:v>C_ControlKilometraje</x:v>
      </x:c>
      <x:c r="D11" s="294" t="str">
        <x:v>────► (llamada)</x:v>
      </x:c>
      <x:c r="E11" s="289" t="str">
        <x:v>E_Kilometraje</x:v>
      </x:c>
      <x:c r="F11" s="289" t="str">
        <x:v>consultarUltimaLecturaEfectiva(idVehiculo)</x:v>
      </x:c>
      <x:c r="G11" s="289" t="str">
        <x:v>Obtiene lectura vigente, identificador y versión de concurrencia.</x:v>
      </x:c>
    </x:row>
    <x:row r="12" ht="42" customHeight="1">
      <x:c r="A12" s="290" t="str">
        <x:v>8</x:v>
      </x:c>
      <x:c r="B12" s="291" t="str">
        <x:v>B1</x:v>
      </x:c>
      <x:c r="C12" s="289" t="str">
        <x:v>E_Kilometraje</x:v>
      </x:c>
      <x:c r="D12" s="295" t="str">
        <x:v>◄ ─ ─ (return)</x:v>
      </x:c>
      <x:c r="E12" s="289" t="str">
        <x:v>C_ControlKilometraje</x:v>
      </x:c>
      <x:c r="F12" s="289" t="str">
        <x:v>retornarUltimaLectura(kmPrevio,idLectura,version)</x:v>
      </x:c>
      <x:c r="G12" s="289" t="str">
        <x:v>Devuelve referencia única de lectura vigente.</x:v>
      </x:c>
    </x:row>
    <x:row r="13" ht="42" customHeight="1">
      <x:c r="A13" s="290" t="str">
        <x:v>9</x:v>
      </x:c>
      <x:c r="B13" s="291" t="str">
        <x:v>B1</x:v>
      </x:c>
      <x:c r="C13" s="289" t="str">
        <x:v>C_ControlKilometraje</x:v>
      </x:c>
      <x:c r="D13" s="294" t="str">
        <x:v>────► (llamada)</x:v>
      </x:c>
      <x:c r="E13" s="289" t="str">
        <x:v>I_ActualizarKilometraje</x:v>
      </x:c>
      <x:c r="F13" s="289" t="str">
        <x:v>mostrarFormularioKmModoCorreccion(kmPrevio)</x:v>
      </x:c>
      <x:c r="G13" s="289" t="str">
        <x:v>Misma interfaz de kilometraje en modo CORRECCIÓN: previo solo lectura y nuevo editable, sin campo Motivo ni Fecha.</x:v>
      </x:c>
    </x:row>
    <x:row r="14" ht="42" customHeight="1">
      <x:c r="A14" s="290" t="str">
        <x:v>10</x:v>
      </x:c>
      <x:c r="B14" s="291" t="str">
        <x:v>B1</x:v>
      </x:c>
      <x:c r="C14" s="289" t="str">
        <x:v>I_ActualizarKilometraje</x:v>
      </x:c>
      <x:c r="D14" s="293" t="str">
        <x:v>────► (llamada)</x:v>
      </x:c>
      <x:c r="E14" s="289" t="str">
        <x:v>AS_Usuario</x:v>
      </x:c>
      <x:c r="F14" s="289" t="str">
        <x:v>visualizarFormularioCorreccion(kmPrevio)</x:v>
      </x:c>
      <x:c r="G14" s="289" t="str">
        <x:v>Muestra solo kilometraje anterior y nuevo, botones Continuar/Cancelar.</x:v>
      </x:c>
    </x:row>
    <x:row r="15" ht="24" customHeight="1">
      <x:c r="A15" s="1043" t="str">
        <x:v>BLOQUE 2 — EDICIÓN, VALIDACIÓN Y VISTA PREVIA (MENSAJES 11–20)</x:v>
      </x:c>
      <x:c r="B15" s="1044" t="str"/>
      <x:c r="C15" s="1045" t="str"/>
      <x:c r="D15" s="1045" t="str"/>
      <x:c r="E15" s="1045" t="str"/>
      <x:c r="F15" s="1045" t="str"/>
      <x:c r="G15" s="1045" t="str"/>
    </x:row>
    <x:row r="16" ht="42" customHeight="1">
      <x:c r="A16" s="300" t="str">
        <x:v>11</x:v>
      </x:c>
      <x:c r="B16" s="286" t="str">
        <x:v>B2</x:v>
      </x:c>
      <x:c r="C16" s="286" t="str">
        <x:v>AS_Usuario</x:v>
      </x:c>
      <x:c r="D16" s="292" t="str">
        <x:v>────► (llamada)</x:v>
      </x:c>
      <x:c r="E16" s="286" t="str">
        <x:v>I_ActualizarKilometraje</x:v>
      </x:c>
      <x:c r="F16" s="286" t="str">
        <x:v>ingresarKmNuevoYContinuar(kmNuevo)</x:v>
      </x:c>
      <x:c r="G16" s="286" t="str">
        <x:v>Introduce un número válido; no introduce motivo o fecha.</x:v>
      </x:c>
    </x:row>
    <x:row r="17" ht="42" customHeight="1">
      <x:c r="A17" s="287" t="str">
        <x:v>12</x:v>
      </x:c>
      <x:c r="B17" s="288" t="str">
        <x:v>B2</x:v>
      </x:c>
      <x:c r="C17" s="289" t="str">
        <x:v>I_ActualizarKilometraje</x:v>
      </x:c>
      <x:c r="D17" s="293" t="str">
        <x:v>────► (llamada)</x:v>
      </x:c>
      <x:c r="E17" s="289" t="str">
        <x:v>C_ControlKilometraje</x:v>
      </x:c>
      <x:c r="F17" s="289" t="str">
        <x:v>solicitarPrevalidacionCorreccion(idVehiculo,kmPrevio,kmNuevo,version)</x:v>
      </x:c>
      <x:c r="G17" s="289" t="str">
        <x:v>El cliente valida el formato, pero el servidor verifica otra vez.</x:v>
      </x:c>
    </x:row>
    <x:row r="18" ht="42" customHeight="1">
      <x:c r="A18" s="408" t="str">
        <x:v>13</x:v>
      </x:c>
      <x:c r="B18" s="409" t="str">
        <x:v>B2</x:v>
      </x:c>
      <x:c r="C18" s="410" t="str">
        <x:v>C_ControlKilometraje</x:v>
      </x:c>
      <x:c r="D18" s="420" t="str">
        <x:v>↩ (auto-msg)</x:v>
      </x:c>
      <x:c r="E18" s="410" t="str">
        <x:v>C_ControlKilometraje</x:v>
      </x:c>
      <x:c r="F18" s="410" t="str">
        <x:v>validarKilometrajeDiferente(kmPrevio,kmNuevo)</x:v>
      </x:c>
      <x:c r="G18" s="410" t="str">
        <x:v>Exige entero no negativo y valor distinto; permite descenso si respeta historial válido.</x:v>
      </x:c>
    </x:row>
    <x:row r="19" ht="42" customHeight="1">
      <x:c r="A19" s="290" t="str">
        <x:v>14</x:v>
      </x:c>
      <x:c r="B19" s="291" t="str">
        <x:v>B2</x:v>
      </x:c>
      <x:c r="C19" s="289" t="str">
        <x:v>C_ControlKilometraje</x:v>
      </x:c>
      <x:c r="D19" s="294" t="str">
        <x:v>────► (llamada)</x:v>
      </x:c>
      <x:c r="E19" s="289" t="str">
        <x:v>E_Kilometraje</x:v>
      </x:c>
      <x:c r="F19" s="289" t="str">
        <x:v>consultarLecturaCronologicaAnterior(idVehiculo,idLectura)</x:v>
      </x:c>
      <x:c r="G19" s="289" t="str">
        <x:v>Obtiene antecedente interno para evaluar coherencia de lectura corregida.</x:v>
      </x:c>
    </x:row>
    <x:row r="20" ht="42" customHeight="1">
      <x:c r="A20" s="290" t="str">
        <x:v>15</x:v>
      </x:c>
      <x:c r="B20" s="291" t="str">
        <x:v>B2</x:v>
      </x:c>
      <x:c r="C20" s="289" t="str">
        <x:v>E_Kilometraje</x:v>
      </x:c>
      <x:c r="D20" s="295" t="str">
        <x:v>◄ ─ ─ (return)</x:v>
      </x:c>
      <x:c r="E20" s="289" t="str">
        <x:v>C_ControlKilometraje</x:v>
      </x:c>
      <x:c r="F20" s="289" t="str">
        <x:v>retornarLecturaCronologicaAnterior(kmAnteriorValido)</x:v>
      </x:c>
      <x:c r="G20" s="289" t="str">
        <x:v>No expone esta lectura adicional en la interfaz.</x:v>
      </x:c>
    </x:row>
    <x:row r="21" ht="42" customHeight="1">
      <x:c r="A21" s="290" t="str">
        <x:v>16</x:v>
      </x:c>
      <x:c r="B21" s="291" t="str">
        <x:v>B2</x:v>
      </x:c>
      <x:c r="C21" s="289" t="str">
        <x:v>C_ControlKilometraje</x:v>
      </x:c>
      <x:c r="D21" s="294" t="str">
        <x:v>↩ (auto-msg)</x:v>
      </x:c>
      <x:c r="E21" s="289" t="str">
        <x:v>C_ControlKilometraje</x:v>
      </x:c>
      <x:c r="F21" s="289" t="str">
        <x:v>validarCoherenciaHistorial(kmNuevo,kmAnteriorValido)</x:v>
      </x:c>
      <x:c r="G21" s="289" t="str">
        <x:v>Impide que el nuevo valor contradiga la secuencia histórica válida.</x:v>
      </x:c>
    </x:row>
    <x:row r="22" ht="42" customHeight="1">
      <x:c r="A22" s="290" t="str">
        <x:v>17</x:v>
      </x:c>
      <x:c r="B22" s="291" t="str">
        <x:v>B2</x:v>
      </x:c>
      <x:c r="C22" s="289" t="str">
        <x:v>C_ControlKilometraje</x:v>
      </x:c>
      <x:c r="D22" s="294" t="str">
        <x:v>────► (llamada)</x:v>
      </x:c>
      <x:c r="E22" s="289" t="str">
        <x:v>I_VistaPreviaKilometraje</x:v>
      </x:c>
      <x:c r="F22" s="289" t="str">
        <x:v>mostrarVistaPrevia(CORRECCION,kmPrevio,kmNuevo)</x:v>
      </x:c>
      <x:c r="G22" s="289" t="str">
        <x:v>Solo lectura: muestra anterior/nuevo y Volver a editar / Confirmar; ninguna escritura en BD.</x:v>
      </x:c>
    </x:row>
    <x:row r="23" s="8" customFormat="1" ht="42" customHeight="1">
      <x:c r="A23" s="290" t="str">
        <x:v>18</x:v>
      </x:c>
      <x:c r="B23" s="291" t="str">
        <x:v>B2</x:v>
      </x:c>
      <x:c r="C23" s="289" t="str">
        <x:v>I_VistaPreviaKilometraje</x:v>
      </x:c>
      <x:c r="D23" s="293" t="str">
        <x:v>────► (llamada)</x:v>
      </x:c>
      <x:c r="E23" s="289" t="str">
        <x:v>AS_Usuario</x:v>
      </x:c>
      <x:c r="F23" s="289" t="str">
        <x:v>visualizarVistaPreviaKm()</x:v>
      </x:c>
      <x:c r="G23" s="289" t="str">
        <x:v>Permite revisar ambos valores; cancelar conserva cero escrituras.</x:v>
      </x:c>
    </x:row>
    <x:row r="24" ht="42" customHeight="1">
      <x:c r="A24" s="300" t="str">
        <x:v>19</x:v>
      </x:c>
      <x:c r="B24" s="286" t="str">
        <x:v>B2</x:v>
      </x:c>
      <x:c r="C24" s="286" t="str">
        <x:v>AS_Usuario</x:v>
      </x:c>
      <x:c r="D24" s="292" t="str">
        <x:v>────► (llamada)</x:v>
      </x:c>
      <x:c r="E24" s="286" t="str">
        <x:v>I_VistaPreviaKilometraje</x:v>
      </x:c>
      <x:c r="F24" s="286" t="str">
        <x:v>confirmarCorreccion()</x:v>
      </x:c>
      <x:c r="G24" s="286" t="str">
        <x:v>La alternativa Volver a editar conserva kmNuevo en el formulario.</x:v>
      </x:c>
    </x:row>
    <x:row r="25" ht="42" customHeight="1">
      <x:c r="A25" s="287" t="str">
        <x:v>20</x:v>
      </x:c>
      <x:c r="B25" s="288" t="str">
        <x:v>B2</x:v>
      </x:c>
      <x:c r="C25" s="289" t="str">
        <x:v>I_VistaPreviaKilometraje</x:v>
      </x:c>
      <x:c r="D25" s="293" t="str">
        <x:v>────► (llamada)</x:v>
      </x:c>
      <x:c r="E25" s="289" t="str">
        <x:v>C_ControlKilometraje</x:v>
      </x:c>
      <x:c r="F25" s="289" t="str">
        <x:v>solicitarConfirmacionCorreccion(idVehiculo,idLectura,kmPrevio,kmNuevo,version,claveOperacion)</x:v>
      </x:c>
      <x:c r="G25" s="289" t="str">
        <x:v>Comando idempotente solo tras confirmación del usuario.</x:v>
      </x:c>
    </x:row>
    <x:row r="26" ht="24" customHeight="1">
      <x:c r="A26" s="1043" t="str">
        <x:v>BLOQUE 3 — REVALIDACIÓN Y ESCRITURA TRANSACCIONAL (MENSAJES 21–31)</x:v>
      </x:c>
      <x:c r="B26" s="1044" t="str"/>
      <x:c r="C26" s="1045" t="str"/>
      <x:c r="D26" s="1045" t="str"/>
      <x:c r="E26" s="1045" t="str"/>
      <x:c r="F26" s="1045" t="str"/>
      <x:c r="G26" s="1045" t="str"/>
    </x:row>
    <x:row r="27" ht="42" customHeight="1">
      <x:c r="A27" s="290" t="str">
        <x:v>21</x:v>
      </x:c>
      <x:c r="B27" s="291" t="str">
        <x:v>B3</x:v>
      </x:c>
      <x:c r="C27" s="289" t="str">
        <x:v>C_ControlKilometraje</x:v>
      </x:c>
      <x:c r="D27" s="294" t="str">
        <x:v>────► (llamada)</x:v>
      </x:c>
      <x:c r="E27" s="289" t="str">
        <x:v>C_ControlVehiculo</x:v>
      </x:c>
      <x:c r="F27" s="289" t="str">
        <x:v>revalidarVehiculoEnConfirmacion(idUsuario,idVehiculo)</x:v>
      </x:c>
      <x:c r="G27" s="289" t="str">
        <x:v>Comprueba nuevamente titularidad y vehículo ACTIVO antes de modificar.</x:v>
      </x:c>
    </x:row>
    <x:row r="28" ht="42" customHeight="1">
      <x:c r="A28" s="290" t="str">
        <x:v>22</x:v>
      </x:c>
      <x:c r="B28" s="291" t="str">
        <x:v>B3</x:v>
      </x:c>
      <x:c r="C28" s="289" t="str">
        <x:v>C_ControlVehiculo</x:v>
      </x:c>
      <x:c r="D28" s="295" t="str">
        <x:v>◄ ─ ─ (return)</x:v>
      </x:c>
      <x:c r="E28" s="289" t="str">
        <x:v>C_ControlKilometraje</x:v>
      </x:c>
      <x:c r="F28" s="289" t="str">
        <x:v>retornarVehiculoValidado(datosVehiculo)</x:v>
      </x:c>
      <x:c r="G28" s="289" t="str">
        <x:v>Devuelve autorización vigente y contexto de estado.</x:v>
      </x:c>
    </x:row>
    <x:row r="29" ht="42" customHeight="1">
      <x:c r="A29" s="290" t="str">
        <x:v>23</x:v>
      </x:c>
      <x:c r="B29" s="291" t="str">
        <x:v>B3</x:v>
      </x:c>
      <x:c r="C29" s="289" t="str">
        <x:v>C_ControlKilometraje</x:v>
      </x:c>
      <x:c r="D29" s="294" t="str">
        <x:v>↩ (auto-msg)</x:v>
      </x:c>
      <x:c r="E29" s="289" t="str">
        <x:v>C_ControlKilometraje</x:v>
      </x:c>
      <x:c r="F29" s="289" t="str">
        <x:v>iniciarTransaccionCorreccion(idVehiculo,claveOperacion)</x:v>
      </x:c>
      <x:c r="G29" s="289" t="str">
        <x:v>BEGIN de corrección en el backend antes de bloquear la lectura; reserva claveOperacion para idempotencia. El bloqueo, la validación de versión, la corrección técnica y la actualización permanecen en esta misma transacción hasta el COMMIT del mensaje 31.</x:v>
      </x:c>
    </x:row>
    <x:row r="30" ht="42" customHeight="1">
      <x:c r="A30" s="290" t="str">
        <x:v>24</x:v>
      </x:c>
      <x:c r="B30" s="291" t="str">
        <x:v>B3</x:v>
      </x:c>
      <x:c r="C30" s="289" t="str">
        <x:v>C_ControlKilometraje</x:v>
      </x:c>
      <x:c r="D30" s="294" t="str">
        <x:v>────► (llamada)</x:v>
      </x:c>
      <x:c r="E30" s="289" t="str">
        <x:v>E_Kilometraje</x:v>
      </x:c>
      <x:c r="F30" s="289" t="str">
        <x:v>bloquearYConsultarUltimaLectura(idVehiculo)</x:v>
      </x:c>
      <x:c r="G30" s="289" t="str">
        <x:v>Consulta la última lectura con bloqueo de fila (SELECT ... FOR UPDATE) DENTRO de la transacción iniciada en el mensaje 23; conserva el bloqueo hasta COMMIT o ROLLBACK.</x:v>
      </x:c>
    </x:row>
    <x:row r="31" ht="42" customHeight="1">
      <x:c r="A31" s="290" t="str">
        <x:v>25</x:v>
      </x:c>
      <x:c r="B31" s="291" t="str">
        <x:v>B3</x:v>
      </x:c>
      <x:c r="C31" s="289" t="str">
        <x:v>E_Kilometraje</x:v>
      </x:c>
      <x:c r="D31" s="294" t="str">
        <x:v>◄ ─ ─ (return)</x:v>
      </x:c>
      <x:c r="E31" s="289" t="str">
        <x:v>C_ControlKilometraje</x:v>
      </x:c>
      <x:c r="F31" s="289" t="str">
        <x:v>retornarLecturaBloqueada(idLectura,kmActual,versionActual)</x:v>
      </x:c>
      <x:c r="G31" s="289" t="str">
        <x:v>Devuelve id, km y versión efectivos bajo bloqueo, sin liberar la transacción abierta.</x:v>
      </x:c>
    </x:row>
    <x:row r="32" ht="42" customHeight="1">
      <x:c r="A32" s="290" t="str">
        <x:v>26</x:v>
      </x:c>
      <x:c r="B32" s="291" t="str">
        <x:v>B3</x:v>
      </x:c>
      <x:c r="C32" s="289" t="str">
        <x:v>C_ControlKilometraje</x:v>
      </x:c>
      <x:c r="D32" s="295" t="str">
        <x:v>↩ (auto-msg)</x:v>
      </x:c>
      <x:c r="E32" s="289" t="str">
        <x:v>C_ControlKilometraje</x:v>
      </x:c>
      <x:c r="F32" s="289" t="str">
        <x:v>revalidarVersionYKm(kmPrevio,kmNuevo,version)</x:v>
      </x:c>
      <x:c r="G32" s="289" t="str">
        <x:v>Comprueba que kmPrevio/versión coinciden y que kmNuevo sigue siendo admisible. Si difieren, ROLLBACK sin registrar evento ni actualizar lectura; exigir nueva vista previa.</x:v>
      </x:c>
    </x:row>
    <x:row r="33" ht="42" customHeight="1">
      <x:c r="A33" s="290" t="str">
        <x:v>27</x:v>
      </x:c>
      <x:c r="B33" s="291" t="str">
        <x:v>B3</x:v>
      </x:c>
      <x:c r="C33" s="289" t="str">
        <x:v>C_ControlKilometraje</x:v>
      </x:c>
      <x:c r="D33" s="294" t="str">
        <x:v>────► (llamada)</x:v>
      </x:c>
      <x:c r="E33" s="289" t="str">
        <x:v>E_CorreccionKilometraje</x:v>
      </x:c>
      <x:c r="F33" s="289" t="str">
        <x:v>registrarCambio(idLectura,kmPrevio,kmNuevo,fechaSistema,origen=USUARIO)</x:v>
      </x:c>
      <x:c r="G33" s="289" t="str">
        <x:v>Registra evento técnico trazable sin exigir ni almacenar un motivo escrito por el usuario.</x:v>
      </x:c>
    </x:row>
    <x:row r="34" ht="42" customHeight="1">
      <x:c r="A34" s="300" t="str">
        <x:v>28</x:v>
      </x:c>
      <x:c r="B34" s="286" t="str">
        <x:v>B3</x:v>
      </x:c>
      <x:c r="C34" s="286" t="str">
        <x:v>E_CorreccionKilometraje</x:v>
      </x:c>
      <x:c r="D34" s="297" t="str">
        <x:v>◄ ─ ─ (return)</x:v>
      </x:c>
      <x:c r="E34" s="286" t="str">
        <x:v>C_ControlKilometraje</x:v>
      </x:c>
      <x:c r="F34" s="286" t="str">
        <x:v>retornarCorreccionPreparada(idCorreccion)</x:v>
      </x:c>
      <x:c r="G34" s="286" t="str">
        <x:v>Aún no se anuncia éxito al usuario.</x:v>
      </x:c>
    </x:row>
    <x:row r="35" ht="42" customHeight="1">
      <x:c r="A35" s="287" t="str">
        <x:v>29</x:v>
      </x:c>
      <x:c r="B35" s="288" t="str">
        <x:v>B3</x:v>
      </x:c>
      <x:c r="C35" s="289" t="str">
        <x:v>C_ControlKilometraje</x:v>
      </x:c>
      <x:c r="D35" s="294" t="str">
        <x:v>────► (llamada)</x:v>
      </x:c>
      <x:c r="E35" s="289" t="str">
        <x:v>E_Kilometraje</x:v>
      </x:c>
      <x:c r="F35" s="289" t="str">
        <x:v>actualizarLecturaVigenteSiVersionCoincide(idLectura,kmNuevo,version)</x:v>
      </x:c>
      <x:c r="G35" s="289" t="str">
        <x:v>Actualiza solo lectura vigente, con misma transacción de evento técnico.</x:v>
      </x:c>
    </x:row>
    <x:row r="36" ht="25.799999237060547" customHeight="1">
      <x:c r="A36" s="405" t="str">
        <x:v>30</x:v>
      </x:c>
      <x:c r="B36" s="406" t="str">
        <x:v>B3</x:v>
      </x:c>
      <x:c r="C36" s="407" t="str">
        <x:v>E_Kilometraje</x:v>
      </x:c>
      <x:c r="D36" s="407" t="str">
        <x:v>◄ ─ ─ (return)</x:v>
      </x:c>
      <x:c r="E36" s="407" t="str">
        <x:v>C_ControlKilometraje</x:v>
      </x:c>
      <x:c r="F36" s="407" t="str">
        <x:v>retornarLecturaActualizada(kmNuevo)</x:v>
      </x:c>
      <x:c r="G36" s="407" t="str">
        <x:v>Confirma cambio provisional en la transacción.</x:v>
      </x:c>
    </x:row>
    <x:row r="37" ht="42" customHeight="1">
      <x:c r="A37" s="290" t="str">
        <x:v>31</x:v>
      </x:c>
      <x:c r="B37" s="291" t="str">
        <x:v>B3</x:v>
      </x:c>
      <x:c r="C37" s="289" t="str">
        <x:v>C_ControlKilometraje</x:v>
      </x:c>
      <x:c r="D37" s="294" t="str">
        <x:v>↩ (auto-msg)</x:v>
      </x:c>
      <x:c r="E37" s="289" t="str">
        <x:v>C_ControlKilometraje</x:v>
      </x:c>
      <x:c r="F37" s="289" t="str">
        <x:v>confirmarTransaccionCorreccion()</x:v>
      </x:c>
      <x:c r="G37" s="289" t="str">
        <x:v>COMMIT: evento de corrección y lectura vigente atómicos, rollback en cualquier fallo. En el MVP no se ejecuta sincronización de alertas desde RF16.</x:v>
      </x:c>
    </x:row>
    <x:row r="38" ht="24" customHeight="1">
      <x:c r="A38" s="1043" t="str">
        <x:v>BLOQUE 4 — SINCRONIZACIÓN DE ALERTAS POST-COMMIT (MENSAJES 32–37 · SOLO FUTURO)</x:v>
      </x:c>
      <x:c r="B38" s="1044" t="str"/>
      <x:c r="C38" s="1045" t="str"/>
      <x:c r="D38" s="1045" t="str"/>
      <x:c r="E38" s="1045" t="str"/>
      <x:c r="F38" s="1045" t="str"/>
      <x:c r="G38" s="1045" t="str"/>
    </x:row>
    <x:row r="39" ht="42" customHeight="1">
      <x:c r="A39" s="300" t="str">
        <x:v>32</x:v>
      </x:c>
      <x:c r="B39" s="286" t="str">
        <x:v>B4</x:v>
      </x:c>
      <x:c r="C39" s="286" t="str">
        <x:v>C_ControlKilometraje</x:v>
      </x:c>
      <x:c r="D39" s="297" t="str">
        <x:v>────► (llamada)</x:v>
      </x:c>
      <x:c r="E39" s="286" t="str">
        <x:v>C_ControlAlerta</x:v>
      </x:c>
      <x:c r="F39" s="286" t="str">
        <x:v>recalcularAlertasPorCorreccionKm(idVehiculo,kmNuevo)</x:v>
      </x:c>
      <x:c r="G39" s="286" t="str">
        <x:v>SOLO POST-MVP (NO EJECUTAR EN MVP): Sin reiniciar recordatorio KM (RF44) ni marcar el aviso atendido; post-COMMIT idempotente.</x:v>
      </x:c>
      <x:c r="H39" t="str">
        <x:v>FUTURO / NO MVP</x:v>
      </x:c>
    </x:row>
    <x:row r="40" ht="42" customHeight="1">
      <x:c r="A40" s="287" t="str">
        <x:v>33</x:v>
      </x:c>
      <x:c r="B40" s="288" t="str">
        <x:v>B4</x:v>
      </x:c>
      <x:c r="C40" s="289" t="str">
        <x:v>C_ControlAlerta</x:v>
      </x:c>
      <x:c r="D40" s="294" t="str">
        <x:v>────► (llamada)</x:v>
      </x:c>
      <x:c r="E40" s="289" t="str">
        <x:v>E_Alerta</x:v>
      </x:c>
      <x:c r="F40" s="289" t="str">
        <x:v>actualizarEstadosSiCorresponde(idVehiculo,kmNuevo)</x:v>
      </x:c>
      <x:c r="G40" s="289" t="str">
        <x:v>SOLO POST-MVP (NO EJECUTAR EN MVP): Reutiliza estados de motor único RF23 y no inventa nuevas transiciones.</x:v>
      </x:c>
      <x:c r="H40" t="str">
        <x:v>FUTURO / NO MVP</x:v>
      </x:c>
    </x:row>
    <x:row r="41" ht="42" customHeight="1">
      <x:c r="A41" s="408" t="str">
        <x:v>34</x:v>
      </x:c>
      <x:c r="B41" s="409" t="str">
        <x:v>B4</x:v>
      </x:c>
      <x:c r="C41" s="410" t="str">
        <x:v>E_Alerta</x:v>
      </x:c>
      <x:c r="D41" s="411" t="str">
        <x:v>◄ ─ ─ (return)</x:v>
      </x:c>
      <x:c r="E41" s="410" t="str">
        <x:v>C_ControlAlerta</x:v>
      </x:c>
      <x:c r="F41" s="410" t="str">
        <x:v>retornarTransicionesAlertas(transiciones)</x:v>
      </x:c>
      <x:c r="G41" s="410" t="str">
        <x:v>SOLO POST-MVP (NO EJECUTAR EN MVP): Lista de transiciones efectivamente aplicadas.</x:v>
      </x:c>
      <x:c r="H41" t="str">
        <x:v>FUTURO / NO MVP</x:v>
      </x:c>
    </x:row>
    <x:row r="42" ht="42" customHeight="1">
      <x:c r="A42" s="290" t="str">
        <x:v>35</x:v>
      </x:c>
      <x:c r="B42" s="291" t="str">
        <x:v>B4</x:v>
      </x:c>
      <x:c r="C42" s="289" t="str">
        <x:v>C_ControlAlerta</x:v>
      </x:c>
      <x:c r="D42" s="294" t="str">
        <x:v>────► (llamada)</x:v>
      </x:c>
      <x:c r="E42" s="289" t="str">
        <x:v>E_HistorialAlerta</x:v>
      </x:c>
      <x:c r="F42" s="289" t="str">
        <x:v>registrarTransicionesPorCorreccionSiHay(transiciones)</x:v>
      </x:c>
      <x:c r="G42" s="289" t="str">
        <x:v>SOLO POST-MVP (NO EJECUTAR EN MVP): Registrar únicamente transiciones que sucedieron; no duplicarlas.</x:v>
      </x:c>
      <x:c r="H42" t="str">
        <x:v>FUTURO / NO MVP</x:v>
      </x:c>
    </x:row>
    <x:row r="43" ht="25.799999237060547" customHeight="1">
      <x:c r="A43" s="405" t="str">
        <x:v>36</x:v>
      </x:c>
      <x:c r="B43" s="406" t="str">
        <x:v>B4</x:v>
      </x:c>
      <x:c r="C43" s="407" t="str">
        <x:v>E_HistorialAlerta</x:v>
      </x:c>
      <x:c r="D43" s="407" t="str">
        <x:v>◄ ─ ─ (return)</x:v>
      </x:c>
      <x:c r="E43" s="407" t="str">
        <x:v>C_ControlAlerta</x:v>
      </x:c>
      <x:c r="F43" s="407" t="str">
        <x:v>retornarTransicionesRegistradas()</x:v>
      </x:c>
      <x:c r="G43" s="407" t="str">
        <x:v>SOLO POST-MVP (NO EJECUTAR EN MVP): Confirmación de la trazabilidad.</x:v>
      </x:c>
      <x:c r="H43" t="str">
        <x:v>FUTURO / NO MVP</x:v>
      </x:c>
    </x:row>
    <x:row r="44" ht="42" customHeight="1">
      <x:c r="A44" s="290" t="str">
        <x:v>37</x:v>
      </x:c>
      <x:c r="B44" s="291" t="str">
        <x:v>B4</x:v>
      </x:c>
      <x:c r="C44" s="289" t="str">
        <x:v>C_ControlAlerta</x:v>
      </x:c>
      <x:c r="D44" s="294" t="str">
        <x:v>◄ ─ ─ (return)</x:v>
      </x:c>
      <x:c r="E44" s="552" t="str">
        <x:v>C_ControlKilometraje</x:v>
      </x:c>
      <x:c r="F44" s="289" t="str">
        <x:v>retornarSincronizacionCorreccion()</x:v>
      </x:c>
      <x:c r="G44" s="289" t="str">
        <x:v>SOLO POST-MVP (NO EJECUTAR EN MVP): Sincronización completa o programada para reintento tras COMMIT; no revierte la lectura.</x:v>
      </x:c>
      <x:c r="H44" t="str">
        <x:v>FUTURO / NO MVP</x:v>
      </x:c>
    </x:row>
    <x:row r="45" ht="24" customHeight="1">
      <x:c r="A45" s="1043" t="str">
        <x:v>BLOQUE 5 — CONFIRMACIÓN Y CIERRE (MENSAJES 38–39)</x:v>
      </x:c>
      <x:c r="B45" s="1044" t="str"/>
      <x:c r="C45" s="1062" t="str"/>
      <x:c r="D45" s="1045" t="str"/>
      <x:c r="E45" s="1045" t="str"/>
      <x:c r="F45" s="1045" t="str"/>
      <x:c r="G45" s="1045" t="str"/>
    </x:row>
    <x:row r="46" ht="42" customHeight="1">
      <x:c r="A46" s="290" t="str">
        <x:v>38</x:v>
      </x:c>
      <x:c r="B46" s="291" t="str">
        <x:v>B5</x:v>
      </x:c>
      <x:c r="C46" s="289" t="str">
        <x:v>C_ControlKilometraje</x:v>
      </x:c>
      <x:c r="D46" s="284" t="str">
        <x:v>────► (llamada)</x:v>
      </x:c>
      <x:c r="E46" s="289" t="str">
        <x:v>I_ActualizarKilometraje</x:v>
      </x:c>
      <x:c r="F46" s="289" t="str">
        <x:v>mostrarCorreccionExitosa(kmNuevo)</x:v>
      </x:c>
      <x:c r="G46" s="289" t="str">
        <x:v>Solo después del COMMIT de lectura; reutiliza interfaz original de kilometraje.</x:v>
      </x:c>
    </x:row>
    <x:row r="47" ht="14.399999618530273" customHeight="1">
      <x:c r="A47" s="553" t="str">
        <x:v>39</x:v>
      </x:c>
      <x:c r="B47" s="554" t="str">
        <x:v>B5</x:v>
      </x:c>
      <x:c r="C47" s="555" t="str">
        <x:v>I_ActualizarKilometraje</x:v>
      </x:c>
      <x:c r="D47" s="555" t="str">
        <x:v>────► (llamada)</x:v>
      </x:c>
      <x:c r="E47" s="555" t="str">
        <x:v>AS_Usuario</x:v>
      </x:c>
      <x:c r="F47" s="555" t="str">
        <x:v>visualizarKilometrajeCorregido(kmNuevo)</x:v>
      </x:c>
      <x:c r="G47" s="555" t="str">
        <x:v>Concluye en modo kilometraje; no abre Historial, no muestra motivo ni fecha.</x:v>
      </x:c>
    </x:row>
    <x:row r="48" ht="14.399999618530273" customHeight="1">
      <x:c r="A48" s="556" t="str"/>
      <x:c r="B48" s="557" t="str"/>
      <x:c r="C48" s="558" t="str"/>
      <x:c r="D48" s="558" t="str"/>
      <x:c r="E48" s="558" t="str"/>
      <x:c r="F48" s="558" t="str"/>
      <x:c r="G48" s="558" t="str"/>
    </x:row>
    <x:row r="49" ht="14.399999618530273" customHeight="1">
      <x:c r="A49" s="559" t="str"/>
      <x:c r="B49" s="560" t="str"/>
      <x:c r="C49" s="561" t="str"/>
      <x:c r="D49" s="561" t="str"/>
      <x:c r="E49" s="561" t="str"/>
      <x:c r="F49" s="561" t="str"/>
      <x:c r="G49" s="561" t="str"/>
    </x:row>
    <x:row r="50" ht="24" customHeight="1">
      <x:c r="A50" s="562" t="str"/>
      <x:c r="B50" s="563" t="str"/>
      <x:c r="C50" s="558" t="str"/>
      <x:c r="D50" s="558" t="str"/>
      <x:c r="E50" s="558" t="str"/>
      <x:c r="F50" s="558" t="str"/>
      <x:c r="G50" s="558" t="str"/>
    </x:row>
    <x:row r="51" ht="24" customHeight="1">
      <x:c r="A51" s="562"/>
      <x:c r="B51" s="563"/>
      <x:c r="C51" s="558"/>
      <x:c r="D51" s="558"/>
      <x:c r="E51" s="558"/>
      <x:c r="F51" s="558"/>
      <x:c r="G51" s="558"/>
    </x:row>
    <x:row r="52" ht="14.399999618530273" customHeight="1">
      <x:c r="A52" s="553"/>
      <x:c r="B52" s="554"/>
      <x:c r="C52" s="555"/>
      <x:c r="D52" s="555"/>
      <x:c r="E52" s="555"/>
      <x:c r="F52" s="555"/>
      <x:c r="G52" s="555"/>
    </x:row>
    <x:row r="53" ht="24" customHeight="1">
      <x:c r="A53" s="556"/>
      <x:c r="B53" s="557"/>
      <x:c r="C53" s="558"/>
      <x:c r="D53" s="558"/>
      <x:c r="E53" s="558"/>
      <x:c r="F53" s="558"/>
      <x:c r="G53" s="558"/>
    </x:row>
    <x:row r="54" ht="14.399999618530273" customHeight="1">
      <x:c r="A54" s="562"/>
      <x:c r="B54" s="563"/>
      <x:c r="C54" s="558"/>
      <x:c r="D54" s="558"/>
      <x:c r="E54" s="558"/>
      <x:c r="F54" s="558"/>
      <x:c r="G54" s="558"/>
    </x:row>
    <x:row r="55" ht="14.399999618530273" customHeight="1">
      <x:c r="A55" s="562"/>
      <x:c r="B55" s="563"/>
      <x:c r="C55" s="558"/>
      <x:c r="D55" s="558"/>
      <x:c r="E55" s="558"/>
      <x:c r="F55" s="558"/>
      <x:c r="G55" s="558"/>
    </x:row>
    <x:row r="56" ht="14.399999618530273" customHeight="1">
      <x:c r="A56" s="559"/>
      <x:c r="B56" s="560"/>
      <x:c r="C56" s="561"/>
      <x:c r="D56" s="561"/>
      <x:c r="E56" s="561"/>
      <x:c r="F56" s="561"/>
      <x:c r="G56" s="561"/>
    </x:row>
    <x:row r="57" ht="14.399999618530273" customHeight="1">
      <x:c r="A57" s="553"/>
      <x:c r="B57" s="554"/>
      <x:c r="C57" s="555"/>
      <x:c r="D57" s="555"/>
      <x:c r="E57" s="555"/>
      <x:c r="F57" s="555"/>
      <x:c r="G57" s="555"/>
    </x:row>
    <x:row r="58" ht="14.399999618530273" customHeight="1">
      <x:c r="A58" s="556"/>
      <x:c r="B58" s="557"/>
      <x:c r="C58" s="558"/>
      <x:c r="D58" s="558"/>
      <x:c r="E58" s="558"/>
      <x:c r="F58" s="558"/>
      <x:c r="G58" s="558"/>
    </x:row>
    <x:row r="59" ht="14.399999618530273" customHeight="1">
      <x:c r="A59" s="562"/>
      <x:c r="B59" s="563"/>
      <x:c r="C59" s="558"/>
      <x:c r="D59" s="558"/>
      <x:c r="E59" s="558"/>
      <x:c r="F59" s="558"/>
      <x:c r="G59" s="558"/>
    </x:row>
    <x:row r="60" ht="14.399999618530273" customHeight="1">
      <x:c r="A60" s="562"/>
      <x:c r="B60" s="563"/>
      <x:c r="C60" s="558"/>
      <x:c r="D60" s="558"/>
      <x:c r="E60" s="558"/>
      <x:c r="F60" s="558"/>
      <x:c r="G60" s="558"/>
    </x:row>
    <x:row r="61" ht="14.399999618530273" customHeight="1">
      <x:c r="A61" s="559"/>
      <x:c r="B61" s="560"/>
      <x:c r="C61" s="561"/>
      <x:c r="D61" s="561"/>
      <x:c r="E61" s="561"/>
      <x:c r="F61" s="561"/>
      <x:c r="G61" s="561"/>
    </x:row>
    <x:row r="62" ht="14.399999618530273" customHeight="1">
      <x:c r="A62" s="562"/>
      <x:c r="B62" s="563"/>
      <x:c r="C62" s="558"/>
      <x:c r="D62" s="558"/>
      <x:c r="E62" s="558"/>
      <x:c r="F62" s="558"/>
      <x:c r="G62" s="558"/>
    </x:row>
    <x:row r="63" ht="14.399999618530273" customHeight="1">
      <x:c r="A63" s="562"/>
      <x:c r="B63" s="563"/>
      <x:c r="C63" s="558"/>
      <x:c r="D63" s="558"/>
      <x:c r="E63" s="558"/>
      <x:c r="F63" s="558"/>
      <x:c r="G63" s="558"/>
    </x:row>
    <x:row r="64" ht="14.399999618530273" customHeight="1">
      <x:c r="A64" s="562"/>
      <x:c r="B64" s="563"/>
      <x:c r="C64" s="558"/>
      <x:c r="D64" s="558"/>
      <x:c r="E64" s="558"/>
      <x:c r="F64" s="558"/>
      <x:c r="G64" s="558"/>
    </x:row>
    <x:row r="65" ht="14.399999618530273" customHeight="1">
      <x:c r="A65" s="562"/>
      <x:c r="B65" s="563"/>
      <x:c r="C65" s="558"/>
      <x:c r="D65" s="558"/>
      <x:c r="E65" s="558"/>
      <x:c r="F65" s="558"/>
      <x:c r="G65" s="558"/>
    </x:row>
    <x:row r="66" ht="14.399999618530273" customHeight="1">
      <x:c r="A66" s="562"/>
      <x:c r="B66" s="563"/>
      <x:c r="C66" s="564"/>
      <x:c r="D66" s="564"/>
      <x:c r="E66" s="564"/>
      <x:c r="F66" s="564"/>
      <x:c r="G66" s="564"/>
    </x:row>
    <x:row r="67" ht="14.399999618530273" customHeight="1">
      <x:c r="A67" s="562"/>
      <x:c r="B67" s="563"/>
      <x:c r="C67" s="564"/>
      <x:c r="D67" s="564"/>
      <x:c r="E67" s="564"/>
      <x:c r="F67" s="564"/>
      <x:c r="G67" s="564"/>
    </x:row>
    <x:row r="68" ht="14.399999618530273" customHeight="1">
      <x:c r="A68" s="562"/>
      <x:c r="B68" s="563"/>
      <x:c r="C68" s="564"/>
      <x:c r="D68" s="564"/>
      <x:c r="E68" s="564"/>
      <x:c r="F68" s="564"/>
      <x:c r="G68" s="564"/>
    </x:row>
    <x:row r="69" ht="14.399999618530273" customHeight="1">
      <x:c r="A69" s="555"/>
      <x:c r="B69" s="555"/>
      <x:c r="C69" s="555"/>
      <x:c r="D69" s="555"/>
      <x:c r="E69" s="555"/>
      <x:c r="F69" s="555"/>
      <x:c r="G69" s="555"/>
    </x:row>
    <x:row r="70" ht="14.399999618530273" customHeight="1">
      <x:c r="A70" s="555"/>
      <x:c r="B70" s="555"/>
      <x:c r="C70" s="555"/>
      <x:c r="D70" s="555"/>
      <x:c r="E70" s="555"/>
      <x:c r="F70" s="555"/>
      <x:c r="G70" s="555"/>
    </x:row>
    <x:row r="71">
      <x:c r="A71" s="565"/>
      <x:c r="B71" s="565"/>
      <x:c r="C71" s="565"/>
      <x:c r="D71" s="565"/>
      <x:c r="E71" s="565"/>
      <x:c r="F71" s="565"/>
      <x:c r="G71" s="565"/>
    </x:row>
    <x:row r="72">
      <x:c r="A72" s="565"/>
      <x:c r="B72" s="565"/>
      <x:c r="C72" s="565"/>
      <x:c r="D72" s="565"/>
      <x:c r="E72" s="565"/>
      <x:c r="F72" s="565"/>
      <x:c r="G72" s="565"/>
    </x:row>
    <x:row r="73">
      <x:c r="A73" s="565"/>
      <x:c r="B73" s="565"/>
      <x:c r="C73" s="565"/>
      <x:c r="D73" s="565"/>
      <x:c r="E73" s="565"/>
      <x:c r="F73" s="565"/>
      <x:c r="G73" s="565"/>
    </x:row>
    <x:row r="74">
      <x:c r="A74"/>
      <x:c r="B74"/>
    </x:row>
    <x:row r="75">
      <x:c r="A75"/>
      <x:c r="B75"/>
    </x:row>
    <x:row r="76">
      <x:c r="A76"/>
      <x:c r="B76"/>
    </x:row>
    <x:row r="77">
      <x:c r="A77"/>
      <x:c r="B77"/>
    </x:row>
    <x:row r="78">
      <x:c r="A78"/>
      <x:c r="B78"/>
    </x:row>
    <x:row r="79">
      <x:c r="A79"/>
      <x:c r="B79"/>
    </x:row>
    <x:row r="80">
      <x:c r="A80"/>
      <x:c r="B80"/>
    </x:row>
    <x:row r="81">
      <x:c r="A81"/>
      <x:c r="B81"/>
    </x:row>
    <x:row r="82">
      <x:c r="A82"/>
      <x:c r="B82"/>
    </x:row>
    <x:row r="83">
      <x:c r="A83"/>
      <x:c r="B83"/>
    </x:row>
    <x:row r="84">
      <x:c r="A84"/>
      <x:c r="B84"/>
    </x:row>
    <x:row r="85">
      <x:c r="A85"/>
      <x:c r="B85"/>
    </x:row>
    <x:row r="86">
      <x:c r="A86"/>
      <x:c r="B86"/>
    </x:row>
    <x:row r="87">
      <x:c r="A87"/>
      <x:c r="B87"/>
    </x:row>
    <x:row r="88">
      <x:c r="A88"/>
      <x:c r="B88"/>
    </x:row>
    <x:row r="89">
      <x:c r="A89"/>
      <x:c r="B89"/>
    </x:row>
    <x:row r="90">
      <x:c r="A90"/>
      <x:c r="B90"/>
    </x:row>
  </x:sheetData>
  <x:mergeCells>
    <x:mergeCell ref="A36:G36"/>
    <x:mergeCell ref="A41:G41"/>
    <x:mergeCell ref="A49:G49"/>
    <x:mergeCell ref="A56:G56"/>
    <x:mergeCell ref="A61:G61"/>
    <x:mergeCell ref="A43:G43"/>
    <x:mergeCell ref="A1:G1"/>
    <x:mergeCell ref="A2:G2"/>
    <x:mergeCell ref="A4:G4"/>
    <x:mergeCell ref="A18:G18"/>
    <x:mergeCell ref="A26:G26"/>
    <x:mergeCell ref="A15:G15"/>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 min="13" max="13" width="58" hidden="0" customWidth="1"/>
  </x:cols>
  <x:sheetData>
    <x:row r="1" s="282" customFormat="1" ht="28" customHeight="1">
      <x:c r="A1" t="str">
        <x:v>DIAGRAMA DE SECUENCIAS — RF-017 — Registrar mantenimiento realizado | EVENTO EXITOSO CORREGIDO</x:v>
      </x:c>
      <x:c r="B1"/>
      <x:c r="C1"/>
      <x:c r="D1"/>
      <x:c r="E1"/>
      <x:c r="F1"/>
      <x:c r="G1"/>
      <x:c r="H1"/>
      <x:c r="I1"/>
      <x:c r="J1"/>
      <x:c r="K1"/>
      <x:c r="L1"/>
    </x:row>
    <x:row r="2" s="282" customFormat="1" ht="32" customHeight="1">
      <x:c r="A2" t="str">
        <x:v>Patrón: Actor → Interfaz → Control → Entidad | 75 mensajes | 8 bloques | Revalidación de tipo ACTIVO/permitido | Km histórico obligatorio | EA separados</x:v>
      </x:c>
      <x:c r="B2"/>
      <x:c r="C2"/>
      <x:c r="D2"/>
      <x:c r="E2"/>
      <x:c r="F2"/>
      <x:c r="G2"/>
      <x:c r="H2"/>
      <x:c r="I2"/>
      <x:c r="J2"/>
      <x:c r="K2"/>
      <x:c r="L2"/>
    </x:row>
    <x:row r="3" s="282" customFormat="1" ht="36" customHeight="1">
      <x:c r="A3" t="str">
        <x:v>#</x:v>
      </x:c>
      <x:c r="B3" t="str">
        <x:v>Bloque</x:v>
      </x:c>
      <x:c r="C3" t="str">
        <x:v>Objeto Origen</x:v>
      </x:c>
      <x:c r="D3" t="str">
        <x:v>Flecha</x:v>
      </x:c>
      <x:c r="E3" t="str">
        <x:v>Objeto Destino</x:v>
      </x:c>
      <x:c r="F3" t="str">
        <x:v>Método / Mensaje</x:v>
      </x:c>
      <x:c r="G3" t="str">
        <x:v>Descripción / Nota</x:v>
      </x:c>
      <x:c r="H3" t="str">
        <x:v>ESTADO MVP</x:v>
      </x:c>
      <x:c r="I3" t="str">
        <x:v>ACCIÓN / CAMBIO A PROGRAMAR</x:v>
      </x:c>
      <x:c r="J3" t="str">
        <x:v>APROBACIÓN / DEPENDENCIA</x:v>
      </x:c>
      <x:c r="K3" t="str">
        <x:v>CELDA ORIGINAL</x:v>
      </x:c>
      <x:c r="L3" t="str">
        <x:v>LECTURA FLECHA (UML/BCE)</x:v>
      </x:c>
      <x:c r="M3" t="str">
        <x:v>CONDICIÓN RF65 (NO MVP)</x:v>
      </x:c>
    </x:row>
    <x:row r="4" s="282" customFormat="1" ht="25" customHeight="1">
      <x:c r="A4" t="str">
        <x:v>BLOQUE 1 — ACCESO A HISTORIAL Y CONSULTA DE MANTENIMIENTOS — Mensajes 1–15</x:v>
      </x:c>
      <x:c r="B4"/>
      <x:c r="C4"/>
      <x:c r="D4"/>
      <x:c r="E4"/>
      <x:c r="F4"/>
      <x:c r="G4"/>
      <x:c r="H4"/>
      <x:c r="I4"/>
      <x:c r="J4"/>
      <x:c r="K4"/>
      <x:c r="L4"/>
    </x:row>
    <x:row r="5" s="282" customFormat="1" ht="52" customHeight="1">
      <x:c r="A5" t="str">
        <x:v>1</x:v>
      </x:c>
      <x:c r="B5" t="str">
        <x:v>B1</x:v>
      </x:c>
      <x:c r="C5" t="str">
        <x:v>AS_Usuario</x:v>
      </x:c>
      <x:c r="D5" t="str">
        <x:v>────► (llamada)</x:v>
      </x:c>
      <x:c r="E5" t="str">
        <x:v>I_Inicio</x:v>
      </x:c>
      <x:c r="F5" t="str">
        <x:v>ingresarModuloHistorial()</x:v>
      </x:c>
      <x:c r="G5" t="str">
        <x:v>El usuario ingresa al módulo Historial desde la navegación de la aplicación.</x:v>
      </x:c>
      <x:c r="H5" t="str">
        <x:v>IMPLEMENTAR</x:v>
      </x:c>
      <x:c r="I5" t="str">
        <x:v>Implementar la ruta original BCE en el alcance reducido, con dependencias reales validadas.</x:v>
      </x:c>
      <x:c r="J5"/>
      <x:c r="K5" t="str">
        <x:v>RF17!F5</x:v>
      </x:c>
      <x:c r="L5" t="str">
        <x:v>► LLAMADA: operación desde el objeto de C hacia el de E; comprobar contrato y autorización.</x:v>
      </x:c>
      <x:c r="M5" s="1071" t="str">
        <x:v>RF65 POST-MVP · CONDICIONADO A APROBACIÓN. Mantenimiento: conservar kmServicio y registros históricos, pero impedir nueva alta en vehículo ELIMINADO; al ingresar RF65 no cambiar mantenimiento a ANULADO. Sin aprobación no aplicar filtros ni cambios de BD por RF65.</x:v>
      </x:c>
    </x:row>
    <x:row r="6" s="282" customFormat="1" ht="52" customHeight="1">
      <x:c r="A6" t="str">
        <x:v>2</x:v>
      </x:c>
      <x:c r="B6" t="str">
        <x:v>B1</x:v>
      </x:c>
      <x:c r="C6" t="str">
        <x:v>I_Inicio</x:v>
      </x:c>
      <x:c r="D6" t="str">
        <x:v>────► (llamada)</x:v>
      </x:c>
      <x:c r="E6" t="str">
        <x:v>C_Navegacion</x:v>
      </x:c>
      <x:c r="F6" t="str">
        <x:v>solicitarVistaHistorial()</x:v>
      </x:c>
      <x:c r="G6" t="str">
        <x:v>La interfaz solicita al control abrir la vista Historial.</x:v>
      </x:c>
      <x:c r="H6" t="str">
        <x:v>IMPLEMENTAR</x:v>
      </x:c>
      <x:c r="I6" t="str">
        <x:v>Implementar la ruta original BCE en el alcance reducido, con dependencias reales validadas.</x:v>
      </x:c>
      <x:c r="J6"/>
      <x:c r="K6" t="str">
        <x:v>RF17!F6</x:v>
      </x:c>
      <x:c r="L6" t="str">
        <x:v>► LLAMADA: operación desde el objeto de C hacia el de E; comprobar contrato y autorización.</x:v>
      </x:c>
    </x:row>
    <x:row r="7" s="282" customFormat="1" ht="52" customHeight="1">
      <x:c r="A7" t="str">
        <x:v>3</x:v>
      </x:c>
      <x:c r="B7" t="str">
        <x:v>B1</x:v>
      </x:c>
      <x:c r="C7" t="str">
        <x:v>C_Navegacion</x:v>
      </x:c>
      <x:c r="D7" t="str">
        <x:v>────► (llamada)</x:v>
      </x:c>
      <x:c r="E7" t="str">
        <x:v>I_HistorialVehiculo</x:v>
      </x:c>
      <x:c r="F7" t="str">
        <x:v>mostrarVistaHistorial()</x:v>
      </x:c>
      <x:c r="G7" t="str">
        <x:v>El control solicita mostrar la vista Historial. La sección Mantenimientos queda activa por defecto.</x:v>
      </x:c>
      <x:c r="H7" t="str">
        <x:v>IMPLEMENTAR</x:v>
      </x:c>
      <x:c r="I7" t="str">
        <x:v>Implementar la ruta original BCE en el alcance reducido, con dependencias reales validadas.</x:v>
      </x:c>
      <x:c r="J7"/>
      <x:c r="K7" t="str">
        <x:v>RF17!F7</x:v>
      </x:c>
      <x:c r="L7" t="str">
        <x:v>► LLAMADA: operación desde el objeto de C hacia el de E; comprobar contrato y autorización.</x:v>
      </x:c>
    </x:row>
    <x:row r="8" s="282" customFormat="1" ht="52" customHeight="1">
      <x:c r="A8" t="str">
        <x:v>4</x:v>
      </x:c>
      <x:c r="B8" t="str">
        <x:v>B1</x:v>
      </x:c>
      <x:c r="C8" t="str">
        <x:v>I_HistorialVehiculo</x:v>
      </x:c>
      <x:c r="D8" t="str">
        <x:v>────► (llamada)</x:v>
      </x:c>
      <x:c r="E8" t="str">
        <x:v>C_ControlVehiculo</x:v>
      </x:c>
      <x:c r="F8" t="str">
        <x:v>solicitarVehiculosUsuarioYPrincipal(id_usuario)</x:v>
      </x:c>
      <x:c r="G8" t="str">
        <x:v>La vista Historial solicita vehículos propios ACTIVOS e INACTIVOS, el principal y el estado de cada uno. RF17 solo habilita Registrar si el vehículo seleccionado está ACTIVO.</x:v>
      </x:c>
      <x:c r="H8" t="str">
        <x:v>IMPLEMENTAR</x:v>
      </x:c>
      <x:c r="I8" t="str">
        <x:v>Implementar la ruta original BCE en el alcance reducido, con dependencias reales validadas.</x:v>
      </x:c>
      <x:c r="J8"/>
      <x:c r="K8" t="str">
        <x:v>RF17!F8</x:v>
      </x:c>
      <x:c r="L8" t="str">
        <x:v>► LLAMADA: operación desde el objeto de C hacia el de E; comprobar contrato y autorización.</x:v>
      </x:c>
    </x:row>
    <x:row r="9" s="282" customFormat="1" ht="52" customHeight="1">
      <x:c r="A9" t="str">
        <x:v>5</x:v>
      </x:c>
      <x:c r="B9" t="str">
        <x:v>B1</x:v>
      </x:c>
      <x:c r="C9" t="str">
        <x:v>C_ControlVehiculo</x:v>
      </x:c>
      <x:c r="D9" t="str">
        <x:v>────► (llamada)</x:v>
      </x:c>
      <x:c r="E9" t="str">
        <x:v>E_Vehiculo</x:v>
      </x:c>
      <x:c r="F9" t="str">
        <x:v>consultarVehiculosUsuarioYPrincipal(id_usuario)</x:v>
      </x:c>
      <x:c r="G9" t="str">
        <x:v>Consulta los vehículos propios, activos e inactivos, y el principal; la restricción ACTIVO se valida al iniciar RF17.</x:v>
      </x:c>
      <x:c r="H9" t="str">
        <x:v>IMPLEMENTAR</x:v>
      </x:c>
      <x:c r="I9" t="str">
        <x:v>Implementar la ruta original BCE en el alcance reducido, con dependencias reales validadas.</x:v>
      </x:c>
      <x:c r="J9"/>
      <x:c r="K9" t="str">
        <x:v>RF17!F9</x:v>
      </x:c>
      <x:c r="L9" t="str">
        <x:v>► LLAMADA: operación desde el objeto de C hacia el de E; comprobar contrato y autorización.</x:v>
      </x:c>
    </x:row>
    <x:row r="10" s="282" customFormat="1" ht="52" customHeight="1">
      <x:c r="A10" t="str">
        <x:v>6</x:v>
      </x:c>
      <x:c r="B10" t="str">
        <x:v>B1</x:v>
      </x:c>
      <x:c r="C10" t="str">
        <x:v>E_Vehiculo</x:v>
      </x:c>
      <x:c r="D10" t="str">
        <x:v>◄ - - - - - (return)</x:v>
      </x:c>
      <x:c r="E10" t="str">
        <x:v>C_ControlVehiculo</x:v>
      </x:c>
      <x:c r="F10" t="str">
        <x:v>retornarVehiculosYPrincipal(lista_vehiculos,vehiculo_principal)</x:v>
      </x:c>
      <x:c r="G10" t="str">
        <x:v>La entidad devuelve los vehículos del usuario y la selección principal, sin limitar la consulta histórica a los activos.</x:v>
      </x:c>
      <x:c r="H10" t="str">
        <x:v>IMPLEMENTAR</x:v>
      </x:c>
      <x:c r="I10" t="str">
        <x:v>Implementar la ruta original BCE en el alcance reducido, con dependencias reales validadas.</x:v>
      </x:c>
      <x:c r="J10"/>
      <x:c r="K10" t="str">
        <x:v>RF17!F10</x:v>
      </x:c>
      <x:c r="L10" t="str">
        <x:v>◄ RETORNO discontinuo al llamador. C y E identifican emisor y receptor; ◄ representa disposición de líneas de vida, no inversión de columnas.</x:v>
      </x:c>
    </x:row>
    <x:row r="11" s="282" customFormat="1" ht="52" customHeight="1">
      <x:c r="A11" t="str">
        <x:v>7</x:v>
      </x:c>
      <x:c r="B11" t="str">
        <x:v>B1</x:v>
      </x:c>
      <x:c r="C11" t="str">
        <x:v>C_ControlVehiculo</x:v>
      </x:c>
      <x:c r="D11" t="str">
        <x:v>◄ - - - - - (return)</x:v>
      </x:c>
      <x:c r="E11" t="str">
        <x:v>I_HistorialVehiculo</x:v>
      </x:c>
      <x:c r="F11" t="str">
        <x:v>retornarVehiculosYPrincipal(lista_vehiculos,vehiculo_principal)</x:v>
      </x:c>
      <x:c r="G11" t="str">
        <x:v>Devuelve lista, principal y estados de vehículos; I_HistorialVehiculo comparte con I_HistorialMantenimiento el estado ACTIVO/INACTIVO del vehículo seleccionado.</x:v>
      </x:c>
      <x:c r="H11" t="str">
        <x:v>IMPLEMENTAR</x:v>
      </x:c>
      <x:c r="I11" t="str">
        <x:v>Implementar la ruta original BCE en el alcance reducido, con dependencias reales validadas.</x:v>
      </x:c>
      <x:c r="J11"/>
      <x:c r="K11" t="str">
        <x:v>RF17!F11</x:v>
      </x:c>
      <x:c r="L11" t="str">
        <x:v>◄ RETORNO discontinuo al llamador. C y E identifican emisor y receptor; ◄ representa disposición de líneas de vida, no inversión de columnas.</x:v>
      </x:c>
    </x:row>
    <x:row r="12" s="282" customFormat="1" ht="52" customHeight="1">
      <x:c r="A12" t="str">
        <x:v>8</x:v>
      </x:c>
      <x:c r="B12" t="str">
        <x:v>B1</x:v>
      </x:c>
      <x:c r="C12" t="str">
        <x:v>I_HistorialVehiculo</x:v>
      </x:c>
      <x:c r="D12" t="str">
        <x:v>────► (llamada)</x:v>
      </x:c>
      <x:c r="E12" t="str">
        <x:v>AS_Usuario</x:v>
      </x:c>
      <x:c r="F12" t="str">
        <x:v>visualizarSelectorVehiculo(lista_vehiculos,vehiculo_principal)</x:v>
      </x:c>
      <x:c r="G12" t="str">
        <x:v>El usuario visualiza el selector general de vehículo con el vehículo principal seleccionado por defecto.</x:v>
      </x:c>
      <x:c r="H12" t="str">
        <x:v>IMPLEMENTAR</x:v>
      </x:c>
      <x:c r="I12" t="str">
        <x:v>Implementar la ruta original BCE en el alcance reducido, con dependencias reales validadas.</x:v>
      </x:c>
      <x:c r="J12"/>
      <x:c r="K12" t="str">
        <x:v>RF17!F12</x:v>
      </x:c>
      <x:c r="L12" t="str">
        <x:v>⚠ SALIDA VISUAL al actor: no ejecutar «visualizar...» como método/API del usuario. En UML formal es presentación/resultado de UI, no llamada remota.</x:v>
      </x:c>
    </x:row>
    <x:row r="13" s="282" customFormat="1" ht="52" customHeight="1">
      <x:c r="A13" t="str">
        <x:v>9</x:v>
      </x:c>
      <x:c r="B13" t="str">
        <x:v>B1</x:v>
      </x:c>
      <x:c r="C13" t="str">
        <x:v>I_HistorialVehiculo</x:v>
      </x:c>
      <x:c r="D13" t="str">
        <x:v>────► (llamada)</x:v>
      </x:c>
      <x:c r="E13" t="str">
        <x:v>C_ControlHistorial</x:v>
      </x:c>
      <x:c r="F13" t="str">
        <x:v>solicitarSeccionMantenimiento(id_usuario,id_vehiculo,estado_vehiculo)</x:v>
      </x:c>
      <x:c r="G13" t="str">
        <x:v>La interfaz envía el contexto del vehículo seleccionado (incluido estado obtenido del selector) para presentar el botón de Registrar. Este dato solo afecta la vista; el servidor revalida la propiedad y el estado ACTIVO en los pasos 16–19 y 50–53.</x:v>
      </x:c>
      <x:c r="H13" t="str">
        <x:v>IMPLEMENTAR</x:v>
      </x:c>
      <x:c r="I13" t="str">
        <x:v>Implementar la ruta original BCE en el alcance reducido, con dependencias reales validadas.</x:v>
      </x:c>
      <x:c r="J13"/>
      <x:c r="K13" t="str">
        <x:v>RF17!F13</x:v>
      </x:c>
      <x:c r="L13" t="str">
        <x:v>► LLAMADA: operación desde el objeto de C hacia el de E; comprobar contrato y autorización.</x:v>
      </x:c>
    </x:row>
    <x:row r="14" s="282" customFormat="1" ht="52" customHeight="1">
      <x:c r="A14" t="str">
        <x:v>10</x:v>
      </x:c>
      <x:c r="B14" t="str">
        <x:v>B1</x:v>
      </x:c>
      <x:c r="C14" t="str">
        <x:v>C_ControlHistorial</x:v>
      </x:c>
      <x:c r="D14" t="str">
        <x:v>────► (llamada)</x:v>
      </x:c>
      <x:c r="E14" t="str">
        <x:v>E_Mantenimiento</x:v>
      </x:c>
      <x:c r="F14" t="str">
        <x:v>consultarResumenMantenimientos(id_usuario,id_vehiculo)</x:v>
      </x:c>
      <x:c r="G14" t="str">
        <x:v>Consulta los registros del vehículo seleccionado para que Historial no muestre una lista sin datos. Reutiliza la lectura del historial definida para RF18; no duplica reglas de filtrado.</x:v>
      </x:c>
      <x:c r="H14" t="str">
        <x:v>IMPLEMENTAR</x:v>
      </x:c>
      <x:c r="I14" t="str">
        <x:v>Implementar la ruta original BCE en el alcance reducido, con dependencias reales validadas.</x:v>
      </x:c>
      <x:c r="J14"/>
      <x:c r="K14" t="str">
        <x:v>RF17!F14</x:v>
      </x:c>
      <x:c r="L14" t="str">
        <x:v>► LLAMADA: operación desde el objeto de C hacia el de E; comprobar contrato y autorización.</x:v>
      </x:c>
    </x:row>
    <x:row r="15" s="282" customFormat="1" ht="52" customHeight="1">
      <x:c r="A15" t="str">
        <x:v>11</x:v>
      </x:c>
      <x:c r="B15" t="str">
        <x:v>B1</x:v>
      </x:c>
      <x:c r="C15" t="str">
        <x:v>E_Mantenimiento</x:v>
      </x:c>
      <x:c r="D15" t="str">
        <x:v>◄ - - - - - (return)</x:v>
      </x:c>
      <x:c r="E15" t="str">
        <x:v>C_ControlHistorial</x:v>
      </x:c>
      <x:c r="F15" t="str">
        <x:v>retornarResumenMantenimientos(lista_mantenimientos)</x:v>
      </x:c>
      <x:c r="G15" t="str">
        <x:v>Devuelve los mantenimientos visibles para el usuario y vehículo solicitados.</x:v>
      </x:c>
      <x:c r="H15" t="str">
        <x:v>IMPLEMENTAR</x:v>
      </x:c>
      <x:c r="I15" t="str">
        <x:v>Implementar la ruta original BCE en el alcance reducido, con dependencias reales validadas.</x:v>
      </x:c>
      <x:c r="J15"/>
      <x:c r="K15" t="str">
        <x:v>RF17!F15</x:v>
      </x:c>
      <x:c r="L15" t="str">
        <x:v>◄ RETORNO discontinuo al llamador. C y E identifican emisor y receptor; ◄ representa disposición de líneas de vida, no inversión de columnas.</x:v>
      </x:c>
    </x:row>
    <x:row r="16" s="282" customFormat="1" ht="57" customHeight="1">
      <x:c r="A16" t="str">
        <x:v>12</x:v>
      </x:c>
      <x:c r="B16" t="str">
        <x:v>B1</x:v>
      </x:c>
      <x:c r="C16" t="str">
        <x:v>C_ControlHistorial</x:v>
      </x:c>
      <x:c r="D16" t="str">
        <x:v>────► (llamada)</x:v>
      </x:c>
      <x:c r="E16" t="str">
        <x:v>I_HistorialMantenimiento</x:v>
      </x:c>
      <x:c r="F16" t="str">
        <x:v>mostrarVistaHistorialMantenimiento(id_vehiculo,estado_vehiculo,lista_mantenimientos)</x:v>
      </x:c>
      <x:c r="G16" t="str">
        <x:v>Transmite explícitamente el estado ACTIVO/INACTIVO del vehículo seleccionado a I_HistorialMantenimiento. Es una sección de la misma pantalla Historial; no abre una pantalla adicional.</x:v>
      </x:c>
      <x:c r="H16" t="str">
        <x:v>IMPLEMENTAR</x:v>
      </x:c>
      <x:c r="I16" t="str">
        <x:v>Implementar la ruta original BCE en el alcance reducido, con dependencias reales validadas.</x:v>
      </x:c>
      <x:c r="J16"/>
      <x:c r="K16" t="str">
        <x:v>RF17!F16</x:v>
      </x:c>
      <x:c r="L16" t="str">
        <x:v>► LLAMADA: operación desde el objeto de C hacia el de E; comprobar contrato y autorización.</x:v>
      </x:c>
    </x:row>
    <x:row r="17" s="282" customFormat="1" ht="57" customHeight="1">
      <x:c r="A17" t="str">
        <x:v>13</x:v>
      </x:c>
      <x:c r="B17" t="str">
        <x:v>B1</x:v>
      </x:c>
      <x:c r="C17" t="str">
        <x:v>I_HistorialMantenimiento</x:v>
      </x:c>
      <x:c r="D17" t="str">
        <x:v>────► (llamada)</x:v>
      </x:c>
      <x:c r="E17" t="str">
        <x:v>AS_Usuario</x:v>
      </x:c>
      <x:c r="F17" t="str">
        <x:v>visualizarMantenimientosYRegistrar(lista_mantenimientos,estado_vehiculo)</x:v>
      </x:c>
      <x:c r="G17" t="str">
        <x:v>Muestra los mantenimientos del vehículo. Si estado_vehiculo=ACTIVO, habilita Registrar; si INACTIVO, permite consultar el historial pero deshabilita el registro. Se vuelve a validar estado en servidor (mensajes 16–19 y 50–53).</x:v>
      </x:c>
      <x:c r="H17" t="str">
        <x:v>IMPLEMENTAR</x:v>
      </x:c>
      <x:c r="I17" t="str">
        <x:v>Implementar la ruta original BCE en el alcance reducido, con dependencias reales validadas.</x:v>
      </x:c>
      <x:c r="J17"/>
      <x:c r="K17" t="str">
        <x:v>RF17!F17</x:v>
      </x:c>
      <x:c r="L17" t="str">
        <x:v>⚠ SALIDA VISUAL al actor: no ejecutar «visualizar...» como método/API del usuario. En UML formal es presentación/resultado de UI, no llamada remota.</x:v>
      </x:c>
    </x:row>
    <x:row r="18" s="282" customFormat="1" ht="57" customHeight="1">
      <x:c r="A18" t="str">
        <x:v>14</x:v>
      </x:c>
      <x:c r="B18" t="str">
        <x:v>B1</x:v>
      </x:c>
      <x:c r="C18" t="str">
        <x:v>AS_Usuario</x:v>
      </x:c>
      <x:c r="D18" t="str">
        <x:v>────► (llamada)</x:v>
      </x:c>
      <x:c r="E18" t="str">
        <x:v>I_HistorialMantenimiento</x:v>
      </x:c>
      <x:c r="F18" t="str">
        <x:v>seleccionarRegistrarMantenimiento(id_vehiculo)</x:v>
      </x:c>
      <x:c r="G18" t="str">
        <x:v>El usuario pulsa Registrar sobre el vehículo ACTIVO seleccionado en el selector de Historial; cambiar de vehículo se realiza según RF18.</x:v>
      </x:c>
      <x:c r="H18" t="str">
        <x:v>IMPLEMENTAR</x:v>
      </x:c>
      <x:c r="I18" t="str">
        <x:v>Implementar la ruta original BCE en el alcance reducido, con dependencias reales validadas.</x:v>
      </x:c>
      <x:c r="J18"/>
      <x:c r="K18" t="str">
        <x:v>RF17!F18</x:v>
      </x:c>
      <x:c r="L18" t="str">
        <x:v>► LLAMADA: operación desde el objeto de C hacia el de E; comprobar contrato y autorización.</x:v>
      </x:c>
    </x:row>
    <x:row r="19" s="282" customFormat="1" ht="57" customHeight="1">
      <x:c r="A19" t="str">
        <x:v>15</x:v>
      </x:c>
      <x:c r="B19" t="str">
        <x:v>B1</x:v>
      </x:c>
      <x:c r="C19" t="str">
        <x:v>I_HistorialMantenimiento</x:v>
      </x:c>
      <x:c r="D19" t="str">
        <x:v>────► (llamada)</x:v>
      </x:c>
      <x:c r="E19" t="str">
        <x:v>C_ControlMantenimiento</x:v>
      </x:c>
      <x:c r="F19" t="str">
        <x:v>solicitarRegistroMantenimiento(id_usuario,id_vehiculo)</x:v>
      </x:c>
      <x:c r="G19" t="str">
        <x:v>La interfaz solicita iniciar el registro del mantenimiento para el vehículo seleccionado.</x:v>
      </x:c>
      <x:c r="H19" t="str">
        <x:v>IMPLEMENTAR</x:v>
      </x:c>
      <x:c r="I19" t="str">
        <x:v>Implementar la ruta original BCE en el alcance reducido, con dependencias reales validadas.</x:v>
      </x:c>
      <x:c r="J19"/>
      <x:c r="K19" t="str">
        <x:v>RF17!F19</x:v>
      </x:c>
      <x:c r="L19" t="str">
        <x:v>► LLAMADA: operación desde el objeto de C hacia el de E; comprobar contrato y autorización.</x:v>
      </x:c>
    </x:row>
    <x:row r="20" s="282" customFormat="1" ht="28.799999237060547" customHeight="1">
      <x:c r="A20" t="str">
        <x:v>BLOQUE 2 — VALIDACIÓN INICIAL Y CARGA DEL FORMULARIO — Mensajes 16–35</x:v>
      </x:c>
      <x:c r="B20"/>
      <x:c r="C20"/>
      <x:c r="D20"/>
      <x:c r="E20"/>
      <x:c r="F20"/>
      <x:c r="G20"/>
      <x:c r="H20"/>
      <x:c r="I20"/>
      <x:c r="J20"/>
      <x:c r="K20"/>
      <x:c r="L20"/>
    </x:row>
    <x:row r="21" s="282" customFormat="1" ht="57" customHeight="1">
      <x:c r="A21" t="str">
        <x:v>16</x:v>
      </x:c>
      <x:c r="B21" t="str">
        <x:v>B2</x:v>
      </x:c>
      <x:c r="C21" t="str">
        <x:v>C_ControlMantenimiento</x:v>
      </x:c>
      <x:c r="D21" t="str">
        <x:v>────► (llamada)</x:v>
      </x:c>
      <x:c r="E21" t="str">
        <x:v>C_ControlVehiculo</x:v>
      </x:c>
      <x:c r="F21" t="str">
        <x:v>validarVehiculoSeleccionado(id_usuario,id_vehiculo)</x:v>
      </x:c>
      <x:c r="G21" t="str">
        <x:v>Solicita validar que el vehículo seleccionado pertenezca al usuario y esté activo.</x:v>
      </x:c>
      <x:c r="H21" t="str">
        <x:v>IMPLEMENTAR</x:v>
      </x:c>
      <x:c r="I21" t="str">
        <x:v>Implementar la ruta original BCE en el alcance reducido, con dependencias reales validadas.</x:v>
      </x:c>
      <x:c r="J21"/>
      <x:c r="K21" t="str">
        <x:v>RF17!F21</x:v>
      </x:c>
      <x:c r="L21" t="str">
        <x:v>► LLAMADA: operación desde el objeto de C hacia el de E; comprobar contrato y autorización.</x:v>
      </x:c>
    </x:row>
    <x:row r="22" s="282" customFormat="1" ht="57" customHeight="1">
      <x:c r="A22" t="str">
        <x:v>17</x:v>
      </x:c>
      <x:c r="B22" t="str">
        <x:v>B2</x:v>
      </x:c>
      <x:c r="C22" t="str">
        <x:v>C_ControlVehiculo</x:v>
      </x:c>
      <x:c r="D22" t="str">
        <x:v>────► (llamada)</x:v>
      </x:c>
      <x:c r="E22" t="str">
        <x:v>E_Vehiculo</x:v>
      </x:c>
      <x:c r="F22" t="str">
        <x:v>consultarVehiculoActivoUsuario(id_usuario,id_vehiculo)</x:v>
      </x:c>
      <x:c r="G22" t="str">
        <x:v>Se valida que el vehículo pertenezca al usuario y esté ACTIVO. No se realizan comprobaciones Free/Premium.</x:v>
      </x:c>
      <x:c r="H22" t="str">
        <x:v>IMPLEMENTAR</x:v>
      </x:c>
      <x:c r="I22" t="str">
        <x:v>Implementar la ruta original BCE en el alcance reducido, con dependencias reales validadas.</x:v>
      </x:c>
      <x:c r="J22"/>
      <x:c r="K22" t="str">
        <x:v>RF17!F22</x:v>
      </x:c>
      <x:c r="L22" t="str">
        <x:v>► LLAMADA: operación desde el objeto de C hacia el de E; comprobar contrato y autorización.</x:v>
      </x:c>
    </x:row>
    <x:row r="23" s="282" customFormat="1" ht="57" customHeight="1">
      <x:c r="A23" t="str">
        <x:v>18</x:v>
      </x:c>
      <x:c r="B23" t="str">
        <x:v>B2</x:v>
      </x:c>
      <x:c r="C23" t="str">
        <x:v>E_Vehiculo</x:v>
      </x:c>
      <x:c r="D23" t="str">
        <x:v>◄ - - - - - (return)</x:v>
      </x:c>
      <x:c r="E23" t="str">
        <x:v>C_ControlVehiculo</x:v>
      </x:c>
      <x:c r="F23" t="str">
        <x:v>retornarVehiculoValidado(datos_vehiculo,tipo_aceite_registrado)</x:v>
      </x:c>
      <x:c r="G23" t="str">
        <x:v>La entidad devuelve los datos del vehículo validado e incluye su tipo de aceite registrado en RF08/RF11; el aceite puede no estar informado.</x:v>
      </x:c>
      <x:c r="H23" t="str">
        <x:v>IMPLEMENTAR</x:v>
      </x:c>
      <x:c r="I23" t="str">
        <x:v>MVP: verificar vehículo propio ACTIVO y recuperar datos del tipo de motor y aceite desde RF08 (o RF11 si existe). No confundir aceite ausente con vehículo eléctrico sin uso de aceite.</x:v>
      </x:c>
      <x:c r="J23"/>
      <x:c r="K23" t="str">
        <x:v>RF17!F23</x:v>
      </x:c>
      <x:c r="L23" t="str">
        <x:v>◄ RETORNO discontinuo al llamador. C y E identifican emisor y receptor; ◄ representa disposición de líneas de vida, no inversión de columnas.</x:v>
      </x:c>
    </x:row>
    <x:row r="24" s="282" customFormat="1" ht="57" customHeight="1">
      <x:c r="A24" t="str">
        <x:v>19</x:v>
      </x:c>
      <x:c r="B24" t="str">
        <x:v>B2</x:v>
      </x:c>
      <x:c r="C24" t="str">
        <x:v>C_ControlVehiculo</x:v>
      </x:c>
      <x:c r="D24" t="str">
        <x:v>◄ - - - - - (return)</x:v>
      </x:c>
      <x:c r="E24" t="str">
        <x:v>C_ControlMantenimiento</x:v>
      </x:c>
      <x:c r="F24" t="str">
        <x:v>retornarVehiculoActivo(datos_vehiculo,tipo_aceite_registrado)</x:v>
      </x:c>
      <x:c r="G24" t="str">
        <x:v>El controlador devuelve los datos del vehículo y su aceite registrado al control de mantenimiento; no verifica compatibilidad técnica.</x:v>
      </x:c>
      <x:c r="H24" t="str">
        <x:v>IMPLEMENTAR</x:v>
      </x:c>
      <x:c r="I24" t="str">
        <x:v>MVP: devolver datos de motor/aceite solo para visualización; RF17 no edita el aceite. Motor eléctrico sin aceite aplicable → «No aplica»; motor que usa aceite sin dato → «No registrado».</x:v>
      </x:c>
      <x:c r="J24"/>
      <x:c r="K24" t="str">
        <x:v>RF17!F24</x:v>
      </x:c>
      <x:c r="L24" t="str">
        <x:v>◄ RETORNO discontinuo al llamador. C y E identifican emisor y receptor; ◄ representa disposición de líneas de vida, no inversión de columnas.</x:v>
      </x:c>
    </x:row>
    <x:row r="25" s="282" customFormat="1" ht="57" customHeight="1">
      <x:c r="A25" t="str">
        <x:v>20</x:v>
      </x:c>
      <x:c r="B25" t="str">
        <x:v>B2</x:v>
      </x:c>
      <x:c r="C25" t="str">
        <x:v>C_ControlMantenimiento</x:v>
      </x:c>
      <x:c r="D25" t="str">
        <x:v>────► (llamada)</x:v>
      </x:c>
      <x:c r="E25" t="str">
        <x:v>C_ControlTipoMantenimiento</x:v>
      </x:c>
      <x:c r="F25" t="str">
        <x:v>solicitarTiposMantenimientoActivos()</x:v>
      </x:c>
      <x:c r="G25" t="str">
        <x:v>Solicita los tipos de mantenimiento activos.</x:v>
      </x:c>
      <x:c r="H25" t="str">
        <x:v>IMPLEMENTAR</x:v>
      </x:c>
      <x:c r="I25" t="str">
        <x:v>Implementar la ruta original BCE en el alcance reducido, con dependencias reales validadas.</x:v>
      </x:c>
      <x:c r="J25"/>
      <x:c r="K25" t="str">
        <x:v>RF17!F25</x:v>
      </x:c>
      <x:c r="L25" t="str">
        <x:v>► LLAMADA: operación desde el objeto de C hacia el de E; comprobar contrato y autorización.</x:v>
      </x:c>
    </x:row>
    <x:row r="26" s="282" customFormat="1" ht="57" customHeight="1">
      <x:c r="A26" t="str">
        <x:v>21</x:v>
      </x:c>
      <x:c r="B26" t="str">
        <x:v>B2</x:v>
      </x:c>
      <x:c r="C26" t="str">
        <x:v>C_ControlTipoMantenimiento</x:v>
      </x:c>
      <x:c r="D26" t="str">
        <x:v>────► (llamada)</x:v>
      </x:c>
      <x:c r="E26" t="str">
        <x:v>E_TipoMantenimiento</x:v>
      </x:c>
      <x:c r="F26" t="str">
        <x:v>consultarTiposMantenimientoActivos()</x:v>
      </x:c>
      <x:c r="G26" t="str">
        <x:v>Consulta los tipos de mantenimiento activos.</x:v>
      </x:c>
      <x:c r="H26" t="str">
        <x:v>IMPLEMENTAR</x:v>
      </x:c>
      <x:c r="I26" t="str">
        <x:v>Implementar la ruta original BCE en el alcance reducido, con dependencias reales validadas.</x:v>
      </x:c>
      <x:c r="J26"/>
      <x:c r="K26" t="str">
        <x:v>RF17!F26</x:v>
      </x:c>
      <x:c r="L26" t="str">
        <x:v>► LLAMADA: operación desde el objeto de C hacia el de E; comprobar contrato y autorización.</x:v>
      </x:c>
    </x:row>
    <x:row r="27" s="282" customFormat="1" ht="57" customHeight="1">
      <x:c r="A27" t="str">
        <x:v>22</x:v>
      </x:c>
      <x:c r="B27" t="str">
        <x:v>B2</x:v>
      </x:c>
      <x:c r="C27" t="str">
        <x:v>E_TipoMantenimiento</x:v>
      </x:c>
      <x:c r="D27" t="str">
        <x:v>◄ - - - - - (return)</x:v>
      </x:c>
      <x:c r="E27" t="str">
        <x:v>C_ControlTipoMantenimiento</x:v>
      </x:c>
      <x:c r="F27" t="str">
        <x:v>retornarTiposMantenimientoActivos(lista_tipos)</x:v>
      </x:c>
      <x:c r="G27" t="str">
        <x:v>La entidad retorna los tipos de mantenimiento activos.</x:v>
      </x:c>
      <x:c r="H27" t="str">
        <x:v>IMPLEMENTAR</x:v>
      </x:c>
      <x:c r="I27" t="str">
        <x:v>Implementar la ruta original BCE en el alcance reducido, con dependencias reales validadas.</x:v>
      </x:c>
      <x:c r="J27"/>
      <x:c r="K27" t="str">
        <x:v>RF17!F27</x:v>
      </x:c>
      <x:c r="L27" t="str">
        <x:v>◄ RETORNO discontinuo al llamador. C y E identifican emisor y receptor; ◄ representa disposición de líneas de vida, no inversión de columnas.</x:v>
      </x:c>
    </x:row>
    <x:row r="28" s="282" customFormat="1" ht="57" customHeight="1">
      <x:c r="A28" t="str">
        <x:v>23</x:v>
      </x:c>
      <x:c r="B28" t="str">
        <x:v>B2</x:v>
      </x:c>
      <x:c r="C28" t="str">
        <x:v>C_ControlTipoMantenimiento</x:v>
      </x:c>
      <x:c r="D28" t="str">
        <x:v>↩ (auto-msg)</x:v>
      </x:c>
      <x:c r="E28" t="str">
        <x:v>C_ControlTipoMantenimiento</x:v>
      </x:c>
      <x:c r="F28" t="str">
        <x:v>filtrarTiposActivosRegistrables(lista_tipos)</x:v>
      </x:c>
      <x:c r="G28" t="str">
        <x:v>Selecciona TODOS los tipos de mantenimiento ACTIVOS habilitados para registro: los siete tipos iniciales más los incorporados por RF62. Excluye el tipo técnico Inspección técnica/CITV cuando se administra por un módulo documental distinto. No hay límite fijo de siete.</x:v>
      </x:c>
      <x:c r="H28" t="str">
        <x:v>ADAPTAR</x:v>
      </x:c>
      <x:c r="I28" t="str">
        <x:v>MVP: catálogo compartido con siete tipos iniciales; las altas por RF62 no forman parte de la APK.</x:v>
      </x:c>
      <x:c r="J28" t="str">
        <x:v>Fran: carga/PK de tipos</x:v>
      </x:c>
      <x:c r="K28" t="str">
        <x:v>RF17!F28</x:v>
      </x:c>
      <x:c r="L28" t="str">
        <x:v>↩ AUTO-MENSAJE: mismo objeto; lógica local, no salto de capa.</x:v>
      </x:c>
    </x:row>
    <x:row r="29" s="282" customFormat="1" ht="57" customHeight="1">
      <x:c r="A29" t="str">
        <x:v>24</x:v>
      </x:c>
      <x:c r="B29" t="str">
        <x:v>B2</x:v>
      </x:c>
      <x:c r="C29" t="str">
        <x:v>C_ControlTipoMantenimiento</x:v>
      </x:c>
      <x:c r="D29" t="str">
        <x:v>◄ - - - - - (return)</x:v>
      </x:c>
      <x:c r="E29" t="str">
        <x:v>C_ControlMantenimiento</x:v>
      </x:c>
      <x:c r="F29" t="str">
        <x:v>retornarTiposMantenimientoActivos(lista_tipos)</x:v>
      </x:c>
      <x:c r="G29" t="str">
        <x:v>Retorna al registro los tipos de mantenimiento ACTIVOS habilitados: siete iniciales y los adicionales creados por RF62. No se listan tipos INACTIVOS ni la inspección técnica/CITV gestionada fuera de este catálogo.</x:v>
      </x:c>
      <x:c r="H29" t="str">
        <x:v>ADAPTAR</x:v>
      </x:c>
      <x:c r="I29" t="str">
        <x:v>Mostrar tipos activos disponibles inicialmente (siete sembrados). No implementar administración RF62.</x:v>
      </x:c>
      <x:c r="J29" t="str">
        <x:v>Fran: carga/PK de tipos</x:v>
      </x:c>
      <x:c r="K29" t="str">
        <x:v>RF17!F29</x:v>
      </x:c>
      <x:c r="L29" t="str">
        <x:v>◄ RETORNO discontinuo al llamador. C y E identifican emisor y receptor; ◄ representa disposición de líneas de vida, no inversión de columnas.</x:v>
      </x:c>
    </x:row>
    <x:row r="30" s="282" customFormat="1" ht="57" customHeight="1">
      <x:c r="A30" t="str">
        <x:v>25</x:v>
      </x:c>
      <x:c r="B30" t="str">
        <x:v>B2</x:v>
      </x:c>
      <x:c r="C30" t="str">
        <x:v>C_ControlMantenimiento</x:v>
      </x:c>
      <x:c r="D30" t="str">
        <x:v>────► (llamada)</x:v>
      </x:c>
      <x:c r="E30" t="str">
        <x:v>C_ControlKilometraje</x:v>
      </x:c>
      <x:c r="F30" t="str">
        <x:v>solicitarUltimoKilometraje(id_vehiculo)</x:v>
      </x:c>
      <x:c r="G30" t="str">
        <x:v>Obtiene la última lectura válida del vehículo como valor sugerido y de solo lectura para «Kilometraje al momento del servicio». Si la fecha del servicio es anterior a la fecha de esa lectura, NO debe asumir que ambas lecturas corresponden; se aplica validación temporal al introducir la fecha.</x:v>
      </x:c>
      <x:c r="H30" t="str">
        <x:v>IMPLEMENTAR</x:v>
      </x:c>
      <x:c r="I30" t="str">
        <x:v>MVP: solicitar lectura efectiva vigente del vehículo, sea la inicial de RF08 o una actualización de RF14. Kilometraje mostrado solo lectura; no actualizar el odómetro desde RF17.</x:v>
      </x:c>
      <x:c r="J30"/>
      <x:c r="K30" t="str">
        <x:v>RF17!F30</x:v>
      </x:c>
      <x:c r="L30" t="str">
        <x:v>► LLAMADA: operación desde el objeto de C hacia el de E; comprobar contrato y autorización.</x:v>
      </x:c>
    </x:row>
    <x:row r="31" s="282" customFormat="1" ht="57" customHeight="1">
      <x:c r="A31" t="str">
        <x:v>26</x:v>
      </x:c>
      <x:c r="B31" t="str">
        <x:v>B2</x:v>
      </x:c>
      <x:c r="C31" t="str">
        <x:v>C_ControlKilometraje</x:v>
      </x:c>
      <x:c r="D31" t="str">
        <x:v>────► (llamada)</x:v>
      </x:c>
      <x:c r="E31" t="str">
        <x:v>E_Kilometraje</x:v>
      </x:c>
      <x:c r="F31" t="str">
        <x:v>consultarUltimoKilometraje(id_vehiculo)</x:v>
      </x:c>
      <x:c r="G31" t="str">
        <x:v>Consulta la última lectura válida e identificador asociados al vehículo. No debe consultarse otra fecha ni inventarse un valor.</x:v>
      </x:c>
      <x:c r="H31" t="str">
        <x:v>IMPLEMENTAR</x:v>
      </x:c>
      <x:c r="I31" t="str">
        <x:v>MVP: consultar última lectura válida con fecha, ID y procedencia RF08/RF14; aplicar validación histórica si la fecha del mantenimiento es anterior a esa lectura.</x:v>
      </x:c>
      <x:c r="J31"/>
      <x:c r="K31" t="str">
        <x:v>RF17!F31</x:v>
      </x:c>
      <x:c r="L31" t="str">
        <x:v>► LLAMADA: operación desde el objeto de C hacia el de E; comprobar contrato y autorización.</x:v>
      </x:c>
    </x:row>
    <x:row r="32" s="282" customFormat="1" ht="57" customHeight="1">
      <x:c r="A32" t="str">
        <x:v>27</x:v>
      </x:c>
      <x:c r="B32" t="str">
        <x:v>B2</x:v>
      </x:c>
      <x:c r="C32" t="str">
        <x:v>E_Kilometraje</x:v>
      </x:c>
      <x:c r="D32" t="str">
        <x:v>◄ - - - - - (return)</x:v>
      </x:c>
      <x:c r="E32" t="str">
        <x:v>C_ControlKilometraje</x:v>
      </x:c>
      <x:c r="F32" t="str">
        <x:v>retornarUltimoKilometraje(id_kilometraje,kilometraje_servicio,fecha_lectura)</x:v>
      </x:c>
      <x:c r="G32" t="str">
        <x:v>Devuelve valor, id y fecha de la última lectura. Es el kilometraje sugerido del formulario; si se registra un servicio anterior a esa lectura, no puede atribuirse automáticamente al servicio.</x:v>
      </x:c>
      <x:c r="H32" t="str">
        <x:v>IMPLEMENTAR</x:v>
      </x:c>
      <x:c r="I32" t="str">
        <x:v>Implementar la ruta original BCE en el alcance reducido, con dependencias reales validadas.</x:v>
      </x:c>
      <x:c r="J32"/>
      <x:c r="K32" t="str">
        <x:v>RF17!F32</x:v>
      </x:c>
      <x:c r="L32" t="str">
        <x:v>◄ RETORNO discontinuo al llamador. C y E identifican emisor y receptor; ◄ representa disposición de líneas de vida, no inversión de columnas.</x:v>
      </x:c>
    </x:row>
    <x:row r="33" s="282" customFormat="1" ht="57" customHeight="1">
      <x:c r="A33" t="str">
        <x:v>28</x:v>
      </x:c>
      <x:c r="B33" t="str">
        <x:v>B2</x:v>
      </x:c>
      <x:c r="C33" t="str">
        <x:v>C_ControlKilometraje</x:v>
      </x:c>
      <x:c r="D33" t="str">
        <x:v>◄ - - - - - (return)</x:v>
      </x:c>
      <x:c r="E33" t="str">
        <x:v>C_ControlMantenimiento</x:v>
      </x:c>
      <x:c r="F33" t="str">
        <x:v>retornarKilometrajeServicio(id_kilometraje,kilometraje_servicio,fecha_lectura)</x:v>
      </x:c>
      <x:c r="G33" t="str">
        <x:v>Devuelve valor, id y fecha de la última lectura al control, que conserva los metadatos para validar correspondencia con la fecha del mantenimiento.</x:v>
      </x:c>
      <x:c r="H33" t="str">
        <x:v>IMPLEMENTAR</x:v>
      </x:c>
      <x:c r="I33" t="str">
        <x:v>Implementar la ruta original BCE en el alcance reducido, con dependencias reales validadas.</x:v>
      </x:c>
      <x:c r="J33"/>
      <x:c r="K33" t="str">
        <x:v>RF17!F33</x:v>
      </x:c>
      <x:c r="L33" t="str">
        <x:v>◄ RETORNO discontinuo al llamador. C y E identifican emisor y receptor; ◄ representa disposición de líneas de vida, no inversión de columnas.</x:v>
      </x:c>
    </x:row>
    <x:row r="34" s="282" customFormat="1" ht="57" customHeight="1">
      <x:c r="A34" t="str">
        <x:v>29</x:v>
      </x:c>
      <x:c r="B34" t="str">
        <x:v>B2</x:v>
      </x:c>
      <x:c r="C34" t="str">
        <x:v>C_ControlMantenimiento</x:v>
      </x:c>
      <x:c r="D34" t="str">
        <x:v>────► (llamada)</x:v>
      </x:c>
      <x:c r="E34" t="str">
        <x:v>C_ControlTaller</x:v>
      </x:c>
      <x:c r="F34" t="str">
        <x:v>solicitarTalleresActivosOrdenados(id_usuario)</x:v>
      </x:c>
      <x:c r="G34" t="str">
        <x:v>Solicita talleres activos del usuario ordenados por preferencia.</x:v>
      </x:c>
      <x:c r="H34" t="str">
        <x:v>FUTURO</x:v>
      </x:c>
      <x:c r="I34" t="str">
        <x:v>NO llamar al módulo Talleres. En RF17 mostrar siempre «Sin taller», sin id_taller seleccionado.</x:v>
      </x:c>
      <x:c r="J34" t="str">
        <x:v>Fran: taller/id_taller nullable</x:v>
      </x:c>
      <x:c r="K34" t="str">
        <x:v>RF17!F34</x:v>
      </x:c>
      <x:c r="L34" t="str">
        <x:v>► LLAMADA: operación desde el objeto de C hacia el de E; comprobar contrato y autorización.</x:v>
      </x:c>
    </x:row>
    <x:row r="35" s="282" customFormat="1" ht="57" customHeight="1">
      <x:c r="A35" t="str">
        <x:v>30</x:v>
      </x:c>
      <x:c r="B35" t="str">
        <x:v>B2</x:v>
      </x:c>
      <x:c r="C35" t="str">
        <x:v>C_ControlTaller</x:v>
      </x:c>
      <x:c r="D35" t="str">
        <x:v>────► (llamada)</x:v>
      </x:c>
      <x:c r="E35" t="str">
        <x:v>E_Taller</x:v>
      </x:c>
      <x:c r="F35" t="str">
        <x:v>consultarTalleresActivosUsuario(id_usuario)</x:v>
      </x:c>
      <x:c r="G35" t="str">
        <x:v>Consulta los talleres activos del usuario.</x:v>
      </x:c>
      <x:c r="H35" t="str">
        <x:v>FUTURO</x:v>
      </x:c>
      <x:c r="I35" t="str">
        <x:v>NO llamar al módulo Talleres. En RF17 mostrar siempre «Sin taller», sin id_taller seleccionado.</x:v>
      </x:c>
      <x:c r="J35" t="str">
        <x:v>Fran: taller/id_taller nullable</x:v>
      </x:c>
      <x:c r="K35" t="str">
        <x:v>RF17!F35</x:v>
      </x:c>
      <x:c r="L35" t="str">
        <x:v>► LLAMADA: operación desde el objeto de C hacia el de E; comprobar contrato y autorización.</x:v>
      </x:c>
    </x:row>
    <x:row r="36" s="282" customFormat="1" ht="57" customHeight="1">
      <x:c r="A36" t="str">
        <x:v>31</x:v>
      </x:c>
      <x:c r="B36" t="str">
        <x:v>B2</x:v>
      </x:c>
      <x:c r="C36" t="str">
        <x:v>E_Taller</x:v>
      </x:c>
      <x:c r="D36" t="str">
        <x:v>◄ - - - - - (return)</x:v>
      </x:c>
      <x:c r="E36" t="str">
        <x:v>C_ControlTaller</x:v>
      </x:c>
      <x:c r="F36" t="str">
        <x:v>retornarTalleresActivos(lista_talleres)</x:v>
      </x:c>
      <x:c r="G36" t="str">
        <x:v>La entidad retorna la lista de talleres activos.</x:v>
      </x:c>
      <x:c r="H36" t="str">
        <x:v>FUTURO</x:v>
      </x:c>
      <x:c r="I36" t="str">
        <x:v>NO llamar al módulo Talleres. En RF17 mostrar siempre «Sin taller», sin id_taller seleccionado.</x:v>
      </x:c>
      <x:c r="J36" t="str">
        <x:v>Fran: taller/id_taller nullable</x:v>
      </x:c>
      <x:c r="K36" t="str">
        <x:v>RF17!F36</x:v>
      </x:c>
      <x:c r="L36" t="str">
        <x:v>◄ RETORNO discontinuo al llamador. C y E identifican emisor y receptor; ◄ representa disposición de líneas de vida, no inversión de columnas.</x:v>
      </x:c>
    </x:row>
    <x:row r="37" s="282" customFormat="1" ht="57" customHeight="1">
      <x:c r="A37" t="str">
        <x:v>32</x:v>
      </x:c>
      <x:c r="B37" t="str">
        <x:v>B2</x:v>
      </x:c>
      <x:c r="C37" t="str">
        <x:v>C_ControlTaller</x:v>
      </x:c>
      <x:c r="D37" t="str">
        <x:v>↩ (auto-msg)</x:v>
      </x:c>
      <x:c r="E37" t="str">
        <x:v>C_ControlTaller</x:v>
      </x:c>
      <x:c r="F37" t="str">
        <x:v>ordenarTallerFavoritoPrimero(lista_talleres)</x:v>
      </x:c>
      <x:c r="G37" t="str">
        <x:v>Ordena internamente los talleres activos: primero los marcados como Favorito (RF37), luego los demás. La prioridad en la lista no implica selección automática de un taller.</x:v>
      </x:c>
      <x:c r="H37" t="str">
        <x:v>FUTURO</x:v>
      </x:c>
      <x:c r="I37" t="str">
        <x:v>NO llamar al módulo Talleres. En RF17 mostrar siempre «Sin taller», sin id_taller seleccionado.</x:v>
      </x:c>
      <x:c r="J37" t="str">
        <x:v>Fran: taller/id_taller nullable</x:v>
      </x:c>
      <x:c r="K37" t="str">
        <x:v>RF17!F37</x:v>
      </x:c>
      <x:c r="L37" t="str">
        <x:v>↩ AUTO-MENSAJE: mismo objeto; lógica local, no salto de capa.</x:v>
      </x:c>
    </x:row>
    <x:row r="38" s="282" customFormat="1" ht="57" customHeight="1">
      <x:c r="A38" t="str">
        <x:v>33</x:v>
      </x:c>
      <x:c r="B38" t="str">
        <x:v>B2</x:v>
      </x:c>
      <x:c r="C38" t="str">
        <x:v>C_ControlTaller</x:v>
      </x:c>
      <x:c r="D38" t="str">
        <x:v>◄ - - - - - (return)</x:v>
      </x:c>
      <x:c r="E38" t="str">
        <x:v>C_ControlMantenimiento</x:v>
      </x:c>
      <x:c r="F38" t="str">
        <x:v>retornarTalleresOrdenados(lista_talleres)</x:v>
      </x:c>
      <x:c r="G38" t="str">
        <x:v>El control retorna los talleres ya ordenados.</x:v>
      </x:c>
      <x:c r="H38" t="str">
        <x:v>FUTURO</x:v>
      </x:c>
      <x:c r="I38" t="str">
        <x:v>NO llamar al módulo Talleres. En RF17 mostrar siempre «Sin taller», sin id_taller seleccionado.</x:v>
      </x:c>
      <x:c r="J38" t="str">
        <x:v>Fran: taller/id_taller nullable</x:v>
      </x:c>
      <x:c r="K38" t="str">
        <x:v>RF17!F38</x:v>
      </x:c>
      <x:c r="L38" t="str">
        <x:v>◄ RETORNO discontinuo al llamador. C y E identifican emisor y receptor; ◄ representa disposición de líneas de vida, no inversión de columnas.</x:v>
      </x:c>
    </x:row>
    <x:row r="39" s="282" customFormat="1" ht="57" customHeight="1">
      <x:c r="A39" t="str">
        <x:v>34</x:v>
      </x:c>
      <x:c r="B39" t="str">
        <x:v>B2</x:v>
      </x:c>
      <x:c r="C39" t="str">
        <x:v>C_ControlMantenimiento</x:v>
      </x:c>
      <x:c r="D39" t="str">
        <x:v>────► (llamada)</x:v>
      </x:c>
      <x:c r="E39" t="str">
        <x:v>I_RegistroMantenimiento</x:v>
      </x:c>
      <x:c r="F39" t="str">
        <x:v>mostrarFormularioRegistro(datos_vehiculo,lista_tipos_activos,kilometraje_servicio,fecha_lectura,lista_talleres,tipo_aceite_registrado)</x:v>
      </x:c>
      <x:c r="G39" t="str">
        <x:v>Conserva UNA sola tarjeta de «Kilometraje al momento del servicio» (solo lectura) y «Actualizar km». Fecha obligatoria, 7 tipos iniciales más tipos adicionales ACTIVOS autorizados por RF62, aceite de referencia y Otro condicional. Al seleccionar una fecha ANTERIOR a la lectura mostrada debe comprobarse una lectura histórica de esa fecha o capturarse el km real del servicio mediante el subflujo de EA01, sin sobrescribir el km ACTUAL del vehículo. El formulario también incluye «Repuestos utilizados (opcional)» después de Costo y antes de «Próximo mantenimiento (opcional)». Muestra «No se agregaron repuestos» y el botón «+ Agregar repuesto» que abre EA03; se puede guardar sin añadir repuestos. En «Taller asociado (opcional)», inicia con «Sin taller» seleccionado (id_taller=null). El desplegable muestra primero «Sin taller» y después los talleres activos ordenados con los Favoritos al principio (RF37), sin seleccionar automáticamente ninguno; es posible guardar el mantenimiento sin taller.</x:v>
      </x:c>
      <x:c r="H39" t="str">
        <x:v>ADAPTAR</x:v>
      </x:c>
      <x:c r="I39" t="str">
        <x:v>MVP: formulario «Sin taller» fijo, sin cargar talleres; aceite solo lectura («No aplica» eléctrico sin aceite / «No registrado» dato ausente / aceite registrado); km servicio solo lectura e histórico si procede; «Otro» pide detalle; lista de repuestos en borrador.</x:v>
      </x:c>
      <x:c r="J39" t="str">
        <x:v>Fran: esquema RF17</x:v>
      </x:c>
      <x:c r="K39" t="str">
        <x:v>RF17!F39</x:v>
      </x:c>
      <x:c r="L39" t="str">
        <x:v>► LLAMADA: operación desde el objeto de C hacia el de E; comprobar contrato y autorización.</x:v>
      </x:c>
    </x:row>
    <x:row r="40" s="282" customFormat="1" ht="57" customHeight="1">
      <x:c r="A40" t="str">
        <x:v>35</x:v>
      </x:c>
      <x:c r="B40" t="str">
        <x:v>B2</x:v>
      </x:c>
      <x:c r="C40" t="str">
        <x:v>I_RegistroMantenimiento</x:v>
      </x:c>
      <x:c r="D40" t="str">
        <x:v>────► (llamada)</x:v>
      </x:c>
      <x:c r="E40" t="str">
        <x:v>AS_Usuario</x:v>
      </x:c>
      <x:c r="F40" t="str">
        <x:v>visualizarFormularioRegistro()</x:v>
      </x:c>
      <x:c r="G40" t="str">
        <x:v>Ve el formulario sin nuevos campos. La tarjeta Km presenta el último valor como propuesta inicial. Si la fecha elegida es anterior a la lectura vigente, se exige verificar el dato histórico antes de habilitar Guardar; «Actualizar km» abre el subflujo adecuado según la fecha.</x:v>
      </x:c>
      <x:c r="H40" t="str">
        <x:v>ADAPTAR</x:v>
      </x:c>
      <x:c r="I40" t="str">
        <x:v>MVP: conservar borrador temporal de RF17 (tipo, fecha, costo, repuestos y recomendaciones) al entrar y volver de RF14; al abandonar/cancelar RF17 se descarta. No se recupera automáticamente tras reiniciar la APK. Lectura RF14 ya guardada permanece.</x:v>
      </x:c>
      <x:c r="J40"/>
      <x:c r="K40" t="str">
        <x:v>RF17!F40</x:v>
      </x:c>
      <x:c r="L40" t="str">
        <x:v>⚠ SALIDA VISUAL al actor: no ejecutar «visualizar...» como método/API del usuario. En UML formal es presentación/resultado de UI, no llamada remota.</x:v>
      </x:c>
    </x:row>
    <x:row r="41" s="282" customFormat="1" ht="28.799999237060547" customHeight="1">
      <x:c r="A41" t="str">
        <x:v>BLOQUE 3 — SELECCIÓN DE TIPO Y CAPTURA DE DATOS — Mensajes 36–43</x:v>
      </x:c>
      <x:c r="B41"/>
      <x:c r="C41"/>
      <x:c r="D41"/>
      <x:c r="E41"/>
      <x:c r="F41"/>
      <x:c r="G41"/>
      <x:c r="H41"/>
      <x:c r="I41"/>
      <x:c r="J41"/>
      <x:c r="K41"/>
      <x:c r="L41"/>
    </x:row>
    <x:row r="42" s="282" customFormat="1" ht="57" customHeight="1">
      <x:c r="A42" t="str">
        <x:v>36</x:v>
      </x:c>
      <x:c r="B42" t="str">
        <x:v>B3</x:v>
      </x:c>
      <x:c r="C42" t="str">
        <x:v>AS_Usuario</x:v>
      </x:c>
      <x:c r="D42" t="str">
        <x:v>────► (llamada)</x:v>
      </x:c>
      <x:c r="E42" t="str">
        <x:v>I_RegistroMantenimiento</x:v>
      </x:c>
      <x:c r="F42" t="str">
        <x:v>seleccionarTipoMantenimiento(id_tipo)</x:v>
      </x:c>
      <x:c r="G42" t="str">
        <x:v>El usuario selecciona un tipo de mantenimiento ACTIVO y permitido del catálogo. Para el MVP, el equipo ingresa manualmente en PostgreSQL los siete tipos iniciales. En una versión futura, un administrador autorizado podrá gestionar y ampliar el catálogo mediante RF62. RF17 solo permite seleccionar tipos, no crearlos ni administrarlos. Ejemplo de este escenario exitoso: Cambio de aceite. La opción Otro utiliza el mismo formulario, no un EA.</x:v>
      </x:c>
      <x:c r="H42" t="str">
        <x:v>IMPLEMENTAR</x:v>
      </x:c>
      <x:c r="I42" t="str">
        <x:v>Implementar la ruta original BCE en el alcance reducido, con dependencias reales validadas.</x:v>
      </x:c>
      <x:c r="J42"/>
      <x:c r="K42" t="str">
        <x:v>RF17!F42</x:v>
      </x:c>
      <x:c r="L42" t="str">
        <x:v>► LLAMADA: operación desde el objeto de C hacia el de E; comprobar contrato y autorización.</x:v>
      </x:c>
    </x:row>
    <x:row r="43" s="282" customFormat="1" ht="57" customHeight="1">
      <x:c r="A43" t="str">
        <x:v>37</x:v>
      </x:c>
      <x:c r="B43" t="str">
        <x:v>B3</x:v>
      </x:c>
      <x:c r="C43" t="str">
        <x:v>I_RegistroMantenimiento</x:v>
      </x:c>
      <x:c r="D43" t="str">
        <x:v>────► (llamada)</x:v>
      </x:c>
      <x:c r="E43" t="str">
        <x:v>C_ControlMantenimiento</x:v>
      </x:c>
      <x:c r="F43" t="str">
        <x:v>solicitarCamposCondicionales(id_tipo)</x:v>
      </x:c>
      <x:c r="G43" t="str">
        <x:v>La interfaz solicita el comportamiento específico del tipo seleccionado, sin acceder a entidades.</x:v>
      </x:c>
      <x:c r="H43" t="str">
        <x:v>IMPLEMENTAR</x:v>
      </x:c>
      <x:c r="I43" t="str">
        <x:v>Implementar la ruta original BCE en el alcance reducido, con dependencias reales validadas.</x:v>
      </x:c>
      <x:c r="J43"/>
      <x:c r="K43" t="str">
        <x:v>RF17!F43</x:v>
      </x:c>
      <x:c r="L43" t="str">
        <x:v>► LLAMADA: operación desde el objeto de C hacia el de E; comprobar contrato y autorización.</x:v>
      </x:c>
    </x:row>
    <x:row r="44" s="282" customFormat="1" ht="57" customHeight="1">
      <x:c r="A44" t="str">
        <x:v>38</x:v>
      </x:c>
      <x:c r="B44" t="str">
        <x:v>B3</x:v>
      </x:c>
      <x:c r="C44" t="str">
        <x:v>C_ControlMantenimiento</x:v>
      </x:c>
      <x:c r="D44" t="str">
        <x:v>↩ (auto-msg)</x:v>
      </x:c>
      <x:c r="E44" t="str">
        <x:v>C_ControlMantenimiento</x:v>
      </x:c>
      <x:c r="F44" t="str">
        <x:v>determinarCamposCondicionales(id_tipo,tipo_aceite_registrado)</x:v>
      </x:c>
      <x:c r="G44" t="str">
        <x:v>Si CAMBIO_ACEITE: mostrar aceite de RF08/RF11 en solo lectura, o No registrado. Si OTRO: mostrar Especificar servicio obligatorio. En los demás tipos no se añade un campo específico.</x:v>
      </x:c>
      <x:c r="H44" t="str">
        <x:v>IMPLEMENTAR</x:v>
      </x:c>
      <x:c r="I44" t="str">
        <x:v>MVP: CAMBIO_ACEITE: mostrar aceite de RF08/RF11 únicamente en lectura. Eléctrico que no usa aceite de motor → «No aplica»; si el motor usa aceite pero no hay dato → «No registrado»; con dato → valor informado. OTRO exige servicio específico.</x:v>
      </x:c>
      <x:c r="J44"/>
      <x:c r="K44" t="str">
        <x:v>RF17!F44</x:v>
      </x:c>
      <x:c r="L44" t="str">
        <x:v>↩ AUTO-MENSAJE: mismo objeto; lógica local, no salto de capa.</x:v>
      </x:c>
    </x:row>
    <x:row r="45" s="282" customFormat="1" ht="57" customHeight="1">
      <x:c r="A45" t="str">
        <x:v>39</x:v>
      </x:c>
      <x:c r="B45" t="str">
        <x:v>B3</x:v>
      </x:c>
      <x:c r="C45" t="str">
        <x:v>C_ControlMantenimiento</x:v>
      </x:c>
      <x:c r="D45" t="str">
        <x:v>────► (llamada)</x:v>
      </x:c>
      <x:c r="E45" t="str">
        <x:v>I_RegistroMantenimiento</x:v>
      </x:c>
      <x:c r="F45" t="str">
        <x:v>mostrarCamposCondicionales(datos_campos)</x:v>
      </x:c>
      <x:c r="G45" t="str">
        <x:v>Si CAMBIO_ACEITE: mostrar aceite de RF08/RF11, solo lectura, o «No registrado» referido únicamente al aceite. Si OTRO: solicitar Especificar servicio obligatorio. Las demás categorías no tienen campo propio.</x:v>
      </x:c>
      <x:c r="H45" t="str">
        <x:v>IMPLEMENTAR</x:v>
      </x:c>
      <x:c r="I45" t="str">
        <x:v>MVP: interfaz presenta exactamente el aceite calculado por la regla de motor: «No aplica» / «No registrado» / aceite registrado; nunca permite editarlo en RF17. Para OTRO solicita «Especificar servicio».</x:v>
      </x:c>
      <x:c r="J45"/>
      <x:c r="K45" t="str">
        <x:v>RF17!F45</x:v>
      </x:c>
      <x:c r="L45" t="str">
        <x:v>► LLAMADA: operación desde el objeto de C hacia el de E; comprobar contrato y autorización.</x:v>
      </x:c>
    </x:row>
    <x:row r="46" s="282" customFormat="1" ht="57" customHeight="1">
      <x:c r="A46" t="str">
        <x:v>40</x:v>
      </x:c>
      <x:c r="B46" t="str">
        <x:v>B3</x:v>
      </x:c>
      <x:c r="C46" t="str">
        <x:v>I_RegistroMantenimiento</x:v>
      </x:c>
      <x:c r="D46" t="str">
        <x:v>────► (llamada)</x:v>
      </x:c>
      <x:c r="E46" t="str">
        <x:v>AS_Usuario</x:v>
      </x:c>
      <x:c r="F46" t="str">
        <x:v>visualizarCamposCondicionales()</x:v>
      </x:c>
      <x:c r="G46" t="str">
        <x:v>Muestra los campos condicionales y conserva la fecha, el kilometraje del servicio obligatorio (solo lectura), Información adicional y Próximo mantenimiento opcional.</x:v>
      </x:c>
      <x:c r="H46" t="str">
        <x:v>IMPLEMENTAR</x:v>
      </x:c>
      <x:c r="I46" t="str">
        <x:v>Implementar la ruta original BCE en el alcance reducido, con dependencias reales validadas.</x:v>
      </x:c>
      <x:c r="J46"/>
      <x:c r="K46" t="str">
        <x:v>RF17!F46</x:v>
      </x:c>
      <x:c r="L46" t="str">
        <x:v>⚠ SALIDA VISUAL al actor: no ejecutar «visualizar...» como método/API del usuario. En UML formal es presentación/resultado de UI, no llamada remota.</x:v>
      </x:c>
    </x:row>
    <x:row r="47" s="282" customFormat="1" ht="57" customHeight="1">
      <x:c r="A47" t="str">
        <x:v>41</x:v>
      </x:c>
      <x:c r="B47" t="str">
        <x:v>B3</x:v>
      </x:c>
      <x:c r="C47" t="str">
        <x:v>AS_Usuario</x:v>
      </x:c>
      <x:c r="D47" t="str">
        <x:v>────► (llamada)</x:v>
      </x:c>
      <x:c r="E47" t="str">
        <x:v>I_RegistroMantenimiento</x:v>
      </x:c>
      <x:c r="F47" t="str">
        <x:v>ingresarDatosMantenimiento(datos_mantenimiento,especificar_servicio_si_OTRO)</x:v>
      </x:c>
      <x:c r="G47" t="str">
        <x:v>Introduce fecha y demás datos del mantenimiento. Si es fecha anterior a la última lectura, el valor sugerido NO se considera km del servicio hasta elegir lectura histórica pertinente o capturar el valor real en EA01 (modal de kilometraje del servicio, sin alterar el odómetro vigente). Cuando tipo=OTRO, el texto visible «Especificar servicio» se valida y mapea al atributo persistido servicio_otro; descripcion/observaciones son datos independientes.</x:v>
      </x:c>
      <x:c r="H47" t="str">
        <x:v>IMPLEMENTAR</x:v>
      </x:c>
      <x:c r="I47" t="str">
        <x:v>Implementar la ruta original BCE en el alcance reducido, con dependencias reales validadas.</x:v>
      </x:c>
      <x:c r="J47"/>
      <x:c r="K47" t="str">
        <x:v>RF17!F47</x:v>
      </x:c>
      <x:c r="L47" t="str">
        <x:v>► LLAMADA: operación desde el objeto de C hacia el de E; comprobar contrato y autorización.</x:v>
      </x:c>
    </x:row>
    <x:row r="48" s="282" customFormat="1" ht="57" customHeight="1">
      <x:c r="A48" t="str">
        <x:v>42</x:v>
      </x:c>
      <x:c r="B48" t="str">
        <x:v>B3</x:v>
      </x:c>
      <x:c r="C48" t="str">
        <x:v>AS_Usuario</x:v>
      </x:c>
      <x:c r="D48" t="str">
        <x:v>────► (llamada)</x:v>
      </x:c>
      <x:c r="E48" t="str">
        <x:v>I_RegistroMantenimiento</x:v>
      </x:c>
      <x:c r="F48" t="str">
        <x:v>seleccionarGuardarMantenimiento()</x:v>
      </x:c>
      <x:c r="G48" t="str">
        <x:v>Si la fecha del servicio es anterior a fecha_lectura, el sistema no guarda automáticamente el km ACTUAL. Debe confirmar una lectura histórica correspondiente o registrar el km propio del servicio mediante la variante histórica de EA01. Si la fecha es vigente, se usa la lectura mostrada si corresponde al servicio.</x:v>
      </x:c>
      <x:c r="H48" t="str">
        <x:v>IMPLEMENTAR</x:v>
      </x:c>
      <x:c r="I48" t="str">
        <x:v>Implementar la ruta original BCE en el alcance reducido, con dependencias reales validadas.</x:v>
      </x:c>
      <x:c r="J48"/>
      <x:c r="K48" t="str">
        <x:v>RF17!F48</x:v>
      </x:c>
      <x:c r="L48" t="str">
        <x:v>► LLAMADA: operación desde el objeto de C hacia el de E; comprobar contrato y autorización.</x:v>
      </x:c>
    </x:row>
    <x:row r="49" s="282" customFormat="1" ht="57" customHeight="1">
      <x:c r="A49" t="str">
        <x:v>43</x:v>
      </x:c>
      <x:c r="B49" t="str">
        <x:v>B3</x:v>
      </x:c>
      <x:c r="C49" t="str">
        <x:v>I_RegistroMantenimiento</x:v>
      </x:c>
      <x:c r="D49" t="str">
        <x:v>────► (llamada)</x:v>
      </x:c>
      <x:c r="E49" t="str">
        <x:v>C_ControlMantenimiento</x:v>
      </x:c>
      <x:c r="F49" t="str">
        <x:v>enviarDatosMantenimiento(datos_editables,id_vehiculo,referencia_km_servicio)</x:v>
      </x:c>
      <x:c r="G49" t="str">
        <x:v>Remite los campos editables y una referencia controlada a la selección de kilometraje. El control recupera/verifica en servidor la lectura histórica o el km del servicio confirmado; no acepta el valor de la tarjeta ni aceite informativo como datos confiables sin validación.</x:v>
      </x:c>
      <x:c r="H49" t="str">
        <x:v>IMPLEMENTAR</x:v>
      </x:c>
      <x:c r="I49" t="str">
        <x:v>Implementar la ruta original BCE en el alcance reducido, con dependencias reales validadas.</x:v>
      </x:c>
      <x:c r="J49"/>
      <x:c r="K49" t="str">
        <x:v>RF17!F49</x:v>
      </x:c>
      <x:c r="L49" t="str">
        <x:v>► LLAMADA: operación desde el objeto de C hacia el de E; comprobar contrato y autorización.</x:v>
      </x:c>
    </x:row>
    <x:row r="50" s="282" customFormat="1" ht="28.799999237060547" customHeight="1">
      <x:c r="A50" t="str">
        <x:v>BLOQUE 4 — VALIDACIÓN DEL FORMULARIO Y TIPO VIGENTE — Mensajes 44–51</x:v>
      </x:c>
      <x:c r="B50"/>
      <x:c r="C50"/>
      <x:c r="D50"/>
      <x:c r="E50"/>
      <x:c r="F50"/>
      <x:c r="G50"/>
      <x:c r="H50"/>
      <x:c r="I50"/>
      <x:c r="J50"/>
      <x:c r="K50"/>
      <x:c r="L50"/>
    </x:row>
    <x:row r="51" s="282" customFormat="1" ht="57" customHeight="1">
      <x:c r="A51" t="str">
        <x:v>44</x:v>
      </x:c>
      <x:c r="B51" t="str">
        <x:v>B4</x:v>
      </x:c>
      <x:c r="C51" t="str">
        <x:v>C_ControlMantenimiento</x:v>
      </x:c>
      <x:c r="D51" t="str">
        <x:v>────► (llamada)</x:v>
      </x:c>
      <x:c r="E51" t="str">
        <x:v>C_ValidacionMantenimiento</x:v>
      </x:c>
      <x:c r="F51" t="str">
        <x:v>validarDatosRegistro(datos_mantenimiento,lista_tipos_registrables,km_servicio_validado,fecha_lectura_o_contexto)</x:v>
      </x:c>
      <x:c r="G51" t="str">
        <x:v>Valida tipo, fecha, importe, próximo mantenimiento y que exista un kilometraje REAL del servicio positivo. Si la fecha del servicio es anterior a la última lectura, exige una lectura histórica coherente o un valor histórico registrado por el subflujo de EA01; no reutiliza automáticamente el odómetro vigente.</x:v>
      </x:c>
      <x:c r="H51" t="str">
        <x:v>IMPLEMENTAR</x:v>
      </x:c>
      <x:c r="I51" t="str">
        <x:v>Implementar la ruta original BCE en el alcance reducido, con dependencias reales validadas.</x:v>
      </x:c>
      <x:c r="J51"/>
      <x:c r="K51" t="str">
        <x:v>RF17!F51</x:v>
      </x:c>
      <x:c r="L51" t="str">
        <x:v>► LLAMADA: operación desde el objeto de C hacia el de E; comprobar contrato y autorización.</x:v>
      </x:c>
    </x:row>
    <x:row r="52" s="282" customFormat="1" ht="57" customHeight="1">
      <x:c r="A52" t="str">
        <x:v>45</x:v>
      </x:c>
      <x:c r="B52" t="str">
        <x:v>B4</x:v>
      </x:c>
      <x:c r="C52" t="str">
        <x:v>C_ValidacionMantenimiento</x:v>
      </x:c>
      <x:c r="D52" t="str">
        <x:v>↩ (auto-msg)</x:v>
      </x:c>
      <x:c r="E52" t="str">
        <x:v>C_ValidacionMantenimiento</x:v>
      </x:c>
      <x:c r="F52" t="str">
        <x:v>validarTipoYCamposObligatorios()</x:v>
      </x:c>
      <x:c r="G52" t="str">
        <x:v>Comprueba tipo permitido, fecha, servicio obligatorio si OTRO y kilometraje_servicio presente y positivo, con procedencia y vínculo adecuados al vehículo. El aceite mostrado es informativo. Verifica servicio_otro no vacío cuando corresponde; no sustituye ese campo por descripcion ni observaciones.</x:v>
      </x:c>
      <x:c r="H52" t="str">
        <x:v>IMPLEMENTAR</x:v>
      </x:c>
      <x:c r="I52" t="str">
        <x:v>Implementar la ruta original BCE en el alcance reducido, con dependencias reales validadas.</x:v>
      </x:c>
      <x:c r="J52"/>
      <x:c r="K52" t="str">
        <x:v>RF17!F52</x:v>
      </x:c>
      <x:c r="L52" t="str">
        <x:v>↩ AUTO-MENSAJE: mismo objeto; lógica local, no salto de capa.</x:v>
      </x:c>
    </x:row>
    <x:row r="53" s="282" customFormat="1" ht="57" customHeight="1">
      <x:c r="A53" t="str">
        <x:v>46</x:v>
      </x:c>
      <x:c r="B53" t="str">
        <x:v>B4</x:v>
      </x:c>
      <x:c r="C53" t="str">
        <x:v>C_ValidacionMantenimiento</x:v>
      </x:c>
      <x:c r="D53" t="str">
        <x:v>↩ (auto-msg)</x:v>
      </x:c>
      <x:c r="E53" t="str">
        <x:v>C_ValidacionMantenimiento</x:v>
      </x:c>
      <x:c r="F53" t="str">
        <x:v>validarFechaMantenimiento()</x:v>
      </x:c>
      <x:c r="G53" t="str">
        <x:v>Comprueba que la fecha del mantenimiento sea válida y no futura. La existencia del kilometraje obligatorio se comprueba en el mensaje 45; el valor histórico del servicio se verifica y fija antes de guardar (mensajes 66–70). No repite la validación de nuevas lecturas de RF14.</x:v>
      </x:c>
      <x:c r="H53" t="str">
        <x:v>IMPLEMENTAR</x:v>
      </x:c>
      <x:c r="I53" t="str">
        <x:v>Implementar la ruta original BCE en el alcance reducido, con dependencias reales validadas.</x:v>
      </x:c>
      <x:c r="J53"/>
      <x:c r="K53" t="str">
        <x:v>RF17!F53</x:v>
      </x:c>
      <x:c r="L53" t="str">
        <x:v>↩ AUTO-MENSAJE: mismo objeto; lógica local, no salto de capa.</x:v>
      </x:c>
    </x:row>
    <x:row r="54" s="282" customFormat="1" ht="57" customHeight="1">
      <x:c r="A54" t="str">
        <x:v>47</x:v>
      </x:c>
      <x:c r="B54" t="str">
        <x:v>B4</x:v>
      </x:c>
      <x:c r="C54" t="str">
        <x:v>C_ValidacionMantenimiento</x:v>
      </x:c>
      <x:c r="D54" t="str">
        <x:v>↩ (auto-msg)</x:v>
      </x:c>
      <x:c r="E54" t="str">
        <x:v>C_ValidacionMantenimiento</x:v>
      </x:c>
      <x:c r="F54" t="str">
        <x:v>validarCostoSiInformado()</x:v>
      </x:c>
      <x:c r="G54" t="str">
        <x:v>Comprueba que el costo opcional sea un importe válido y no negativo.</x:v>
      </x:c>
      <x:c r="H54" t="str">
        <x:v>IMPLEMENTAR</x:v>
      </x:c>
      <x:c r="I54" t="str">
        <x:v>Implementar la ruta original BCE en el alcance reducido, con dependencias reales validadas.</x:v>
      </x:c>
      <x:c r="J54"/>
      <x:c r="K54" t="str">
        <x:v>RF17!F54</x:v>
      </x:c>
      <x:c r="L54" t="str">
        <x:v>↩ AUTO-MENSAJE: mismo objeto; lógica local, no salto de capa.</x:v>
      </x:c>
    </x:row>
    <x:row r="55" s="282" customFormat="1" ht="57" customHeight="1">
      <x:c r="A55" t="str">
        <x:v>48</x:v>
      </x:c>
      <x:c r="B55" t="str">
        <x:v>B4</x:v>
      </x:c>
      <x:c r="C55" t="str">
        <x:v>C_ValidacionMantenimiento</x:v>
      </x:c>
      <x:c r="D55" t="str">
        <x:v>↩ (auto-msg)</x:v>
      </x:c>
      <x:c r="E55" t="str">
        <x:v>C_ValidacionMantenimiento</x:v>
      </x:c>
      <x:c r="F55" t="str">
        <x:v>validarRecomendacionOpcional()</x:v>
      </x:c>
      <x:c r="G55" t="str">
        <x:v>Próxima fecha debe superar la fecha del servicio; próximo km debe ser entero positivo MAYOR al km REAL del servicio ya validado (no necesariamente al último km vigente del vehículo). Ambos opcionales.</x:v>
      </x:c>
      <x:c r="H55" t="str">
        <x:v>IMPLEMENTAR</x:v>
      </x:c>
      <x:c r="I55" t="str">
        <x:v>Implementar la ruta original BCE en el alcance reducido, con dependencias reales validadas.</x:v>
      </x:c>
      <x:c r="J55"/>
      <x:c r="K55" t="str">
        <x:v>RF17!F55</x:v>
      </x:c>
      <x:c r="L55" t="str">
        <x:v>↩ AUTO-MENSAJE: mismo objeto; lógica local, no salto de capa.</x:v>
      </x:c>
    </x:row>
    <x:row r="56" s="282" customFormat="1" ht="57" customHeight="1">
      <x:c r="A56" t="str">
        <x:v>49</x:v>
      </x:c>
      <x:c r="B56" t="str">
        <x:v>B4</x:v>
      </x:c>
      <x:c r="C56" t="str">
        <x:v>C_ValidacionMantenimiento</x:v>
      </x:c>
      <x:c r="D56" t="str">
        <x:v>────► (llamada)</x:v>
      </x:c>
      <x:c r="E56" t="str">
        <x:v>C_ControlTipoMantenimiento</x:v>
      </x:c>
      <x:c r="F56" t="str">
        <x:v>revalidarTipoActivoPermitidoParaRegistro(id_tipo_mantenimiento)</x:v>
      </x:c>
      <x:c r="G56" t="str">
        <x:v>Antes de autorizar el guardado, C_ValidacionMantenimiento solicita al controlador dueño del catálogo comprobar que el tipo sigue ACTIVO y se encuentra habilitado dentro del catálogo activo compartido por RF17/RF22/RF24/RF62. C_ControlTipoMantenimiento encapsula su consulta actual a E_TipoMantenimiento. Si no es válido, se activa el EA y no se guarda. Se consulta el estado ACTUAL PERSISTIDO del tipo mediante E_TipoMantenimiento dentro del controlador; NO se valida contra una lista en caché del formulario. Esta comprobación ocurre antes de abrir la transacción de guardado.</x:v>
      </x:c>
      <x:c r="H56" t="str">
        <x:v>IMPLEMENTAR</x:v>
      </x:c>
      <x:c r="I56" t="str">
        <x:v>Implementar la ruta original BCE en el alcance reducido, con dependencias reales validadas.</x:v>
      </x:c>
      <x:c r="J56"/>
      <x:c r="K56" t="str">
        <x:v>RF17!F56</x:v>
      </x:c>
      <x:c r="L56" t="str">
        <x:v>► LLAMADA: operación desde el objeto de C hacia el de E; comprobar contrato y autorización.</x:v>
      </x:c>
    </x:row>
    <x:row r="57" s="282" customFormat="1" ht="57" customHeight="1">
      <x:c r="A57" t="str">
        <x:v>50</x:v>
      </x:c>
      <x:c r="B57" t="str">
        <x:v>B4</x:v>
      </x:c>
      <x:c r="C57" t="str">
        <x:v>C_ControlTipoMantenimiento</x:v>
      </x:c>
      <x:c r="D57" t="str">
        <x:v>◄ - - - - - (return)</x:v>
      </x:c>
      <x:c r="E57" t="str">
        <x:v>C_ValidacionMantenimiento</x:v>
      </x:c>
      <x:c r="F57" t="str">
        <x:v>retornarTipoActivoPermitido(datos_tipo,activo=true)</x:v>
      </x:c>
      <x:c r="G57" t="str">
        <x:v>Camino exitoso: confirma el tipo vigente y admitido. Solo después de este retorno se devuelve validarDatosRegistro satisfactorio al controlador de mantenimiento. El retorno positivo corresponde a la consulta persistida más reciente, no al catálogo cargado al inicio.</x:v>
      </x:c>
      <x:c r="H57" t="str">
        <x:v>IMPLEMENTAR</x:v>
      </x:c>
      <x:c r="I57" t="str">
        <x:v>Implementar la ruta original BCE en el alcance reducido, con dependencias reales validadas.</x:v>
      </x:c>
      <x:c r="J57"/>
      <x:c r="K57" t="str">
        <x:v>RF17!F57</x:v>
      </x:c>
      <x:c r="L57" t="str">
        <x:v>◄ RETORNO discontinuo al llamador. C y E identifican emisor y receptor; ◄ representa disposición de líneas de vida, no inversión de columnas.</x:v>
      </x:c>
    </x:row>
    <x:row r="58" s="282" customFormat="1" ht="57" customHeight="1">
      <x:c r="A58" t="str">
        <x:v>51</x:v>
      </x:c>
      <x:c r="B58" t="str">
        <x:v>B4</x:v>
      </x:c>
      <x:c r="C58" t="str">
        <x:v>C_ValidacionMantenimiento</x:v>
      </x:c>
      <x:c r="D58" t="str">
        <x:v>◄ - - - - - (return)</x:v>
      </x:c>
      <x:c r="E58" t="str">
        <x:v>C_ControlMantenimiento</x:v>
      </x:c>
      <x:c r="F58" t="str">
        <x:v>retornarValidacionSatisfactoria(valido=true)</x:v>
      </x:c>
      <x:c r="G58" t="str">
        <x:v>El EF continúa únicamente cuando todos los datos son válidos y se dispone de km REAL del servicio coherente con su fecha. La respuesta con errores y su visualización se desarrollan en escenarios alternativos, no se ejecutan en este recorrido.</x:v>
      </x:c>
      <x:c r="H58" t="str">
        <x:v>IMPLEMENTAR</x:v>
      </x:c>
      <x:c r="I58" t="str">
        <x:v>Implementar la ruta original BCE en el alcance reducido, con dependencias reales validadas.</x:v>
      </x:c>
      <x:c r="J58"/>
      <x:c r="K58" t="str">
        <x:v>RF17!F58</x:v>
      </x:c>
      <x:c r="L58" t="str">
        <x:v>◄ RETORNO discontinuo al llamador. C y E identifican emisor y receptor; ◄ representa disposición de líneas de vida, no inversión de columnas.</x:v>
      </x:c>
    </x:row>
    <x:row r="59" s="282" customFormat="1" ht="28.799999237060547" customHeight="1">
      <x:c r="A59" t="str">
        <x:v>BLOQUE 5 — REVALIDACIÓN DEL VEHÍCULO Y DEL TALLER — Mensajes 52–59</x:v>
      </x:c>
      <x:c r="B59"/>
      <x:c r="C59"/>
      <x:c r="D59"/>
      <x:c r="E59"/>
      <x:c r="F59"/>
      <x:c r="G59"/>
      <x:c r="H59"/>
      <x:c r="I59"/>
      <x:c r="J59"/>
      <x:c r="K59"/>
      <x:c r="L59"/>
    </x:row>
    <x:row r="60" s="282" customFormat="1" ht="57" customHeight="1">
      <x:c r="A60" t="str">
        <x:v>52</x:v>
      </x:c>
      <x:c r="B60" t="str">
        <x:v>B5</x:v>
      </x:c>
      <x:c r="C60" t="str">
        <x:v>C_ControlMantenimiento</x:v>
      </x:c>
      <x:c r="D60" t="str">
        <x:v>────► (llamada)</x:v>
      </x:c>
      <x:c r="E60" t="str">
        <x:v>C_ControlVehiculo</x:v>
      </x:c>
      <x:c r="F60" t="str">
        <x:v>revalidarVehiculoActivoUsuario(id_usuario,id_vehiculo)</x:v>
      </x:c>
      <x:c r="G60" t="str">
        <x:v>Antes de guardar, solicita revalidar que el vehículo siga activo y pertenezca al usuario.</x:v>
      </x:c>
      <x:c r="H60" t="str">
        <x:v>IMPLEMENTAR</x:v>
      </x:c>
      <x:c r="I60" t="str">
        <x:v>Implementar la ruta original BCE en el alcance reducido, con dependencias reales validadas.</x:v>
      </x:c>
      <x:c r="J60"/>
      <x:c r="K60" t="str">
        <x:v>RF17!F60</x:v>
      </x:c>
      <x:c r="L60" t="str">
        <x:v>► LLAMADA: operación desde el objeto de C hacia el de E; comprobar contrato y autorización.</x:v>
      </x:c>
    </x:row>
    <x:row r="61" s="282" customFormat="1" ht="57" customHeight="1">
      <x:c r="A61" t="str">
        <x:v>53</x:v>
      </x:c>
      <x:c r="B61" t="str">
        <x:v>B5</x:v>
      </x:c>
      <x:c r="C61" t="str">
        <x:v>C_ControlVehiculo</x:v>
      </x:c>
      <x:c r="D61" t="str">
        <x:v>────► (llamada)</x:v>
      </x:c>
      <x:c r="E61" t="str">
        <x:v>E_Vehiculo</x:v>
      </x:c>
      <x:c r="F61" t="str">
        <x:v>consultarVehiculoActivoUsuario(id_usuario,id_vehiculo)</x:v>
      </x:c>
      <x:c r="G61" t="str">
        <x:v>Reconsulta el estado y pertenencia del vehículo.</x:v>
      </x:c>
      <x:c r="H61" t="str">
        <x:v>IMPLEMENTAR</x:v>
      </x:c>
      <x:c r="I61" t="str">
        <x:v>Implementar la ruta original BCE en el alcance reducido, con dependencias reales validadas.</x:v>
      </x:c>
      <x:c r="J61"/>
      <x:c r="K61" t="str">
        <x:v>RF17!F61</x:v>
      </x:c>
      <x:c r="L61" t="str">
        <x:v>► LLAMADA: operación desde el objeto de C hacia el de E; comprobar contrato y autorización.</x:v>
      </x:c>
    </x:row>
    <x:row r="62" s="282" customFormat="1" ht="57" customHeight="1">
      <x:c r="A62" t="str">
        <x:v>54</x:v>
      </x:c>
      <x:c r="B62" t="str">
        <x:v>B5</x:v>
      </x:c>
      <x:c r="C62" t="str">
        <x:v>E_Vehiculo</x:v>
      </x:c>
      <x:c r="D62" t="str">
        <x:v>◄ - - - - - (return)</x:v>
      </x:c>
      <x:c r="E62" t="str">
        <x:v>C_ControlVehiculo</x:v>
      </x:c>
      <x:c r="F62" t="str">
        <x:v>retornarVehiculoValidado(datos_vehiculo)</x:v>
      </x:c>
      <x:c r="G62" t="str">
        <x:v>La entidad retorna el vehículo revalidado.</x:v>
      </x:c>
      <x:c r="H62" t="str">
        <x:v>IMPLEMENTAR</x:v>
      </x:c>
      <x:c r="I62" t="str">
        <x:v>Implementar la ruta original BCE en el alcance reducido, con dependencias reales validadas.</x:v>
      </x:c>
      <x:c r="J62"/>
      <x:c r="K62" t="str">
        <x:v>RF17!F62</x:v>
      </x:c>
      <x:c r="L62" t="str">
        <x:v>◄ RETORNO discontinuo al llamador. C y E identifican emisor y receptor; ◄ representa disposición de líneas de vida, no inversión de columnas.</x:v>
      </x:c>
    </x:row>
    <x:row r="63" s="282" customFormat="1" ht="57" customHeight="1">
      <x:c r="A63" t="str">
        <x:v>55</x:v>
      </x:c>
      <x:c r="B63" t="str">
        <x:v>B5</x:v>
      </x:c>
      <x:c r="C63" t="str">
        <x:v>C_ControlVehiculo</x:v>
      </x:c>
      <x:c r="D63" t="str">
        <x:v>◄ - - - - - (return)</x:v>
      </x:c>
      <x:c r="E63" t="str">
        <x:v>C_ControlMantenimiento</x:v>
      </x:c>
      <x:c r="F63" t="str">
        <x:v>retornarVehiculoActivo(datos_vehiculo)</x:v>
      </x:c>
      <x:c r="G63" t="str">
        <x:v>El control retorna la validación al control de mantenimiento.</x:v>
      </x:c>
      <x:c r="H63" t="str">
        <x:v>IMPLEMENTAR</x:v>
      </x:c>
      <x:c r="I63" t="str">
        <x:v>Implementar la ruta original BCE en el alcance reducido, con dependencias reales validadas.</x:v>
      </x:c>
      <x:c r="J63"/>
      <x:c r="K63" t="str">
        <x:v>RF17!F63</x:v>
      </x:c>
      <x:c r="L63" t="str">
        <x:v>◄ RETORNO discontinuo al llamador. C y E identifican emisor y receptor; ◄ representa disposición de líneas de vida, no inversión de columnas.</x:v>
      </x:c>
    </x:row>
    <x:row r="64" s="282" customFormat="1" ht="57" customHeight="1">
      <x:c r="A64" t="str">
        <x:v>56</x:v>
      </x:c>
      <x:c r="B64" t="str">
        <x:v>B5</x:v>
      </x:c>
      <x:c r="C64" t="str">
        <x:v>C_ControlMantenimiento</x:v>
      </x:c>
      <x:c r="D64" t="str">
        <x:v>────► (llamada)</x:v>
      </x:c>
      <x:c r="E64" t="str">
        <x:v>C_ControlTaller</x:v>
      </x:c>
      <x:c r="F64" t="str">
        <x:v>validarTallerSeleccionadoSiCorresponde(id_usuario,id_taller)</x:v>
      </x:c>
      <x:c r="G64" t="str">
        <x:v>Solicita validar el taller únicamente si el usuario seleccionó uno.</x:v>
      </x:c>
      <x:c r="H64" t="str">
        <x:v>FUTURO</x:v>
      </x:c>
      <x:c r="I64" t="str">
        <x:v>NO consultar ni revalidar un taller: MVP no permite elegirlo; guardar asociación NULL/omitida según contrato.</x:v>
      </x:c>
      <x:c r="J64" t="str">
        <x:v>Fran: FK taller opcional</x:v>
      </x:c>
      <x:c r="K64" t="str">
        <x:v>RF17!F64</x:v>
      </x:c>
      <x:c r="L64" t="str">
        <x:v>► LLAMADA: operación desde el objeto de C hacia el de E; comprobar contrato y autorización.</x:v>
      </x:c>
    </x:row>
    <x:row r="65" s="282" customFormat="1" ht="57" customHeight="1">
      <x:c r="A65" t="str">
        <x:v>57</x:v>
      </x:c>
      <x:c r="B65" t="str">
        <x:v>B5</x:v>
      </x:c>
      <x:c r="C65" t="str">
        <x:v>C_ControlTaller</x:v>
      </x:c>
      <x:c r="D65" t="str">
        <x:v>────► (llamada)</x:v>
      </x:c>
      <x:c r="E65" t="str">
        <x:v>E_Taller</x:v>
      </x:c>
      <x:c r="F65" t="str">
        <x:v>consultarTallerActivoUsuarioSiCorresponde(id_usuario,id_taller)</x:v>
      </x:c>
      <x:c r="G65" t="str">
        <x:v>Solo cuando existe id_taller, consulta que el taller pertenezca al usuario y continúe activo. Si se eligió Sin taller, esta consulta se omite.</x:v>
      </x:c>
      <x:c r="H65" t="str">
        <x:v>FUTURO</x:v>
      </x:c>
      <x:c r="I65" t="str">
        <x:v>NO consultar ni revalidar un taller: MVP no permite elegirlo; guardar asociación NULL/omitida según contrato.</x:v>
      </x:c>
      <x:c r="J65" t="str">
        <x:v>Fran: FK taller opcional</x:v>
      </x:c>
      <x:c r="K65" t="str">
        <x:v>RF17!F65</x:v>
      </x:c>
      <x:c r="L65" t="str">
        <x:v>► LLAMADA: operación desde el objeto de C hacia el de E; comprobar contrato y autorización.</x:v>
      </x:c>
    </x:row>
    <x:row r="66" s="282" customFormat="1" ht="57" customHeight="1">
      <x:c r="A66" t="str">
        <x:v>58</x:v>
      </x:c>
      <x:c r="B66" t="str">
        <x:v>B5</x:v>
      </x:c>
      <x:c r="C66" t="str">
        <x:v>E_Taller</x:v>
      </x:c>
      <x:c r="D66" t="str">
        <x:v>◄ - - - - - (return)</x:v>
      </x:c>
      <x:c r="E66" t="str">
        <x:v>C_ControlTaller</x:v>
      </x:c>
      <x:c r="F66" t="str">
        <x:v>retornarTallerValidadoSiCorresponde(datos_taller)</x:v>
      </x:c>
      <x:c r="G66" t="str">
        <x:v>La entidad retorna el resultado de validación del taller.</x:v>
      </x:c>
      <x:c r="H66" t="str">
        <x:v>FUTURO</x:v>
      </x:c>
      <x:c r="I66" t="str">
        <x:v>NO consultar ni revalidar un taller: MVP no permite elegirlo; guardar asociación NULL/omitida según contrato.</x:v>
      </x:c>
      <x:c r="J66" t="str">
        <x:v>Fran: FK taller opcional</x:v>
      </x:c>
      <x:c r="K66" t="str">
        <x:v>RF17!F66</x:v>
      </x:c>
      <x:c r="L66" t="str">
        <x:v>◄ RETORNO discontinuo al llamador. C y E identifican emisor y receptor; ◄ representa disposición de líneas de vida, no inversión de columnas.</x:v>
      </x:c>
    </x:row>
    <x:row r="67" s="282" customFormat="1" ht="57" customHeight="1">
      <x:c r="A67" t="str">
        <x:v>59</x:v>
      </x:c>
      <x:c r="B67" t="str">
        <x:v>B5</x:v>
      </x:c>
      <x:c r="C67" t="str">
        <x:v>C_ControlTaller</x:v>
      </x:c>
      <x:c r="D67" t="str">
        <x:v>◄ - - - - - (return)</x:v>
      </x:c>
      <x:c r="E67" t="str">
        <x:v>C_ControlMantenimiento</x:v>
      </x:c>
      <x:c r="F67" t="str">
        <x:v>retornarValidacionTaller(resultado_taller)</x:v>
      </x:c>
      <x:c r="G67" t="str">
        <x:v>El control retorna la validación del taller.</x:v>
      </x:c>
      <x:c r="H67" t="str">
        <x:v>FUTURO</x:v>
      </x:c>
      <x:c r="I67" t="str">
        <x:v>NO consultar ni revalidar un taller: MVP no permite elegirlo; guardar asociación NULL/omitida según contrato.</x:v>
      </x:c>
      <x:c r="J67" t="str">
        <x:v>Fran: FK taller opcional</x:v>
      </x:c>
      <x:c r="K67" t="str">
        <x:v>RF17!F67</x:v>
      </x:c>
      <x:c r="L67" t="str">
        <x:v>◄ RETORNO discontinuo al llamador. C y E identifican emisor y receptor; ◄ representa disposición de líneas de vida, no inversión de columnas.</x:v>
      </x:c>
    </x:row>
    <x:row r="68" s="282" customFormat="1" ht="28.799999237060547" customHeight="1">
      <x:c r="A68" t="str">
        <x:v>BLOQUE 6 — DECISIÓN SOBRE CREAR ALERTA (SI HAY RECOMENDACIÓN) — Mensajes 60–64</x:v>
      </x:c>
      <x:c r="B68"/>
      <x:c r="C68"/>
      <x:c r="D68"/>
      <x:c r="E68"/>
      <x:c r="F68"/>
      <x:c r="G68"/>
      <x:c r="H68"/>
      <x:c r="I68"/>
      <x:c r="J68"/>
      <x:c r="K68"/>
      <x:c r="L68"/>
    </x:row>
    <x:row r="69" s="282" customFormat="1" ht="57" customHeight="1">
      <x:c r="A69" t="str">
        <x:v>60</x:v>
      </x:c>
      <x:c r="B69" t="str">
        <x:v>B6</x:v>
      </x:c>
      <x:c r="C69" t="str">
        <x:v>C_ControlMantenimiento</x:v>
      </x:c>
      <x:c r="D69" t="str">
        <x:v>────► (llamada)</x:v>
      </x:c>
      <x:c r="E69" t="str">
        <x:v>I_RegistroMantenimiento</x:v>
      </x:c>
      <x:c r="F69" t="str">
        <x:v>mostrarDecisionConversionAlerta()</x:v>
      </x:c>
      <x:c r="G69" t="str">
        <x:v>La decisión de alerta se muestra solo si el usuario indicó próxima fecha o próximo kilometraje RECOMENDADO. Sin esos valores, omitir únicamente mensajes 60–64 y continuar en 65; el kilometraje obligatorio DEL SERVICIO se mantiene.</x:v>
      </x:c>
      <x:c r="H69" t="str">
        <x:v>ADAPTAR</x:v>
      </x:c>
      <x:c r="I69" t="str">
        <x:v>Si hay recomendación, ofrecer «No, solo guardar» funcional. «Sí, crear alerta — Próximamente» visible DESHABILITADO.</x:v>
      </x:c>
      <x:c r="J69" t="str">
        <x:v>Fran: aprobación EA02 futura</x:v>
      </x:c>
      <x:c r="K69" t="str">
        <x:v>RF17!F69</x:v>
      </x:c>
      <x:c r="L69" t="str">
        <x:v>► LLAMADA: operación desde el objeto de C hacia el de E; comprobar contrato y autorización.</x:v>
      </x:c>
    </x:row>
    <x:row r="70" s="282" customFormat="1" ht="57" customHeight="1">
      <x:c r="A70" t="str">
        <x:v>61</x:v>
      </x:c>
      <x:c r="B70" t="str">
        <x:v>B6</x:v>
      </x:c>
      <x:c r="C70" t="str">
        <x:v>I_RegistroMantenimiento</x:v>
      </x:c>
      <x:c r="D70" t="str">
        <x:v>────► (llamada)</x:v>
      </x:c>
      <x:c r="E70" t="str">
        <x:v>AS_Usuario</x:v>
      </x:c>
      <x:c r="F70" t="str">
        <x:v>visualizarDecisionConversionAlerta()</x:v>
      </x:c>
      <x:c r="G70" t="str">
        <x:v>La interfaz muestra al usuario la decisión sobre la alerta.</x:v>
      </x:c>
      <x:c r="H70" t="str">
        <x:v>ADAPTAR</x:v>
      </x:c>
      <x:c r="I70" t="str">
        <x:v>Mostrar decisión de alerta solo si hubo recomendación; acción Sí sin ejecución.</x:v>
      </x:c>
      <x:c r="J70" t="str">
        <x:v>Fran: aprobación EA02 futura</x:v>
      </x:c>
      <x:c r="K70" t="str">
        <x:v>RF17!F70</x:v>
      </x:c>
      <x:c r="L70" t="str">
        <x:v>⚠ SALIDA VISUAL al actor: no ejecutar «visualizar...» como método/API del usuario. En UML formal es presentación/resultado de UI, no llamada remota.</x:v>
      </x:c>
    </x:row>
    <x:row r="71" s="282" customFormat="1" ht="57" customHeight="1">
      <x:c r="A71" t="str">
        <x:v>62</x:v>
      </x:c>
      <x:c r="B71" t="str">
        <x:v>B6</x:v>
      </x:c>
      <x:c r="C71" t="str">
        <x:v>AS_Usuario</x:v>
      </x:c>
      <x:c r="D71" t="str">
        <x:v>────► (llamada)</x:v>
      </x:c>
      <x:c r="E71" t="str">
        <x:v>I_RegistroMantenimiento</x:v>
      </x:c>
      <x:c r="F71" t="str">
        <x:v>seleccionarNoSoloGuardar()</x:v>
      </x:c>
      <x:c r="G71" t="str">
        <x:v>En el escenario exitoso principal, el usuario elige No, solo guardar.</x:v>
      </x:c>
      <x:c r="H71" t="str">
        <x:v>IMPLEMENTAR</x:v>
      </x:c>
      <x:c r="I71" t="str">
        <x:v>Única ruta activa del MVP: «No, solo guardar». Guardar recomendación, no crear alerta.</x:v>
      </x:c>
      <x:c r="J71"/>
      <x:c r="K71" t="str">
        <x:v>RF17!F71</x:v>
      </x:c>
      <x:c r="L71" t="str">
        <x:v>► LLAMADA: operación desde el objeto de C hacia el de E; comprobar contrato y autorización.</x:v>
      </x:c>
    </x:row>
    <x:row r="72" s="282" customFormat="1" ht="57" customHeight="1">
      <x:c r="A72" t="str">
        <x:v>63</x:v>
      </x:c>
      <x:c r="B72" t="str">
        <x:v>B6</x:v>
      </x:c>
      <x:c r="C72" t="str">
        <x:v>I_RegistroMantenimiento</x:v>
      </x:c>
      <x:c r="D72" t="str">
        <x:v>────► (llamada)</x:v>
      </x:c>
      <x:c r="E72" t="str">
        <x:v>C_ControlMantenimiento</x:v>
      </x:c>
      <x:c r="F72" t="str">
        <x:v>confirmarDecisionConversion(NO_SOLO_GUARDAR)</x:v>
      </x:c>
      <x:c r="G72" t="str">
        <x:v>La interfaz informa la decisión al control.</x:v>
      </x:c>
      <x:c r="H72" t="str">
        <x:v>IMPLEMENTAR</x:v>
      </x:c>
      <x:c r="I72" t="str">
        <x:v>Confirmar NO_SOLO_GUARDAR. No llamar RF22 automáticamente.</x:v>
      </x:c>
      <x:c r="J72"/>
      <x:c r="K72" t="str">
        <x:v>RF17!F72</x:v>
      </x:c>
      <x:c r="L72" t="str">
        <x:v>► LLAMADA: operación desde el objeto de C hacia el de E; comprobar contrato y autorización.</x:v>
      </x:c>
    </x:row>
    <x:row r="73" s="282" customFormat="1" ht="57" customHeight="1">
      <x:c r="A73" t="str">
        <x:v>64</x:v>
      </x:c>
      <x:c r="B73" t="str">
        <x:v>B6</x:v>
      </x:c>
      <x:c r="C73" t="str">
        <x:v>C_ControlMantenimiento</x:v>
      </x:c>
      <x:c r="D73" t="str">
        <x:v>↩ (auto-msg)</x:v>
      </x:c>
      <x:c r="E73" t="str">
        <x:v>C_ControlMantenimiento</x:v>
      </x:c>
      <x:c r="F73" t="str">
        <x:v>continuarRegistroSinAlerta()</x:v>
      </x:c>
      <x:c r="G73" t="str">
        <x:v>Continúa el registro sin crear ni modificar alertas. La próxima fecha y/o próximo kilometraje ingresados se conservan como recomendación del mantenimiento.</x:v>
      </x:c>
      <x:c r="H73" t="str">
        <x:v>IMPLEMENTAR</x:v>
      </x:c>
      <x:c r="I73" t="str">
        <x:v>Continuar guardando mantenimiento/repuestos en transacción sin alerta vinculada.</x:v>
      </x:c>
      <x:c r="J73"/>
      <x:c r="K73" t="str">
        <x:v>RF17!F73</x:v>
      </x:c>
      <x:c r="L73" t="str">
        <x:v>↩ AUTO-MENSAJE: mismo objeto; lógica local, no salto de capa.</x:v>
      </x:c>
    </x:row>
    <x:row r="74" s="282" customFormat="1" ht="28.799999237060547" customHeight="1">
      <x:c r="A74" t="str">
        <x:v>BLOQUE 7 — PERSISTENCIA SEGURA — SOLO CAMINO EXITOSO — Mensajes 65–73</x:v>
      </x:c>
      <x:c r="B74"/>
      <x:c r="C74"/>
      <x:c r="D74"/>
      <x:c r="E74"/>
      <x:c r="F74"/>
      <x:c r="G74"/>
      <x:c r="H74"/>
      <x:c r="I74"/>
      <x:c r="J74"/>
      <x:c r="K74"/>
      <x:c r="L74"/>
    </x:row>
    <x:row r="75" s="282" customFormat="1" ht="57" customHeight="1">
      <x:c r="A75" t="str">
        <x:v>65</x:v>
      </x:c>
      <x:c r="B75" t="str">
        <x:v>B7</x:v>
      </x:c>
      <x:c r="C75" t="str">
        <x:v>C_ControlMantenimiento</x:v>
      </x:c>
      <x:c r="D75" t="str">
        <x:v>↩ (auto-msg)</x:v>
      </x:c>
      <x:c r="E75" t="str">
        <x:v>C_ControlMantenimiento</x:v>
      </x:c>
      <x:c r="F75" t="str">
        <x:v>iniciarRegistroAtomicoMantenimiento()</x:v>
      </x:c>
      <x:c r="G75" t="str">
        <x:v>Inicia una transacción ATÓMICA para registrar el mantenimiento. Si el usuario añadió repuestos mediante RF17–EA03, su lista validada permanece temporal hasta este guardado y debe persistir en la misma transacción que el mantenimiento; sin repuestos, se continúa con el EF principal. El kilometraje del servicio sigue siendo obligatorio.</x:v>
      </x:c>
      <x:c r="H75" t="str">
        <x:v>IMPLEMENTAR</x:v>
      </x:c>
      <x:c r="I75" t="str">
        <x:v>MVP: transacción única para mantenimiento y repuestos opcionales provenientes del borrador EA03. RF17 NO crea ni marca alertas como REALIZADAS. No hay persistencia parcial.</x:v>
      </x:c>
      <x:c r="J75"/>
      <x:c r="K75" t="str">
        <x:v>RF17!F75</x:v>
      </x:c>
      <x:c r="L75" t="str">
        <x:v>↩ AUTO-MENSAJE: mismo objeto; lógica local, no salto de capa.</x:v>
      </x:c>
    </x:row>
    <x:row r="76" s="282" customFormat="1" ht="57" customHeight="1">
      <x:c r="A76" t="str">
        <x:v>66</x:v>
      </x:c>
      <x:c r="B76" t="str">
        <x:v>B7</x:v>
      </x:c>
      <x:c r="C76" t="str">
        <x:v>C_ControlMantenimiento</x:v>
      </x:c>
      <x:c r="D76" t="str">
        <x:v>────► (llamada)</x:v>
      </x:c>
      <x:c r="E76" t="str">
        <x:v>C_ControlKilometraje</x:v>
      </x:c>
      <x:c r="F76" t="str">
        <x:v>solicitarContextoKilometrajeParaFechaServicio(id_vehiculo,fecha_mantenimiento)</x:v>
      </x:c>
      <x:c r="G76" t="str">
        <x:v>Antes de persistir, solicita lectura vigente y contexto de lecturas de la FECHA DEL SERVICIO. Para registros actuales se revalida el km presentado; para registros anteriores se valida la lectura histórica o el km específico confirmado mediante EA01. Nunca sustituye un km histórico por el último valor posterior.</x:v>
      </x:c>
      <x:c r="H76" t="str">
        <x:v>IMPLEMENTAR</x:v>
      </x:c>
      <x:c r="I76" t="str">
        <x:v>Implementar la ruta original BCE en el alcance reducido, con dependencias reales validadas.</x:v>
      </x:c>
      <x:c r="J76"/>
      <x:c r="K76" t="str">
        <x:v>RF17!F76</x:v>
      </x:c>
      <x:c r="L76" t="str">
        <x:v>► LLAMADA: operación desde el objeto de C hacia el de E; comprobar contrato y autorización.</x:v>
      </x:c>
    </x:row>
    <x:row r="77" s="282" customFormat="1" ht="57" customHeight="1">
      <x:c r="A77" t="str">
        <x:v>67</x:v>
      </x:c>
      <x:c r="B77" t="str">
        <x:v>B7</x:v>
      </x:c>
      <x:c r="C77" t="str">
        <x:v>C_ControlKilometraje</x:v>
      </x:c>
      <x:c r="D77" t="str">
        <x:v>────► (llamada)</x:v>
      </x:c>
      <x:c r="E77" t="str">
        <x:v>E_Kilometraje</x:v>
      </x:c>
      <x:c r="F77" t="str">
        <x:v>consultarLecturasParaValidarKmServicio(id_vehiculo,fecha_mantenimiento)</x:v>
      </x:c>
      <x:c r="G77" t="str">
        <x:v>Consulta lecturas efectivas pertinentes y vecinas, además de la lectura vigente para el vehículo. RF14 no permite registrar retroactivamente una lectura anterior a la última; un km histórico manual del mantenimiento NO se añade a E_Kilometraje como lectura vigente.</x:v>
      </x:c>
      <x:c r="H77" t="str">
        <x:v>IMPLEMENTAR</x:v>
      </x:c>
      <x:c r="I77" t="str">
        <x:v>Implementar la ruta original BCE en el alcance reducido, con dependencias reales validadas.</x:v>
      </x:c>
      <x:c r="J77"/>
      <x:c r="K77" t="str">
        <x:v>RF17!F77</x:v>
      </x:c>
      <x:c r="L77" t="str">
        <x:v>► LLAMADA: operación desde el objeto de C hacia el de E; comprobar contrato y autorización.</x:v>
      </x:c>
    </x:row>
    <x:row r="78" s="282" customFormat="1" ht="57" customHeight="1">
      <x:c r="A78" t="str">
        <x:v>68</x:v>
      </x:c>
      <x:c r="B78" t="str">
        <x:v>B7</x:v>
      </x:c>
      <x:c r="C78" t="str">
        <x:v>E_Kilometraje</x:v>
      </x:c>
      <x:c r="D78" t="str">
        <x:v>◄ - - - - - (return)</x:v>
      </x:c>
      <x:c r="E78" t="str">
        <x:v>C_ControlKilometraje</x:v>
      </x:c>
      <x:c r="F78" t="str">
        <x:v>retornarContextoLecturasServicio(lecturas_pertinentes,lectura_vigente)</x:v>
      </x:c>
      <x:c r="G78" t="str">
        <x:v>Devuelve lecturas y fechas para determinar si hay referencia válida para el servicio y validar coherencia con lecturas anteriores/posteriores. Si no hay lectura de esa fecha, el km histórico del servicio debe proceder de la captura explícita del subflujo EA01.</x:v>
      </x:c>
      <x:c r="H78" t="str">
        <x:v>IMPLEMENTAR</x:v>
      </x:c>
      <x:c r="I78" t="str">
        <x:v>Implementar la ruta original BCE en el alcance reducido, con dependencias reales validadas.</x:v>
      </x:c>
      <x:c r="J78"/>
      <x:c r="K78" t="str">
        <x:v>RF17!F78</x:v>
      </x:c>
      <x:c r="L78" t="str">
        <x:v>◄ RETORNO discontinuo al llamador. C y E identifican emisor y receptor; ◄ representa disposición de líneas de vida, no inversión de columnas.</x:v>
      </x:c>
    </x:row>
    <x:row r="79" s="282" customFormat="1" ht="57" customHeight="1">
      <x:c r="A79" t="str">
        <x:v>69</x:v>
      </x:c>
      <x:c r="B79" t="str">
        <x:v>B7</x:v>
      </x:c>
      <x:c r="C79" t="str">
        <x:v>C_ControlKilometraje</x:v>
      </x:c>
      <x:c r="D79" t="str">
        <x:v>◄ - - - - - (return)</x:v>
      </x:c>
      <x:c r="E79" t="str">
        <x:v>C_ControlMantenimiento</x:v>
      </x:c>
      <x:c r="F79" t="str">
        <x:v>retornarContextoKilometrajeServicio(lecturas_pertinentes,lectura_vigente)</x:v>
      </x:c>
      <x:c r="G79" t="str">
        <x:v>El control de kilometraje devuelve el contexto; todavía NO decide que la última lectura vigente sea la lectura del servicio cuando la fecha del mantenimiento es anterior.</x:v>
      </x:c>
      <x:c r="H79" t="str">
        <x:v>IMPLEMENTAR</x:v>
      </x:c>
      <x:c r="I79" t="str">
        <x:v>Implementar la ruta original BCE en el alcance reducido, con dependencias reales validadas.</x:v>
      </x:c>
      <x:c r="J79"/>
      <x:c r="K79" t="str">
        <x:v>RF17!F79</x:v>
      </x:c>
      <x:c r="L79" t="str">
        <x:v>◄ RETORNO discontinuo al llamador. C y E identifican emisor y receptor; ◄ representa disposición de líneas de vida, no inversión de columnas.</x:v>
      </x:c>
    </x:row>
    <x:row r="80" s="282" customFormat="1" ht="57" customHeight="1">
      <x:c r="A80" t="str">
        <x:v>70</x:v>
      </x:c>
      <x:c r="B80" t="str">
        <x:v>B7</x:v>
      </x:c>
      <x:c r="C80" t="str">
        <x:v>C_ControlMantenimiento</x:v>
      </x:c>
      <x:c r="D80" t="str">
        <x:v>↩ (auto-msg)</x:v>
      </x:c>
      <x:c r="E80" t="str">
        <x:v>C_ControlMantenimiento</x:v>
      </x:c>
      <x:c r="F80" t="str">
        <x:v>verificarYFijarKilometrajeServicioCorrespondiente()</x:v>
      </x:c>
      <x:c r="G80" t="str">
        <x:v>Fija una instantánea obligatoria de kmServicio: usar lectura vigente validada si corresponde; si fecha anterior, usar lectura histórica apropiada o km histórico confirmado en subflujo EA01 con comprobación cronológica. Si cambió la fuente o no hay dato válido, aborta. id_kilometraje puede faltar SOLO cuando el dato histórico se capturó para el servicio; kilometraje_servicio nunca es nulo.</x:v>
      </x:c>
      <x:c r="H80" t="str">
        <x:v>IMPLEMENTAR</x:v>
      </x:c>
      <x:c r="I80" t="str">
        <x:v>Implementar la ruta original BCE en el alcance reducido, con dependencias reales validadas.</x:v>
      </x:c>
      <x:c r="J80"/>
      <x:c r="K80" t="str">
        <x:v>RF17!F80</x:v>
      </x:c>
      <x:c r="L80" t="str">
        <x:v>↩ AUTO-MENSAJE: mismo objeto; lógica local, no salto de capa.</x:v>
      </x:c>
    </x:row>
    <x:row r="81" s="282" customFormat="1" ht="57" customHeight="1">
      <x:c r="A81" t="str">
        <x:v>71</x:v>
      </x:c>
      <x:c r="B81" t="str">
        <x:v>B7</x:v>
      </x:c>
      <x:c r="C81" t="str">
        <x:v>C_ControlMantenimiento</x:v>
      </x:c>
      <x:c r="D81" t="str">
        <x:v>────► (llamada)</x:v>
      </x:c>
      <x:c r="E81" t="str">
        <x:v>E_Mantenimiento</x:v>
      </x:c>
      <x:c r="F81" t="str">
        <x:v>guardarMantenimiento(datos_mantenimiento,id_kilometraje_o_nulo,kilometraje_servicio,origen_km,id_taller,REALIZADO)</x:v>
      </x:c>
      <x:c r="G81" t="str">
        <x:v>Guarda el mantenimiento REALIZADO con kilometraje_servicio obligatorio como instantánea histórica válida de la fecha del servicio, conservando la fecha, tipo, servicio_otro si OTRO, descripción, taller opcional, costo y recomendaciones opcionales. No crea lecturas retroactivas RF14. Tras obtener id_mantenimiento, SI hay lista temporal validada de RF17–EA03 se insertan los repuestos manuales y sus asociaciones MANTENIMIENTO_REPUESTO (cantidad y precio unitario) ANTES del COMMIT del mensaje 73, reutilizando el subflujo detallado en EA03. No guardar los repuestos al pulsar «Agregar». Sin repuestos, se omite el subflujo. Si una inserción o asociación falla, ROLLBACK total (RF17–EA07). Los registros repetidos de servicios reales son válidos; evitar duplicación por reintento.</x:v>
      </x:c>
      <x:c r="H81" t="str">
        <x:v>ADAPTAR</x:v>
      </x:c>
      <x:c r="I81" t="str">
        <x:v>Persistir mantenimiento REALIZADO; campo taller NULL/omitido, sin selector. KM servicio es snapshot histórico, no altera RF14.</x:v>
      </x:c>
      <x:c r="J81" t="str">
        <x:v>Fran: campos exactos</x:v>
      </x:c>
      <x:c r="K81" t="str">
        <x:v>RF17!F81</x:v>
      </x:c>
      <x:c r="L81" t="str">
        <x:v>► LLAMADA: operación desde el objeto de C hacia el de E; comprobar contrato y autorización.</x:v>
      </x:c>
    </x:row>
    <x:row r="82" s="282" customFormat="1" ht="57" customHeight="1">
      <x:c r="A82" t="str">
        <x:v>72</x:v>
      </x:c>
      <x:c r="B82" t="str">
        <x:v>B7</x:v>
      </x:c>
      <x:c r="C82" t="str">
        <x:v>E_Mantenimiento</x:v>
      </x:c>
      <x:c r="D82" t="str">
        <x:v>◄ - - - - - (return)</x:v>
      </x:c>
      <x:c r="E82" t="str">
        <x:v>C_ControlMantenimiento</x:v>
      </x:c>
      <x:c r="F82" t="str">
        <x:v>retornarMantenimientoGuardado(id_mantenimiento)</x:v>
      </x:c>
      <x:c r="G82" t="str">
        <x:v>Devuelve id_mantenimiento tras INSERT provisional, aún SIN COMMIT. Si existen repuestos de RF17–EA03, el subflujo de inserción manual y asociación se ejecuta a continuación bajo la misma transacción; sin repuestos se continúa al mensaje 73. Una asociación fallida no se confirma parcialmente.</x:v>
      </x:c>
      <x:c r="H82" t="str">
        <x:v>IMPLEMENTAR</x:v>
      </x:c>
      <x:c r="I82" t="str">
        <x:v>Implementar la ruta original BCE en el alcance reducido, con dependencias reales validadas.</x:v>
      </x:c>
      <x:c r="J82"/>
      <x:c r="K82" t="str">
        <x:v>RF17!F82</x:v>
      </x:c>
      <x:c r="L82" t="str">
        <x:v>◄ RETORNO discontinuo al llamador. C y E identifican emisor y receptor; ◄ representa disposición de líneas de vida, no inversión de columnas.</x:v>
      </x:c>
    </x:row>
    <x:row r="83" s="282" customFormat="1" ht="57" customHeight="1">
      <x:c r="A83" t="str">
        <x:v>73</x:v>
      </x:c>
      <x:c r="B83" t="str">
        <x:v>B7</x:v>
      </x:c>
      <x:c r="C83" t="str">
        <x:v>C_ControlMantenimiento</x:v>
      </x:c>
      <x:c r="D83" t="str">
        <x:v>↩ (auto-msg)</x:v>
      </x:c>
      <x:c r="E83" t="str">
        <x:v>C_ControlMantenimiento</x:v>
      </x:c>
      <x:c r="F83" t="str">
        <x:v>confirmarRegistroAtomicoMantenimiento(id_mantenimiento)</x:v>
      </x:c>
      <x:c r="G83" t="str">
        <x:v>[EF SIN repuestos: no se ejecuta la rama opcional.] Confirma el mantenimiento REALIZADO tras validar kilometraje_servicio. [OPT RF17–EA03: antes de confirmar deben estar insertados TODOS los repuestos finales y sus asociaciones id_mantenimiento–id_repuesto, cantidad y precio_unitario dentro de esta misma transacción.] UN SOLO COMMIT. En cualquier fallo obligatorio se revierte TODO; nunca se confirma mantenimiento con repuestos parciales.</x:v>
      </x:c>
      <x:c r="H83" t="str">
        <x:v>IMPLEMENTAR</x:v>
      </x:c>
      <x:c r="I83" t="str">
        <x:v>MVP: COMMIT único después de guardar mantenimiento y repuestos finales; no asociar alerta de EA02. Si falla, consultar RF17-EA07; no declarar éxito antes del COMMIT.</x:v>
      </x:c>
      <x:c r="J83"/>
      <x:c r="K83" t="str">
        <x:v>RF17!F83</x:v>
      </x:c>
      <x:c r="L83" t="str">
        <x:v>↩ AUTO-MENSAJE: mismo objeto; lógica local, no salto de capa.</x:v>
      </x:c>
    </x:row>
    <x:row r="84" s="282" customFormat="1" ht="28.799999237060547" customHeight="1">
      <x:c r="A84" t="str">
        <x:v>BLOQUE 8 — CONFIRMACIÓN FINAL DEL MANTENIMIENTO — Mensajes 74–75</x:v>
      </x:c>
      <x:c r="B84"/>
      <x:c r="C84"/>
      <x:c r="D84"/>
      <x:c r="E84"/>
      <x:c r="F84"/>
      <x:c r="G84"/>
      <x:c r="H84"/>
      <x:c r="I84"/>
      <x:c r="J84"/>
      <x:c r="K84"/>
      <x:c r="L84"/>
    </x:row>
    <x:row r="85" s="282" customFormat="1" ht="57" customHeight="1">
      <x:c r="A85" t="str">
        <x:v>74</x:v>
      </x:c>
      <x:c r="B85" t="str">
        <x:v>B8</x:v>
      </x:c>
      <x:c r="C85" t="str">
        <x:v>C_ControlMantenimiento</x:v>
      </x:c>
      <x:c r="D85" t="str">
        <x:v>────► (llamada)</x:v>
      </x:c>
      <x:c r="E85" t="str">
        <x:v>I_ConfirmacionRegistroMantenimiento</x:v>
      </x:c>
      <x:c r="F85" t="str">
        <x:v>mostrarRegistroMantenimientoExitoso(datos_mantenimiento)</x:v>
      </x:c>
      <x:c r="G85" t="str">
        <x:v>Después del COMMIT confirma tipo, fecha, kilometraje_servicio, costo y estado REALIZADO; el aceite se muestra solo como referencia registrada en el vehículo (no aceite efectivamente usado confirmado). Cuando proceda EA03, muestra el resumen de repuestos realmente asociados; no se muestra éxito antes de confirmarlos.</x:v>
      </x:c>
      <x:c r="H85" t="str">
        <x:v>IMPLEMENTAR</x:v>
      </x:c>
      <x:c r="I85" t="str">
        <x:v>MVP: confirmación posterior al COMMIT: mantenimiento REALIZADO, km histórico del servicio fijo y aceite solo referencial (No aplica / No registrado / valor registrado según motor). No implica alerta REALIZADA.</x:v>
      </x:c>
      <x:c r="J85"/>
      <x:c r="K85" t="str">
        <x:v>RF17!F85</x:v>
      </x:c>
      <x:c r="L85" t="str">
        <x:v>► LLAMADA: operación desde el objeto de C hacia el de E; comprobar contrato y autorización.</x:v>
      </x:c>
    </x:row>
    <x:row r="86" s="282" customFormat="1" ht="57" customHeight="1">
      <x:c r="A86" t="str">
        <x:v>75</x:v>
      </x:c>
      <x:c r="B86" t="str">
        <x:v>B8</x:v>
      </x:c>
      <x:c r="C86" t="str">
        <x:v>I_ConfirmacionRegistroMantenimiento</x:v>
      </x:c>
      <x:c r="D86" t="str">
        <x:v>────► (llamada)</x:v>
      </x:c>
      <x:c r="E86" t="str">
        <x:v>AS_Usuario</x:v>
      </x:c>
      <x:c r="F86" t="str">
        <x:v>visualizarRegistroMantenimientoExitoso()</x:v>
      </x:c>
      <x:c r="G86" t="str">
        <x:v>El usuario ve la confirmación con km obligatorio del servicio; RF18 debe mostrar exactamente ese valor aunque después cambie el odómetro del vehículo.</x:v>
      </x:c>
      <x:c r="H86" t="str">
        <x:v>IMPLEMENTAR</x:v>
      </x:c>
      <x:c r="I86" t="str">
        <x:v>Implementar la ruta original BCE en el alcance reducido, con dependencias reales validadas.</x:v>
      </x:c>
      <x:c r="J86"/>
      <x:c r="K86" t="str">
        <x:v>RF17!F86</x:v>
      </x:c>
      <x:c r="L86" t="str">
        <x:v>⚠ SALIDA VISUAL al actor: no ejecutar «visualizar...» como método/API del usuario. En UML formal es presentación/resultado de UI, no llamada remota.</x:v>
      </x:c>
    </x:row>
    <x:row r="87" s="282" customFormat="1" ht="57" customHeight="1">
      <x:c r="A87" t="str">
        <x:v>Nota: I_HistorialVehiculo e I_HistorialMantenimiento son secciones de la misma pantalla. El estado ACTIVO/INACTIVO se entrega a la vista, pero SIEMPRE se revalida en servidor. «Actualizar km» es EA01; servicio anterior requiere variante histórica SIN modificar km actual. EA03 repuestos opcionales.</x:v>
      </x:c>
      <x:c r="B87"/>
      <x:c r="C87"/>
      <x:c r="D87"/>
      <x:c r="E87"/>
      <x:c r="F87"/>
      <x:c r="G87"/>
      <x:c r="H87"/>
      <x:c r="I87"/>
      <x:c r="J87"/>
      <x:c r="K87"/>
      <x:c r="L87"/>
    </x:row>
    <x:row r="88" s="282" customFormat="1" ht="57" customHeight="1">
      <x:c r="A88" t="str">
        <x:v>Condiciones: km del servicio SIEMPRE obligatorio e inmutable. Si fecha de servicio &lt; fecha de última lectura, esa lectura vigente NO se asigna automáticamente al servicio: usar lectura histórica coherente o captura histórica específica desde EA01. La próxima fecha/km siguen siendo opcionales.</x:v>
      </x:c>
      <x:c r="B88"/>
      <x:c r="C88"/>
      <x:c r="D88"/>
      <x:c r="E88"/>
      <x:c r="F88"/>
      <x:c r="G88"/>
      <x:c r="H88"/>
      <x:c r="I88"/>
      <x:c r="J88"/>
      <x:c r="K88"/>
      <x:c r="L88"/>
    </x:row>
    <x:row r="89" s="282" customFormat="1" ht="57" customHeight="1">
      <x:c r="A89" t="str">
        <x:v>Integración RF17: repuestos opcionales mediante EA03, agregados/editados/quitados solo en borrador y persistidos con sus asociaciones antes del COMMIT de RF17–EF73; rollback total si falla alguna línea. Continúan pendientes de verificación técnica la variante histórica de EA01, el esquema id_kilometraje opcional y la protección contra duplicación por reintento. No se cambia RF14 ni los demás RF.</x:v>
      </x:c>
      <x:c r="B89"/>
      <x:c r="C89"/>
      <x:c r="D89"/>
      <x:c r="E89"/>
      <x:c r="F89"/>
      <x:c r="G89"/>
      <x:c r="H89"/>
      <x:c r="I89"/>
      <x:c r="J89"/>
      <x:c r="K89"/>
      <x:c r="L89"/>
    </x:row>
    <x:row r="90" s="282" customFormat="1"/>
    <x:row r="91" s="282" customFormat="1"/>
    <x:row r="92" s="282" customFormat="1"/>
    <x:row r="93" s="282" customFormat="1"/>
    <x:row r="94" s="282" customFormat="1"/>
    <x:row r="95" s="282" customFormat="1"/>
    <x:row r="96" s="282" customFormat="1"/>
    <x:row r="97" s="282" customFormat="1"/>
    <x:row r="98" s="282" customFormat="1"/>
    <x:row r="99" s="282" customFormat="1"/>
    <x:row r="100" s="282" customFormat="1"/>
  </x:sheetData>
  <x:mergeCells>
    <x:mergeCell ref="A1:K1"/>
    <x:mergeCell ref="A2:K2"/>
    <x:mergeCell ref="A4:K4"/>
    <x:mergeCell ref="A20:K20"/>
    <x:mergeCell ref="A41:K41"/>
    <x:mergeCell ref="A50:K50"/>
    <x:mergeCell ref="A59:K59"/>
    <x:mergeCell ref="A68:K68"/>
    <x:mergeCell ref="A74:K74"/>
    <x:mergeCell ref="A84:K84"/>
    <x:mergeCell ref="A87:K87"/>
    <x:mergeCell ref="A88:K88"/>
    <x:mergeCell ref="A89:K89"/>
  </x:mergeCells>
  <x:pageMargins left="0.7" right="0.7" top="0.75" bottom="0.75" header="0.3" footer="0.3"/>
</x:worksheet>
</file>

<file path=xl/worksheets/sheet15.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 min="13" max="13" width="58" hidden="0" customWidth="1"/>
  </x:cols>
  <x:sheetData>
    <x:row r="1" ht="28" customHeight="1">
      <x:c r="A1" t="str">
        <x:v>DIAGRAMA DE SECUENCIAS — RF-018 - Consultar historial de mantenimiento. | EVENTO EXITOSO</x:v>
      </x:c>
      <x:c r="B1"/>
      <x:c r="C1"/>
      <x:c r="D1"/>
      <x:c r="E1"/>
      <x:c r="F1"/>
      <x:c r="G1"/>
      <x:c r="H1"/>
      <x:c r="I1"/>
      <x:c r="J1"/>
      <x:c r="K1"/>
      <x:c r="L1"/>
    </x:row>
    <x:row r="2" ht="32" customHeight="1">
      <x:c r="A2" t="str">
        <x:v>Patrón: Actor → Interfaz → Control → Entidad | 42 mensajes | 4 bloques (B4 cambio de vehículo condicional) | Vehículo principal por defecto | estados REALIZADO/ANULADO | Kilometraje AL MOMENTO DEL SERVICIO obligatorio desde RF17 | «Otro»: servicio específico | taller ausente: omitir | al cambiar vehículo: actualizar tarjetas y conteo</x:v>
      </x:c>
      <x:c r="B2"/>
      <x:c r="C2"/>
      <x:c r="D2"/>
      <x:c r="E2"/>
      <x:c r="F2"/>
      <x:c r="G2"/>
      <x:c r="H2"/>
      <x:c r="I2"/>
      <x:c r="J2"/>
      <x:c r="K2"/>
      <x:c r="L2"/>
    </x:row>
    <x:row r="3" ht="36" customHeight="1">
      <x:c r="A3" t="str">
        <x:v>#</x:v>
      </x:c>
      <x:c r="B3" t="str">
        <x:v>Bloque</x:v>
      </x:c>
      <x:c r="C3" t="str">
        <x:v>Objeto Origen</x:v>
      </x:c>
      <x:c r="D3" t="str">
        <x:v>Flecha</x:v>
      </x:c>
      <x:c r="E3" t="str">
        <x:v>Objeto Destino</x:v>
      </x:c>
      <x:c r="F3" t="str">
        <x:v>Método / Mensaje</x:v>
      </x:c>
      <x:c r="G3" t="str">
        <x:v>Descripción / Nota</x:v>
      </x:c>
      <x:c r="H3" t="str">
        <x:v>ESTADO MVP</x:v>
      </x:c>
      <x:c r="I3" t="str">
        <x:v>ACCIÓN / CAMBIO A PROGRAMAR</x:v>
      </x:c>
      <x:c r="J3" t="str">
        <x:v>APROBACIÓN / DEPENDENCIA</x:v>
      </x:c>
      <x:c r="K3" t="str">
        <x:v>CELDA ORIGINAL</x:v>
      </x:c>
      <x:c r="L3" t="str">
        <x:v>LECTURA FLECHA (UML/BCE)</x:v>
      </x:c>
      <x:c r="M3" t="str">
        <x:v>CONDICIÓN RF65 (NO MVP)</x:v>
      </x:c>
    </x:row>
    <x:row r="4" ht="25" customHeight="1">
      <x:c r="A4" t="str">
        <x:v>BLOQUE 1 — ACCESO A HISTORIAL Y CARGA AUTOMÁTICA DEL VEHÍCULO PRINCIPAL — Pasos 1–14</x:v>
      </x:c>
      <x:c r="B4"/>
      <x:c r="C4"/>
      <x:c r="D4"/>
      <x:c r="E4"/>
      <x:c r="F4"/>
      <x:c r="G4"/>
      <x:c r="H4"/>
      <x:c r="I4"/>
      <x:c r="J4"/>
      <x:c r="K4"/>
      <x:c r="L4"/>
    </x:row>
    <x:row r="5" ht="52" customHeight="1">
      <x:c r="A5" t="str">
        <x:v>1</x:v>
      </x:c>
      <x:c r="B5" t="str">
        <x:v>B1</x:v>
      </x:c>
      <x:c r="C5" t="str">
        <x:v>AS_Usuario</x:v>
      </x:c>
      <x:c r="D5" t="str">
        <x:v>────► (llamada)</x:v>
      </x:c>
      <x:c r="E5" t="str">
        <x:v>I_Inicio</x:v>
      </x:c>
      <x:c r="F5" t="str">
        <x:v>ingresarModuloHistorial()</x:v>
      </x:c>
      <x:c r="G5" t="str">
        <x:v>El usuario ingresa al módulo Historial desde la aplicación.</x:v>
      </x:c>
      <x:c r="H5" t="str">
        <x:v>IMPLEMENTAR</x:v>
      </x:c>
      <x:c r="I5" t="str">
        <x:v>Implementar la ruta original BCE en el alcance reducido, con dependencias reales validadas.</x:v>
      </x:c>
      <x:c r="J5"/>
      <x:c r="K5" t="str">
        <x:v>RF18!F5</x:v>
      </x:c>
      <x:c r="L5" t="str">
        <x:v>► LLAMADA: operación desde el objeto de C hacia el de E; comprobar contrato y autorización.</x:v>
      </x:c>
      <x:c r="M5" s="1071" t="str">
        <x:v>RF65 POST-MVP · CONDICIONADO A APROBACIÓN. Historial de mantenimiento: selector ordinario solo VIGENTES; registros de eliminado quedan conservados, acceso histórico excepcional sujeto a política futura. Sin aprobación no aplicar filtros ni cambios de BD por RF65.</x:v>
      </x:c>
    </x:row>
    <x:row r="6" ht="52" customHeight="1">
      <x:c r="A6" t="str">
        <x:v>2</x:v>
      </x:c>
      <x:c r="B6" t="str">
        <x:v>B1</x:v>
      </x:c>
      <x:c r="C6" t="str">
        <x:v>I_Inicio</x:v>
      </x:c>
      <x:c r="D6" t="str">
        <x:v>────► (llamada)</x:v>
      </x:c>
      <x:c r="E6" t="str">
        <x:v>C_Navegacion</x:v>
      </x:c>
      <x:c r="F6" t="str">
        <x:v>solicitarVistaHistorial()</x:v>
      </x:c>
      <x:c r="G6" t="str">
        <x:v>La interfaz solicita navegar hacia la vista Historial.</x:v>
      </x:c>
      <x:c r="H6" t="str">
        <x:v>IMPLEMENTAR</x:v>
      </x:c>
      <x:c r="I6" t="str">
        <x:v>Implementar la ruta original BCE en el alcance reducido, con dependencias reales validadas.</x:v>
      </x:c>
      <x:c r="J6"/>
      <x:c r="K6" t="str">
        <x:v>RF18!F6</x:v>
      </x:c>
      <x:c r="L6" t="str">
        <x:v>► LLAMADA: operación desde el objeto de C hacia el de E; comprobar contrato y autorización.</x:v>
      </x:c>
    </x:row>
    <x:row r="7" ht="52" customHeight="1">
      <x:c r="A7" t="str">
        <x:v>3</x:v>
      </x:c>
      <x:c r="B7" t="str">
        <x:v>B1</x:v>
      </x:c>
      <x:c r="C7" t="str">
        <x:v>C_Navegacion</x:v>
      </x:c>
      <x:c r="D7" t="str">
        <x:v>────► (llamada)</x:v>
      </x:c>
      <x:c r="E7" t="str">
        <x:v>I_HistorialVehiculo</x:v>
      </x:c>
      <x:c r="F7" t="str">
        <x:v>mostrarVistaHistorial()</x:v>
      </x:c>
      <x:c r="G7" t="str">
        <x:v>El controlador solicita mostrar la vista Historial. La sección Mantenimientos está activa por defecto.</x:v>
      </x:c>
      <x:c r="H7" t="str">
        <x:v>IMPLEMENTAR</x:v>
      </x:c>
      <x:c r="I7" t="str">
        <x:v>Implementar la ruta original BCE en el alcance reducido, con dependencias reales validadas.</x:v>
      </x:c>
      <x:c r="J7"/>
      <x:c r="K7" t="str">
        <x:v>RF18!F7</x:v>
      </x:c>
      <x:c r="L7" t="str">
        <x:v>► LLAMADA: operación desde el objeto de C hacia el de E; comprobar contrato y autorización.</x:v>
      </x:c>
    </x:row>
    <x:row r="8" ht="52" customHeight="1">
      <x:c r="A8" t="str">
        <x:v>4</x:v>
      </x:c>
      <x:c r="B8" t="str">
        <x:v>B1</x:v>
      </x:c>
      <x:c r="C8" t="str">
        <x:v>I_HistorialVehiculo</x:v>
      </x:c>
      <x:c r="D8" t="str">
        <x:v>────► (llamada)</x:v>
      </x:c>
      <x:c r="E8" t="str">
        <x:v>C_ControlVehiculo</x:v>
      </x:c>
      <x:c r="F8" t="str">
        <x:v>solicitarVehiculosUsuarioYPrincipal(id_usuario)</x:v>
      </x:c>
      <x:c r="G8" t="str">
        <x:v>La vista Historial solicita todos los vehículos propios, ACTIVOS e INACTIVOS, e identifica el vehículo principal; el selector de vehículo pertenece a esta interfaz.</x:v>
      </x:c>
      <x:c r="H8" t="str">
        <x:v>IMPLEMENTAR</x:v>
      </x:c>
      <x:c r="I8" t="str">
        <x:v>Implementar la ruta original BCE en el alcance reducido, con dependencias reales validadas.</x:v>
      </x:c>
      <x:c r="J8"/>
      <x:c r="K8" t="str">
        <x:v>RF18!F8</x:v>
      </x:c>
      <x:c r="L8" t="str">
        <x:v>► LLAMADA: operación desde el objeto de C hacia el de E; comprobar contrato y autorización.</x:v>
      </x:c>
    </x:row>
    <x:row r="9" ht="52" customHeight="1">
      <x:c r="A9" t="str">
        <x:v>5</x:v>
      </x:c>
      <x:c r="B9" t="str">
        <x:v>B1</x:v>
      </x:c>
      <x:c r="C9" t="str">
        <x:v>C_ControlVehiculo</x:v>
      </x:c>
      <x:c r="D9" t="str">
        <x:v>────► (llamada)</x:v>
      </x:c>
      <x:c r="E9" t="str">
        <x:v>E_Vehiculo</x:v>
      </x:c>
      <x:c r="F9" t="str">
        <x:v>consultarVehiculosUsuarioYPrincipal(id_usuario)</x:v>
      </x:c>
      <x:c r="G9" t="str">
        <x:v>El controlador consulta los vehículos pertenecientes al usuario e identifica el principal. Se incluyen ACTIVOS e INACTIVOS porque RF18 es de consulta histórica.</x:v>
      </x:c>
      <x:c r="H9" t="str">
        <x:v>IMPLEMENTAR</x:v>
      </x:c>
      <x:c r="I9" t="str">
        <x:v>Implementar la ruta original BCE en el alcance reducido, con dependencias reales validadas.</x:v>
      </x:c>
      <x:c r="J9"/>
      <x:c r="K9" t="str">
        <x:v>RF18!F9</x:v>
      </x:c>
      <x:c r="L9" t="str">
        <x:v>► LLAMADA: operación desde el objeto de C hacia el de E; comprobar contrato y autorización.</x:v>
      </x:c>
    </x:row>
    <x:row r="10" ht="52" customHeight="1">
      <x:c r="A10" t="str">
        <x:v>6</x:v>
      </x:c>
      <x:c r="B10" t="str">
        <x:v>B1</x:v>
      </x:c>
      <x:c r="C10" t="str">
        <x:v>E_Vehiculo</x:v>
      </x:c>
      <x:c r="D10" t="str">
        <x:v>◄ - - - - - (return)</x:v>
      </x:c>
      <x:c r="E10" t="str">
        <x:v>C_ControlVehiculo</x:v>
      </x:c>
      <x:c r="F10" t="str">
        <x:v>retornarVehiculosYPrincipal(lista_vehiculos,vehiculo_principal)</x:v>
      </x:c>
      <x:c r="G10" t="str">
        <x:v>La entidad devuelve los vehículos propios y el vehículo principal.</x:v>
      </x:c>
      <x:c r="H10" t="str">
        <x:v>IMPLEMENTAR</x:v>
      </x:c>
      <x:c r="I10" t="str">
        <x:v>Implementar la ruta original BCE en el alcance reducido, con dependencias reales validadas.</x:v>
      </x:c>
      <x:c r="J10"/>
      <x:c r="K10" t="str">
        <x:v>RF18!F10</x:v>
      </x:c>
      <x:c r="L10" t="str">
        <x:v>◄ RETORNO discontinuo al llamador. C y E identifican emisor y receptor; ◄ representa disposición de líneas de vida, no inversión de columnas.</x:v>
      </x:c>
    </x:row>
    <x:row r="11" ht="52" customHeight="1">
      <x:c r="A11" t="str">
        <x:v>7</x:v>
      </x:c>
      <x:c r="B11" t="str">
        <x:v>B1</x:v>
      </x:c>
      <x:c r="C11" t="str">
        <x:v>C_ControlVehiculo</x:v>
      </x:c>
      <x:c r="D11" t="str">
        <x:v>◄ - - - - - (return)</x:v>
      </x:c>
      <x:c r="E11" t="str">
        <x:v>I_HistorialVehiculo</x:v>
      </x:c>
      <x:c r="F11" t="str">
        <x:v>retornarVehiculosYPrincipal(lista_vehiculos,vehiculo_principal)</x:v>
      </x:c>
      <x:c r="G11" t="str">
        <x:v>La vista Historial recibe la lista y mantiene seleccionado por defecto el vehículo principal.</x:v>
      </x:c>
      <x:c r="H11" t="str">
        <x:v>IMPLEMENTAR</x:v>
      </x:c>
      <x:c r="I11" t="str">
        <x:v>Implementar la ruta original BCE en el alcance reducido, con dependencias reales validadas.</x:v>
      </x:c>
      <x:c r="J11"/>
      <x:c r="K11" t="str">
        <x:v>RF18!F11</x:v>
      </x:c>
      <x:c r="L11" t="str">
        <x:v>◄ RETORNO discontinuo al llamador. C y E identifican emisor y receptor; ◄ representa disposición de líneas de vida, no inversión de columnas.</x:v>
      </x:c>
    </x:row>
    <x:row r="12" ht="52" customHeight="1">
      <x:c r="A12" t="str">
        <x:v>8</x:v>
      </x:c>
      <x:c r="B12" t="str">
        <x:v>B1</x:v>
      </x:c>
      <x:c r="C12" t="str">
        <x:v>I_HistorialVehiculo</x:v>
      </x:c>
      <x:c r="D12" t="str">
        <x:v>────► (llamada)</x:v>
      </x:c>
      <x:c r="E12" t="str">
        <x:v>AS_Usuario</x:v>
      </x:c>
      <x:c r="F12" t="str">
        <x:v>visualizarVehiculoSeleccionado()</x:v>
      </x:c>
      <x:c r="G12" t="str">
        <x:v>El usuario visualiza el selector general de vehículo con el vehículo principal seleccionado por defecto. No necesita confirmarlo para que se cargue el historial.</x:v>
      </x:c>
      <x:c r="H12" t="str">
        <x:v>IMPLEMENTAR</x:v>
      </x:c>
      <x:c r="I12" t="str">
        <x:v>Implementar la ruta original BCE en el alcance reducido, con dependencias reales validadas.</x:v>
      </x:c>
      <x:c r="J12"/>
      <x:c r="K12" t="str">
        <x:v>RF18!F12</x:v>
      </x:c>
      <x:c r="L12" t="str">
        <x:v>⚠ SALIDA VISUAL al actor: no ejecutar «visualizar...» como método/API del usuario. En UML formal es presentación/resultado de UI, no llamada remota.</x:v>
      </x:c>
    </x:row>
    <x:row r="13" ht="52" customHeight="1">
      <x:c r="A13" t="str">
        <x:v>9</x:v>
      </x:c>
      <x:c r="B13" t="str">
        <x:v>B1</x:v>
      </x:c>
      <x:c r="C13" t="str">
        <x:v>I_HistorialVehiculo</x:v>
      </x:c>
      <x:c r="D13" t="str">
        <x:v>────► (llamada)</x:v>
      </x:c>
      <x:c r="E13" t="str">
        <x:v>C_ControlVehiculo</x:v>
      </x:c>
      <x:c r="F13" t="str">
        <x:v>validarVehiculoSeleccionado(id_usuario,id_vehiculo)</x:v>
      </x:c>
      <x:c r="G13" t="str">
        <x:v>La vista Historial solicita validar automáticamente el vehículo actualmente seleccionado (por defecto, el principal) antes de consultar su historial.</x:v>
      </x:c>
      <x:c r="H13" t="str">
        <x:v>IMPLEMENTAR</x:v>
      </x:c>
      <x:c r="I13" t="str">
        <x:v>Implementar la ruta original BCE en el alcance reducido, con dependencias reales validadas.</x:v>
      </x:c>
      <x:c r="J13"/>
      <x:c r="K13" t="str">
        <x:v>RF18!F13</x:v>
      </x:c>
      <x:c r="L13" t="str">
        <x:v>► LLAMADA: operación desde el objeto de C hacia el de E; comprobar contrato y autorización.</x:v>
      </x:c>
    </x:row>
    <x:row r="14" ht="52" customHeight="1">
      <x:c r="A14" t="str">
        <x:v>10</x:v>
      </x:c>
      <x:c r="B14" t="str">
        <x:v>B1</x:v>
      </x:c>
      <x:c r="C14" t="str">
        <x:v>C_ControlVehiculo</x:v>
      </x:c>
      <x:c r="D14" t="str">
        <x:v>────► (llamada)</x:v>
      </x:c>
      <x:c r="E14" t="str">
        <x:v>E_Vehiculo</x:v>
      </x:c>
      <x:c r="F14" t="str">
        <x:v>consultarVehiculoUsuario(id_usuario,id_vehiculo)</x:v>
      </x:c>
      <x:c r="G14" t="str">
        <x:v>El controlador consulta el vehículo seleccionado y valida su pertenencia al usuario.</x:v>
      </x:c>
      <x:c r="H14" t="str">
        <x:v>IMPLEMENTAR</x:v>
      </x:c>
      <x:c r="I14" t="str">
        <x:v>Implementar la ruta original BCE en el alcance reducido, con dependencias reales validadas.</x:v>
      </x:c>
      <x:c r="J14"/>
      <x:c r="K14" t="str">
        <x:v>RF18!F14</x:v>
      </x:c>
      <x:c r="L14" t="str">
        <x:v>► LLAMADA: operación desde el objeto de C hacia el de E; comprobar contrato y autorización.</x:v>
      </x:c>
    </x:row>
    <x:row r="15" ht="52" customHeight="1">
      <x:c r="A15" t="str">
        <x:v>11</x:v>
      </x:c>
      <x:c r="B15" t="str">
        <x:v>B1</x:v>
      </x:c>
      <x:c r="C15" t="str">
        <x:v>E_Vehiculo</x:v>
      </x:c>
      <x:c r="D15" t="str">
        <x:v>◄ - - - - - (return)</x:v>
      </x:c>
      <x:c r="E15" t="str">
        <x:v>C_ControlVehiculo</x:v>
      </x:c>
      <x:c r="F15" t="str">
        <x:v>retornarDatosVehiculo(datos_vehiculo)</x:v>
      </x:c>
      <x:c r="G15" t="str">
        <x:v>La entidad devuelve los datos y el estado ACTIVO o INACTIVO del vehículo seleccionado.</x:v>
      </x:c>
      <x:c r="H15" t="str">
        <x:v>IMPLEMENTAR</x:v>
      </x:c>
      <x:c r="I15" t="str">
        <x:v>Implementar la ruta original BCE en el alcance reducido, con dependencias reales validadas.</x:v>
      </x:c>
      <x:c r="J15"/>
      <x:c r="K15" t="str">
        <x:v>RF18!F15</x:v>
      </x:c>
      <x:c r="L15" t="str">
        <x:v>◄ RETORNO discontinuo al llamador. C y E identifican emisor y receptor; ◄ representa disposición de líneas de vida, no inversión de columnas.</x:v>
      </x:c>
    </x:row>
    <x:row r="16" ht="57" customHeight="1">
      <x:c r="A16" t="str">
        <x:v>12</x:v>
      </x:c>
      <x:c r="B16" t="str">
        <x:v>B1</x:v>
      </x:c>
      <x:c r="C16" t="str">
        <x:v>C_ControlVehiculo</x:v>
      </x:c>
      <x:c r="D16" t="str">
        <x:v>◄ - - - - - (return)</x:v>
      </x:c>
      <x:c r="E16" t="str">
        <x:v>I_HistorialVehiculo</x:v>
      </x:c>
      <x:c r="F16" t="str">
        <x:v>retornarVehiculoValidado(datos_vehiculo)</x:v>
      </x:c>
      <x:c r="G16" t="str">
        <x:v>La vista Historial conserva el vehículo validado. Si está INACTIVO, la consulta continúa en modo de solo lectura.</x:v>
      </x:c>
      <x:c r="H16" t="str">
        <x:v>IMPLEMENTAR</x:v>
      </x:c>
      <x:c r="I16" t="str">
        <x:v>Implementar la ruta original BCE en el alcance reducido, con dependencias reales validadas.</x:v>
      </x:c>
      <x:c r="J16"/>
      <x:c r="K16" t="str">
        <x:v>RF18!F16</x:v>
      </x:c>
      <x:c r="L16" t="str">
        <x:v>◄ RETORNO discontinuo al llamador. C y E identifican emisor y receptor; ◄ representa disposición de líneas de vida, no inversión de columnas.</x:v>
      </x:c>
    </x:row>
    <x:row r="17" ht="57" customHeight="1">
      <x:c r="A17" t="str">
        <x:v>13</x:v>
      </x:c>
      <x:c r="B17" t="str">
        <x:v>B1</x:v>
      </x:c>
      <x:c r="C17" t="str">
        <x:v>I_HistorialVehiculo</x:v>
      </x:c>
      <x:c r="D17" t="str">
        <x:v>────► (llamada)</x:v>
      </x:c>
      <x:c r="E17" t="str">
        <x:v>C_ControlHistorial</x:v>
      </x:c>
      <x:c r="F17" t="str">
        <x:v>solicitarSeccionMantenimiento(id_vehiculo)</x:v>
      </x:c>
      <x:c r="G17" t="str">
        <x:v>Como Mantenimientos está activo por defecto, la vista Historial solicita cargar automáticamente su contenido para el vehículo seleccionado.</x:v>
      </x:c>
      <x:c r="H17" t="str">
        <x:v>IMPLEMENTAR</x:v>
      </x:c>
      <x:c r="I17" t="str">
        <x:v>Implementar la ruta original BCE en el alcance reducido, con dependencias reales validadas.</x:v>
      </x:c>
      <x:c r="J17"/>
      <x:c r="K17" t="str">
        <x:v>RF18!F17</x:v>
      </x:c>
      <x:c r="L17" t="str">
        <x:v>► LLAMADA: operación desde el objeto de C hacia el de E; comprobar contrato y autorización.</x:v>
      </x:c>
    </x:row>
    <x:row r="18" ht="57" customHeight="1">
      <x:c r="A18" t="str">
        <x:v>14</x:v>
      </x:c>
      <x:c r="B18" t="str">
        <x:v>B1</x:v>
      </x:c>
      <x:c r="C18" t="str">
        <x:v>C_ControlHistorial</x:v>
      </x:c>
      <x:c r="D18" t="str">
        <x:v>────► (llamada)</x:v>
      </x:c>
      <x:c r="E18" t="str">
        <x:v>I_HistorialMantenimiento</x:v>
      </x:c>
      <x:c r="F18" t="str">
        <x:v>mostrarVistaHistorialMantenimiento(id_vehiculo)</x:v>
      </x:c>
      <x:c r="G18" t="str">
        <x:v>El controlador solicita mostrar el contenido específico de Mantenimientos correspondiente al vehículo seleccionado.</x:v>
      </x:c>
      <x:c r="H18" t="str">
        <x:v>IMPLEMENTAR</x:v>
      </x:c>
      <x:c r="I18" t="str">
        <x:v>Implementar la ruta original BCE en el alcance reducido, con dependencias reales validadas.</x:v>
      </x:c>
      <x:c r="J18"/>
      <x:c r="K18" t="str">
        <x:v>RF18!F18</x:v>
      </x:c>
      <x:c r="L18" t="str">
        <x:v>► LLAMADA: operación desde el objeto de C hacia el de E; comprobar contrato y autorización.</x:v>
      </x:c>
    </x:row>
    <x:row r="19" ht="28.799999237060547" customHeight="1">
      <x:c r="A19" t="str">
        <x:v>BLOQUE 2 — CONSULTA Y PREPARACIÓN DEL HISTORIAL — Pasos 15–23</x:v>
      </x:c>
      <x:c r="B19"/>
      <x:c r="C19"/>
      <x:c r="D19"/>
      <x:c r="E19"/>
      <x:c r="F19"/>
      <x:c r="G19"/>
      <x:c r="H19"/>
      <x:c r="I19"/>
      <x:c r="J19"/>
      <x:c r="K19"/>
      <x:c r="L19"/>
    </x:row>
    <x:row r="20" ht="57" customHeight="1">
      <x:c r="A20" t="str">
        <x:v>15</x:v>
      </x:c>
      <x:c r="B20" t="str">
        <x:v>B2</x:v>
      </x:c>
      <x:c r="C20" t="str">
        <x:v>I_HistorialMantenimiento</x:v>
      </x:c>
      <x:c r="D20" t="str">
        <x:v>────► (llamada)</x:v>
      </x:c>
      <x:c r="E20" t="str">
        <x:v>C_ControlHistorial</x:v>
      </x:c>
      <x:c r="F20" t="str">
        <x:v>solicitarHistorialMantenimiento(id_usuario,id_vehiculo)</x:v>
      </x:c>
      <x:c r="G20" t="str">
        <x:v>La interfaz específica de Mantenimientos solicita consultar el historial del vehículo seleccionado.</x:v>
      </x:c>
      <x:c r="H20" t="str">
        <x:v>IMPLEMENTAR</x:v>
      </x:c>
      <x:c r="I20" t="str">
        <x:v>Implementar la ruta original BCE en el alcance reducido, con dependencias reales validadas.</x:v>
      </x:c>
      <x:c r="J20"/>
      <x:c r="K20" t="str">
        <x:v>RF18!F20</x:v>
      </x:c>
      <x:c r="L20" t="str">
        <x:v>► LLAMADA: operación desde el objeto de C hacia el de E; comprobar contrato y autorización.</x:v>
      </x:c>
    </x:row>
    <x:row r="21" ht="57" customHeight="1">
      <x:c r="A21" t="str">
        <x:v>16</x:v>
      </x:c>
      <x:c r="B21" t="str">
        <x:v>B2</x:v>
      </x:c>
      <x:c r="C21" t="str">
        <x:v>C_ControlHistorial</x:v>
      </x:c>
      <x:c r="D21" t="str">
        <x:v>────► (llamada)</x:v>
      </x:c>
      <x:c r="E21" t="str">
        <x:v>E_Mantenimiento</x:v>
      </x:c>
      <x:c r="F21" t="str">
        <x:v>buscarMantenimientosPorVehiculoConKmServicio(id_usuario,id_vehiculo)</x:v>
      </x:c>
      <x:c r="G21" t="str">
        <x:v>Consulta REALIZADOS y ANULADOS del vehículo seleccionado, recuperando el kilometraje al momento del servicio guardado en cada mantenimiento (no el kilometraje ACTUAL del vehículo ni el próximo recomendado). Recupera además tipo, servicio_otro si tipo=OTRO (campo persistido, distinto de descripcion), fecha, estado, costo e id_taller opcional.</x:v>
      </x:c>
      <x:c r="H21" t="str">
        <x:v>IMPLEMENTAR</x:v>
      </x:c>
      <x:c r="I21" t="str">
        <x:v>Implementar la ruta original BCE en el alcance reducido, con dependencias reales validadas.</x:v>
      </x:c>
      <x:c r="J21"/>
      <x:c r="K21" t="str">
        <x:v>RF18!F21</x:v>
      </x:c>
      <x:c r="L21" t="str">
        <x:v>► LLAMADA: operación desde el objeto de C hacia el de E; comprobar contrato y autorización.</x:v>
      </x:c>
    </x:row>
    <x:row r="22" ht="57" customHeight="1">
      <x:c r="A22" t="str">
        <x:v>17</x:v>
      </x:c>
      <x:c r="B22" t="str">
        <x:v>B2</x:v>
      </x:c>
      <x:c r="C22" t="str">
        <x:v>E_Mantenimiento</x:v>
      </x:c>
      <x:c r="D22" t="str">
        <x:v>◄ - - - - - (return)</x:v>
      </x:c>
      <x:c r="E22" t="str">
        <x:v>C_ControlHistorial</x:v>
      </x:c>
      <x:c r="F22" t="str">
        <x:v>retornarListaMantenimientosConKmServicio(lista_mantenimientos)</x:v>
      </x:c>
      <x:c r="G22" t="str">
        <x:v>La entidad devuelve cada mantenimiento con su kilometraje_servicio histórico obligatorio. El valor no cambia si el vehículo registra nuevas lecturas. Si se detecta un registro heredado sin km del servicio, se informa una inconsistencia de datos; RF17 nuevo no permite crear ese caso. Lista vacía es válida cuando no hay registros.</x:v>
      </x:c>
      <x:c r="H22" t="str">
        <x:v>IMPLEMENTAR</x:v>
      </x:c>
      <x:c r="I22" t="str">
        <x:v>Implementar la ruta original BCE en el alcance reducido, con dependencias reales validadas.</x:v>
      </x:c>
      <x:c r="J22"/>
      <x:c r="K22" t="str">
        <x:v>RF18!F22</x:v>
      </x:c>
      <x:c r="L22" t="str">
        <x:v>◄ RETORNO discontinuo al llamador. C y E identifican emisor y receptor; ◄ representa disposición de líneas de vida, no inversión de columnas.</x:v>
      </x:c>
    </x:row>
    <x:row r="23" ht="57" customHeight="1">
      <x:c r="A23" t="str">
        <x:v>18</x:v>
      </x:c>
      <x:c r="B23" t="str">
        <x:v>B2</x:v>
      </x:c>
      <x:c r="C23" t="str">
        <x:v>C_ControlHistorial</x:v>
      </x:c>
      <x:c r="D23" t="str">
        <x:v>────► (llamada)</x:v>
      </x:c>
      <x:c r="E23" t="str">
        <x:v>C_ControlTaller</x:v>
      </x:c>
      <x:c r="F23" t="str">
        <x:v>solicitarNombresTalleresSiCorresponde(lista_id_taller_no_nulos)</x:v>
      </x:c>
      <x:c r="G23" t="str">
        <x:v>[Solo si existe algún id_taller no nulo] Consulta nombres de talleres vinculados al historial. Si ningún mantenimiento referencia taller (o la lista está vacía), omite los mensajes 18–21, asigna lista_talleres=[] y continúa en 22.</x:v>
      </x:c>
      <x:c r="H23" t="str">
        <x:v>CONDICIONAL</x:v>
      </x:c>
      <x:c r="I23" t="str">
        <x:v>Solo realizar si existen mantenimientos históricos con id_taller y el modelo mvp ya dispone de tabla. Si no, OMITIR y mostrar «Sin taller».</x:v>
      </x:c>
      <x:c r="J23" t="str">
        <x:v>Fran: si tabla talleres existe</x:v>
      </x:c>
      <x:c r="K23" t="str">
        <x:v>RF18!F23</x:v>
      </x:c>
      <x:c r="L23" t="str">
        <x:v>► LLAMADA: operación desde el objeto de C hacia el de E; comprobar contrato y autorización.</x:v>
      </x:c>
    </x:row>
    <x:row r="24" ht="57" customHeight="1">
      <x:c r="A24" t="str">
        <x:v>19</x:v>
      </x:c>
      <x:c r="B24" t="str">
        <x:v>B2</x:v>
      </x:c>
      <x:c r="C24" t="str">
        <x:v>C_ControlTaller</x:v>
      </x:c>
      <x:c r="D24" t="str">
        <x:v>────► (llamada)</x:v>
      </x:c>
      <x:c r="E24" t="str">
        <x:v>E_Taller</x:v>
      </x:c>
      <x:c r="F24" t="str">
        <x:v>consultarTalleresReferenciados(lista_id_taller_no_nulos)</x:v>
      </x:c>
      <x:c r="G24" t="str">
        <x:v>El controlador consulta los talleres referenciados como información histórica; no modifica talleres.</x:v>
      </x:c>
      <x:c r="H24" t="str">
        <x:v>CONDICIONAL</x:v>
      </x:c>
      <x:c r="I24" t="str">
        <x:v>Solo realizar si existen mantenimientos históricos con id_taller y el modelo mvp ya dispone de tabla. Si no, OMITIR y mostrar «Sin taller».</x:v>
      </x:c>
      <x:c r="J24" t="str">
        <x:v>Fran: si tabla talleres existe</x:v>
      </x:c>
      <x:c r="K24" t="str">
        <x:v>RF18!F24</x:v>
      </x:c>
      <x:c r="L24" t="str">
        <x:v>► LLAMADA: operación desde el objeto de C hacia el de E; comprobar contrato y autorización.</x:v>
      </x:c>
    </x:row>
    <x:row r="25" ht="57" customHeight="1">
      <x:c r="A25" t="str">
        <x:v>20</x:v>
      </x:c>
      <x:c r="B25" t="str">
        <x:v>B2</x:v>
      </x:c>
      <x:c r="C25" t="str">
        <x:v>E_Taller</x:v>
      </x:c>
      <x:c r="D25" t="str">
        <x:v>◄ - - - - - (return)</x:v>
      </x:c>
      <x:c r="E25" t="str">
        <x:v>C_ControlTaller</x:v>
      </x:c>
      <x:c r="F25" t="str">
        <x:v>retornarNombresTalleres(lista_talleres)</x:v>
      </x:c>
      <x:c r="G25" t="str">
        <x:v>La entidad devuelve los nombres de los talleres encontrados, incluso si actualmente están INACTIVOS.</x:v>
      </x:c>
      <x:c r="H25" t="str">
        <x:v>CONDICIONAL</x:v>
      </x:c>
      <x:c r="I25" t="str">
        <x:v>Solo realizar si existen mantenimientos históricos con id_taller y el modelo mvp ya dispone de tabla. Si no, OMITIR y mostrar «Sin taller».</x:v>
      </x:c>
      <x:c r="J25" t="str">
        <x:v>Fran: si tabla talleres existe</x:v>
      </x:c>
      <x:c r="K25" t="str">
        <x:v>RF18!F25</x:v>
      </x:c>
      <x:c r="L25" t="str">
        <x:v>◄ RETORNO discontinuo al llamador. C y E identifican emisor y receptor; ◄ representa disposición de líneas de vida, no inversión de columnas.</x:v>
      </x:c>
    </x:row>
    <x:row r="26" ht="57" customHeight="1">
      <x:c r="A26" t="str">
        <x:v>21</x:v>
      </x:c>
      <x:c r="B26" t="str">
        <x:v>B2</x:v>
      </x:c>
      <x:c r="C26" t="str">
        <x:v>C_ControlTaller</x:v>
      </x:c>
      <x:c r="D26" t="str">
        <x:v>◄ - - - - - (return)</x:v>
      </x:c>
      <x:c r="E26" t="str">
        <x:v>C_ControlHistorial</x:v>
      </x:c>
      <x:c r="F26" t="str">
        <x:v>retornarNombresTalleresHistorial(lista_talleres)</x:v>
      </x:c>
      <x:c r="G26" t="str">
        <x:v>El controlador devuelve a Historial la información necesaria para la presentación.</x:v>
      </x:c>
      <x:c r="H26" t="str">
        <x:v>CONDICIONAL</x:v>
      </x:c>
      <x:c r="I26" t="str">
        <x:v>Solo realizar si existen mantenimientos históricos con id_taller y el modelo mvp ya dispone de tabla. Si no, OMITIR y mostrar «Sin taller».</x:v>
      </x:c>
      <x:c r="J26" t="str">
        <x:v>Fran: si tabla talleres existe</x:v>
      </x:c>
      <x:c r="K26" t="str">
        <x:v>RF18!F26</x:v>
      </x:c>
      <x:c r="L26" t="str">
        <x:v>◄ RETORNO discontinuo al llamador. C y E identifican emisor y receptor; ◄ representa disposición de líneas de vida, no inversión de columnas.</x:v>
      </x:c>
    </x:row>
    <x:row r="27" ht="57" customHeight="1">
      <x:c r="A27" t="str">
        <x:v>22</x:v>
      </x:c>
      <x:c r="B27" t="str">
        <x:v>B2</x:v>
      </x:c>
      <x:c r="C27" t="str">
        <x:v>C_ControlHistorial</x:v>
      </x:c>
      <x:c r="D27" t="str">
        <x:v>↩ (auto-msg)</x:v>
      </x:c>
      <x:c r="E27" t="str">
        <x:v>C_ControlHistorial</x:v>
      </x:c>
      <x:c r="F27" t="str">
        <x:v>ordenarHistorialPorFechaDescendente(lista_mantenimientos)</x:v>
      </x:c>
      <x:c r="G27" t="str">
        <x:v>Aplica el orden predeterminado MÁS_RECIENTE: fecha de mantenimiento descendente; id_mantenimiento DESC se usa solo como desempate técnico.</x:v>
      </x:c>
      <x:c r="H27" t="str">
        <x:v>IMPLEMENTAR</x:v>
      </x:c>
      <x:c r="I27" t="str">
        <x:v>Implementar la ruta original BCE en el alcance reducido, con dependencias reales validadas.</x:v>
      </x:c>
      <x:c r="J27"/>
      <x:c r="K27" t="str">
        <x:v>RF18!F27</x:v>
      </x:c>
      <x:c r="L27" t="str">
        <x:v>↩ AUTO-MENSAJE: mismo objeto; lógica local, no salto de capa.</x:v>
      </x:c>
    </x:row>
    <x:row r="28" ht="57" customHeight="1">
      <x:c r="A28" t="str">
        <x:v>23</x:v>
      </x:c>
      <x:c r="B28" t="str">
        <x:v>B2</x:v>
      </x:c>
      <x:c r="C28" t="str">
        <x:v>C_ControlHistorial</x:v>
      </x:c>
      <x:c r="D28" t="str">
        <x:v>↩ (auto-msg)</x:v>
      </x:c>
      <x:c r="E28" t="str">
        <x:v>C_ControlHistorial</x:v>
      </x:c>
      <x:c r="F28" t="str">
        <x:v>prepararResumenHistorial(lista_mantenimientos_ordenada,lista_talleres)</x:v>
      </x:c>
      <x:c r="G28" t="str">
        <x:v>Prepara tarjetas con tipo o servicio_otro de OTRO, fecha, kilometraje AL MOMENTO DEL SERVICIO (guardado con mantenimiento), estado, costo y taller solo si existe. Para datos heredados incompletos, tratar la ausencia de km como inconsistencia; para RF17 actual el km siempre está presente. Si no hay registros, mostrar estado vacío. Presentación del costo: si costo_total es NULL, mostrar «Costo: No registrado»; si es 0, mostrar «Costo: S/ 0.00»; si es mayor que 0, mostrar el importe registrado.</x:v>
      </x:c>
      <x:c r="H28" t="str">
        <x:v>ADAPTAR</x:v>
      </x:c>
      <x:c r="I28" t="str">
        <x:v>Historial de REALIZADO/ANULADO; costo NULL→«No registrado», 0→«S/ 0.00»; sin dependencia obligatoria de Talleres.</x:v>
      </x:c>
      <x:c r="J28"/>
      <x:c r="K28" t="str">
        <x:v>RF18!F28</x:v>
      </x:c>
      <x:c r="L28" t="str">
        <x:v>↩ AUTO-MENSAJE: mismo objeto; lógica local, no salto de capa.</x:v>
      </x:c>
    </x:row>
    <x:row r="29" ht="28.799999237060547" customHeight="1">
      <x:c r="A29" t="str">
        <x:v>BLOQUE 3 — PRESENTACIÓN DEL HISTORIAL — Pasos 24–25</x:v>
      </x:c>
      <x:c r="B29"/>
      <x:c r="C29"/>
      <x:c r="D29"/>
      <x:c r="E29"/>
      <x:c r="F29"/>
      <x:c r="G29"/>
      <x:c r="H29"/>
      <x:c r="I29"/>
      <x:c r="J29"/>
      <x:c r="K29"/>
      <x:c r="L29"/>
    </x:row>
    <x:row r="30" ht="57" customHeight="1">
      <x:c r="A30" t="str">
        <x:v>24</x:v>
      </x:c>
      <x:c r="B30" t="str">
        <x:v>B3</x:v>
      </x:c>
      <x:c r="C30" t="str">
        <x:v>C_ControlHistorial</x:v>
      </x:c>
      <x:c r="D30" t="str">
        <x:v>────► (llamada)</x:v>
      </x:c>
      <x:c r="E30" t="str">
        <x:v>I_HistorialMantenimiento</x:v>
      </x:c>
      <x:c r="F30" t="str">
        <x:v>mostrarHistorialMantenimiento(lista_historial_preparada,MAS_RECIENTE)</x:v>
      </x:c>
      <x:c r="G30" t="str">
        <x:v>Muestra las tarjetas del vehículo seleccionado y su contador, con kilometraje guardado al momento del servicio, no el del siguiente mantenimiento. Orden MÁS_RECIENTE, mantenimiento REALIZADO/ANULADO y mensaje para historial vacío; los filtros, otro orden y exportación pertenecen a otros RF.</x:v>
      </x:c>
      <x:c r="H30" t="str">
        <x:v>ADAPTAR</x:v>
      </x:c>
      <x:c r="I30" t="str">
        <x:v>Mostrar solo pestaña Mantenimientos operativa. Kilometraje y Talleres visibles deshabilitados «Próximamente».</x:v>
      </x:c>
      <x:c r="J30"/>
      <x:c r="K30" t="str">
        <x:v>RF18!F30</x:v>
      </x:c>
      <x:c r="L30" t="str">
        <x:v>► LLAMADA: operación desde el objeto de C hacia el de E; comprobar contrato y autorización.</x:v>
      </x:c>
    </x:row>
    <x:row r="31" ht="57" customHeight="1">
      <x:c r="A31" t="str">
        <x:v>25</x:v>
      </x:c>
      <x:c r="B31" t="str">
        <x:v>B3</x:v>
      </x:c>
      <x:c r="C31" t="str">
        <x:v>I_HistorialMantenimiento</x:v>
      </x:c>
      <x:c r="D31" t="str">
        <x:v>────► (llamada)</x:v>
      </x:c>
      <x:c r="E31" t="str">
        <x:v>AS_Usuario</x:v>
      </x:c>
      <x:c r="F31" t="str">
        <x:v>visualizarHistorialMantenimiento()</x:v>
      </x:c>
      <x:c r="G31" t="str">
        <x:v>El usuario consulta tarjetas del vehículo seleccionado con fecha y kilometraje del servicio. OTRO muestra el servicio específico; el taller se omite si no existe. Seleccionar tarjeta inicia RF19 y cambiar el selector continúa en B4.</x:v>
      </x:c>
      <x:c r="H31" t="str">
        <x:v>ADAPTAR</x:v>
      </x:c>
      <x:c r="I31" t="str">
        <x:v>Las tarjetas no abren RF19. «Ver detalle — Próximamente» deshabilitado; km histórico permanece.</x:v>
      </x:c>
      <x:c r="J31"/>
      <x:c r="K31" t="str">
        <x:v>RF18!F31</x:v>
      </x:c>
      <x:c r="L31" t="str">
        <x:v>⚠ SALIDA VISUAL al actor: no ejecutar «visualizar...» como método/API del usuario. En UML formal es presentación/resultado de UI, no llamada remota.</x:v>
      </x:c>
    </x:row>
    <x:row r="32" ht="28.799999237060547" customHeight="1">
      <x:c r="A32" t="str">
        <x:v>BLOQUE 4 — CAMBIO DE VEHÍCULO DESDE EL SELECTOR (CONDICIONAL) — Pasos 26–42</x:v>
      </x:c>
      <x:c r="B32"/>
      <x:c r="C32"/>
      <x:c r="D32"/>
      <x:c r="E32"/>
      <x:c r="F32"/>
      <x:c r="G32"/>
      <x:c r="H32"/>
      <x:c r="I32"/>
      <x:c r="J32"/>
      <x:c r="K32"/>
      <x:c r="L32"/>
    </x:row>
    <x:row r="33" ht="57" customHeight="1">
      <x:c r="A33" t="str">
        <x:v>26</x:v>
      </x:c>
      <x:c r="B33" t="str">
        <x:v>B4</x:v>
      </x:c>
      <x:c r="C33" t="str">
        <x:v>AS_Usuario</x:v>
      </x:c>
      <x:c r="D33" t="str">
        <x:v>────► (llamada)</x:v>
      </x:c>
      <x:c r="E33" t="str">
        <x:v>I_HistorialVehiculo</x:v>
      </x:c>
      <x:c r="F33" t="str">
        <x:v>seleccionarOtroVehiculo(id_vehiculo_nuevo)</x:v>
      </x:c>
      <x:c r="G33" t="str">
        <x:v>[Condicional: el usuario cambia el selector] Selecciona otro vehículo propio (ejemplo de Figma: Toyota → Nissan). No se abre una pantalla nueva.</x:v>
      </x:c>
      <x:c r="H33" t="str">
        <x:v>IMPLEMENTAR</x:v>
      </x:c>
      <x:c r="I33" t="str">
        <x:v>Implementar la ruta original BCE en el alcance reducido, con dependencias reales validadas.</x:v>
      </x:c>
      <x:c r="J33"/>
      <x:c r="K33" t="str">
        <x:v>RF18!F33</x:v>
      </x:c>
      <x:c r="L33" t="str">
        <x:v>► LLAMADA: operación desde el objeto de C hacia el de E; comprobar contrato y autorización.</x:v>
      </x:c>
    </x:row>
    <x:row r="34" ht="57" customHeight="1">
      <x:c r="A34" t="str">
        <x:v>27</x:v>
      </x:c>
      <x:c r="B34" t="str">
        <x:v>B4</x:v>
      </x:c>
      <x:c r="C34" t="str">
        <x:v>I_HistorialVehiculo</x:v>
      </x:c>
      <x:c r="D34" t="str">
        <x:v>────► (llamada)</x:v>
      </x:c>
      <x:c r="E34" t="str">
        <x:v>C_ControlVehiculo</x:v>
      </x:c>
      <x:c r="F34" t="str">
        <x:v>validarVehiculoSeleccionado(id_usuario,id_vehiculo_nuevo)</x:v>
      </x:c>
      <x:c r="G34" t="str">
        <x:v>Solicita validar la pertenencia del vehículo seleccionado, activo o inactivo, antes de consultar su historial.</x:v>
      </x:c>
      <x:c r="H34" t="str">
        <x:v>IMPLEMENTAR</x:v>
      </x:c>
      <x:c r="I34" t="str">
        <x:v>Implementar la ruta original BCE en el alcance reducido, con dependencias reales validadas.</x:v>
      </x:c>
      <x:c r="J34"/>
      <x:c r="K34" t="str">
        <x:v>RF18!F34</x:v>
      </x:c>
      <x:c r="L34" t="str">
        <x:v>► LLAMADA: operación desde el objeto de C hacia el de E; comprobar contrato y autorización.</x:v>
      </x:c>
    </x:row>
    <x:row r="35" ht="57" customHeight="1">
      <x:c r="A35" t="str">
        <x:v>28</x:v>
      </x:c>
      <x:c r="B35" t="str">
        <x:v>B4</x:v>
      </x:c>
      <x:c r="C35" t="str">
        <x:v>C_ControlVehiculo</x:v>
      </x:c>
      <x:c r="D35" t="str">
        <x:v>────► (llamada)</x:v>
      </x:c>
      <x:c r="E35" t="str">
        <x:v>E_Vehiculo</x:v>
      </x:c>
      <x:c r="F35" t="str">
        <x:v>consultarVehiculoUsuario(id_usuario,id_vehiculo_nuevo)</x:v>
      </x:c>
      <x:c r="G35" t="str">
        <x:v>Consulta el vehículo seleccionado en los datos del usuario, sin realizar modificaciones.</x:v>
      </x:c>
      <x:c r="H35" t="str">
        <x:v>IMPLEMENTAR</x:v>
      </x:c>
      <x:c r="I35" t="str">
        <x:v>Implementar la ruta original BCE en el alcance reducido, con dependencias reales validadas.</x:v>
      </x:c>
      <x:c r="J35"/>
      <x:c r="K35" t="str">
        <x:v>RF18!F35</x:v>
      </x:c>
      <x:c r="L35" t="str">
        <x:v>► LLAMADA: operación desde el objeto de C hacia el de E; comprobar contrato y autorización.</x:v>
      </x:c>
    </x:row>
    <x:row r="36" ht="57" customHeight="1">
      <x:c r="A36" t="str">
        <x:v>29</x:v>
      </x:c>
      <x:c r="B36" t="str">
        <x:v>B4</x:v>
      </x:c>
      <x:c r="C36" t="str">
        <x:v>E_Vehiculo</x:v>
      </x:c>
      <x:c r="D36" t="str">
        <x:v>◄ - - - - - (return)</x:v>
      </x:c>
      <x:c r="E36" t="str">
        <x:v>C_ControlVehiculo</x:v>
      </x:c>
      <x:c r="F36" t="str">
        <x:v>retornarDatosVehiculo(datos_vehiculo)</x:v>
      </x:c>
      <x:c r="G36" t="str">
        <x:v>Devuelve los datos y estado ACTIVO/INACTIVO si el vehículo pertenece al usuario; si no, informa que no se encontró o no corresponde.</x:v>
      </x:c>
      <x:c r="H36" t="str">
        <x:v>IMPLEMENTAR</x:v>
      </x:c>
      <x:c r="I36" t="str">
        <x:v>Implementar la ruta original BCE en el alcance reducido, con dependencias reales validadas.</x:v>
      </x:c>
      <x:c r="J36"/>
      <x:c r="K36" t="str">
        <x:v>RF18!F36</x:v>
      </x:c>
      <x:c r="L36" t="str">
        <x:v>◄ RETORNO discontinuo al llamador. C y E identifican emisor y receptor; ◄ representa disposición de líneas de vida, no inversión de columnas.</x:v>
      </x:c>
    </x:row>
    <x:row r="37" ht="57" customHeight="1">
      <x:c r="A37" t="str">
        <x:v>30</x:v>
      </x:c>
      <x:c r="B37" t="str">
        <x:v>B4</x:v>
      </x:c>
      <x:c r="C37" t="str">
        <x:v>C_ControlVehiculo</x:v>
      </x:c>
      <x:c r="D37" t="str">
        <x:v>◄ - - - - - (return)</x:v>
      </x:c>
      <x:c r="E37" t="str">
        <x:v>I_HistorialVehiculo</x:v>
      </x:c>
      <x:c r="F37" t="str">
        <x:v>retornarResultadoVehiculoSeleccionado(valido,datos_vehiculo)</x:v>
      </x:c>
      <x:c r="G37" t="str">
        <x:v>Si no es válido, se mantiene el historial anterior y se muestra un aviso; no se ejecutan los pasos 31–42. Si es válido, actualiza el vehículo seleccionado.</x:v>
      </x:c>
      <x:c r="H37" t="str">
        <x:v>IMPLEMENTAR</x:v>
      </x:c>
      <x:c r="I37" t="str">
        <x:v>Implementar la ruta original BCE en el alcance reducido, con dependencias reales validadas.</x:v>
      </x:c>
      <x:c r="J37"/>
      <x:c r="K37" t="str">
        <x:v>RF18!F37</x:v>
      </x:c>
      <x:c r="L37" t="str">
        <x:v>◄ RETORNO discontinuo al llamador. C y E identifican emisor y receptor; ◄ representa disposición de líneas de vida, no inversión de columnas.</x:v>
      </x:c>
    </x:row>
    <x:row r="38" ht="57" customHeight="1">
      <x:c r="A38" t="str">
        <x:v>31</x:v>
      </x:c>
      <x:c r="B38" t="str">
        <x:v>B4</x:v>
      </x:c>
      <x:c r="C38" t="str">
        <x:v>I_HistorialVehiculo</x:v>
      </x:c>
      <x:c r="D38" t="str">
        <x:v>────► (llamada)</x:v>
      </x:c>
      <x:c r="E38" t="str">
        <x:v>C_ControlHistorial</x:v>
      </x:c>
      <x:c r="F38" t="str">
        <x:v>solicitarRecargaHistorial(id_usuario,id_vehiculo_nuevo)</x:v>
      </x:c>
      <x:c r="G38" t="str">
        <x:v>Solicita reemplazar los datos del historial anterior por los del vehículo nuevo. La pestaña Mantenimientos sigue activa.</x:v>
      </x:c>
      <x:c r="H38" t="str">
        <x:v>IMPLEMENTAR</x:v>
      </x:c>
      <x:c r="I38" t="str">
        <x:v>Implementar la ruta original BCE en el alcance reducido, con dependencias reales validadas.</x:v>
      </x:c>
      <x:c r="J38"/>
      <x:c r="K38" t="str">
        <x:v>RF18!F38</x:v>
      </x:c>
      <x:c r="L38" t="str">
        <x:v>► LLAMADA: operación desde el objeto de C hacia el de E; comprobar contrato y autorización.</x:v>
      </x:c>
    </x:row>
    <x:row r="39" ht="57" customHeight="1">
      <x:c r="A39" t="str">
        <x:v>32</x:v>
      </x:c>
      <x:c r="B39" t="str">
        <x:v>B4</x:v>
      </x:c>
      <x:c r="C39" t="str">
        <x:v>C_ControlHistorial</x:v>
      </x:c>
      <x:c r="D39" t="str">
        <x:v>────► (llamada)</x:v>
      </x:c>
      <x:c r="E39" t="str">
        <x:v>I_HistorialMantenimiento</x:v>
      </x:c>
      <x:c r="F39" t="str">
        <x:v>mostrarCargaHistorial(id_vehiculo_nuevo)</x:v>
      </x:c>
      <x:c r="G39" t="str">
        <x:v>Muestra estado de carga y evita presentar temporalmente tarjetas o conteo del vehículo anterior como si fueran del nuevo.</x:v>
      </x:c>
      <x:c r="H39" t="str">
        <x:v>IMPLEMENTAR</x:v>
      </x:c>
      <x:c r="I39" t="str">
        <x:v>Implementar la ruta original BCE en el alcance reducido, con dependencias reales validadas.</x:v>
      </x:c>
      <x:c r="J39"/>
      <x:c r="K39" t="str">
        <x:v>RF18!F39</x:v>
      </x:c>
      <x:c r="L39" t="str">
        <x:v>► LLAMADA: operación desde el objeto de C hacia el de E; comprobar contrato y autorización.</x:v>
      </x:c>
    </x:row>
    <x:row r="40" ht="57" customHeight="1">
      <x:c r="A40" t="str">
        <x:v>33</x:v>
      </x:c>
      <x:c r="B40" t="str">
        <x:v>B4</x:v>
      </x:c>
      <x:c r="C40" t="str">
        <x:v>C_ControlHistorial</x:v>
      </x:c>
      <x:c r="D40" t="str">
        <x:v>────► (llamada)</x:v>
      </x:c>
      <x:c r="E40" t="str">
        <x:v>E_Mantenimiento</x:v>
      </x:c>
      <x:c r="F40" t="str">
        <x:v>buscarMantenimientosPorVehiculoConKmServicio(id_usuario,id_vehiculo_nuevo)</x:v>
      </x:c>
      <x:c r="G40" t="str">
        <x:v>Consulta únicamente mantenimientos de Nissan u otro vehículo seleccionado, con kilometraje histórico del SERVICIO persistido, tipo/servicio, estado y taller opcional; nunca muestra el km actual de Toyota ni el próximo km objetivo.</x:v>
      </x:c>
      <x:c r="H40" t="str">
        <x:v>IMPLEMENTAR</x:v>
      </x:c>
      <x:c r="I40" t="str">
        <x:v>Implementar la ruta original BCE en el alcance reducido, con dependencias reales validadas.</x:v>
      </x:c>
      <x:c r="J40"/>
      <x:c r="K40" t="str">
        <x:v>RF18!F40</x:v>
      </x:c>
      <x:c r="L40" t="str">
        <x:v>► LLAMADA: operación desde el objeto de C hacia el de E; comprobar contrato y autorización.</x:v>
      </x:c>
    </x:row>
    <x:row r="41" ht="57" customHeight="1">
      <x:c r="A41" t="str">
        <x:v>34</x:v>
      </x:c>
      <x:c r="B41" t="str">
        <x:v>B4</x:v>
      </x:c>
      <x:c r="C41" t="str">
        <x:v>E_Mantenimiento</x:v>
      </x:c>
      <x:c r="D41" t="str">
        <x:v>◄ - - - - - (return)</x:v>
      </x:c>
      <x:c r="E41" t="str">
        <x:v>C_ControlHistorial</x:v>
      </x:c>
      <x:c r="F41" t="str">
        <x:v>retornarListaMantenimientosConKmServicio(lista_mantenimientos_nueva)</x:v>
      </x:c>
      <x:c r="G41" t="str">
        <x:v>Devuelve los mantenimientos del nuevo vehículo con kilometraje del servicio obligatorio, o lista vacía si no hay registros. Un dato antiguo sin km es una inconsistencia de datos, no un registro nuevo permitido.</x:v>
      </x:c>
      <x:c r="H41" t="str">
        <x:v>IMPLEMENTAR</x:v>
      </x:c>
      <x:c r="I41" t="str">
        <x:v>Implementar la ruta original BCE en el alcance reducido, con dependencias reales validadas.</x:v>
      </x:c>
      <x:c r="J41"/>
      <x:c r="K41" t="str">
        <x:v>RF18!F41</x:v>
      </x:c>
      <x:c r="L41" t="str">
        <x:v>◄ RETORNO discontinuo al llamador. C y E identifican emisor y receptor; ◄ representa disposición de líneas de vida, no inversión de columnas.</x:v>
      </x:c>
    </x:row>
    <x:row r="42" ht="57" customHeight="1">
      <x:c r="A42" t="str">
        <x:v>35</x:v>
      </x:c>
      <x:c r="B42" t="str">
        <x:v>B4</x:v>
      </x:c>
      <x:c r="C42" t="str">
        <x:v>C_ControlHistorial</x:v>
      </x:c>
      <x:c r="D42" t="str">
        <x:v>────► (llamada)</x:v>
      </x:c>
      <x:c r="E42" t="str">
        <x:v>C_ControlTaller</x:v>
      </x:c>
      <x:c r="F42" t="str">
        <x:v>solicitarNombresTalleresSiCorresponde(lista_id_taller_no_nulos)</x:v>
      </x:c>
      <x:c r="G42" t="str">
        <x:v>[Solo si hay id_taller no nulos] Solicita nombres de talleres del nuevo historial. Si no hay, omitir 35–38 y usar lista_talleres=[].</x:v>
      </x:c>
      <x:c r="H42" t="str">
        <x:v>CONDICIONAL</x:v>
      </x:c>
      <x:c r="I42" t="str">
        <x:v>Solo realizar si existen mantenimientos históricos con id_taller y el modelo mvp ya dispone de tabla. Si no, OMITIR y mostrar «Sin taller».</x:v>
      </x:c>
      <x:c r="J42" t="str">
        <x:v>Fran: si tabla talleres existe</x:v>
      </x:c>
      <x:c r="K42" t="str">
        <x:v>RF18!F42</x:v>
      </x:c>
      <x:c r="L42" t="str">
        <x:v>► LLAMADA: operación desde el objeto de C hacia el de E; comprobar contrato y autorización.</x:v>
      </x:c>
    </x:row>
    <x:row r="43" ht="57" customHeight="1">
      <x:c r="A43" t="str">
        <x:v>36</x:v>
      </x:c>
      <x:c r="B43" t="str">
        <x:v>B4</x:v>
      </x:c>
      <x:c r="C43" t="str">
        <x:v>C_ControlTaller</x:v>
      </x:c>
      <x:c r="D43" t="str">
        <x:v>────► (llamada)</x:v>
      </x:c>
      <x:c r="E43" t="str">
        <x:v>E_Taller</x:v>
      </x:c>
      <x:c r="F43" t="str">
        <x:v>consultarTalleresReferenciados(lista_id_taller_no_nulos)</x:v>
      </x:c>
      <x:c r="G43" t="str">
        <x:v>Consulta los talleres referenciados sin modificar información.</x:v>
      </x:c>
      <x:c r="H43" t="str">
        <x:v>CONDICIONAL</x:v>
      </x:c>
      <x:c r="I43" t="str">
        <x:v>Solo realizar si existen mantenimientos históricos con id_taller y el modelo mvp ya dispone de tabla. Si no, OMITIR y mostrar «Sin taller».</x:v>
      </x:c>
      <x:c r="J43" t="str">
        <x:v>Fran: si tabla talleres existe</x:v>
      </x:c>
      <x:c r="K43" t="str">
        <x:v>RF18!F43</x:v>
      </x:c>
      <x:c r="L43" t="str">
        <x:v>► LLAMADA: operación desde el objeto de C hacia el de E; comprobar contrato y autorización.</x:v>
      </x:c>
    </x:row>
    <x:row r="44" ht="57" customHeight="1">
      <x:c r="A44" t="str">
        <x:v>37</x:v>
      </x:c>
      <x:c r="B44" t="str">
        <x:v>B4</x:v>
      </x:c>
      <x:c r="C44" t="str">
        <x:v>E_Taller</x:v>
      </x:c>
      <x:c r="D44" t="str">
        <x:v>◄ - - - - - (return)</x:v>
      </x:c>
      <x:c r="E44" t="str">
        <x:v>C_ControlTaller</x:v>
      </x:c>
      <x:c r="F44" t="str">
        <x:v>retornarNombresTalleres(lista_talleres)</x:v>
      </x:c>
      <x:c r="G44" t="str">
        <x:v>Devuelve nombres de talleres encontrados, incluidos los inactivos si fueron referenciados históricamente.</x:v>
      </x:c>
      <x:c r="H44" t="str">
        <x:v>CONDICIONAL</x:v>
      </x:c>
      <x:c r="I44" t="str">
        <x:v>Solo realizar si existen mantenimientos históricos con id_taller y el modelo mvp ya dispone de tabla. Si no, OMITIR y mostrar «Sin taller».</x:v>
      </x:c>
      <x:c r="J44" t="str">
        <x:v>Fran: si tabla talleres existe</x:v>
      </x:c>
      <x:c r="K44" t="str">
        <x:v>RF18!F44</x:v>
      </x:c>
      <x:c r="L44" t="str">
        <x:v>◄ RETORNO discontinuo al llamador. C y E identifican emisor y receptor; ◄ representa disposición de líneas de vida, no inversión de columnas.</x:v>
      </x:c>
    </x:row>
    <x:row r="45" ht="57" customHeight="1">
      <x:c r="A45" t="str">
        <x:v>38</x:v>
      </x:c>
      <x:c r="B45" t="str">
        <x:v>B4</x:v>
      </x:c>
      <x:c r="C45" t="str">
        <x:v>C_ControlTaller</x:v>
      </x:c>
      <x:c r="D45" t="str">
        <x:v>◄ - - - - - (return)</x:v>
      </x:c>
      <x:c r="E45" t="str">
        <x:v>C_ControlHistorial</x:v>
      </x:c>
      <x:c r="F45" t="str">
        <x:v>retornarNombresTalleresHistorial(lista_talleres)</x:v>
      </x:c>
      <x:c r="G45" t="str">
        <x:v>Proporciona los nombres al controlador del historial.</x:v>
      </x:c>
      <x:c r="H45" t="str">
        <x:v>CONDICIONAL</x:v>
      </x:c>
      <x:c r="I45" t="str">
        <x:v>Solo realizar si existen mantenimientos históricos con id_taller y el modelo mvp ya dispone de tabla. Si no, OMITIR y mostrar «Sin taller».</x:v>
      </x:c>
      <x:c r="J45" t="str">
        <x:v>Fran: si tabla talleres existe</x:v>
      </x:c>
      <x:c r="K45" t="str">
        <x:v>RF18!F45</x:v>
      </x:c>
      <x:c r="L45" t="str">
        <x:v>◄ RETORNO discontinuo al llamador. C y E identifican emisor y receptor; ◄ representa disposición de líneas de vida, no inversión de columnas.</x:v>
      </x:c>
    </x:row>
    <x:row r="46" ht="57" customHeight="1">
      <x:c r="A46" t="str">
        <x:v>39</x:v>
      </x:c>
      <x:c r="B46" t="str">
        <x:v>B4</x:v>
      </x:c>
      <x:c r="C46" t="str">
        <x:v>C_ControlHistorial</x:v>
      </x:c>
      <x:c r="D46" t="str">
        <x:v>↩ (auto-msg)</x:v>
      </x:c>
      <x:c r="E46" t="str">
        <x:v>C_ControlHistorial</x:v>
      </x:c>
      <x:c r="F46" t="str">
        <x:v>ordenarHistorialPorFechaDescendente(lista_mantenimientos_nueva)</x:v>
      </x:c>
      <x:c r="G46" t="str">
        <x:v>Orden inicial predeterminado MÁS_RECIENTE; desempate por id_mantenimiento descendente.</x:v>
      </x:c>
      <x:c r="H46" t="str">
        <x:v>IMPLEMENTAR</x:v>
      </x:c>
      <x:c r="I46" t="str">
        <x:v>Implementar la ruta original BCE en el alcance reducido, con dependencias reales validadas.</x:v>
      </x:c>
      <x:c r="J46"/>
      <x:c r="K46" t="str">
        <x:v>RF18!F46</x:v>
      </x:c>
      <x:c r="L46" t="str">
        <x:v>↩ AUTO-MENSAJE: mismo objeto; lógica local, no salto de capa.</x:v>
      </x:c>
    </x:row>
    <x:row r="47" ht="57" customHeight="1">
      <x:c r="A47" t="str">
        <x:v>40</x:v>
      </x:c>
      <x:c r="B47" t="str">
        <x:v>B4</x:v>
      </x:c>
      <x:c r="C47" t="str">
        <x:v>C_ControlHistorial</x:v>
      </x:c>
      <x:c r="D47" t="str">
        <x:v>↩ (auto-msg)</x:v>
      </x:c>
      <x:c r="E47" t="str">
        <x:v>C_ControlHistorial</x:v>
      </x:c>
      <x:c r="F47" t="str">
        <x:v>prepararResumenHistorial(lista_ordenada,lista_talleres)</x:v>
      </x:c>
      <x:c r="G47" t="str">
        <x:v>Prepara tarjetas y conteo del nuevo vehículo con kilometraje al momento del servicio almacenado, no «km actual» ni «próximo km». Incluye nombre específico de OTRO y taller solo si existe. Presentación del costo: si costo_total es NULL, mostrar «Costo: No registrado»; si es 0, mostrar «Costo: S/ 0.00»; si es mayor que 0, mostrar el importe registrado.</x:v>
      </x:c>
      <x:c r="H47" t="str">
        <x:v>ADAPTAR</x:v>
      </x:c>
      <x:c r="I47" t="str">
        <x:v>Preparar tarjetas del nuevo vehículo sin requerir tabla taller en el MVP.</x:v>
      </x:c>
      <x:c r="J47"/>
      <x:c r="K47" t="str">
        <x:v>RF18!F47</x:v>
      </x:c>
      <x:c r="L47" t="str">
        <x:v>↩ AUTO-MENSAJE: mismo objeto; lógica local, no salto de capa.</x:v>
      </x:c>
    </x:row>
    <x:row r="48" ht="57" customHeight="1">
      <x:c r="A48" t="str">
        <x:v>41</x:v>
      </x:c>
      <x:c r="B48" t="str">
        <x:v>B4</x:v>
      </x:c>
      <x:c r="C48" t="str">
        <x:v>C_ControlHistorial</x:v>
      </x:c>
      <x:c r="D48" t="str">
        <x:v>────► (llamada)</x:v>
      </x:c>
      <x:c r="E48" t="str">
        <x:v>I_HistorialMantenimiento</x:v>
      </x:c>
      <x:c r="F48" t="str">
        <x:v>mostrarHistorialActualizado(id_vehiculo_nuevo,lista_preparada,MAS_RECIENTE)</x:v>
      </x:c>
      <x:c r="G48" t="str">
        <x:v>Reemplaza el vehículo, contador y tarjetas después de completar la consulta; mantiene pestaña Mantenimientos y orden Más reciente. Nunca conserva datos de Toyota al mostrar Nissan.</x:v>
      </x:c>
      <x:c r="H48" t="str">
        <x:v>ADAPTAR</x:v>
      </x:c>
      <x:c r="I48" t="str">
        <x:v>Tras cambiar vehículo, solo Mantenimientos funcional; «Ver detalle» deshabilitado.</x:v>
      </x:c>
      <x:c r="J48"/>
      <x:c r="K48" t="str">
        <x:v>RF18!F48</x:v>
      </x:c>
      <x:c r="L48" t="str">
        <x:v>► LLAMADA: operación desde el objeto de C hacia el de E; comprobar contrato y autorización.</x:v>
      </x:c>
    </x:row>
    <x:row r="49" ht="57" customHeight="1">
      <x:c r="A49" t="str">
        <x:v>42</x:v>
      </x:c>
      <x:c r="B49" t="str">
        <x:v>B4</x:v>
      </x:c>
      <x:c r="C49" t="str">
        <x:v>I_HistorialMantenimiento</x:v>
      </x:c>
      <x:c r="D49" t="str">
        <x:v>────► (llamada)</x:v>
      </x:c>
      <x:c r="E49" t="str">
        <x:v>AS_Usuario</x:v>
      </x:c>
      <x:c r="F49" t="str">
        <x:v>visualizarHistorialVehiculoSeleccionado()</x:v>
      </x:c>
      <x:c r="G49" t="str">
        <x:v>El usuario observa solo el historial del vehículo seleccionado; las tarjetas incluyen el kilometraje registrado para cada servicio y no confunden ese valor con el próximo kilometraje recomendado.</x:v>
      </x:c>
      <x:c r="H49" t="str">
        <x:v>IMPLEMENTAR</x:v>
      </x:c>
      <x:c r="I49" t="str">
        <x:v>Implementar la ruta original BCE en el alcance reducido, con dependencias reales validadas.</x:v>
      </x:c>
      <x:c r="J49"/>
      <x:c r="K49" t="str">
        <x:v>RF18!F49</x:v>
      </x:c>
      <x:c r="L49" t="str">
        <x:v>⚠ SALIDA VISUAL al actor: no ejecutar «visualizar...» como método/API del usuario. En UML formal es presentación/resultado de UI, no llamada remota.</x:v>
      </x:c>
    </x:row>
    <x:row r="50" ht="57" customHeight="1">
      <x:c r="A50" t="str">
        <x:v>Nota: RF18 precarga el vehículo principal y puede cambiar al de otro vehículo propio sin salir de Historial. En B4 (26–42), las tarjetas y el conteo se sustituyen completamente. Cada tarjeta muestra el kilometraje AL MOMENTO DEL SERVICIO fijado en RF17; no utiliza el kilometraje actual del auto ni el próximo recomendado. Cuando no hay taller se omite la línea. RF18 solo consulta; RF19 presenta el detalle.</x:v>
      </x:c>
      <x:c r="B50"/>
      <x:c r="C50"/>
      <x:c r="D50"/>
      <x:c r="E50"/>
      <x:c r="F50"/>
      <x:c r="G50"/>
      <x:c r="H50"/>
      <x:c r="I50"/>
      <x:c r="J50"/>
      <x:c r="K50"/>
      <x:c r="L50"/>
    </x:row>
  </x:sheetData>
  <x:mergeCells>
    <x:mergeCell ref="A1:K1"/>
    <x:mergeCell ref="A2:K2"/>
    <x:mergeCell ref="A4:K4"/>
    <x:mergeCell ref="A19:K19"/>
    <x:mergeCell ref="A29:K29"/>
    <x:mergeCell ref="A32:K32"/>
    <x:mergeCell ref="A50:K50"/>
  </x:mergeCells>
  <x:pageMargins left="0.7" right="0.7" top="0.75" bottom="0.75" header="0.3" footer="0.3"/>
</x:worksheet>
</file>

<file path=xl/worksheets/sheet16.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1089</x:v>
      </x:c>
      <x:c r="B1" s="431"/>
      <x:c r="C1" s="431"/>
      <x:c r="D1" s="431"/>
      <x:c r="E1" s="431"/>
      <x:c r="F1" s="431"/>
      <x:c r="G1" s="431"/>
    </x:row>
    <x:row r="2" ht="49.20000076293945" customHeight="1">
      <x:c r="A2" s="3" t="s">
        <x:v>1090</x:v>
      </x:c>
      <x:c r="B2" s="3"/>
      <x:c r="C2" s="3"/>
      <x:c r="D2" s="3"/>
      <x:c r="E2" s="3"/>
      <x:c r="F2" s="3"/>
      <x:c r="G2" s="3"/>
    </x:row>
    <x:row r="3" ht="31.049999237060547" customHeight="1">
      <x:c r="A3" s="262" t="s">
        <x:v>2</x:v>
      </x:c>
      <x:c r="B3" s="262" t="s">
        <x:v>3</x:v>
      </x:c>
      <x:c r="C3" s="262" t="s">
        <x:v>4</x:v>
      </x:c>
      <x:c r="D3" s="262" t="s">
        <x:v>5</x:v>
      </x:c>
      <x:c r="E3" s="262" t="s">
        <x:v>6</x:v>
      </x:c>
      <x:c r="F3" s="262" t="s">
        <x:v>7</x:v>
      </x:c>
      <x:c r="G3" s="262" t="s">
        <x:v>8</x:v>
      </x:c>
      <x:c r="H3" t="str">
        <x:v>CONDICIÓN RF65 (NO MVP)</x:v>
      </x:c>
    </x:row>
    <x:row r="4" ht="28.799999237060547" customHeight="1">
      <x:c r="A4" s="430" t="s">
        <x:v>1091</x:v>
      </x:c>
      <x:c r="B4" s="430"/>
      <x:c r="C4" s="430"/>
      <x:c r="D4" s="430"/>
      <x:c r="E4" s="430"/>
      <x:c r="F4" s="430"/>
      <x:c r="G4" s="430"/>
    </x:row>
    <x:row r="5" ht="57" customHeight="1">
      <x:c r="A5" s="261">
        <x:v>1</x:v>
      </x:c>
      <x:c r="B5" s="261" t="s">
        <x:v>10</x:v>
      </x:c>
      <x:c r="C5" s="261" t="s">
        <x:v>11</x:v>
      </x:c>
      <x:c r="D5" s="261" t="s">
        <x:v>1092</x:v>
      </x:c>
      <x:c r="E5" s="261" t="s">
        <x:v>1093</x:v>
      </x:c>
      <x:c r="F5" s="261" t="s">
        <x:v>1094</x:v>
      </x:c>
      <x:c r="G5" s="261" t="s">
        <x:v>1095</x:v>
      </x:c>
      <x:c r="H5" s="1071" t="str">
        <x:v>RF65 POST-MVP · CONDICIONADO A APROBACIÓN. Detalle mantenimiento: no operar por selector normal si vehículo ELIMINADO; conservar datos del mantenimiento sin borrado en cascada. Sin aprobación no aplicar filtros ni cambios de BD por RF65.</x:v>
      </x:c>
    </x:row>
    <x:row r="6" ht="57" customHeight="1">
      <x:c r="A6" s="263">
        <x:v>2</x:v>
      </x:c>
      <x:c r="B6" s="263" t="s">
        <x:v>10</x:v>
      </x:c>
      <x:c r="C6" s="263" t="s">
        <x:v>1093</x:v>
      </x:c>
      <x:c r="D6" s="263" t="s">
        <x:v>1092</x:v>
      </x:c>
      <x:c r="E6" s="263" t="s">
        <x:v>1010</x:v>
      </x:c>
      <x:c r="F6" s="263" t="s">
        <x:v>1096</x:v>
      </x:c>
      <x:c r="G6" s="263" t="s">
        <x:v>1097</x:v>
      </x:c>
    </x:row>
    <x:row r="7" ht="28.799999237060547" customHeight="1">
      <x:c r="A7" s="430" t="s">
        <x:v>1098</x:v>
      </x:c>
      <x:c r="B7" s="430"/>
      <x:c r="C7" s="430"/>
      <x:c r="D7" s="430"/>
      <x:c r="E7" s="430"/>
      <x:c r="F7" s="430"/>
      <x:c r="G7" s="430"/>
    </x:row>
    <x:row r="8" ht="57" customHeight="1">
      <x:c r="A8" s="261">
        <x:v>3</x:v>
      </x:c>
      <x:c r="B8" s="261" t="s">
        <x:v>33</x:v>
      </x:c>
      <x:c r="C8" s="261" t="s">
        <x:v>1010</x:v>
      </x:c>
      <x:c r="D8" s="261" t="s">
        <x:v>1092</x:v>
      </x:c>
      <x:c r="E8" s="261" t="s">
        <x:v>1099</x:v>
      </x:c>
      <x:c r="F8" s="261" t="s">
        <x:v>1100</x:v>
      </x:c>
      <x:c r="G8" s="261" t="s">
        <x:v>1101</x:v>
      </x:c>
    </x:row>
    <x:row r="9" ht="57" customHeight="1">
      <x:c r="A9" s="263">
        <x:v>4</x:v>
      </x:c>
      <x:c r="B9" s="263" t="s">
        <x:v>33</x:v>
      </x:c>
      <x:c r="C9" s="263" t="s">
        <x:v>1099</x:v>
      </x:c>
      <x:c r="D9" s="263" t="s">
        <x:v>1102</x:v>
      </x:c>
      <x:c r="E9" s="263" t="s">
        <x:v>1010</x:v>
      </x:c>
      <x:c r="F9" s="263" t="s">
        <x:v>1103</x:v>
      </x:c>
      <x:c r="G9" s="263" t="s">
        <x:v>1104</x:v>
      </x:c>
    </x:row>
    <x:row r="10" ht="28.799999237060547" customHeight="1">
      <x:c r="A10" s="430" t="s">
        <x:v>1105</x:v>
      </x:c>
      <x:c r="B10" s="430"/>
      <x:c r="C10" s="430"/>
      <x:c r="D10" s="430"/>
      <x:c r="E10" s="430"/>
      <x:c r="F10" s="430"/>
      <x:c r="G10" s="430"/>
    </x:row>
    <x:row r="11" ht="57" customHeight="1">
      <x:c r="A11" s="261">
        <x:v>5</x:v>
      </x:c>
      <x:c r="B11" s="261" t="s">
        <x:v>63</x:v>
      </x:c>
      <x:c r="C11" s="261" t="s">
        <x:v>1010</x:v>
      </x:c>
      <x:c r="D11" s="261" t="s">
        <x:v>1092</x:v>
      </x:c>
      <x:c r="E11" s="261" t="s">
        <x:v>908</x:v>
      </x:c>
      <x:c r="F11" s="261" t="s">
        <x:v>1106</x:v>
      </x:c>
      <x:c r="G11" s="261" t="s">
        <x:v>1107</x:v>
      </x:c>
    </x:row>
    <x:row r="12" ht="57" customHeight="1">
      <x:c r="A12" s="263">
        <x:v>6</x:v>
      </x:c>
      <x:c r="B12" s="263" t="s">
        <x:v>63</x:v>
      </x:c>
      <x:c r="C12" s="263" t="s">
        <x:v>908</x:v>
      </x:c>
      <x:c r="D12" s="263" t="s">
        <x:v>1092</x:v>
      </x:c>
      <x:c r="E12" s="263" t="s">
        <x:v>440</x:v>
      </x:c>
      <x:c r="F12" s="263" t="s">
        <x:v>1108</x:v>
      </x:c>
      <x:c r="G12" s="263" t="s">
        <x:v>1109</x:v>
      </x:c>
    </x:row>
    <x:row r="13" ht="57" customHeight="1">
      <x:c r="A13" s="261">
        <x:v>7</x:v>
      </x:c>
      <x:c r="B13" s="261" t="s">
        <x:v>63</x:v>
      </x:c>
      <x:c r="C13" s="261" t="s">
        <x:v>440</x:v>
      </x:c>
      <x:c r="D13" s="261" t="s">
        <x:v>1102</x:v>
      </x:c>
      <x:c r="E13" s="261" t="s">
        <x:v>908</x:v>
      </x:c>
      <x:c r="F13" s="261" t="s">
        <x:v>1110</x:v>
      </x:c>
      <x:c r="G13" s="261" t="s">
        <x:v>1111</x:v>
      </x:c>
    </x:row>
    <x:row r="14" ht="57" customHeight="1">
      <x:c r="A14" s="263">
        <x:v>8</x:v>
      </x:c>
      <x:c r="B14" s="263" t="s">
        <x:v>63</x:v>
      </x:c>
      <x:c r="C14" s="263" t="s">
        <x:v>908</x:v>
      </x:c>
      <x:c r="D14" s="263" t="s">
        <x:v>1102</x:v>
      </x:c>
      <x:c r="E14" s="263" t="s">
        <x:v>1010</x:v>
      </x:c>
      <x:c r="F14" s="263" t="s">
        <x:v>1110</x:v>
      </x:c>
      <x:c r="G14" s="263" t="s">
        <x:v>1112</x:v>
      </x:c>
    </x:row>
    <x:row r="15" ht="28.799999237060547" customHeight="1">
      <x:c r="A15" s="430" t="s">
        <x:v>1113</x:v>
      </x:c>
      <x:c r="B15" s="430"/>
      <x:c r="C15" s="430"/>
      <x:c r="D15" s="430"/>
      <x:c r="E15" s="430"/>
      <x:c r="F15" s="430"/>
      <x:c r="G15" s="430"/>
    </x:row>
    <x:row r="16" ht="57" customHeight="1">
      <x:c r="A16" s="261">
        <x:v>9</x:v>
      </x:c>
      <x:c r="B16" s="261" t="s">
        <x:v>81</x:v>
      </x:c>
      <x:c r="C16" s="261" t="s">
        <x:v>1010</x:v>
      </x:c>
      <x:c r="D16" s="261" t="s">
        <x:v>1092</x:v>
      </x:c>
      <x:c r="E16" s="261" t="s">
        <x:v>1114</x:v>
      </x:c>
      <x:c r="F16" s="261" t="s">
        <x:v>1115</x:v>
      </x:c>
      <x:c r="G16" s="261" t="s">
        <x:v>1116</x:v>
      </x:c>
    </x:row>
    <x:row r="17" ht="57" customHeight="1">
      <x:c r="A17" s="263">
        <x:v>10</x:v>
      </x:c>
      <x:c r="B17" s="263" t="s">
        <x:v>81</x:v>
      </x:c>
      <x:c r="C17" s="263" t="s">
        <x:v>1114</x:v>
      </x:c>
      <x:c r="D17" s="263" t="s">
        <x:v>1092</x:v>
      </x:c>
      <x:c r="E17" s="263" t="s">
        <x:v>1117</x:v>
      </x:c>
      <x:c r="F17" s="263" t="s">
        <x:v>1118</x:v>
      </x:c>
      <x:c r="G17" s="263" t="s">
        <x:v>1119</x:v>
      </x:c>
    </x:row>
    <x:row r="18" ht="57" customHeight="1">
      <x:c r="A18" s="261">
        <x:v>11</x:v>
      </x:c>
      <x:c r="B18" s="261" t="s">
        <x:v>81</x:v>
      </x:c>
      <x:c r="C18" s="261" t="s">
        <x:v>1117</x:v>
      </x:c>
      <x:c r="D18" s="261" t="s">
        <x:v>1102</x:v>
      </x:c>
      <x:c r="E18" s="261" t="s">
        <x:v>1114</x:v>
      </x:c>
      <x:c r="F18" s="261" t="s">
        <x:v>1120</x:v>
      </x:c>
      <x:c r="G18" s="261" t="s">
        <x:v>1121</x:v>
      </x:c>
    </x:row>
    <x:row r="19" ht="57" customHeight="1">
      <x:c r="A19" s="263">
        <x:v>12</x:v>
      </x:c>
      <x:c r="B19" s="263" t="s">
        <x:v>81</x:v>
      </x:c>
      <x:c r="C19" s="263" t="s">
        <x:v>1114</x:v>
      </x:c>
      <x:c r="D19" s="263" t="s">
        <x:v>1102</x:v>
      </x:c>
      <x:c r="E19" s="263" t="s">
        <x:v>1010</x:v>
      </x:c>
      <x:c r="F19" s="263" t="s">
        <x:v>1122</x:v>
      </x:c>
      <x:c r="G19" s="263" t="s">
        <x:v>1123</x:v>
      </x:c>
    </x:row>
    <x:row r="20" ht="28.799999237060547" customHeight="1">
      <x:c r="A20" s="430" t="s">
        <x:v>1124</x:v>
      </x:c>
      <x:c r="B20" s="430"/>
      <x:c r="C20" s="430"/>
      <x:c r="D20" s="430"/>
      <x:c r="E20" s="430"/>
      <x:c r="F20" s="430"/>
      <x:c r="G20" s="430"/>
    </x:row>
    <x:row r="21" ht="57" customHeight="1">
      <x:c r="A21" s="261">
        <x:v>13</x:v>
      </x:c>
      <x:c r="B21" s="261" t="s">
        <x:v>110</x:v>
      </x:c>
      <x:c r="C21" s="261" t="s">
        <x:v>1010</x:v>
      </x:c>
      <x:c r="D21" s="261" t="s">
        <x:v>1092</x:v>
      </x:c>
      <x:c r="E21" s="261" t="s">
        <x:v>1125</x:v>
      </x:c>
      <x:c r="F21" s="261" t="s">
        <x:v>1126</x:v>
      </x:c>
      <x:c r="G21" s="261" t="s">
        <x:v>1127</x:v>
      </x:c>
    </x:row>
    <x:row r="22" ht="57" customHeight="1">
      <x:c r="A22" s="263">
        <x:v>14</x:v>
      </x:c>
      <x:c r="B22" s="263" t="s">
        <x:v>110</x:v>
      </x:c>
      <x:c r="C22" s="263" t="s">
        <x:v>1125</x:v>
      </x:c>
      <x:c r="D22" s="263" t="s">
        <x:v>1092</x:v>
      </x:c>
      <x:c r="E22" s="263" t="s">
        <x:v>1128</x:v>
      </x:c>
      <x:c r="F22" s="263" t="s">
        <x:v>1129</x:v>
      </x:c>
      <x:c r="G22" s="263" t="s">
        <x:v>1130</x:v>
      </x:c>
    </x:row>
    <x:row r="23" ht="57" customHeight="1">
      <x:c r="A23" s="261">
        <x:v>15</x:v>
      </x:c>
      <x:c r="B23" s="261" t="s">
        <x:v>110</x:v>
      </x:c>
      <x:c r="C23" s="261" t="s">
        <x:v>1128</x:v>
      </x:c>
      <x:c r="D23" s="261" t="s">
        <x:v>1102</x:v>
      </x:c>
      <x:c r="E23" s="261" t="s">
        <x:v>1125</x:v>
      </x:c>
      <x:c r="F23" s="261" t="s">
        <x:v>1131</x:v>
      </x:c>
      <x:c r="G23" s="261" t="str">
        <x:v>La entidad asociativa E_MantenimientoRepuesto devuelve los id_repuesto vinculados y sus datos históricos del mantenimiento: nombre_snapshot (nombre utilizado al registrar), cantidad y precio_unitario opcional. El nombre histórico ya está disponible en esta relación.</x:v>
      </x:c>
    </x:row>
    <x:row r="24" ht="57" customHeight="1">
      <x:c r="A24" s="263">
        <x:v>16</x:v>
      </x:c>
      <x:c r="B24" s="263" t="s">
        <x:v>110</x:v>
      </x:c>
      <x:c r="C24" s="263" t="s">
        <x:v>1125</x:v>
      </x:c>
      <x:c r="D24" s="263" t="s">
        <x:v>1092</x:v>
      </x:c>
      <x:c r="E24" s="263" t="s">
        <x:v>1132</x:v>
      </x:c>
      <x:c r="F24" s="263" t="s">
        <x:v>1133</x:v>
      </x:c>
      <x:c r="G24" s="263" t="s">
        <x:v>1134</x:v>
      </x:c>
    </x:row>
    <x:row r="25" ht="57" customHeight="1">
      <x:c r="A25" s="261">
        <x:v>17</x:v>
      </x:c>
      <x:c r="B25" s="261" t="s">
        <x:v>110</x:v>
      </x:c>
      <x:c r="C25" s="261" t="s">
        <x:v>1132</x:v>
      </x:c>
      <x:c r="D25" s="261" t="s">
        <x:v>1102</x:v>
      </x:c>
      <x:c r="E25" s="261" t="s">
        <x:v>1125</x:v>
      </x:c>
      <x:c r="F25" s="261" t="s">
        <x:v>1135</x:v>
      </x:c>
      <x:c r="G25" s="261" t="str">
        <x:v>E_Repuesto devuelve la ficha actual del repuesto, incluida su marca y, si se consulta, su nombre actual. Este nombre actual es informativo y NO sustituye el nombre_snapshot histórico guardado en E_MantenimientoRepuesto. No se modifica el catálogo.</x:v>
      </x:c>
    </x:row>
    <x:row r="26" ht="57" customHeight="1">
      <x:c r="A26" s="263">
        <x:v>18</x:v>
      </x:c>
      <x:c r="B26" s="263" t="s">
        <x:v>110</x:v>
      </x:c>
      <x:c r="C26" s="263" t="s">
        <x:v>1125</x:v>
      </x:c>
      <x:c r="D26" s="263" t="s">
        <x:v>1102</x:v>
      </x:c>
      <x:c r="E26" s="263" t="s">
        <x:v>1010</x:v>
      </x:c>
      <x:c r="F26" s="263" t="s">
        <x:v>1136</x:v>
      </x:c>
      <x:c r="G26" s="263" t="str">
        <x:v>Integra el nombre histórico desde E_MantenimientoRepuesto.nombre_snapshot, cantidad y precio unitario histórico opcional de la misma asociación, y marca actual desde E_Repuesto. NO sustituir nombre_snapshot por repuesto.nombre. Si no existen asociaciones, retorna lista_repuestos_detalle=[] y la vista indica «Sin repuestos». Todo es de solo lectura.</x:v>
      </x:c>
    </x:row>
    <x:row r="27" ht="28.799999237060547" customHeight="1">
      <x:c r="A27" s="430" t="s">
        <x:v>1137</x:v>
      </x:c>
      <x:c r="B27" s="430"/>
      <x:c r="C27" s="430"/>
      <x:c r="D27" s="430"/>
      <x:c r="E27" s="430"/>
      <x:c r="F27" s="430"/>
      <x:c r="G27" s="430"/>
    </x:row>
    <x:row r="28" ht="57" customHeight="1">
      <x:c r="A28" s="261">
        <x:v>19</x:v>
      </x:c>
      <x:c r="B28" s="261" t="s">
        <x:v>143</x:v>
      </x:c>
      <x:c r="C28" s="261" t="s">
        <x:v>1010</x:v>
      </x:c>
      <x:c r="D28" s="261" t="s">
        <x:v>404</x:v>
      </x:c>
      <x:c r="E28" s="261" t="s">
        <x:v>1010</x:v>
      </x:c>
      <x:c r="F28" s="261" t="s">
        <x:v>1138</x:v>
      </x:c>
      <x:c r="G28" s="261" t="s">
        <x:v>1139</x:v>
      </x:c>
    </x:row>
    <x:row r="29" ht="57" customHeight="1">
      <x:c r="A29" s="263">
        <x:v>20</x:v>
      </x:c>
      <x:c r="B29" s="263" t="s">
        <x:v>143</x:v>
      </x:c>
      <x:c r="C29" s="263" t="s">
        <x:v>1010</x:v>
      </x:c>
      <x:c r="D29" s="263" t="s">
        <x:v>404</x:v>
      </x:c>
      <x:c r="E29" s="263" t="s">
        <x:v>1010</x:v>
      </x:c>
      <x:c r="F29" s="263" t="s">
        <x:v>1140</x:v>
      </x:c>
      <x:c r="G29" s="263" t="s">
        <x:v>1141</x:v>
      </x:c>
    </x:row>
    <x:row r="30" ht="57" customHeight="1">
      <x:c r="A30" s="261">
        <x:v>21</x:v>
      </x:c>
      <x:c r="B30" s="261" t="s">
        <x:v>143</x:v>
      </x:c>
      <x:c r="C30" s="261" t="s">
        <x:v>1010</x:v>
      </x:c>
      <x:c r="D30" s="261" t="s">
        <x:v>1092</x:v>
      </x:c>
      <x:c r="E30" s="261" t="s">
        <x:v>1142</x:v>
      </x:c>
      <x:c r="F30" s="261" t="s">
        <x:v>1143</x:v>
      </x:c>
      <x:c r="G30" s="261" t="s">
        <x:v>1144</x:v>
      </x:c>
    </x:row>
    <x:row r="31" ht="57" customHeight="1">
      <x:c r="A31" s="263">
        <x:v>22</x:v>
      </x:c>
      <x:c r="B31" s="263" t="s">
        <x:v>143</x:v>
      </x:c>
      <x:c r="C31" s="263" t="s">
        <x:v>1142</x:v>
      </x:c>
      <x:c r="D31" s="263" t="s">
        <x:v>1092</x:v>
      </x:c>
      <x:c r="E31" s="263" t="s">
        <x:v>11</x:v>
      </x:c>
      <x:c r="F31" s="263" t="s">
        <x:v>1145</x:v>
      </x:c>
      <x:c r="G31" s="263" t="s">
        <x:v>1146</x:v>
      </x:c>
    </x:row>
  </x:sheetData>
  <x:mergeCells>
    <x:mergeCell ref="A15:G15"/>
    <x:mergeCell ref="A20:G20"/>
    <x:mergeCell ref="A27:G27"/>
    <x:mergeCell ref="A1:G1"/>
    <x:mergeCell ref="A2:G2"/>
    <x:mergeCell ref="A4:G4"/>
    <x:mergeCell ref="A7:G7"/>
    <x:mergeCell ref="A10:G10"/>
  </x:mergeCells>
  <x:pageMargins left="0.7" right="0.7" top="0.75" bottom="0.75" header="0.3" footer="0.3"/>
</x:worksheet>
</file>

<file path=xl/worksheets/sheet17.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1147</x:v>
      </x:c>
      <x:c r="B1" s="431"/>
      <x:c r="C1" s="431"/>
      <x:c r="D1" s="431"/>
      <x:c r="E1" s="431"/>
      <x:c r="F1" s="431"/>
      <x:c r="G1" s="431"/>
    </x:row>
    <x:row r="2" ht="49.20000076293945" customHeight="1">
      <x:c r="A2" s="3" t="s">
        <x:v>1148</x:v>
      </x:c>
      <x:c r="B2" s="3"/>
      <x:c r="C2" s="3"/>
      <x:c r="D2" s="3"/>
      <x:c r="E2" s="3"/>
      <x:c r="F2" s="3"/>
      <x:c r="G2" s="3"/>
    </x:row>
    <x:row r="3" ht="31.049999237060547" customHeight="1">
      <x:c r="A3" s="262" t="s">
        <x:v>2</x:v>
      </x:c>
      <x:c r="B3" s="262" t="s">
        <x:v>3</x:v>
      </x:c>
      <x:c r="C3" s="262" t="s">
        <x:v>4</x:v>
      </x:c>
      <x:c r="D3" s="262" t="s">
        <x:v>5</x:v>
      </x:c>
      <x:c r="E3" s="262" t="s">
        <x:v>6</x:v>
      </x:c>
      <x:c r="F3" s="262" t="s">
        <x:v>7</x:v>
      </x:c>
      <x:c r="G3" s="262" t="s">
        <x:v>8</x:v>
      </x:c>
      <x:c r="H3" t="str">
        <x:v>CONDICIÓN RF65 (NO MVP)</x:v>
      </x:c>
    </x:row>
    <x:row r="4" ht="28.799999237060547" customHeight="1">
      <x:c r="A4" s="430" t="s">
        <x:v>1149</x:v>
      </x:c>
      <x:c r="B4" s="430"/>
      <x:c r="C4" s="430"/>
      <x:c r="D4" s="430"/>
      <x:c r="E4" s="430"/>
      <x:c r="F4" s="430"/>
      <x:c r="G4" s="430"/>
    </x:row>
    <x:row r="5" ht="57" customHeight="1">
      <x:c r="A5" s="261">
        <x:v>1</x:v>
      </x:c>
      <x:c r="B5" s="261" t="s">
        <x:v>10</x:v>
      </x:c>
      <x:c r="C5" s="261" t="s">
        <x:v>11</x:v>
      </x:c>
      <x:c r="D5" s="261" t="s">
        <x:v>1092</x:v>
      </x:c>
      <x:c r="E5" s="261" t="s">
        <x:v>1142</x:v>
      </x:c>
      <x:c r="F5" s="261" t="s">
        <x:v>1150</x:v>
      </x:c>
      <x:c r="G5" s="261" t="s">
        <x:v>1151</x:v>
      </x:c>
      <x:c r="H5" s="1071" t="str">
        <x:v>RF65 POST-MVP · CONDICIONADO A APROBACIÓN. Modificar mantenimiento: impedir escrituras de servicios de vehículo ELIMINADO; conservar registros ya efectuados. Sin aprobación no aplicar filtros ni cambios de BD por RF65.</x:v>
      </x:c>
    </x:row>
    <x:row r="6" ht="57" customHeight="1">
      <x:c r="A6" s="263">
        <x:v>2</x:v>
      </x:c>
      <x:c r="B6" s="263" t="s">
        <x:v>10</x:v>
      </x:c>
      <x:c r="C6" s="263" t="s">
        <x:v>1142</x:v>
      </x:c>
      <x:c r="D6" s="263" t="s">
        <x:v>1092</x:v>
      </x:c>
      <x:c r="E6" s="263" t="s">
        <x:v>1152</x:v>
      </x:c>
      <x:c r="F6" s="263" t="s">
        <x:v>1153</x:v>
      </x:c>
      <x:c r="G6" s="263" t="s">
        <x:v>1154</x:v>
      </x:c>
    </x:row>
    <x:row r="7" ht="57" customHeight="1">
      <x:c r="A7" s="261">
        <x:v>3</x:v>
      </x:c>
      <x:c r="B7" s="261" t="s">
        <x:v>10</x:v>
      </x:c>
      <x:c r="C7" s="261" t="s">
        <x:v>1152</x:v>
      </x:c>
      <x:c r="D7" s="261" t="s">
        <x:v>1092</x:v>
      </x:c>
      <x:c r="E7" s="261" t="s">
        <x:v>1099</x:v>
      </x:c>
      <x:c r="F7" s="261" t="s">
        <x:v>1155</x:v>
      </x:c>
      <x:c r="G7" s="261" t="s">
        <x:v>1156</x:v>
      </x:c>
    </x:row>
    <x:row r="8" ht="57" customHeight="1">
      <x:c r="A8" s="263">
        <x:v>4</x:v>
      </x:c>
      <x:c r="B8" s="263" t="s">
        <x:v>10</x:v>
      </x:c>
      <x:c r="C8" s="263" t="s">
        <x:v>1099</x:v>
      </x:c>
      <x:c r="D8" s="263" t="s">
        <x:v>1102</x:v>
      </x:c>
      <x:c r="E8" s="263" t="s">
        <x:v>1152</x:v>
      </x:c>
      <x:c r="F8" s="263" t="s">
        <x:v>1157</x:v>
      </x:c>
      <x:c r="G8" s="263" t="s">
        <x:v>1158</x:v>
      </x:c>
    </x:row>
    <x:row r="9" ht="57" customHeight="1">
      <x:c r="A9" s="261">
        <x:v>5</x:v>
      </x:c>
      <x:c r="B9" s="261" t="s">
        <x:v>10</x:v>
      </x:c>
      <x:c r="C9" s="261" t="s">
        <x:v>1152</x:v>
      </x:c>
      <x:c r="D9" s="261" t="s">
        <x:v>404</x:v>
      </x:c>
      <x:c r="E9" s="261" t="s">
        <x:v>1152</x:v>
      </x:c>
      <x:c r="F9" s="261" t="s">
        <x:v>1159</x:v>
      </x:c>
      <x:c r="G9" s="261" t="s">
        <x:v>1160</x:v>
      </x:c>
    </x:row>
    <x:row r="10" ht="57" customHeight="1">
      <x:c r="A10" s="263">
        <x:v>6</x:v>
      </x:c>
      <x:c r="B10" s="263" t="s">
        <x:v>10</x:v>
      </x:c>
      <x:c r="C10" s="263" t="s">
        <x:v>1152</x:v>
      </x:c>
      <x:c r="D10" s="263" t="s">
        <x:v>1092</x:v>
      </x:c>
      <x:c r="E10" s="263" t="s">
        <x:v>908</x:v>
      </x:c>
      <x:c r="F10" s="263" t="s">
        <x:v>1161</x:v>
      </x:c>
      <x:c r="G10" s="263" t="s">
        <x:v>1162</x:v>
      </x:c>
    </x:row>
    <x:row r="11" ht="57" customHeight="1">
      <x:c r="A11" s="261">
        <x:v>7</x:v>
      </x:c>
      <x:c r="B11" s="261" t="s">
        <x:v>10</x:v>
      </x:c>
      <x:c r="C11" s="261" t="s">
        <x:v>908</x:v>
      </x:c>
      <x:c r="D11" s="261" t="s">
        <x:v>1092</x:v>
      </x:c>
      <x:c r="E11" s="261" t="s">
        <x:v>440</x:v>
      </x:c>
      <x:c r="F11" s="261" t="s">
        <x:v>1163</x:v>
      </x:c>
      <x:c r="G11" s="261" t="s">
        <x:v>1164</x:v>
      </x:c>
    </x:row>
    <x:row r="12" ht="57" customHeight="1">
      <x:c r="A12" s="263">
        <x:v>8</x:v>
      </x:c>
      <x:c r="B12" s="263" t="s">
        <x:v>10</x:v>
      </x:c>
      <x:c r="C12" s="263" t="s">
        <x:v>440</x:v>
      </x:c>
      <x:c r="D12" s="263" t="s">
        <x:v>1102</x:v>
      </x:c>
      <x:c r="E12" s="263" t="s">
        <x:v>908</x:v>
      </x:c>
      <x:c r="F12" s="263" t="s">
        <x:v>1165</x:v>
      </x:c>
      <x:c r="G12" s="263" t="s">
        <x:v>1166</x:v>
      </x:c>
    </x:row>
    <x:row r="13" ht="57" customHeight="1">
      <x:c r="A13" s="261">
        <x:v>9</x:v>
      </x:c>
      <x:c r="B13" s="261" t="s">
        <x:v>10</x:v>
      </x:c>
      <x:c r="C13" s="261" t="s">
        <x:v>908</x:v>
      </x:c>
      <x:c r="D13" s="261" t="s">
        <x:v>1102</x:v>
      </x:c>
      <x:c r="E13" s="261" t="s">
        <x:v>1152</x:v>
      </x:c>
      <x:c r="F13" s="261" t="s">
        <x:v>1167</x:v>
      </x:c>
      <x:c r="G13" s="261" t="s">
        <x:v>1168</x:v>
      </x:c>
    </x:row>
    <x:row r="14" ht="28.799999237060547" customHeight="1">
      <x:c r="A14" s="430" t="s">
        <x:v>1169</x:v>
      </x:c>
      <x:c r="B14" s="430"/>
      <x:c r="C14" s="430"/>
      <x:c r="D14" s="430"/>
      <x:c r="E14" s="430"/>
      <x:c r="F14" s="430"/>
      <x:c r="G14" s="430"/>
    </x:row>
    <x:row r="15" ht="57" customHeight="1">
      <x:c r="A15" s="263">
        <x:v>10</x:v>
      </x:c>
      <x:c r="B15" s="263" t="s">
        <x:v>33</x:v>
      </x:c>
      <x:c r="C15" s="263" t="s">
        <x:v>1152</x:v>
      </x:c>
      <x:c r="D15" s="263" t="s">
        <x:v>1092</x:v>
      </x:c>
      <x:c r="E15" s="263" t="s">
        <x:v>1125</x:v>
      </x:c>
      <x:c r="F15" s="263" t="s">
        <x:v>1170</x:v>
      </x:c>
      <x:c r="G15" s="263" t="s">
        <x:v>1171</x:v>
      </x:c>
    </x:row>
    <x:row r="16" ht="57" customHeight="1">
      <x:c r="A16" s="261">
        <x:v>11</x:v>
      </x:c>
      <x:c r="B16" s="261" t="s">
        <x:v>33</x:v>
      </x:c>
      <x:c r="C16" s="261" t="s">
        <x:v>1125</x:v>
      </x:c>
      <x:c r="D16" s="261" t="s">
        <x:v>1092</x:v>
      </x:c>
      <x:c r="E16" s="261" t="s">
        <x:v>1128</x:v>
      </x:c>
      <x:c r="F16" s="261" t="s">
        <x:v>1172</x:v>
      </x:c>
      <x:c r="G16" s="261" t="str">
        <x:v>Consulta de SOLO LECTURA por id_mantenimiento mediante JOIN entre E_MantenimientoRepuesto (id_repuesto, nombre_snapshot histórico, cantidad y precio_unitario histórico opcional) y E_Repuesto (marca actual y demás datos de ficha). El nombre que se muestra es E_MantenimientoRepuesto.nombre_snapshot, NO repuesto.nombre actual. La consulta encapsulada no altera las entidades; sin asociaciones devuelve [].</x:v>
      </x:c>
    </x:row>
    <x:row r="17" ht="57" customHeight="1">
      <x:c r="A17" s="263">
        <x:v>12</x:v>
      </x:c>
      <x:c r="B17" s="263" t="s">
        <x:v>33</x:v>
      </x:c>
      <x:c r="C17" s="263" t="s">
        <x:v>1128</x:v>
      </x:c>
      <x:c r="D17" s="263" t="s">
        <x:v>1102</x:v>
      </x:c>
      <x:c r="E17" s="263" t="s">
        <x:v>1125</x:v>
      </x:c>
      <x:c r="F17" s="263" t="s">
        <x:v>1136</x:v>
      </x:c>
      <x:c r="G17" s="263" t="str">
        <x:v>Retorna lista_repuestos_detalle usando nombre histórico de E_MantenimientoRepuesto.nombre_snapshot, cantidad y precio histórico de esa asociación, y marca actual de E_Repuesto; devuelve [] si no había relaciones. En RF20 todos esos datos permanecen en solo lectura y no se modifican asociaciones.</x:v>
      </x:c>
    </x:row>
    <x:row r="18" ht="57" customHeight="1">
      <x:c r="A18" s="261">
        <x:v>13</x:v>
      </x:c>
      <x:c r="B18" s="261" t="s">
        <x:v>33</x:v>
      </x:c>
      <x:c r="C18" s="261" t="s">
        <x:v>1125</x:v>
      </x:c>
      <x:c r="D18" s="261" t="s">
        <x:v>1102</x:v>
      </x:c>
      <x:c r="E18" s="261" t="s">
        <x:v>1152</x:v>
      </x:c>
      <x:c r="F18" s="261" t="s">
        <x:v>1173</x:v>
      </x:c>
      <x:c r="G18" s="261" t="s">
        <x:v>1174</x:v>
      </x:c>
    </x:row>
    <x:row r="19" ht="57" customHeight="1">
      <x:c r="A19" s="263">
        <x:v>14</x:v>
      </x:c>
      <x:c r="B19" s="263" t="s">
        <x:v>33</x:v>
      </x:c>
      <x:c r="C19" s="263" t="s">
        <x:v>1152</x:v>
      </x:c>
      <x:c r="D19" s="263" t="s">
        <x:v>1092</x:v>
      </x:c>
      <x:c r="E19" s="263" t="s">
        <x:v>1114</x:v>
      </x:c>
      <x:c r="F19" s="263" t="s">
        <x:v>1175</x:v>
      </x:c>
      <x:c r="G19" s="263" t="s">
        <x:v>1176</x:v>
      </x:c>
    </x:row>
    <x:row r="20" ht="57" customHeight="1">
      <x:c r="A20" s="261">
        <x:v>15</x:v>
      </x:c>
      <x:c r="B20" s="261" t="s">
        <x:v>33</x:v>
      </x:c>
      <x:c r="C20" s="261" t="s">
        <x:v>1114</x:v>
      </x:c>
      <x:c r="D20" s="261" t="s">
        <x:v>1092</x:v>
      </x:c>
      <x:c r="E20" s="261" t="s">
        <x:v>1117</x:v>
      </x:c>
      <x:c r="F20" s="261" t="s">
        <x:v>1177</x:v>
      </x:c>
      <x:c r="G20" s="261" t="s">
        <x:v>1178</x:v>
      </x:c>
    </x:row>
    <x:row r="21" ht="57" customHeight="1">
      <x:c r="A21" s="263">
        <x:v>16</x:v>
      </x:c>
      <x:c r="B21" s="263" t="s">
        <x:v>33</x:v>
      </x:c>
      <x:c r="C21" s="263" t="s">
        <x:v>1117</x:v>
      </x:c>
      <x:c r="D21" s="263" t="s">
        <x:v>1102</x:v>
      </x:c>
      <x:c r="E21" s="263" t="s">
        <x:v>1114</x:v>
      </x:c>
      <x:c r="F21" s="263" t="s">
        <x:v>1179</x:v>
      </x:c>
      <x:c r="G21" s="263" t="s">
        <x:v>1180</x:v>
      </x:c>
    </x:row>
    <x:row r="22" ht="57" customHeight="1">
      <x:c r="A22" s="261">
        <x:v>17</x:v>
      </x:c>
      <x:c r="B22" s="261" t="s">
        <x:v>33</x:v>
      </x:c>
      <x:c r="C22" s="261" t="s">
        <x:v>1114</x:v>
      </x:c>
      <x:c r="D22" s="261" t="s">
        <x:v>1102</x:v>
      </x:c>
      <x:c r="E22" s="261" t="s">
        <x:v>1152</x:v>
      </x:c>
      <x:c r="F22" s="261" t="s">
        <x:v>1181</x:v>
      </x:c>
      <x:c r="G22" s="261" t="s">
        <x:v>1182</x:v>
      </x:c>
    </x:row>
    <x:row r="23" ht="57" customHeight="1">
      <x:c r="A23" s="263">
        <x:v>18</x:v>
      </x:c>
      <x:c r="B23" s="263" t="s">
        <x:v>33</x:v>
      </x:c>
      <x:c r="C23" s="263" t="s">
        <x:v>1152</x:v>
      </x:c>
      <x:c r="D23" s="263" t="s">
        <x:v>1092</x:v>
      </x:c>
      <x:c r="E23" s="263" t="s">
        <x:v>1183</x:v>
      </x:c>
      <x:c r="F23" s="263" t="s">
        <x:v>1184</x:v>
      </x:c>
      <x:c r="G23" s="263" t="s">
        <x:v>1185</x:v>
      </x:c>
    </x:row>
    <x:row r="24" ht="57" customHeight="1">
      <x:c r="A24" s="261">
        <x:v>19</x:v>
      </x:c>
      <x:c r="B24" s="261" t="s">
        <x:v>33</x:v>
      </x:c>
      <x:c r="C24" s="261" t="s">
        <x:v>1183</x:v>
      </x:c>
      <x:c r="D24" s="261" t="s">
        <x:v>1092</x:v>
      </x:c>
      <x:c r="E24" s="261" t="s">
        <x:v>11</x:v>
      </x:c>
      <x:c r="F24" s="261" t="s">
        <x:v>1186</x:v>
      </x:c>
      <x:c r="G24" s="261" t="s">
        <x:v>1187</x:v>
      </x:c>
    </x:row>
    <x:row r="25" ht="28.799999237060547" customHeight="1">
      <x:c r="A25" s="430" t="s">
        <x:v>1188</x:v>
      </x:c>
      <x:c r="B25" s="430"/>
      <x:c r="C25" s="430"/>
      <x:c r="D25" s="430"/>
      <x:c r="E25" s="430"/>
      <x:c r="F25" s="430"/>
      <x:c r="G25" s="430"/>
    </x:row>
    <x:row r="26" ht="57" customHeight="1">
      <x:c r="A26" s="263">
        <x:v>20</x:v>
      </x:c>
      <x:c r="B26" s="263" t="s">
        <x:v>63</x:v>
      </x:c>
      <x:c r="C26" s="263" t="s">
        <x:v>11</x:v>
      </x:c>
      <x:c r="D26" s="263" t="s">
        <x:v>1092</x:v>
      </x:c>
      <x:c r="E26" s="263" t="s">
        <x:v>1183</x:v>
      </x:c>
      <x:c r="F26" s="263" t="s">
        <x:v>1189</x:v>
      </x:c>
      <x:c r="G26" s="263" t="s">
        <x:v>1190</x:v>
      </x:c>
    </x:row>
    <x:row r="27" ht="57" customHeight="1">
      <x:c r="A27" s="261">
        <x:v>21</x:v>
      </x:c>
      <x:c r="B27" s="261" t="s">
        <x:v>63</x:v>
      </x:c>
      <x:c r="C27" s="261" t="s">
        <x:v>1183</x:v>
      </x:c>
      <x:c r="D27" s="261" t="s">
        <x:v>1092</x:v>
      </x:c>
      <x:c r="E27" s="261" t="s">
        <x:v>1152</x:v>
      </x:c>
      <x:c r="F27" s="261" t="s">
        <x:v>1191</x:v>
      </x:c>
      <x:c r="G27" s="261" t="s">
        <x:v>1192</x:v>
      </x:c>
    </x:row>
    <x:row r="28" ht="57" customHeight="1">
      <x:c r="A28" s="263">
        <x:v>22</x:v>
      </x:c>
      <x:c r="B28" s="263" t="s">
        <x:v>63</x:v>
      </x:c>
      <x:c r="C28" s="263" t="s">
        <x:v>1152</x:v>
      </x:c>
      <x:c r="D28" s="263" t="s">
        <x:v>404</x:v>
      </x:c>
      <x:c r="E28" s="263" t="s">
        <x:v>1152</x:v>
      </x:c>
      <x:c r="F28" s="263" t="s">
        <x:v>1193</x:v>
      </x:c>
      <x:c r="G28" s="263" t="s">
        <x:v>1194</x:v>
      </x:c>
    </x:row>
    <x:row r="29" ht="57" customHeight="1">
      <x:c r="A29" s="261">
        <x:v>23</x:v>
      </x:c>
      <x:c r="B29" s="261" t="s">
        <x:v>63</x:v>
      </x:c>
      <x:c r="C29" s="261" t="s">
        <x:v>1152</x:v>
      </x:c>
      <x:c r="D29" s="261" t="s">
        <x:v>404</x:v>
      </x:c>
      <x:c r="E29" s="261" t="s">
        <x:v>1152</x:v>
      </x:c>
      <x:c r="F29" s="261" t="s">
        <x:v>1195</x:v>
      </x:c>
      <x:c r="G29" s="261" t="s">
        <x:v>1196</x:v>
      </x:c>
    </x:row>
    <x:row r="30" ht="57" customHeight="1">
      <x:c r="A30" s="263">
        <x:v>24</x:v>
      </x:c>
      <x:c r="B30" s="263" t="s">
        <x:v>63</x:v>
      </x:c>
      <x:c r="C30" s="263" t="s">
        <x:v>1152</x:v>
      </x:c>
      <x:c r="D30" s="263" t="s">
        <x:v>1092</x:v>
      </x:c>
      <x:c r="E30" s="263" t="s">
        <x:v>1114</x:v>
      </x:c>
      <x:c r="F30" s="263" t="s">
        <x:v>1197</x:v>
      </x:c>
      <x:c r="G30" s="263" t="s">
        <x:v>1198</x:v>
      </x:c>
    </x:row>
    <x:row r="31" ht="57" customHeight="1">
      <x:c r="A31" s="261">
        <x:v>25</x:v>
      </x:c>
      <x:c r="B31" s="261" t="s">
        <x:v>63</x:v>
      </x:c>
      <x:c r="C31" s="261" t="s">
        <x:v>1114</x:v>
      </x:c>
      <x:c r="D31" s="261" t="s">
        <x:v>1092</x:v>
      </x:c>
      <x:c r="E31" s="261" t="s">
        <x:v>1117</x:v>
      </x:c>
      <x:c r="F31" s="261" t="s">
        <x:v>1199</x:v>
      </x:c>
      <x:c r="G31" s="261" t="s">
        <x:v>1200</x:v>
      </x:c>
    </x:row>
    <x:row r="32" ht="57" customHeight="1">
      <x:c r="A32" s="263">
        <x:v>26</x:v>
      </x:c>
      <x:c r="B32" s="263" t="s">
        <x:v>63</x:v>
      </x:c>
      <x:c r="C32" s="263" t="s">
        <x:v>1117</x:v>
      </x:c>
      <x:c r="D32" s="263" t="s">
        <x:v>1102</x:v>
      </x:c>
      <x:c r="E32" s="263" t="s">
        <x:v>1114</x:v>
      </x:c>
      <x:c r="F32" s="263" t="s">
        <x:v>1201</x:v>
      </x:c>
      <x:c r="G32" s="263" t="s">
        <x:v>1202</x:v>
      </x:c>
    </x:row>
    <x:row r="33" ht="57" customHeight="1">
      <x:c r="A33" s="261">
        <x:v>27</x:v>
      </x:c>
      <x:c r="B33" s="261" t="s">
        <x:v>63</x:v>
      </x:c>
      <x:c r="C33" s="261" t="s">
        <x:v>1114</x:v>
      </x:c>
      <x:c r="D33" s="261" t="s">
        <x:v>1102</x:v>
      </x:c>
      <x:c r="E33" s="261" t="s">
        <x:v>1152</x:v>
      </x:c>
      <x:c r="F33" s="261" t="s">
        <x:v>1203</x:v>
      </x:c>
      <x:c r="G33" s="261" t="s">
        <x:v>1204</x:v>
      </x:c>
    </x:row>
    <x:row r="34" ht="28.799999237060547" customHeight="1">
      <x:c r="A34" s="430" t="s">
        <x:v>1205</x:v>
      </x:c>
      <x:c r="B34" s="430"/>
      <x:c r="C34" s="430"/>
      <x:c r="D34" s="430"/>
      <x:c r="E34" s="430"/>
      <x:c r="F34" s="430"/>
      <x:c r="G34" s="430"/>
    </x:row>
    <x:row r="35" ht="57" customHeight="1">
      <x:c r="A35" s="263">
        <x:v>28</x:v>
      </x:c>
      <x:c r="B35" s="263" t="s">
        <x:v>81</x:v>
      </x:c>
      <x:c r="C35" s="263" t="s">
        <x:v>1152</x:v>
      </x:c>
      <x:c r="D35" s="263" t="s">
        <x:v>1092</x:v>
      </x:c>
      <x:c r="E35" s="263" t="s">
        <x:v>908</x:v>
      </x:c>
      <x:c r="F35" s="263" t="s">
        <x:v>1206</x:v>
      </x:c>
      <x:c r="G35" s="263" t="s">
        <x:v>1207</x:v>
      </x:c>
    </x:row>
    <x:row r="36" ht="57" customHeight="1">
      <x:c r="A36" s="261">
        <x:v>29</x:v>
      </x:c>
      <x:c r="B36" s="261" t="s">
        <x:v>81</x:v>
      </x:c>
      <x:c r="C36" s="261" t="s">
        <x:v>908</x:v>
      </x:c>
      <x:c r="D36" s="261" t="s">
        <x:v>1092</x:v>
      </x:c>
      <x:c r="E36" s="261" t="s">
        <x:v>440</x:v>
      </x:c>
      <x:c r="F36" s="261" t="s">
        <x:v>1163</x:v>
      </x:c>
      <x:c r="G36" s="261" t="s">
        <x:v>1208</x:v>
      </x:c>
    </x:row>
    <x:row r="37" ht="57" customHeight="1">
      <x:c r="A37" s="263">
        <x:v>30</x:v>
      </x:c>
      <x:c r="B37" s="263" t="s">
        <x:v>81</x:v>
      </x:c>
      <x:c r="C37" s="263" t="s">
        <x:v>440</x:v>
      </x:c>
      <x:c r="D37" s="263" t="s">
        <x:v>1102</x:v>
      </x:c>
      <x:c r="E37" s="263" t="s">
        <x:v>908</x:v>
      </x:c>
      <x:c r="F37" s="263" t="s">
        <x:v>1165</x:v>
      </x:c>
      <x:c r="G37" s="263" t="s">
        <x:v>1209</x:v>
      </x:c>
    </x:row>
    <x:row r="38" ht="57" customHeight="1">
      <x:c r="A38" s="261">
        <x:v>31</x:v>
      </x:c>
      <x:c r="B38" s="261" t="s">
        <x:v>81</x:v>
      </x:c>
      <x:c r="C38" s="261" t="s">
        <x:v>908</x:v>
      </x:c>
      <x:c r="D38" s="261" t="s">
        <x:v>1102</x:v>
      </x:c>
      <x:c r="E38" s="261" t="s">
        <x:v>1152</x:v>
      </x:c>
      <x:c r="F38" s="261" t="s">
        <x:v>1167</x:v>
      </x:c>
      <x:c r="G38" s="261" t="s">
        <x:v>1210</x:v>
      </x:c>
    </x:row>
    <x:row r="39" ht="57" customHeight="1">
      <x:c r="A39" s="263">
        <x:v>32</x:v>
      </x:c>
      <x:c r="B39" s="263" t="s">
        <x:v>81</x:v>
      </x:c>
      <x:c r="C39" s="263" t="s">
        <x:v>1152</x:v>
      </x:c>
      <x:c r="D39" s="263" t="s">
        <x:v>1092</x:v>
      </x:c>
      <x:c r="E39" s="263" t="s">
        <x:v>1099</x:v>
      </x:c>
      <x:c r="F39" s="263" t="s">
        <x:v>1211</x:v>
      </x:c>
      <x:c r="G39" s="263" t="s">
        <x:v>1212</x:v>
      </x:c>
    </x:row>
    <x:row r="40" ht="57" customHeight="1">
      <x:c r="A40" s="261">
        <x:v>33</x:v>
      </x:c>
      <x:c r="B40" s="261" t="s">
        <x:v>81</x:v>
      </x:c>
      <x:c r="C40" s="261" t="s">
        <x:v>1099</x:v>
      </x:c>
      <x:c r="D40" s="261" t="s">
        <x:v>1102</x:v>
      </x:c>
      <x:c r="E40" s="261" t="s">
        <x:v>1152</x:v>
      </x:c>
      <x:c r="F40" s="261" t="s">
        <x:v>1213</x:v>
      </x:c>
      <x:c r="G40" s="261" t="s">
        <x:v>1214</x:v>
      </x:c>
    </x:row>
    <x:row r="41" ht="28.799999237060547" customHeight="1">
      <x:c r="A41" s="430" t="s">
        <x:v>1215</x:v>
      </x:c>
      <x:c r="B41" s="430"/>
      <x:c r="C41" s="430"/>
      <x:c r="D41" s="430"/>
      <x:c r="E41" s="430"/>
      <x:c r="F41" s="430"/>
      <x:c r="G41" s="430"/>
    </x:row>
    <x:row r="42" ht="57" customHeight="1">
      <x:c r="A42" s="263">
        <x:v>34</x:v>
      </x:c>
      <x:c r="B42" s="263" t="s">
        <x:v>110</x:v>
      </x:c>
      <x:c r="C42" s="263" t="s">
        <x:v>1152</x:v>
      </x:c>
      <x:c r="D42" s="263" t="s">
        <x:v>1092</x:v>
      </x:c>
      <x:c r="E42" s="263" t="s">
        <x:v>156</x:v>
      </x:c>
      <x:c r="F42" s="263" t="s">
        <x:v>1216</x:v>
      </x:c>
      <x:c r="G42" s="263" t="s">
        <x:v>1217</x:v>
      </x:c>
    </x:row>
    <x:row r="43" ht="57" customHeight="1">
      <x:c r="A43" s="261">
        <x:v>35</x:v>
      </x:c>
      <x:c r="B43" s="261" t="s">
        <x:v>110</x:v>
      </x:c>
      <x:c r="C43" s="261" t="s">
        <x:v>156</x:v>
      </x:c>
      <x:c r="D43" s="261" t="s">
        <x:v>1092</x:v>
      </x:c>
      <x:c r="E43" s="261" t="s">
        <x:v>11</x:v>
      </x:c>
      <x:c r="F43" s="261" t="s">
        <x:v>1218</x:v>
      </x:c>
      <x:c r="G43" s="261" t="s">
        <x:v>1219</x:v>
      </x:c>
    </x:row>
    <x:row r="44" ht="57" customHeight="1">
      <x:c r="A44" s="261" t="s">
        <x:v>1220</x:v>
      </x:c>
      <x:c r="B44" s="261"/>
      <x:c r="C44" s="261"/>
      <x:c r="D44" s="261"/>
      <x:c r="E44" s="261"/>
      <x:c r="F44" s="261"/>
      <x:c r="G44" s="261"/>
    </x:row>
  </x:sheetData>
  <x:mergeCells>
    <x:mergeCell ref="A34:G34"/>
    <x:mergeCell ref="A41:G41"/>
    <x:mergeCell ref="A1:G1"/>
    <x:mergeCell ref="A2:G2"/>
    <x:mergeCell ref="A4:G4"/>
    <x:mergeCell ref="A14:G14"/>
    <x:mergeCell ref="A25:G25"/>
  </x:mergeCells>
  <x:pageMargins left="0.7" right="0.7" top="0.75" bottom="0.75" header="0.3" footer="0.3"/>
</x:worksheet>
</file>

<file path=xl/worksheets/sheet18.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1221</x:v>
      </x:c>
      <x:c r="B1" s="431"/>
      <x:c r="C1" s="431"/>
      <x:c r="D1" s="431"/>
      <x:c r="E1" s="431"/>
      <x:c r="F1" s="431"/>
      <x:c r="G1" s="431"/>
    </x:row>
    <x:row r="2" ht="49.20000076293945" customHeight="1">
      <x:c r="A2" s="3" t="str">
        <x:v>Patrón: Actor → Interfaz → Control → Entidad | 36 mensajes | 6 bloques | Anulación lógica con COMMIT único | Kilometraje histórico y lecturas RF14 conservados | EA separados</x:v>
      </x:c>
      <x:c r="B2" s="3"/>
      <x:c r="C2" s="3"/>
      <x:c r="D2" s="3"/>
      <x:c r="E2" s="3"/>
      <x:c r="F2" s="3"/>
      <x:c r="G2" s="3"/>
    </x:row>
    <x:row r="3" ht="31.049999237060547" customHeight="1">
      <x:c r="A3" s="262" t="s">
        <x:v>2</x:v>
      </x:c>
      <x:c r="B3" s="262" t="s">
        <x:v>3</x:v>
      </x:c>
      <x:c r="C3" s="262" t="s">
        <x:v>4</x:v>
      </x:c>
      <x:c r="D3" s="262" t="s">
        <x:v>5</x:v>
      </x:c>
      <x:c r="E3" s="262" t="s">
        <x:v>6</x:v>
      </x:c>
      <x:c r="F3" s="262" t="s">
        <x:v>7</x:v>
      </x:c>
      <x:c r="G3" s="262" t="s">
        <x:v>8</x:v>
      </x:c>
      <x:c r="H3" t="str">
        <x:v>CONDICIÓN RF65 (NO MVP)</x:v>
      </x:c>
    </x:row>
    <x:row r="4" ht="28.799999237060547" customHeight="1">
      <x:c r="A4" s="430" t="s">
        <x:v>1222</x:v>
      </x:c>
      <x:c r="B4" s="430"/>
      <x:c r="C4" s="430"/>
      <x:c r="D4" s="430"/>
      <x:c r="E4" s="430"/>
      <x:c r="F4" s="430"/>
      <x:c r="G4" s="430"/>
    </x:row>
    <x:row r="5" ht="57" customHeight="1">
      <x:c r="A5" s="261">
        <x:v>1</x:v>
      </x:c>
      <x:c r="B5" s="261" t="s">
        <x:v>10</x:v>
      </x:c>
      <x:c r="C5" s="261" t="s">
        <x:v>11</x:v>
      </x:c>
      <x:c r="D5" s="261" t="s">
        <x:v>1092</x:v>
      </x:c>
      <x:c r="E5" s="261" t="s">
        <x:v>1142</x:v>
      </x:c>
      <x:c r="F5" s="261" t="s">
        <x:v>1223</x:v>
      </x:c>
      <x:c r="G5" s="261" t="s">
        <x:v>1224</x:v>
      </x:c>
      <x:c r="H5" s="1071" t="str">
        <x:v>RF65 POST-MVP · CONDICIONADO A APROBACIÓN. Anulación mantenimiento: conservar trazabilidad; eliminación de vehículo no genera anulación ficticia de sus mantenimientos. Sin aprobación no aplicar filtros ni cambios de BD por RF65.</x:v>
      </x:c>
    </x:row>
    <x:row r="6" ht="57" customHeight="1">
      <x:c r="A6" s="263">
        <x:v>2</x:v>
      </x:c>
      <x:c r="B6" s="263" t="s">
        <x:v>10</x:v>
      </x:c>
      <x:c r="C6" s="263" t="s">
        <x:v>1142</x:v>
      </x:c>
      <x:c r="D6" s="263" t="s">
        <x:v>1092</x:v>
      </x:c>
      <x:c r="E6" s="263" t="s">
        <x:v>1152</x:v>
      </x:c>
      <x:c r="F6" s="263" t="s">
        <x:v>1225</x:v>
      </x:c>
      <x:c r="G6" s="263" t="s">
        <x:v>1226</x:v>
      </x:c>
    </x:row>
    <x:row r="7" ht="57" customHeight="1">
      <x:c r="A7" s="261">
        <x:v>3</x:v>
      </x:c>
      <x:c r="B7" s="261" t="s">
        <x:v>10</x:v>
      </x:c>
      <x:c r="C7" s="261" t="s">
        <x:v>1152</x:v>
      </x:c>
      <x:c r="D7" s="261" t="s">
        <x:v>1092</x:v>
      </x:c>
      <x:c r="E7" s="261" t="s">
        <x:v>1099</x:v>
      </x:c>
      <x:c r="F7" s="261" t="s">
        <x:v>1227</x:v>
      </x:c>
      <x:c r="G7" s="261" t="str">
        <x:v>Consulta el mantenimiento REALIZADO que pertenece al usuario y al vehículo, y recupera el kilometraje del servicio almacenado históricamente en E_Mantenimiento. No solicita modificar ninguna lectura del odómetro.</x:v>
      </x:c>
    </x:row>
    <x:row r="8" ht="57" customHeight="1">
      <x:c r="A8" s="263">
        <x:v>4</x:v>
      </x:c>
      <x:c r="B8" s="263" t="s">
        <x:v>10</x:v>
      </x:c>
      <x:c r="C8" s="263" t="s">
        <x:v>1099</x:v>
      </x:c>
      <x:c r="D8" s="263" t="s">
        <x:v>1102</x:v>
      </x:c>
      <x:c r="E8" s="263" t="s">
        <x:v>1152</x:v>
      </x:c>
      <x:c r="F8" s="263" t="s">
        <x:v>1157</x:v>
      </x:c>
      <x:c r="G8" s="263" t="str">
        <x:v>Devuelve el mantenimiento con su vehículo, estado, kilometraje histórico del servicio y datos necesarios para confirmar la anulación. La lectura RF14 que sirvió de referencia, si existe, permanece independiente.</x:v>
      </x:c>
    </x:row>
    <x:row r="9" ht="57" customHeight="1">
      <x:c r="A9" s="261">
        <x:v>5</x:v>
      </x:c>
      <x:c r="B9" s="261" t="s">
        <x:v>10</x:v>
      </x:c>
      <x:c r="C9" s="261" t="s">
        <x:v>1152</x:v>
      </x:c>
      <x:c r="D9" s="261" t="s">
        <x:v>404</x:v>
      </x:c>
      <x:c r="E9" s="261" t="s">
        <x:v>1152</x:v>
      </x:c>
      <x:c r="F9" s="261" t="s">
        <x:v>1228</x:v>
      </x:c>
      <x:c r="G9" s="261" t="s">
        <x:v>1229</x:v>
      </x:c>
    </x:row>
    <x:row r="10" ht="57" customHeight="1">
      <x:c r="A10" s="263">
        <x:v>6</x:v>
      </x:c>
      <x:c r="B10" s="263" t="s">
        <x:v>10</x:v>
      </x:c>
      <x:c r="C10" s="263" t="s">
        <x:v>1152</x:v>
      </x:c>
      <x:c r="D10" s="263" t="s">
        <x:v>1092</x:v>
      </x:c>
      <x:c r="E10" s="263" t="s">
        <x:v>908</x:v>
      </x:c>
      <x:c r="F10" s="263" t="s">
        <x:v>1161</x:v>
      </x:c>
      <x:c r="G10" s="263" t="s">
        <x:v>1230</x:v>
      </x:c>
    </x:row>
    <x:row r="11" ht="57" customHeight="1">
      <x:c r="A11" s="261">
        <x:v>7</x:v>
      </x:c>
      <x:c r="B11" s="261" t="s">
        <x:v>10</x:v>
      </x:c>
      <x:c r="C11" s="261" t="s">
        <x:v>908</x:v>
      </x:c>
      <x:c r="D11" s="261" t="s">
        <x:v>1092</x:v>
      </x:c>
      <x:c r="E11" s="261" t="s">
        <x:v>440</x:v>
      </x:c>
      <x:c r="F11" s="261" t="s">
        <x:v>1163</x:v>
      </x:c>
      <x:c r="G11" s="261" t="s">
        <x:v>1231</x:v>
      </x:c>
    </x:row>
    <x:row r="12" ht="57" customHeight="1">
      <x:c r="A12" s="263">
        <x:v>8</x:v>
      </x:c>
      <x:c r="B12" s="263" t="s">
        <x:v>10</x:v>
      </x:c>
      <x:c r="C12" s="263" t="s">
        <x:v>440</x:v>
      </x:c>
      <x:c r="D12" s="263" t="s">
        <x:v>1102</x:v>
      </x:c>
      <x:c r="E12" s="263" t="s">
        <x:v>908</x:v>
      </x:c>
      <x:c r="F12" s="263" t="s">
        <x:v>1165</x:v>
      </x:c>
      <x:c r="G12" s="263" t="s">
        <x:v>1232</x:v>
      </x:c>
    </x:row>
    <x:row r="13" ht="57" customHeight="1">
      <x:c r="A13" s="261">
        <x:v>9</x:v>
      </x:c>
      <x:c r="B13" s="261" t="s">
        <x:v>10</x:v>
      </x:c>
      <x:c r="C13" s="261" t="s">
        <x:v>908</x:v>
      </x:c>
      <x:c r="D13" s="261" t="s">
        <x:v>1102</x:v>
      </x:c>
      <x:c r="E13" s="261" t="s">
        <x:v>1152</x:v>
      </x:c>
      <x:c r="F13" s="261" t="s">
        <x:v>1167</x:v>
      </x:c>
      <x:c r="G13" s="261" t="s">
        <x:v>1233</x:v>
      </x:c>
    </x:row>
    <x:row r="14" ht="28.799999237060547" customHeight="1">
      <x:c r="A14" s="430" t="s">
        <x:v>1234</x:v>
      </x:c>
      <x:c r="B14" s="430"/>
      <x:c r="C14" s="430"/>
      <x:c r="D14" s="430"/>
      <x:c r="E14" s="430"/>
      <x:c r="F14" s="430"/>
      <x:c r="G14" s="430"/>
    </x:row>
    <x:row r="15" ht="57" customHeight="1">
      <x:c r="A15" s="263">
        <x:v>10</x:v>
      </x:c>
      <x:c r="B15" s="263" t="s">
        <x:v>33</x:v>
      </x:c>
      <x:c r="C15" s="263" t="s">
        <x:v>1152</x:v>
      </x:c>
      <x:c r="D15" s="263" t="s">
        <x:v>1092</x:v>
      </x:c>
      <x:c r="E15" s="263" t="s">
        <x:v>1235</x:v>
      </x:c>
      <x:c r="F15" s="263" t="s">
        <x:v>1236</x:v>
      </x:c>
      <x:c r="G15" s="263" t="s">
        <x:v>1237</x:v>
      </x:c>
    </x:row>
    <x:row r="16" ht="57" customHeight="1">
      <x:c r="A16" s="261">
        <x:v>11</x:v>
      </x:c>
      <x:c r="B16" s="261" t="s">
        <x:v>33</x:v>
      </x:c>
      <x:c r="C16" s="261" t="s">
        <x:v>1235</x:v>
      </x:c>
      <x:c r="D16" s="261" t="s">
        <x:v>1092</x:v>
      </x:c>
      <x:c r="E16" s="261" t="s">
        <x:v>11</x:v>
      </x:c>
      <x:c r="F16" s="261" t="s">
        <x:v>1238</x:v>
      </x:c>
      <x:c r="G16" s="261" t="s">
        <x:v>1239</x:v>
      </x:c>
    </x:row>
    <x:row r="17" ht="57" customHeight="1">
      <x:c r="A17" s="263">
        <x:v>12</x:v>
      </x:c>
      <x:c r="B17" s="263" t="s">
        <x:v>33</x:v>
      </x:c>
      <x:c r="C17" s="263" t="s">
        <x:v>11</x:v>
      </x:c>
      <x:c r="D17" s="263" t="s">
        <x:v>1092</x:v>
      </x:c>
      <x:c r="E17" s="263" t="s">
        <x:v>1235</x:v>
      </x:c>
      <x:c r="F17" s="263" t="s">
        <x:v>1240</x:v>
      </x:c>
      <x:c r="G17" s="263" t="s">
        <x:v>1241</x:v>
      </x:c>
    </x:row>
    <x:row r="18" ht="57" customHeight="1">
      <x:c r="A18" s="261">
        <x:v>13</x:v>
      </x:c>
      <x:c r="B18" s="261" t="s">
        <x:v>33</x:v>
      </x:c>
      <x:c r="C18" s="261" t="s">
        <x:v>1235</x:v>
      </x:c>
      <x:c r="D18" s="261" t="s">
        <x:v>1092</x:v>
      </x:c>
      <x:c r="E18" s="261" t="s">
        <x:v>1152</x:v>
      </x:c>
      <x:c r="F18" s="261" t="s">
        <x:v>1242</x:v>
      </x:c>
      <x:c r="G18" s="261" t="s">
        <x:v>1243</x:v>
      </x:c>
    </x:row>
    <x:row r="19" ht="28.799999237060547" customHeight="1">
      <x:c r="A19" s="430" t="s">
        <x:v>1244</x:v>
      </x:c>
      <x:c r="B19" s="430"/>
      <x:c r="C19" s="430"/>
      <x:c r="D19" s="430"/>
      <x:c r="E19" s="430"/>
      <x:c r="F19" s="430"/>
      <x:c r="G19" s="430"/>
    </x:row>
    <x:row r="20" ht="57" customHeight="1">
      <x:c r="A20" s="263">
        <x:v>14</x:v>
      </x:c>
      <x:c r="B20" s="263" t="s">
        <x:v>63</x:v>
      </x:c>
      <x:c r="C20" s="263" t="s">
        <x:v>1152</x:v>
      </x:c>
      <x:c r="D20" s="263" t="s">
        <x:v>1092</x:v>
      </x:c>
      <x:c r="E20" s="263" t="s">
        <x:v>908</x:v>
      </x:c>
      <x:c r="F20" s="263" t="s">
        <x:v>1206</x:v>
      </x:c>
      <x:c r="G20" s="263" t="s">
        <x:v>1245</x:v>
      </x:c>
    </x:row>
    <x:row r="21" ht="57" customHeight="1">
      <x:c r="A21" s="261">
        <x:v>15</x:v>
      </x:c>
      <x:c r="B21" s="261" t="s">
        <x:v>63</x:v>
      </x:c>
      <x:c r="C21" s="261" t="s">
        <x:v>908</x:v>
      </x:c>
      <x:c r="D21" s="261" t="s">
        <x:v>1092</x:v>
      </x:c>
      <x:c r="E21" s="261" t="s">
        <x:v>440</x:v>
      </x:c>
      <x:c r="F21" s="261" t="s">
        <x:v>1163</x:v>
      </x:c>
      <x:c r="G21" s="261" t="s">
        <x:v>1246</x:v>
      </x:c>
    </x:row>
    <x:row r="22" ht="57" customHeight="1">
      <x:c r="A22" s="263">
        <x:v>16</x:v>
      </x:c>
      <x:c r="B22" s="263" t="s">
        <x:v>63</x:v>
      </x:c>
      <x:c r="C22" s="263" t="s">
        <x:v>440</x:v>
      </x:c>
      <x:c r="D22" s="263" t="s">
        <x:v>1102</x:v>
      </x:c>
      <x:c r="E22" s="263" t="s">
        <x:v>908</x:v>
      </x:c>
      <x:c r="F22" s="263" t="s">
        <x:v>1165</x:v>
      </x:c>
      <x:c r="G22" s="263" t="s">
        <x:v>1247</x:v>
      </x:c>
    </x:row>
    <x:row r="23" ht="57" customHeight="1">
      <x:c r="A23" s="261">
        <x:v>17</x:v>
      </x:c>
      <x:c r="B23" s="261" t="s">
        <x:v>63</x:v>
      </x:c>
      <x:c r="C23" s="261" t="s">
        <x:v>908</x:v>
      </x:c>
      <x:c r="D23" s="261" t="s">
        <x:v>1102</x:v>
      </x:c>
      <x:c r="E23" s="261" t="s">
        <x:v>1152</x:v>
      </x:c>
      <x:c r="F23" s="261" t="s">
        <x:v>1167</x:v>
      </x:c>
      <x:c r="G23" s="261" t="s">
        <x:v>1248</x:v>
      </x:c>
    </x:row>
    <x:row r="24" ht="28.799999237060547" customHeight="1">
      <x:c r="A24" s="430" t="str">
        <x:v>BLOQUE 4 — ANULACIÓN LÓGICA SIN CONFIRMACIÓN PARCIAL — Pasos 18–21</x:v>
      </x:c>
      <x:c r="B24" s="430"/>
      <x:c r="C24" s="430"/>
      <x:c r="D24" s="430"/>
      <x:c r="E24" s="430"/>
      <x:c r="F24" s="430"/>
      <x:c r="G24" s="430"/>
    </x:row>
    <x:row r="25" ht="57" customHeight="1">
      <x:c r="A25" s="263">
        <x:v>18</x:v>
      </x:c>
      <x:c r="B25" s="263" t="s">
        <x:v>81</x:v>
      </x:c>
      <x:c r="C25" s="263" t="s">
        <x:v>1152</x:v>
      </x:c>
      <x:c r="D25" s="263" t="s">
        <x:v>404</x:v>
      </x:c>
      <x:c r="E25" s="263" t="s">
        <x:v>1152</x:v>
      </x:c>
      <x:c r="F25" s="263" t="str">
        <x:v>iniciarAnulacionCoordinada(id_mantenimiento)</x:v>
      </x:c>
      <x:c r="G25" s="263" t="str">
        <x:v>Inicia UNA transacción atómica para cambiar el mantenimiento de REALIZADO a ANULADO, conservar kilometraje histórico y repuestos, y conciliar alertas, historial de alertas y notificaciones relacionadas. No anula lecturas de RF14 ni recalcula el odómetro. Si falla una operación obligatoria, se ejecuta ROLLBACK.</x:v>
      </x:c>
    </x:row>
    <x:row r="26" ht="57" customHeight="1">
      <x:c r="A26" s="261" t="n">
        <x:v>19</x:v>
      </x:c>
      <x:c r="B26" s="261" t="str">
        <x:v>B4</x:v>
      </x:c>
      <x:c r="C26" s="261" t="str">
        <x:v>C_ControlMantenimiento</x:v>
      </x:c>
      <x:c r="D26" s="261" t="str">
        <x:v>────► (llamada)</x:v>
      </x:c>
      <x:c r="E26" s="261" t="str">
        <x:v>E_Mantenimiento</x:v>
      </x:c>
      <x:c r="F26" s="261" t="str">
        <x:v>actualizarEstadoYFechaAnulacionSiRealizado(id_mantenimiento,REALIZADO,ANULADO,anulado_utc_servidor)</x:v>
      </x:c>
      <x:c r="G26" s="261" t="str">
        <x:v>Actualiza estado REALIZADO→ANULADO y anulado_utc con fecha/hora del servidor en la MISMA transacción; no elimina ni modifica datos históricos, lecturas RF14, repuestos ni asociaciones. Todavía no confirma: falta conciliar alertas y notificaciones antes del único COMMIT.</x:v>
      </x:c>
    </x:row>
    <x:row r="27" ht="57" customHeight="1">
      <x:c r="A27" s="263" t="n">
        <x:v>20</x:v>
      </x:c>
      <x:c r="B27" s="263" t="str">
        <x:v>B4</x:v>
      </x:c>
      <x:c r="C27" s="263" t="str">
        <x:v>E_Mantenimiento</x:v>
      </x:c>
      <x:c r="D27" s="263" t="str">
        <x:v>◄ - - - - - (return)</x:v>
      </x:c>
      <x:c r="E27" s="263" t="str">
        <x:v>C_ControlMantenimiento</x:v>
      </x:c>
      <x:c r="F27" s="263" t="str">
        <x:v>retornarMantenimientoAnulado(datos_mantenimiento_anulado)</x:v>
      </x:c>
      <x:c r="G27" s="263" t="str">
        <x:v>La entidad confirma la anulación lógica y devuelve el mantenimiento conservado con estado ANULADO.</x:v>
      </x:c>
    </x:row>
    <x:row r="28" ht="57" customHeight="1">
      <x:c r="A28" s="261" t="n">
        <x:v>21</x:v>
      </x:c>
      <x:c r="B28" s="261" t="str">
        <x:v>B4</x:v>
      </x:c>
      <x:c r="C28" s="261" t="str">
        <x:v>C_ControlMantenimiento</x:v>
      </x:c>
      <x:c r="D28" s="261" t="str">
        <x:v>↩ (auto-msg)</x:v>
      </x:c>
      <x:c r="E28" s="261" t="str">
        <x:v>C_ControlMantenimiento</x:v>
      </x:c>
      <x:c r="F28" s="261" t="str">
        <x:v>verificarAnulacionLogicaPreparada(id_mantenimiento)</x:v>
      </x:c>
      <x:c r="G28" s="261" t="str">
        <x:v>Comprueba dentro de la transacción que el mantenimiento está ANULADO y conserva fecha, kilometraje histórico del servicio y asociaciones de repuestos. No se elimina ni modifica ninguna lectura independiente del odómetro.</x:v>
      </x:c>
    </x:row>
    <x:row r="29" ht="4" customHeight="1">
      <x:c r="A29" s="263"/>
      <x:c r="B29" s="263"/>
      <x:c r="C29" s="263"/>
      <x:c r="D29" s="263"/>
      <x:c r="E29" s="263"/>
      <x:c r="F29" s="263"/>
      <x:c r="G29" s="263"/>
    </x:row>
    <x:row r="30" ht="4" customHeight="1">
      <x:c r="A30" s="261"/>
      <x:c r="B30" s="261"/>
      <x:c r="C30" s="261"/>
      <x:c r="D30" s="261"/>
      <x:c r="E30" s="261"/>
      <x:c r="F30" s="261"/>
      <x:c r="G30" s="261"/>
    </x:row>
    <x:row r="31" ht="4" customHeight="1">
      <x:c r="A31" s="263"/>
      <x:c r="B31" s="263"/>
      <x:c r="C31" s="263"/>
      <x:c r="D31" s="263"/>
      <x:c r="E31" s="263"/>
      <x:c r="F31" s="263"/>
      <x:c r="G31" s="263"/>
    </x:row>
    <x:row r="32" ht="4" customHeight="1">
      <x:c r="A32" s="261"/>
      <x:c r="B32" s="261"/>
      <x:c r="C32" s="261"/>
      <x:c r="D32" s="261"/>
      <x:c r="E32" s="261"/>
      <x:c r="F32" s="261"/>
      <x:c r="G32" s="261"/>
    </x:row>
    <x:row r="33" ht="28.799999237060547" customHeight="1">
      <x:c r="A33" s="430" t="str">
        <x:v>BLOQUE 5 — RECONCILIACIÓN DE ALERTAS Y COMMIT ÚNICO — Pasos 22–25</x:v>
      </x:c>
      <x:c r="B33" s="430"/>
      <x:c r="C33" s="430"/>
      <x:c r="D33" s="430"/>
      <x:c r="E33" s="430"/>
      <x:c r="F33" s="430"/>
      <x:c r="G33" s="430"/>
    </x:row>
    <x:row r="34" ht="57" customHeight="1">
      <x:c r="A34" s="263" t="n">
        <x:v>22</x:v>
      </x:c>
      <x:c r="B34" s="263" t="str">
        <x:v>B5</x:v>
      </x:c>
      <x:c r="C34" s="263" t="str">
        <x:v>C_ControlMantenimiento</x:v>
      </x:c>
      <x:c r="D34" s="263" t="str">
        <x:v>────► (llamada)</x:v>
      </x:c>
      <x:c r="E34" s="263" t="str">
        <x:v>C_ControlAlerta</x:v>
      </x:c>
      <x:c r="F34" s="263" t="str">
        <x:v>reconciliarDependenciasDeMantenimientoAnulado(id_usuario,id_mantenimiento,id_vehiculo)</x:v>
      </x:c>
      <x:c r="G34" s="263" t="str">
        <x:v>Solicita a C_ControlAlerta conciliar las alertas relacionadas, sus transiciones históricas y las notificaciones internas dentro de la MISMA transacción. El mantenimiento ANULADO conserva su kilometraje histórico; el odómetro de RF14 queda intacto. Los casos distintos del camino exitoso corresponden a EA.</x:v>
      </x:c>
    </x:row>
    <x:row r="35" ht="57" customHeight="1">
      <x:c r="A35" s="261" t="n">
        <x:v>23</x:v>
      </x:c>
      <x:c r="B35" s="261" t="str">
        <x:v>B5</x:v>
      </x:c>
      <x:c r="C35" s="261" t="str">
        <x:v>C_ControlAlerta</x:v>
      </x:c>
      <x:c r="D35" s="261" t="str">
        <x:v>◄ - - - - - (return)</x:v>
      </x:c>
      <x:c r="E35" s="261" t="str">
        <x:v>C_ControlMantenimiento</x:v>
      </x:c>
      <x:c r="F35" s="261" t="str">
        <x:v>retornarDependenciasReconciliadas(resultado_alertas,resultado_historial_alertas,resultado_notificaciones)</x:v>
      </x:c>
      <x:c r="G35" s="261" t="str">
        <x:v>Alertas confirma que la conciliación integral de dependencias terminó satisfactoriamente, con resultados coherentes incluso cuando el conjunto de cambios sea vacío. No se representa aquí una rama de alerta vinculada, alerta futura o ausencia de alertas. Ninguna escritura está confirmada todavía.</x:v>
      </x:c>
    </x:row>
    <x:row r="36" ht="57" customHeight="1">
      <x:c r="A36" s="263" t="n">
        <x:v>24</x:v>
      </x:c>
      <x:c r="B36" s="263" t="str">
        <x:v>B5</x:v>
      </x:c>
      <x:c r="C36" s="263" t="str">
        <x:v>C_ControlMantenimiento</x:v>
      </x:c>
      <x:c r="D36" s="263" t="str">
        <x:v>↩ (auto-msg)</x:v>
      </x:c>
      <x:c r="E36" s="263" t="str">
        <x:v>C_ControlMantenimiento</x:v>
      </x:c>
      <x:c r="F36" s="263" t="str">
        <x:v>validarAnulacionCoordinadaListaParaConfirmar(id_mantenimiento,resultado_alertas)</x:v>
      </x:c>
      <x:c r="G36" s="263" t="str">
        <x:v>Verifica estado ANULADO del mantenimiento, conservación de datos históricos y repuestos, y conciliación satisfactoria de alertas, historial y notificaciones. No exige alterar lecturas RF14 ni el kilometraje actual. Ante error obligatorio se ejecuta ROLLBACK.</x:v>
      </x:c>
    </x:row>
    <x:row r="37" ht="57" customHeight="1">
      <x:c r="A37" s="261" t="n">
        <x:v>25</x:v>
      </x:c>
      <x:c r="B37" s="261" t="str">
        <x:v>B5</x:v>
      </x:c>
      <x:c r="C37" s="261" t="str">
        <x:v>C_ControlMantenimiento</x:v>
      </x:c>
      <x:c r="D37" s="261" t="str">
        <x:v>↩ (auto-msg)</x:v>
      </x:c>
      <x:c r="E37" s="261" t="str">
        <x:v>C_ControlMantenimiento</x:v>
      </x:c>
      <x:c r="F37" s="261" t="str">
        <x:v>confirmarAnulacionCoordinada(id_mantenimiento,resultado_alertas)</x:v>
      </x:c>
      <x:c r="G37" s="261" t="str">
        <x:v>Efectúa el ÚNICO COMMIT después de completar y validar la anulación lógica y las dependencias aplicables. No confirma resultados parciales ni modifica lecturas independientes de RF14.</x:v>
      </x:c>
    </x:row>
    <x:row r="38" ht="4" customHeight="1">
      <x:c r="A38" s="263"/>
      <x:c r="B38" s="263"/>
      <x:c r="C38" s="263"/>
      <x:c r="D38" s="263"/>
      <x:c r="E38" s="263"/>
      <x:c r="F38" s="263"/>
      <x:c r="G38" s="263"/>
    </x:row>
    <x:row r="39" ht="4" customHeight="1">
      <x:c r="A39" s="261"/>
      <x:c r="B39" s="261"/>
      <x:c r="C39" s="261"/>
      <x:c r="D39" s="261"/>
      <x:c r="E39" s="261"/>
      <x:c r="F39" s="261"/>
      <x:c r="G39" s="261"/>
    </x:row>
    <x:row r="40" ht="28.799999237060547" customHeight="1">
      <x:c r="A40" s="430" t="str">
        <x:v>BLOQUE 6 — RECARGA Y PRESENTACIÓN DEL HISTORIAL — Pasos 26–36</x:v>
      </x:c>
      <x:c r="B40" s="430"/>
      <x:c r="C40" s="430"/>
      <x:c r="D40" s="430"/>
      <x:c r="E40" s="430"/>
      <x:c r="F40" s="430"/>
      <x:c r="G40" s="430"/>
    </x:row>
    <x:row r="41" ht="57" customHeight="1">
      <x:c r="A41" s="263" t="n">
        <x:v>26</x:v>
      </x:c>
      <x:c r="B41" s="263" t="s">
        <x:v>143</x:v>
      </x:c>
      <x:c r="C41" s="263" t="s">
        <x:v>1152</x:v>
      </x:c>
      <x:c r="D41" s="263" t="s">
        <x:v>1092</x:v>
      </x:c>
      <x:c r="E41" s="263" t="s">
        <x:v>1010</x:v>
      </x:c>
      <x:c r="F41" s="263" t="s">
        <x:v>1249</x:v>
      </x:c>
      <x:c r="G41" s="263" t="str">
        <x:v>Solo después del COMMIT del mensaje 25, Mantenimiento solicita recargar el historial. Los escenarios alternativos se documentan por separado; si ocurrió un fallo obligatorio previo, se aplicó ROLLBACK y no se llega a esta recarga.</x:v>
      </x:c>
    </x:row>
    <x:row r="42" ht="57" customHeight="1">
      <x:c r="A42" s="261" t="n">
        <x:v>27</x:v>
      </x:c>
      <x:c r="B42" s="261" t="s">
        <x:v>143</x:v>
      </x:c>
      <x:c r="C42" s="261" t="s">
        <x:v>1010</x:v>
      </x:c>
      <x:c r="D42" s="261" t="s">
        <x:v>1092</x:v>
      </x:c>
      <x:c r="E42" s="261" t="s">
        <x:v>1099</x:v>
      </x:c>
      <x:c r="F42" s="261" t="s">
        <x:v>1250</x:v>
      </x:c>
      <x:c r="G42" s="261" t="s">
        <x:v>1251</x:v>
      </x:c>
    </x:row>
    <x:row r="43" ht="57" customHeight="1">
      <x:c r="A43" s="263" t="n">
        <x:v>28</x:v>
      </x:c>
      <x:c r="B43" s="263" t="s">
        <x:v>143</x:v>
      </x:c>
      <x:c r="C43" s="263" t="s">
        <x:v>1099</x:v>
      </x:c>
      <x:c r="D43" s="263" t="s">
        <x:v>1102</x:v>
      </x:c>
      <x:c r="E43" s="263" t="s">
        <x:v>1010</x:v>
      </x:c>
      <x:c r="F43" s="263" t="s">
        <x:v>1252</x:v>
      </x:c>
      <x:c r="G43" s="263" t="s">
        <x:v>1253</x:v>
      </x:c>
    </x:row>
    <x:row r="44" ht="57" customHeight="1">
      <x:c r="A44" s="261" t="n">
        <x:v>29</x:v>
      </x:c>
      <x:c r="B44" s="261" t="s">
        <x:v>143</x:v>
      </x:c>
      <x:c r="C44" s="261" t="s">
        <x:v>1010</x:v>
      </x:c>
      <x:c r="D44" s="261" t="s">
        <x:v>1092</x:v>
      </x:c>
      <x:c r="E44" s="261" t="s">
        <x:v>1114</x:v>
      </x:c>
      <x:c r="F44" s="261" t="s">
        <x:v>1254</x:v>
      </x:c>
      <x:c r="G44" s="261" t="str">
        <x:v>[Solo si existen ids de taller no nulos] Historial solicita los talleres asociados. Si ninguno existe, se omiten los mensajes 29–32 y la lista se prepara sin talleres.</x:v>
      </x:c>
    </x:row>
    <x:row r="45" ht="57" customHeight="1">
      <x:c r="A45" s="263" t="n">
        <x:v>30</x:v>
      </x:c>
      <x:c r="B45" s="263" t="s">
        <x:v>143</x:v>
      </x:c>
      <x:c r="C45" s="263" t="s">
        <x:v>1114</x:v>
      </x:c>
      <x:c r="D45" s="263" t="s">
        <x:v>1092</x:v>
      </x:c>
      <x:c r="E45" s="263" t="s">
        <x:v>1117</x:v>
      </x:c>
      <x:c r="F45" s="263" t="s">
        <x:v>1255</x:v>
      </x:c>
      <x:c r="G45" s="263" t="str">
        <x:v>[Solo si existen ids de taller no nulos] Consulta los talleres históricamente referenciados; no inventa una asociación para los mantenimientos sin taller.</x:v>
      </x:c>
    </x:row>
    <x:row r="46" ht="57" customHeight="1">
      <x:c r="A46" s="261" t="n">
        <x:v>31</x:v>
      </x:c>
      <x:c r="B46" s="261" t="s">
        <x:v>143</x:v>
      </x:c>
      <x:c r="C46" s="261" t="s">
        <x:v>1117</x:v>
      </x:c>
      <x:c r="D46" s="261" t="s">
        <x:v>1102</x:v>
      </x:c>
      <x:c r="E46" s="261" t="s">
        <x:v>1114</x:v>
      </x:c>
      <x:c r="F46" s="261" t="s">
        <x:v>1256</x:v>
      </x:c>
      <x:c r="G46" s="261" t="str">
        <x:v>[Solo si se ejecutó el mensaje 30] E_Taller devuelve los talleres consultados.</x:v>
      </x:c>
    </x:row>
    <x:row r="47" ht="57" customHeight="1">
      <x:c r="A47" s="263" t="n">
        <x:v>32</x:v>
      </x:c>
      <x:c r="B47" s="263" t="s">
        <x:v>143</x:v>
      </x:c>
      <x:c r="C47" s="263" t="s">
        <x:v>1114</x:v>
      </x:c>
      <x:c r="D47" s="263" t="s">
        <x:v>1102</x:v>
      </x:c>
      <x:c r="E47" s="263" t="s">
        <x:v>1010</x:v>
      </x:c>
      <x:c r="F47" s="263" t="s">
        <x:v>1256</x:v>
      </x:c>
      <x:c r="G47" s="263" t="str">
        <x:v>[Solo si se ejecutaron los mensajes 29–31] C_ControlTaller devuelve a Historial la información necesaria para reconstruir las tarjetas.</x:v>
      </x:c>
    </x:row>
    <x:row r="48" ht="57" customHeight="1">
      <x:c r="A48" s="261" t="n">
        <x:v>33</x:v>
      </x:c>
      <x:c r="B48" s="261" t="s">
        <x:v>143</x:v>
      </x:c>
      <x:c r="C48" s="261" t="s">
        <x:v>1010</x:v>
      </x:c>
      <x:c r="D48" s="261" t="s">
        <x:v>404</x:v>
      </x:c>
      <x:c r="E48" s="261" t="s">
        <x:v>1010</x:v>
      </x:c>
      <x:c r="F48" s="261" t="s">
        <x:v>1257</x:v>
      </x:c>
      <x:c r="G48" s="261" t="s">
        <x:v>1258</x:v>
      </x:c>
    </x:row>
    <x:row r="49" ht="57" customHeight="1">
      <x:c r="A49" s="263" t="n">
        <x:v>34</x:v>
      </x:c>
      <x:c r="B49" s="263" t="s">
        <x:v>143</x:v>
      </x:c>
      <x:c r="C49" s="263" t="s">
        <x:v>1010</x:v>
      </x:c>
      <x:c r="D49" s="263" t="s">
        <x:v>404</x:v>
      </x:c>
      <x:c r="E49" s="263" t="s">
        <x:v>1010</x:v>
      </x:c>
      <x:c r="F49" s="263" t="s">
        <x:v>1259</x:v>
      </x:c>
      <x:c r="G49" s="263" t="s">
        <x:v>1260</x:v>
      </x:c>
    </x:row>
    <x:row r="50" ht="57" customHeight="1">
      <x:c r="A50" s="261" t="n">
        <x:v>35</x:v>
      </x:c>
      <x:c r="B50" s="261" t="s">
        <x:v>143</x:v>
      </x:c>
      <x:c r="C50" s="261" t="s">
        <x:v>1010</x:v>
      </x:c>
      <x:c r="D50" s="261" t="s">
        <x:v>1092</x:v>
      </x:c>
      <x:c r="E50" s="261" t="s">
        <x:v>1093</x:v>
      </x:c>
      <x:c r="F50" s="261" t="s">
        <x:v>1261</x:v>
      </x:c>
      <x:c r="G50" s="261" t="s">
        <x:v>1262</x:v>
      </x:c>
    </x:row>
    <x:row r="51" ht="57" customHeight="1">
      <x:c r="A51" s="263" t="n">
        <x:v>36</x:v>
      </x:c>
      <x:c r="B51" s="263" t="s">
        <x:v>143</x:v>
      </x:c>
      <x:c r="C51" s="263" t="s">
        <x:v>1093</x:v>
      </x:c>
      <x:c r="D51" s="263" t="s">
        <x:v>1092</x:v>
      </x:c>
      <x:c r="E51" s="263" t="s">
        <x:v>11</x:v>
      </x:c>
      <x:c r="F51" s="263" t="s">
        <x:v>1263</x:v>
      </x:c>
      <x:c r="G51" s="263" t="s">
        <x:v>1264</x:v>
      </x:c>
    </x:row>
    <x:row r="52" ht="57" customHeight="1">
      <x:c r="A52" s="261" t="str">
        <x:v>NOTA DEL EF: la anulación es lógica y conserva fecha, kilometraje histórico y repuestos. Las lecturas independientes de RF14 NO se anulan ni se recalculan. Alertas, historial y notificaciones se concilian antes del único COMMIT. Los escenarios alternativos se revisarán por separado.</x:v>
      </x:c>
      <x:c r="B52" s="261"/>
      <x:c r="C52" s="261"/>
      <x:c r="D52" s="261"/>
      <x:c r="E52" s="261"/>
      <x:c r="F52" s="261"/>
      <x:c r="G52" s="261"/>
    </x:row>
  </x:sheetData>
  <x:mergeCells>
    <x:mergeCell ref="A24:G24"/>
    <x:mergeCell ref="A33:G33"/>
    <x:mergeCell ref="A40:G40"/>
    <x:mergeCell ref="A1:G1"/>
    <x:mergeCell ref="A2:G2"/>
    <x:mergeCell ref="A4:G4"/>
    <x:mergeCell ref="A14:G14"/>
    <x:mergeCell ref="A19:G19"/>
  </x:mergeCells>
  <x:pageMargins left="0.7" right="0.7" top="0.75" bottom="0.75" header="0.3" footer="0.3"/>
</x:worksheet>
</file>

<file path=xl/worksheets/sheet19.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 min="13" max="13" width="58" hidden="0" customWidth="1"/>
  </x:cols>
  <x:sheetData>
    <x:row r="1" ht="28" customHeight="1">
      <x:c r="A1" t="str">
        <x:v>DIAGRAMA DE SECUENCIAS — RF-022 — Crear alerta preventiva manual | EF CORREGIDO (OTRO CON SUGERENCIAS)</x:v>
      </x:c>
      <x:c r="B1"/>
      <x:c r="C1"/>
      <x:c r="D1"/>
      <x:c r="E1"/>
      <x:c r="F1"/>
      <x:c r="G1"/>
      <x:c r="H1"/>
      <x:c r="I1"/>
      <x:c r="J1"/>
      <x:c r="K1"/>
      <x:c r="L1"/>
    </x:row>
    <x:row r="2" ht="32" customHeight="1">
      <x:c r="A2" t="str">
        <x:v>102 mensajes · 8 bloques · 7 tipos iniciales más tipos adicionales ACTIVOS autorizados por RF62 · OTRO y sugerencias · DATOS ACTUALES: fecha automática + km RF14 (solo lectura) · Sin actualizar km desde RF22</x:v>
      </x:c>
      <x:c r="B2"/>
      <x:c r="C2"/>
      <x:c r="D2"/>
      <x:c r="E2"/>
      <x:c r="F2"/>
      <x:c r="G2"/>
      <x:c r="H2"/>
      <x:c r="I2"/>
      <x:c r="J2"/>
      <x:c r="K2"/>
      <x:c r="L2"/>
    </x:row>
    <x:row r="3" ht="36" customHeight="1">
      <x:c r="A3" t="str">
        <x:v>#</x:v>
      </x:c>
      <x:c r="B3" t="str">
        <x:v>Bloque</x:v>
      </x:c>
      <x:c r="C3" t="str">
        <x:v>Objeto Origen</x:v>
      </x:c>
      <x:c r="D3" t="str">
        <x:v>Flecha</x:v>
      </x:c>
      <x:c r="E3" t="str">
        <x:v>Objeto Destino</x:v>
      </x:c>
      <x:c r="F3" t="str">
        <x:v>Método / Mensaje</x:v>
      </x:c>
      <x:c r="G3" t="str">
        <x:v>Descripción / Nota</x:v>
      </x:c>
      <x:c r="H3" t="str">
        <x:v>ESTADO MVP</x:v>
      </x:c>
      <x:c r="I3" t="str">
        <x:v>ACCIÓN / CAMBIO A PROGRAMAR</x:v>
      </x:c>
      <x:c r="J3" t="str">
        <x:v>APROBACIÓN / DEPENDENCIA</x:v>
      </x:c>
      <x:c r="K3" t="str">
        <x:v>CELDA ORIGINAL</x:v>
      </x:c>
      <x:c r="L3" t="str">
        <x:v>LECTURA FLECHA (UML/BCE)</x:v>
      </x:c>
      <x:c r="M3" t="str">
        <x:v>CONDICIÓN RF65 (NO MVP)</x:v>
      </x:c>
    </x:row>
    <x:row r="4" ht="25" customHeight="1">
      <x:c r="A4" t="str">
        <x:v>BLOQUE 1 — APERTURA DE PROGRAMACIÓN Y CARGA INICIAL — Pasos 1–13</x:v>
      </x:c>
      <x:c r="B4"/>
      <x:c r="C4"/>
      <x:c r="D4"/>
      <x:c r="E4"/>
      <x:c r="F4"/>
      <x:c r="G4"/>
      <x:c r="H4"/>
      <x:c r="I4"/>
      <x:c r="J4"/>
      <x:c r="K4"/>
      <x:c r="L4"/>
    </x:row>
    <x:row r="5" ht="52" customHeight="1">
      <x:c r="A5" t="str">
        <x:v>1</x:v>
      </x:c>
      <x:c r="B5" t="str">
        <x:v>B1</x:v>
      </x:c>
      <x:c r="C5" t="str">
        <x:v>AS_Usuario</x:v>
      </x:c>
      <x:c r="D5" t="str">
        <x:v>────► (llamada)</x:v>
      </x:c>
      <x:c r="E5" t="str">
        <x:v>I_Alertas</x:v>
      </x:c>
      <x:c r="F5" t="str">
        <x:v>seleccionarProgramarAlerta()</x:v>
      </x:c>
      <x:c r="G5" t="str">
        <x:v>El usuario selecciona «+ Programar» desde la pantalla Alertas.</x:v>
      </x:c>
      <x:c r="H5" t="str">
        <x:v>IMPLEMENTAR</x:v>
      </x:c>
      <x:c r="I5" t="str">
        <x:v>Implementar la ruta original BCE en el alcance reducido, con dependencias reales validadas.</x:v>
      </x:c>
      <x:c r="J5"/>
      <x:c r="K5" t="str">
        <x:v>RF22!F5</x:v>
      </x:c>
      <x:c r="L5" t="str">
        <x:v>► LLAMADA: operación desde el objeto de C hacia el de E; comprobar contrato y autorización.</x:v>
      </x:c>
      <x:c r="M5" s="1071" t="str">
        <x:v>RF65 POST-MVP · CONDICIONADO A APROBACIÓN. Programación manual: permitir solo vehículo ACTIVO VIGENTE, validar en backend también frente a identificadores antiguos. Sin aprobación no aplicar filtros ni cambios de BD por RF65.</x:v>
      </x:c>
    </x:row>
    <x:row r="6" ht="52" customHeight="1">
      <x:c r="A6" t="str">
        <x:v>2</x:v>
      </x:c>
      <x:c r="B6" t="str">
        <x:v>B1</x:v>
      </x:c>
      <x:c r="C6" t="str">
        <x:v>I_Alertas</x:v>
      </x:c>
      <x:c r="D6" t="str">
        <x:v>────► (llamada)</x:v>
      </x:c>
      <x:c r="E6" t="str">
        <x:v>C_ControlAlerta</x:v>
      </x:c>
      <x:c r="F6" t="str">
        <x:v>solicitarProgramacionManual(id_usuario,id_vehiculo_contexto)</x:v>
      </x:c>
      <x:c r="G6" t="str">
        <x:v>La interfaz abre RF22 desde Alertas y mantiene, si corresponde, el vehículo ACTIVO seleccionado como contexto. La programación será manual: desde la fecha actual y/o la última lectura válida RF14.</x:v>
      </x:c>
      <x:c r="H6" t="str">
        <x:v>IMPLEMENTAR</x:v>
      </x:c>
      <x:c r="I6" t="str">
        <x:v>MVP: RF22 programa manualmente desde fecha confiable del servidor y, si el criterio requiere kilómetros, desde la última lectura efectiva válida del vehículo (RF08 inicial o RF14 posterior). No obliga a ejecutar RF14 si RF08 ya tiene lectura válida.</x:v>
      </x:c>
      <x:c r="J6"/>
      <x:c r="K6" t="str">
        <x:v>RF22!F6</x:v>
      </x:c>
      <x:c r="L6" t="str">
        <x:v>► LLAMADA: operación desde el objeto de C hacia el de E; comprobar contrato y autorización.</x:v>
      </x:c>
    </x:row>
    <x:row r="7" ht="52" customHeight="1">
      <x:c r="A7" t="str">
        <x:v>3</x:v>
      </x:c>
      <x:c r="B7" t="str">
        <x:v>B1</x:v>
      </x:c>
      <x:c r="C7" t="str">
        <x:v>C_ControlAlerta</x:v>
      </x:c>
      <x:c r="D7" t="str">
        <x:v>────► (llamada)</x:v>
      </x:c>
      <x:c r="E7" t="str">
        <x:v>C_ControlListadoVehiculos</x:v>
      </x:c>
      <x:c r="F7" t="str">
        <x:v>solicitarVehiculosActivosYPrincipal(id_usuario)</x:v>
      </x:c>
      <x:c r="G7" t="str">
        <x:v>El controlador de Alertas solicita al controlador responsable del listado únicamente los vehículos ACTIVOS del usuario e identifica el vehículo principal.</x:v>
      </x:c>
      <x:c r="H7" t="str">
        <x:v>IMPLEMENTAR</x:v>
      </x:c>
      <x:c r="I7" t="str">
        <x:v>Implementar la ruta original BCE en el alcance reducido, con dependencias reales validadas.</x:v>
      </x:c>
      <x:c r="J7"/>
      <x:c r="K7" t="str">
        <x:v>RF22!F7</x:v>
      </x:c>
      <x:c r="L7" t="str">
        <x:v>► LLAMADA: operación desde el objeto de C hacia el de E; comprobar contrato y autorización.</x:v>
      </x:c>
    </x:row>
    <x:row r="8" ht="52" customHeight="1">
      <x:c r="A8" t="str">
        <x:v>4</x:v>
      </x:c>
      <x:c r="B8" t="str">
        <x:v>B1</x:v>
      </x:c>
      <x:c r="C8" t="str">
        <x:v>C_ControlListadoVehiculos</x:v>
      </x:c>
      <x:c r="D8" t="str">
        <x:v>────► (llamada)</x:v>
      </x:c>
      <x:c r="E8" t="str">
        <x:v>E_Vehiculo</x:v>
      </x:c>
      <x:c r="F8" t="str">
        <x:v>consultarVehiculosActivosYPrincipal(id_usuario)</x:v>
      </x:c>
      <x:c r="G8" t="str">
        <x:v>El controlador de listado consulta los vehículos pertenecientes al usuario, su estado y cuál está marcado como principal.</x:v>
      </x:c>
      <x:c r="H8" t="str">
        <x:v>IMPLEMENTAR</x:v>
      </x:c>
      <x:c r="I8" t="str">
        <x:v>Implementar la ruta original BCE en el alcance reducido, con dependencias reales validadas.</x:v>
      </x:c>
      <x:c r="J8"/>
      <x:c r="K8" t="str">
        <x:v>RF22!F8</x:v>
      </x:c>
      <x:c r="L8" t="str">
        <x:v>► LLAMADA: operación desde el objeto de C hacia el de E; comprobar contrato y autorización.</x:v>
      </x:c>
    </x:row>
    <x:row r="9" ht="52" customHeight="1">
      <x:c r="A9" t="str">
        <x:v>5</x:v>
      </x:c>
      <x:c r="B9" t="str">
        <x:v>B1</x:v>
      </x:c>
      <x:c r="C9" t="str">
        <x:v>E_Vehiculo</x:v>
      </x:c>
      <x:c r="D9" t="str">
        <x:v>◄ - - - - - (return)</x:v>
      </x:c>
      <x:c r="E9" t="str">
        <x:v>C_ControlListadoVehiculos</x:v>
      </x:c>
      <x:c r="F9" t="str">
        <x:v>retornarVehiculosActivosYPrincipal(lista_vehiculos,vehiculo_principal)</x:v>
      </x:c>
      <x:c r="G9" t="str">
        <x:v>La entidad devuelve al controlador de listado los vehículos ACTIVOS y el vehículo principal cuando existe.</x:v>
      </x:c>
      <x:c r="H9" t="str">
        <x:v>IMPLEMENTAR</x:v>
      </x:c>
      <x:c r="I9" t="str">
        <x:v>Implementar la ruta original BCE en el alcance reducido, con dependencias reales validadas.</x:v>
      </x:c>
      <x:c r="J9"/>
      <x:c r="K9" t="str">
        <x:v>RF22!F9</x:v>
      </x:c>
      <x:c r="L9" t="str">
        <x:v>◄ RETORNO discontinuo al llamador. C y E identifican emisor y receptor; ◄ representa disposición de líneas de vida, no inversión de columnas.</x:v>
      </x:c>
    </x:row>
    <x:row r="10" ht="52" customHeight="1">
      <x:c r="A10" t="str">
        <x:v>6</x:v>
      </x:c>
      <x:c r="B10" t="str">
        <x:v>B1</x:v>
      </x:c>
      <x:c r="C10" t="str">
        <x:v>C_ControlListadoVehiculos</x:v>
      </x:c>
      <x:c r="D10" t="str">
        <x:v>◄ - - - - - (return)</x:v>
      </x:c>
      <x:c r="E10" t="str">
        <x:v>C_ControlAlerta</x:v>
      </x:c>
      <x:c r="F10" t="str">
        <x:v>retornarVehiculosActivosYPrincipal(lista_vehiculos,vehiculo_principal)</x:v>
      </x:c>
      <x:c r="G10" t="str">
        <x:v>El controlador de listado entrega a Alertas los vehículos disponibles para programar, manteniendo separada la responsabilidad de listar.</x:v>
      </x:c>
      <x:c r="H10" t="str">
        <x:v>IMPLEMENTAR</x:v>
      </x:c>
      <x:c r="I10" t="str">
        <x:v>Implementar la ruta original BCE en el alcance reducido, con dependencias reales validadas.</x:v>
      </x:c>
      <x:c r="J10"/>
      <x:c r="K10" t="str">
        <x:v>RF22!F10</x:v>
      </x:c>
      <x:c r="L10" t="str">
        <x:v>◄ RETORNO discontinuo al llamador. C y E identifican emisor y receptor; ◄ representa disposición de líneas de vida, no inversión de columnas.</x:v>
      </x:c>
    </x:row>
    <x:row r="11" ht="52" customHeight="1">
      <x:c r="A11" t="str">
        <x:v>7</x:v>
      </x:c>
      <x:c r="B11" t="str">
        <x:v>B1</x:v>
      </x:c>
      <x:c r="C11" t="str">
        <x:v>C_ControlAlerta</x:v>
      </x:c>
      <x:c r="D11" t="str">
        <x:v>────► (llamada)</x:v>
      </x:c>
      <x:c r="E11" t="str">
        <x:v>C_ControlTipoMantenimiento</x:v>
      </x:c>
      <x:c r="F11" t="str">
        <x:v>solicitarTiposMantenimientoActivos()</x:v>
      </x:c>
      <x:c r="G11" t="str">
        <x:v>Alertas solicita al controlador responsable los tipos de mantenimiento ACTIVOS, incluidos los siete iniciales y los adicionales habilitados por RF62. El catálogo compartido es el de RF17 y RF24. Se excluye Inspección técnica/CITV, que cuenta con tratamiento documental independiente.</x:v>
      </x:c>
      <x:c r="H11" t="str">
        <x:v>ADAPTAR</x:v>
      </x:c>
      <x:c r="I11" t="str">
        <x:v>Usar catálogo compartido con siete tipos precargados; RF62 no se programa en este MVP.</x:v>
      </x:c>
      <x:c r="J11" t="str">
        <x:v>Fran: carga inicial</x:v>
      </x:c>
      <x:c r="K11" t="str">
        <x:v>RF22!F11</x:v>
      </x:c>
      <x:c r="L11" t="str">
        <x:v>► LLAMADA: operación desde el objeto de C hacia el de E; comprobar contrato y autorización.</x:v>
      </x:c>
    </x:row>
    <x:row r="12" ht="52" customHeight="1">
      <x:c r="A12" t="str">
        <x:v>8</x:v>
      </x:c>
      <x:c r="B12" t="str">
        <x:v>B1</x:v>
      </x:c>
      <x:c r="C12" t="str">
        <x:v>C_ControlTipoMantenimiento</x:v>
      </x:c>
      <x:c r="D12" t="str">
        <x:v>────► (llamada)</x:v>
      </x:c>
      <x:c r="E12" t="str">
        <x:v>E_TipoMantenimiento</x:v>
      </x:c>
      <x:c r="F12" t="str">
        <x:v>consultarTiposMantenimientoActivos()</x:v>
      </x:c>
      <x:c r="G12" t="str">
        <x:v>Consulta el catálogo de tipos de mantenimiento ACTIVOS, sin restringirlo a los siete iniciales. La exclusión de servicios ajenos a mantenimiento corresponde al controlador del catálogo, no a la entidad.</x:v>
      </x:c>
      <x:c r="H12" t="str">
        <x:v>ADAPTAR</x:v>
      </x:c>
      <x:c r="I12" t="str">
        <x:v>Consultar tipos activos registrados; no exigir RF62.</x:v>
      </x:c>
      <x:c r="J12" t="str">
        <x:v>Fran: tabla tipo_mantenimiento</x:v>
      </x:c>
      <x:c r="K12" t="str">
        <x:v>RF22!F12</x:v>
      </x:c>
      <x:c r="L12" t="str">
        <x:v>► LLAMADA: operación desde el objeto de C hacia el de E; comprobar contrato y autorización.</x:v>
      </x:c>
    </x:row>
    <x:row r="13" ht="52" customHeight="1">
      <x:c r="A13" t="str">
        <x:v>9</x:v>
      </x:c>
      <x:c r="B13" t="str">
        <x:v>B1</x:v>
      </x:c>
      <x:c r="C13" t="str">
        <x:v>E_TipoMantenimiento</x:v>
      </x:c>
      <x:c r="D13" t="str">
        <x:v>◄ - - - - - (return)</x:v>
      </x:c>
      <x:c r="E13" t="str">
        <x:v>C_ControlTipoMantenimiento</x:v>
      </x:c>
      <x:c r="F13" t="str">
        <x:v>retornarTiposMantenimientoActivos(lista_tipos)</x:v>
      </x:c>
      <x:c r="G13" t="str">
        <x:v>La entidad devuelve los tipos de mantenimiento activos.</x:v>
      </x:c>
      <x:c r="H13" t="str">
        <x:v>IMPLEMENTAR</x:v>
      </x:c>
      <x:c r="I13" t="str">
        <x:v>Implementar la ruta original BCE en el alcance reducido, con dependencias reales validadas.</x:v>
      </x:c>
      <x:c r="J13"/>
      <x:c r="K13" t="str">
        <x:v>RF22!F13</x:v>
      </x:c>
      <x:c r="L13" t="str">
        <x:v>◄ RETORNO discontinuo al llamador. C y E identifican emisor y receptor; ◄ representa disposición de líneas de vida, no inversión de columnas.</x:v>
      </x:c>
    </x:row>
    <x:row r="14" ht="52" customHeight="1">
      <x:c r="A14" t="str">
        <x:v>10</x:v>
      </x:c>
      <x:c r="B14" t="str">
        <x:v>B1</x:v>
      </x:c>
      <x:c r="C14" t="str">
        <x:v>C_ControlTipoMantenimiento</x:v>
      </x:c>
      <x:c r="D14" t="str">
        <x:v>◄ - - - - - (return)</x:v>
      </x:c>
      <x:c r="E14" t="str">
        <x:v>C_ControlAlerta</x:v>
      </x:c>
      <x:c r="F14" t="str">
        <x:v>retornarTiposMantenimientoActivos(lista_tipos_registrables)</x:v>
      </x:c>
      <x:c r="G14" t="str">
        <x:v>Devuelve TODOS los tipos de mantenimiento ACTIVOS habilitados: los siete iniciales más los creados y activados mediante RF62. Excluye Inspección técnica/CITV cuando se gestiona por su módulo propio; no aplica un máximo de siete.</x:v>
      </x:c>
      <x:c r="H14" t="str">
        <x:v>ADAPTAR</x:v>
      </x:c>
      <x:c r="I14" t="str">
        <x:v>MVP presenta siete tipos semilla activos, sin alta dinámica administrativa RF62.</x:v>
      </x:c>
      <x:c r="J14"/>
      <x:c r="K14" t="str">
        <x:v>RF22!F14</x:v>
      </x:c>
      <x:c r="L14" t="str">
        <x:v>◄ RETORNO discontinuo al llamador. C y E identifican emisor y receptor; ◄ representa disposición de líneas de vida, no inversión de columnas.</x:v>
      </x:c>
    </x:row>
    <x:row r="15" ht="52" customHeight="1">
      <x:c r="A15" t="str">
        <x:v>11</x:v>
      </x:c>
      <x:c r="B15" t="str">
        <x:v>B1</x:v>
      </x:c>
      <x:c r="C15" t="str">
        <x:v>C_ControlAlerta</x:v>
      </x:c>
      <x:c r="D15" t="str">
        <x:v>↩ (auto-msg)</x:v>
      </x:c>
      <x:c r="E15" t="str">
        <x:v>C_ControlAlerta</x:v>
      </x:c>
      <x:c r="F15" t="str">
        <x:v>determinarVehiculoInicialActivo(id_vehiculo_contexto,vehiculo_principal,lista_vehiculos)</x:v>
      </x:c>
      <x:c r="G15" t="str">
        <x:v>Si existe un vehículo de contexto y está Activo, se conserva; si no existe contexto, se selecciona por defecto el vehículo principal Activo.</x:v>
      </x:c>
      <x:c r="H15" t="str">
        <x:v>IMPLEMENTAR</x:v>
      </x:c>
      <x:c r="I15" t="str">
        <x:v>Implementar la ruta original BCE en el alcance reducido, con dependencias reales validadas.</x:v>
      </x:c>
      <x:c r="J15"/>
      <x:c r="K15" t="str">
        <x:v>RF22!F15</x:v>
      </x:c>
      <x:c r="L15" t="str">
        <x:v>↩ AUTO-MENSAJE: mismo objeto; lógica local, no salto de capa.</x:v>
      </x:c>
    </x:row>
    <x:row r="16" ht="57" customHeight="1">
      <x:c r="A16" t="str">
        <x:v>12</x:v>
      </x:c>
      <x:c r="B16" t="str">
        <x:v>B1</x:v>
      </x:c>
      <x:c r="C16" t="str">
        <x:v>C_ControlAlerta</x:v>
      </x:c>
      <x:c r="D16" t="str">
        <x:v>────► (llamada)</x:v>
      </x:c>
      <x:c r="E16" t="str">
        <x:v>I_ProgramarAlerta</x:v>
      </x:c>
      <x:c r="F16" t="str">
        <x:v>mostrarFormularioBase(lista_vehiculos,vehiculo_inicial,lista_tipos_registrables)</x:v>
      </x:c>
      <x:c r="G16" t="str">
        <x:v>Abre Programar mantenimiento con los vehículos ACTIVOS y el catálogo de tipos ACTIVOS completo. Conserva Por tiempo, Por km y Ambos; SOAT y CITV no son tipos de mantenimiento. Para OTRO conserva Especificar servicio y las sugerencias condicionales.</x:v>
      </x:c>
      <x:c r="H16" t="str">
        <x:v>IMPLEMENTAR</x:v>
      </x:c>
      <x:c r="I16" t="str">
        <x:v>Implementar la ruta original BCE en el alcance reducido, con dependencias reales validadas.</x:v>
      </x:c>
      <x:c r="J16"/>
      <x:c r="K16" t="str">
        <x:v>RF22!F16</x:v>
      </x:c>
      <x:c r="L16" t="str">
        <x:v>► LLAMADA: operación desde el objeto de C hacia el de E; comprobar contrato y autorización.</x:v>
      </x:c>
    </x:row>
    <x:row r="17" ht="57" customHeight="1">
      <x:c r="A17" t="str">
        <x:v>13</x:v>
      </x:c>
      <x:c r="B17" t="str">
        <x:v>B1</x:v>
      </x:c>
      <x:c r="C17" t="str">
        <x:v>I_ProgramarAlerta</x:v>
      </x:c>
      <x:c r="D17" t="str">
        <x:v>────► (llamada)</x:v>
      </x:c>
      <x:c r="E17" t="str">
        <x:v>AS_Usuario</x:v>
      </x:c>
      <x:c r="F17" t="str">
        <x:v>visualizarFormularioBase()</x:v>
      </x:c>
      <x:c r="G17" t="str">
        <x:v>El usuario visualiza el formulario inicial de programación.</x:v>
      </x:c>
      <x:c r="H17" t="str">
        <x:v>IMPLEMENTAR</x:v>
      </x:c>
      <x:c r="I17" t="str">
        <x:v>Implementar la ruta original BCE en el alcance reducido, con dependencias reales validadas.</x:v>
      </x:c>
      <x:c r="J17"/>
      <x:c r="K17" t="str">
        <x:v>RF22!F17</x:v>
      </x:c>
      <x:c r="L17" t="str">
        <x:v>⚠ SALIDA VISUAL al actor: no ejecutar «visualizar...» como método/API del usuario. En UML formal es presentación/resultado de UI, no llamada remota.</x:v>
      </x:c>
    </x:row>
    <x:row r="18" ht="28.799999237060547" customHeight="1">
      <x:c r="A18" t="str">
        <x:v>BLOQUE 2 — SELECCIÓN Y VALIDACIÓN DEL VEHÍCULO Y SERVICIO — Pasos 14–24</x:v>
      </x:c>
      <x:c r="B18"/>
      <x:c r="C18"/>
      <x:c r="D18"/>
      <x:c r="E18"/>
      <x:c r="F18"/>
      <x:c r="G18"/>
      <x:c r="H18"/>
      <x:c r="I18"/>
      <x:c r="J18"/>
      <x:c r="K18"/>
      <x:c r="L18"/>
    </x:row>
    <x:row r="19" ht="57" customHeight="1">
      <x:c r="A19" t="str">
        <x:v>14</x:v>
      </x:c>
      <x:c r="B19" t="str">
        <x:v>B2</x:v>
      </x:c>
      <x:c r="C19" t="str">
        <x:v>AS_Usuario</x:v>
      </x:c>
      <x:c r="D19" t="str">
        <x:v>────► (llamada)</x:v>
      </x:c>
      <x:c r="E19" t="str">
        <x:v>I_ProgramarAlerta</x:v>
      </x:c>
      <x:c r="F19" t="str">
        <x:v>seleccionarVehiculoYTipo(id_vehiculo,id_tipo_mantenimiento)</x:v>
      </x:c>
      <x:c r="G19" t="str">
        <x:v>El usuario selecciona el tipo y, cuando corresponda, cambia el vehículo ACTIVO. Para OTRO aparece «Especificar servicio»; primero se muestran sugerencias anteriores opcionales y luego se ingresa el intervalo. Para otros tipos no se solicitan nombres libres.</x:v>
      </x:c>
      <x:c r="H19" t="str">
        <x:v>IMPLEMENTAR</x:v>
      </x:c>
      <x:c r="I19" t="str">
        <x:v>Implementar la ruta original BCE en el alcance reducido, con dependencias reales validadas.</x:v>
      </x:c>
      <x:c r="J19"/>
      <x:c r="K19" t="str">
        <x:v>RF22!F19</x:v>
      </x:c>
      <x:c r="L19" t="str">
        <x:v>► LLAMADA: operación desde el objeto de C hacia el de E; comprobar contrato y autorización.</x:v>
      </x:c>
    </x:row>
    <x:row r="20" ht="57" customHeight="1">
      <x:c r="A20" t="str">
        <x:v>15</x:v>
      </x:c>
      <x:c r="B20" t="str">
        <x:v>B2</x:v>
      </x:c>
      <x:c r="C20" t="str">
        <x:v>I_ProgramarAlerta</x:v>
      </x:c>
      <x:c r="D20" t="str">
        <x:v>────► (llamada)</x:v>
      </x:c>
      <x:c r="E20" t="str">
        <x:v>C_ControlAlerta</x:v>
      </x:c>
      <x:c r="F20" t="str">
        <x:v>procesarSeleccionBase(id_usuario,id_vehiculo,id_tipo_mantenimiento)</x:v>
      </x:c>
      <x:c r="G20" t="str">
        <x:v>Valida vehículo y tipo; consulta posteriormente los antecedentes del vehículo. La consulta de sugerencias es específica de OTRO; el historial informativo del servicio OTRO no se determina hasta seleccionar explícitamente una sugerencia.</x:v>
      </x:c>
      <x:c r="H20" t="str">
        <x:v>IMPLEMENTAR</x:v>
      </x:c>
      <x:c r="I20" t="str">
        <x:v>Implementar la ruta original BCE en el alcance reducido, con dependencias reales validadas.</x:v>
      </x:c>
      <x:c r="J20"/>
      <x:c r="K20" t="str">
        <x:v>RF22!F20</x:v>
      </x:c>
      <x:c r="L20" t="str">
        <x:v>► LLAMADA: operación desde el objeto de C hacia el de E; comprobar contrato y autorización.</x:v>
      </x:c>
    </x:row>
    <x:row r="21" ht="57" customHeight="1">
      <x:c r="A21" t="str">
        <x:v>16</x:v>
      </x:c>
      <x:c r="B21" t="str">
        <x:v>B2</x:v>
      </x:c>
      <x:c r="C21" t="str">
        <x:v>C_ControlAlerta</x:v>
      </x:c>
      <x:c r="D21" t="str">
        <x:v>────► (llamada)</x:v>
      </x:c>
      <x:c r="E21" t="str">
        <x:v>C_ControlVehiculo</x:v>
      </x:c>
      <x:c r="F21" t="str">
        <x:v>validarVehiculoActivoUsuario(id_usuario,id_vehiculo)</x:v>
      </x:c>
      <x:c r="G21" t="str">
        <x:v>El controlador solicita confirmar que el vehículo pertenezca al usuario y continúe Activo.</x:v>
      </x:c>
      <x:c r="H21" t="str">
        <x:v>ADAPTAR</x:v>
      </x:c>
      <x:c r="I21" t="str">
        <x:v>No ofrecer SOAT/CITV; únicamente servicio de mantenimiento y criterios TIEMPO/KM/AMBOS.</x:v>
      </x:c>
      <x:c r="J21"/>
      <x:c r="K21" t="str">
        <x:v>RF22!F21</x:v>
      </x:c>
      <x:c r="L21" t="str">
        <x:v>► LLAMADA: operación desde el objeto de C hacia el de E; comprobar contrato y autorización.</x:v>
      </x:c>
    </x:row>
    <x:row r="22" ht="57" customHeight="1">
      <x:c r="A22" t="str">
        <x:v>17</x:v>
      </x:c>
      <x:c r="B22" t="str">
        <x:v>B2</x:v>
      </x:c>
      <x:c r="C22" t="str">
        <x:v>C_ControlVehiculo</x:v>
      </x:c>
      <x:c r="D22" t="str">
        <x:v>────► (llamada)</x:v>
      </x:c>
      <x:c r="E22" t="str">
        <x:v>E_Vehiculo</x:v>
      </x:c>
      <x:c r="F22" t="str">
        <x:v>consultarVehiculoActivoUsuario(id_usuario,id_vehiculo)</x:v>
      </x:c>
      <x:c r="G22" t="str">
        <x:v>El controlador consulta la propiedad, el estado del vehículo y sus datos básicos.</x:v>
      </x:c>
      <x:c r="H22" t="str">
        <x:v>IMPLEMENTAR</x:v>
      </x:c>
      <x:c r="I22" t="str">
        <x:v>Implementar la ruta original BCE en el alcance reducido, con dependencias reales validadas.</x:v>
      </x:c>
      <x:c r="J22"/>
      <x:c r="K22" t="str">
        <x:v>RF22!F22</x:v>
      </x:c>
      <x:c r="L22" t="str">
        <x:v>► LLAMADA: operación desde el objeto de C hacia el de E; comprobar contrato y autorización.</x:v>
      </x:c>
    </x:row>
    <x:row r="23" ht="57" customHeight="1">
      <x:c r="A23" t="str">
        <x:v>18</x:v>
      </x:c>
      <x:c r="B23" t="str">
        <x:v>B2</x:v>
      </x:c>
      <x:c r="C23" t="str">
        <x:v>E_Vehiculo</x:v>
      </x:c>
      <x:c r="D23" t="str">
        <x:v>◄ - - - - - (return)</x:v>
      </x:c>
      <x:c r="E23" t="str">
        <x:v>C_ControlVehiculo</x:v>
      </x:c>
      <x:c r="F23" t="str">
        <x:v>retornarVehiculoValidado(datos_vehiculo)</x:v>
      </x:c>
      <x:c r="G23" t="str">
        <x:v>La entidad devuelve vehículo ACTIVO y sus datos, incluido el aceite registrado (si lo tiene). El tipo de aceite será informativo en RF22 y no establecerá por sí solo intervalos de mantenimiento.</x:v>
      </x:c>
      <x:c r="H23" t="str">
        <x:v>IMPLEMENTAR</x:v>
      </x:c>
      <x:c r="I23" t="str">
        <x:v>Implementar la ruta original BCE en el alcance reducido, con dependencias reales validadas.</x:v>
      </x:c>
      <x:c r="J23"/>
      <x:c r="K23" t="str">
        <x:v>RF22!F23</x:v>
      </x:c>
      <x:c r="L23" t="str">
        <x:v>◄ RETORNO discontinuo al llamador. C y E identifican emisor y receptor; ◄ representa disposición de líneas de vida, no inversión de columnas.</x:v>
      </x:c>
    </x:row>
    <x:row r="24" ht="57" customHeight="1">
      <x:c r="A24" t="str">
        <x:v>19</x:v>
      </x:c>
      <x:c r="B24" t="str">
        <x:v>B2</x:v>
      </x:c>
      <x:c r="C24" t="str">
        <x:v>C_ControlVehiculo</x:v>
      </x:c>
      <x:c r="D24" t="str">
        <x:v>◄ - - - - - (return)</x:v>
      </x:c>
      <x:c r="E24" t="str">
        <x:v>C_ControlAlerta</x:v>
      </x:c>
      <x:c r="F24" t="str">
        <x:v>retornarVehiculoActivo(datos_vehiculo)</x:v>
      </x:c>
      <x:c r="G24" t="str">
        <x:v>El controlador de alertas recibe la validación positiva del vehículo.</x:v>
      </x:c>
      <x:c r="H24" t="str">
        <x:v>IMPLEMENTAR</x:v>
      </x:c>
      <x:c r="I24" t="str">
        <x:v>Implementar la ruta original BCE en el alcance reducido, con dependencias reales validadas.</x:v>
      </x:c>
      <x:c r="J24"/>
      <x:c r="K24" t="str">
        <x:v>RF22!F24</x:v>
      </x:c>
      <x:c r="L24" t="str">
        <x:v>◄ RETORNO discontinuo al llamador. C y E identifican emisor y receptor; ◄ representa disposición de líneas de vida, no inversión de columnas.</x:v>
      </x:c>
    </x:row>
    <x:row r="25" ht="57" customHeight="1">
      <x:c r="A25" t="str">
        <x:v>20</x:v>
      </x:c>
      <x:c r="B25" t="str">
        <x:v>B2</x:v>
      </x:c>
      <x:c r="C25" t="str">
        <x:v>C_ControlAlerta</x:v>
      </x:c>
      <x:c r="D25" t="str">
        <x:v>────► (llamada)</x:v>
      </x:c>
      <x:c r="E25" t="str">
        <x:v>C_ControlTipoMantenimiento</x:v>
      </x:c>
      <x:c r="F25" t="str">
        <x:v>solicitarTipoMantenimientoActivo(id_tipo_mantenimiento)</x:v>
      </x:c>
      <x:c r="G25" t="str">
        <x:v>Solicita comprobar que el tipo seleccionado pertenece al catálogo compartido RF17/RF22/RF24, está ACTIVO y no es un tipo técnico ajeno; también admite nuevos tipos habilitados por RF62.</x:v>
      </x:c>
      <x:c r="H25" t="str">
        <x:v>IMPLEMENTAR</x:v>
      </x:c>
      <x:c r="I25" t="str">
        <x:v>Implementar la ruta original BCE en el alcance reducido, con dependencias reales validadas.</x:v>
      </x:c>
      <x:c r="J25"/>
      <x:c r="K25" t="str">
        <x:v>RF22!F25</x:v>
      </x:c>
      <x:c r="L25" t="str">
        <x:v>► LLAMADA: operación desde el objeto de C hacia el de E; comprobar contrato y autorización.</x:v>
      </x:c>
    </x:row>
    <x:row r="26" ht="57" customHeight="1">
      <x:c r="A26" t="str">
        <x:v>21</x:v>
      </x:c>
      <x:c r="B26" t="str">
        <x:v>B2</x:v>
      </x:c>
      <x:c r="C26" t="str">
        <x:v>C_ControlTipoMantenimiento</x:v>
      </x:c>
      <x:c r="D26" t="str">
        <x:v>────► (llamada)</x:v>
      </x:c>
      <x:c r="E26" t="str">
        <x:v>E_TipoMantenimiento</x:v>
      </x:c>
      <x:c r="F26" t="str">
        <x:v>consultarTipoMantenimientoActivo(id_tipo_mantenimiento)</x:v>
      </x:c>
      <x:c r="G26" t="str">
        <x:v>Consulta el registro y su estado actualizado. C_ControlTipoMantenimiento valida existencia, ACTIVO y pertenencia al catálogo registrable ampliable, nunca solamente los siete iniciales.</x:v>
      </x:c>
      <x:c r="H26" t="str">
        <x:v>IMPLEMENTAR</x:v>
      </x:c>
      <x:c r="I26" t="str">
        <x:v>Implementar la ruta original BCE en el alcance reducido, con dependencias reales validadas.</x:v>
      </x:c>
      <x:c r="J26"/>
      <x:c r="K26" t="str">
        <x:v>RF22!F26</x:v>
      </x:c>
      <x:c r="L26" t="str">
        <x:v>► LLAMADA: operación desde el objeto de C hacia el de E; comprobar contrato y autorización.</x:v>
      </x:c>
    </x:row>
    <x:row r="27" ht="57" customHeight="1">
      <x:c r="A27" t="str">
        <x:v>22</x:v>
      </x:c>
      <x:c r="B27" t="str">
        <x:v>B2</x:v>
      </x:c>
      <x:c r="C27" t="str">
        <x:v>E_TipoMantenimiento</x:v>
      </x:c>
      <x:c r="D27" t="str">
        <x:v>◄ - - - - - (return)</x:v>
      </x:c>
      <x:c r="E27" t="str">
        <x:v>C_ControlTipoMantenimiento</x:v>
      </x:c>
      <x:c r="F27" t="str">
        <x:v>retornarTipoMantenimientoActivo(datos_tipo)</x:v>
      </x:c>
      <x:c r="G27" t="str">
        <x:v>La entidad devuelve el tipo de mantenimiento válido.</x:v>
      </x:c>
      <x:c r="H27" t="str">
        <x:v>IMPLEMENTAR</x:v>
      </x:c>
      <x:c r="I27" t="str">
        <x:v>Implementar la ruta original BCE en el alcance reducido, con dependencias reales validadas.</x:v>
      </x:c>
      <x:c r="J27"/>
      <x:c r="K27" t="str">
        <x:v>RF22!F27</x:v>
      </x:c>
      <x:c r="L27" t="str">
        <x:v>◄ RETORNO discontinuo al llamador. C y E identifican emisor y receptor; ◄ representa disposición de líneas de vida, no inversión de columnas.</x:v>
      </x:c>
    </x:row>
    <x:row r="28" ht="57" customHeight="1">
      <x:c r="A28" t="str">
        <x:v>23</x:v>
      </x:c>
      <x:c r="B28" t="str">
        <x:v>B2</x:v>
      </x:c>
      <x:c r="C28" t="str">
        <x:v>C_ControlTipoMantenimiento</x:v>
      </x:c>
      <x:c r="D28" t="str">
        <x:v>◄ - - - - - (return)</x:v>
      </x:c>
      <x:c r="E28" t="str">
        <x:v>C_ControlAlerta</x:v>
      </x:c>
      <x:c r="F28" t="str">
        <x:v>retornarTipoMantenimientoActivoPermitido(datos_tipo)</x:v>
      </x:c>
      <x:c r="G28" t="str">
        <x:v>Retorna el tipo seleccionado tras comprobar existencia, estado ACTIVO y pertenencia al catálogo de mantenimiento compartido con RF17/RF24, incluidos los adicionales de RF62.</x:v>
      </x:c>
      <x:c r="H28" t="str">
        <x:v>IMPLEMENTAR</x:v>
      </x:c>
      <x:c r="I28" t="str">
        <x:v>Implementar la ruta original BCE en el alcance reducido, con dependencias reales validadas.</x:v>
      </x:c>
      <x:c r="J28"/>
      <x:c r="K28" t="str">
        <x:v>RF22!F28</x:v>
      </x:c>
      <x:c r="L28" t="str">
        <x:v>◄ RETORNO discontinuo al llamador. C y E identifican emisor y receptor; ◄ representa disposición de líneas de vida, no inversión de columnas.</x:v>
      </x:c>
    </x:row>
    <x:row r="29" ht="57" customHeight="1">
      <x:c r="A29" t="str">
        <x:v>24</x:v>
      </x:c>
      <x:c r="B29" t="str">
        <x:v>B2</x:v>
      </x:c>
      <x:c r="C29" t="str">
        <x:v>C_ControlAlerta</x:v>
      </x:c>
      <x:c r="D29" t="str">
        <x:v>↩ (auto-msg)</x:v>
      </x:c>
      <x:c r="E29" t="str">
        <x:v>C_ControlAlerta</x:v>
      </x:c>
      <x:c r="F29" t="str">
        <x:v>prepararCamposCondicionalesRF17ParaAlerta(datos_tipo,datos_vehiculo.tipo_aceite)</x:v>
      </x:c>
      <x:c r="G29" t="str">
        <x:v>Cambio de aceite: aceite registrado en E_Vehiculo SOLO LECTURA o «No registrado». OTRO: «Especificar servicio» obligatorio (no vacío), con sugerencias OPCIONALES de servicios anteriores y entrada libre. servicio_otro es un dato distinto de descripcion (RF17/BD); no se corrige texto sin selección explícita.</x:v>
      </x:c>
      <x:c r="H29" t="str">
        <x:v>IMPLEMENTAR</x:v>
      </x:c>
      <x:c r="I29" t="str">
        <x:v>Implementar la ruta original BCE en el alcance reducido, con dependencias reales validadas.</x:v>
      </x:c>
      <x:c r="J29"/>
      <x:c r="K29" t="str">
        <x:v>RF22!F29</x:v>
      </x:c>
      <x:c r="L29" t="str">
        <x:v>↩ AUTO-MENSAJE: mismo objeto; lógica local, no salto de capa.</x:v>
      </x:c>
    </x:row>
    <x:row r="30" ht="28.799999237060547" customHeight="1">
      <x:c r="A30" t="str">
        <x:v>BLOQUE 3 — RECUPERACIÓN DEL ÚLTIMO SERVICIO Y DEL KILOMETRAJE VIGENTE — Pasos 25–37</x:v>
      </x:c>
      <x:c r="B30"/>
      <x:c r="C30"/>
      <x:c r="D30"/>
      <x:c r="E30"/>
      <x:c r="F30"/>
      <x:c r="G30"/>
      <x:c r="H30"/>
      <x:c r="I30"/>
      <x:c r="J30"/>
      <x:c r="K30"/>
      <x:c r="L30"/>
    </x:row>
    <x:row r="31" ht="57" customHeight="1">
      <x:c r="A31" t="str">
        <x:v>25</x:v>
      </x:c>
      <x:c r="B31" t="str">
        <x:v>B3</x:v>
      </x:c>
      <x:c r="C31" t="str">
        <x:v>C_ControlAlerta</x:v>
      </x:c>
      <x:c r="D31" t="str">
        <x:v>────► (llamada)</x:v>
      </x:c>
      <x:c r="E31" t="str">
        <x:v>C_ControlMantenimiento</x:v>
      </x:c>
      <x:c r="F31" t="str">
        <x:v>solicitarAntecedentesParaProgramacion(id_usuario,id_vehiculo,id_tipo_mantenimiento)</x:v>
      </x:c>
      <x:c r="G31" t="str">
        <x:v>[alt tipo≠OTRO / tipo=OTRO] Para un tipo estándar solicita el último REALIZADO de ese tipo; para OTRO solicita una lista distinta de nombres servicio_otro de mantenimientos REALIZADOS del vehículo autorizado, no su referencia histórica todavía. Se excluyen ANULADOS; consulta UNA vez al elegir el tipo o cambiar de vehículo.</x:v>
      </x:c>
      <x:c r="H31" t="str">
        <x:v>IMPLEMENTAR</x:v>
      </x:c>
      <x:c r="I31" t="str">
        <x:v>Implementar la ruta original BCE en el alcance reducido, con dependencias reales validadas.</x:v>
      </x:c>
      <x:c r="J31"/>
      <x:c r="K31" t="str">
        <x:v>RF22!F31</x:v>
      </x:c>
      <x:c r="L31" t="str">
        <x:v>► LLAMADA: operación desde el objeto de C hacia el de E; comprobar contrato y autorización.</x:v>
      </x:c>
    </x:row>
    <x:row r="32" ht="57" customHeight="1">
      <x:c r="A32" t="str">
        <x:v>26</x:v>
      </x:c>
      <x:c r="B32" t="str">
        <x:v>B3</x:v>
      </x:c>
      <x:c r="C32" t="str">
        <x:v>C_ControlMantenimiento</x:v>
      </x:c>
      <x:c r="D32" t="str">
        <x:v>────► (llamada)</x:v>
      </x:c>
      <x:c r="E32" t="str">
        <x:v>E_Mantenimiento</x:v>
      </x:c>
      <x:c r="F32" t="str">
        <x:v>consultarAntecedentesRealizadosSegunTipo(id_usuario,id_vehiculo,id_tipo_mantenimiento)</x:v>
      </x:c>
      <x:c r="G32" t="str">
        <x:v>E_Mantenimiento consulta datos del vehículo autorizado: si el tipo no es OTRO recupera último REALIZADO por tipo con fecha/km histórico inmutable; si es OTRO obtiene nombres distintos de mantenimiento.servicio_otro, sin usar descripcion. No hace una consulta a BD por cada letra escrita.</x:v>
      </x:c>
      <x:c r="H32" t="str">
        <x:v>IMPLEMENTAR</x:v>
      </x:c>
      <x:c r="I32" t="str">
        <x:v>Implementar la ruta original BCE en el alcance reducido, con dependencias reales validadas.</x:v>
      </x:c>
      <x:c r="J32"/>
      <x:c r="K32" t="str">
        <x:v>RF22!F32</x:v>
      </x:c>
      <x:c r="L32" t="str">
        <x:v>► LLAMADA: operación desde el objeto de C hacia el de E; comprobar contrato y autorización.</x:v>
      </x:c>
    </x:row>
    <x:row r="33" ht="57" customHeight="1">
      <x:c r="A33" t="str">
        <x:v>27</x:v>
      </x:c>
      <x:c r="B33" t="str">
        <x:v>B3</x:v>
      </x:c>
      <x:c r="C33" t="str">
        <x:v>E_Mantenimiento</x:v>
      </x:c>
      <x:c r="D33" t="str">
        <x:v>◄ - - - - - (return)</x:v>
      </x:c>
      <x:c r="E33" t="str">
        <x:v>C_ControlMantenimiento</x:v>
      </x:c>
      <x:c r="F33" t="str">
        <x:v>retornarAntecedentesSegunTipo(lista_servicios_otro_o_vacia,referencia_ultimo_tipo_o_NULL)</x:v>
      </x:c>
      <x:c r="G33" t="str">
        <x:v>Para tipos estándar retorna referencia opcional; para OTRO, nombres de servicios existentes y referencia=NULL hasta elección explícita. Sin antecedentes devuelve lista vacía o NULL; no bloquea la programación.</x:v>
      </x:c>
      <x:c r="H33" t="str">
        <x:v>IMPLEMENTAR</x:v>
      </x:c>
      <x:c r="I33" t="str">
        <x:v>Implementar la ruta original BCE en el alcance reducido, con dependencias reales validadas.</x:v>
      </x:c>
      <x:c r="J33"/>
      <x:c r="K33" t="str">
        <x:v>RF22!F33</x:v>
      </x:c>
      <x:c r="L33" t="str">
        <x:v>◄ RETORNO discontinuo al llamador. C y E identifican emisor y receptor; ◄ representa disposición de líneas de vida, no inversión de columnas.</x:v>
      </x:c>
    </x:row>
    <x:row r="34" ht="57" customHeight="1">
      <x:c r="A34" t="str">
        <x:v>28</x:v>
      </x:c>
      <x:c r="B34" t="str">
        <x:v>B3</x:v>
      </x:c>
      <x:c r="C34" t="str">
        <x:v>C_ControlMantenimiento</x:v>
      </x:c>
      <x:c r="D34" t="str">
        <x:v>◄ - - - - - (return)</x:v>
      </x:c>
      <x:c r="E34" t="str">
        <x:v>C_ControlAlerta</x:v>
      </x:c>
      <x:c r="F34" t="str">
        <x:v>retornarAntecedentesSegunTipo(lista_servicios_otro_o_vacia,referencia_ultimo_tipo_o_NULL)</x:v>
      </x:c>
      <x:c r="G34" t="str">
        <x:v>C_ControlMantenimiento devuelve los nombres de sugerencias (solo OTRO) y/o la referencia histórica del tipo estándar. Si OTRO se teclea libremente sin escoger sugerencia, no se enlaza automáticamente a un servicio distinto.</x:v>
      </x:c>
      <x:c r="H34" t="str">
        <x:v>IMPLEMENTAR</x:v>
      </x:c>
      <x:c r="I34" t="str">
        <x:v>Implementar la ruta original BCE en el alcance reducido, con dependencias reales validadas.</x:v>
      </x:c>
      <x:c r="J34"/>
      <x:c r="K34" t="str">
        <x:v>RF22!F34</x:v>
      </x:c>
      <x:c r="L34" t="str">
        <x:v>◄ RETORNO discontinuo al llamador. C y E identifican emisor y receptor; ◄ representa disposición de líneas de vida, no inversión de columnas.</x:v>
      </x:c>
    </x:row>
    <x:row r="35" ht="57" customHeight="1">
      <x:c r="A35" t="str">
        <x:v>29</x:v>
      </x:c>
      <x:c r="B35" t="str">
        <x:v>B3</x:v>
      </x:c>
      <x:c r="C35" t="str">
        <x:v>C_ControlAlerta</x:v>
      </x:c>
      <x:c r="D35" t="str">
        <x:v>────► (llamada)</x:v>
      </x:c>
      <x:c r="E35" t="str">
        <x:v>C_ControlKilometraje</x:v>
      </x:c>
      <x:c r="F35" t="str">
        <x:v>solicitarUltimaLecturaValidaRF14(id_vehiculo)</x:v>
      </x:c>
      <x:c r="G35" t="str">
        <x:v>Solicita la última lectura válida y EFECTIVA registrada mediante RF14 (considerando correcciones aplicables). Se usará como base de cálculo por km, en SOLO LECTURA. La fecha de lectura sirve solo para seleccionar/verificar el registro y NO se mostrará en «Datos actuales». Si falta lectura, POR TIEMPO continúa; POR KM/AMBOS se atiende en EA02, sin botón de actualización en RF22.</x:v>
      </x:c>
      <x:c r="H35" t="str">
        <x:v>IMPLEMENTAR</x:v>
      </x:c>
      <x:c r="I35" t="str">
        <x:v>MVP H03: consulta compartida de kilometraje efectivo, no exclusiva de RF14. Obtener última lectura válida del vehículo: RF08 inicial o RF14 posterior; conservar el mensaje BCE original por trazabilidad hasta revisar los contratos físicos.</x:v>
      </x:c>
      <x:c r="J35"/>
      <x:c r="K35" t="str">
        <x:v>RF22!F35</x:v>
      </x:c>
      <x:c r="L35" t="str">
        <x:v>► LLAMADA: operación desde el objeto de C hacia el de E; comprobar contrato y autorización.</x:v>
      </x:c>
    </x:row>
    <x:row r="36" ht="57" customHeight="1">
      <x:c r="A36" t="str">
        <x:v>30</x:v>
      </x:c>
      <x:c r="B36" t="str">
        <x:v>B3</x:v>
      </x:c>
      <x:c r="C36" t="str">
        <x:v>C_ControlKilometraje</x:v>
      </x:c>
      <x:c r="D36" t="str">
        <x:v>────► (llamada)</x:v>
      </x:c>
      <x:c r="E36" t="str">
        <x:v>E_Kilometraje</x:v>
      </x:c>
      <x:c r="F36" t="str">
        <x:v>consultarUltimoKilometrajeValido(id_vehiculo)</x:v>
      </x:c>
      <x:c r="G36" t="str">
        <x:v>Consulta la última lectura válida efectiva del vehículo y su fecha interna de registro; considera la política de correcciones de RF14. No registra ni modifica kilometraje desde RF22, ni utiliza el km histórico de RF17.</x:v>
      </x:c>
      <x:c r="H36" t="str">
        <x:v>IMPLEMENTAR</x:v>
      </x:c>
      <x:c r="I36" t="str">
        <x:v>MVP H03: consultar la lectura efectiva válida más reciente sin importar su origen RF08/RF14, con fecha del servidor y validación de autorización; no registrar ni modificar el odómetro desde RF22.</x:v>
      </x:c>
      <x:c r="J36"/>
      <x:c r="K36" t="str">
        <x:v>RF22!F36</x:v>
      </x:c>
      <x:c r="L36" t="str">
        <x:v>► LLAMADA: operación desde el objeto de C hacia el de E; comprobar contrato y autorización.</x:v>
      </x:c>
    </x:row>
    <x:row r="37" ht="57" customHeight="1">
      <x:c r="A37" t="str">
        <x:v>31</x:v>
      </x:c>
      <x:c r="B37" t="str">
        <x:v>B3</x:v>
      </x:c>
      <x:c r="C37" t="str">
        <x:v>E_Kilometraje</x:v>
      </x:c>
      <x:c r="D37" t="str">
        <x:v>◄ - - - - - (return)</x:v>
      </x:c>
      <x:c r="E37" t="str">
        <x:v>C_ControlKilometraje</x:v>
      </x:c>
      <x:c r="F37" t="str">
        <x:v>retornarKilometrajeVigenteOAusente(km_vigente_o_NULL,fecha_lectura_o_NULL,id_vehiculo)</x:v>
      </x:c>
      <x:c r="G37" t="str">
        <x:v>Retorna km válido efectivo y fecha de lectura como metadato INTERNO (o NULL si falta); solo se mostrará al usuario el kilometraje registrado, nunca la fecha de lectura. No modifica el historial.</x:v>
      </x:c>
      <x:c r="H37" t="str">
        <x:v>IMPLEMENTAR</x:v>
      </x:c>
      <x:c r="I37" t="str">
        <x:v>MVP H03: retornar km efectivo o ausencia comprobada de lecturas RF08/RF14. La fecha de lectura solo sirve como metadato interno; error de consulta ≠ lectura inexistente.</x:v>
      </x:c>
      <x:c r="J37"/>
      <x:c r="K37" t="str">
        <x:v>RF22!F37</x:v>
      </x:c>
      <x:c r="L37" t="str">
        <x:v>◄ RETORNO discontinuo al llamador. C y E identifican emisor y receptor; ◄ representa disposición de líneas de vida, no inversión de columnas.</x:v>
      </x:c>
    </x:row>
    <x:row r="38" ht="57" customHeight="1">
      <x:c r="A38" t="str">
        <x:v>32</x:v>
      </x:c>
      <x:c r="B38" t="str">
        <x:v>B3</x:v>
      </x:c>
      <x:c r="C38" t="str">
        <x:v>C_ControlKilometraje</x:v>
      </x:c>
      <x:c r="D38" t="str">
        <x:v>↩ (auto-msg)</x:v>
      </x:c>
      <x:c r="E38" t="str">
        <x:v>C_ControlKilometraje</x:v>
      </x:c>
      <x:c r="F38" t="str">
        <x:v>verificarLecturaVigenteSiExiste(id_vehiculo,km_vigente_o_NULL)</x:v>
      </x:c>
      <x:c r="G38" t="str">
        <x:v>Si existe lectura, verifica que corresponde al vehículo y es válida; su ausencia no genera error todavía: se evaluará según el criterio seleccionado.</x:v>
      </x:c>
      <x:c r="H38" t="str">
        <x:v>IMPLEMENTAR</x:v>
      </x:c>
      <x:c r="I38" t="str">
        <x:v>Implementar la ruta original BCE en el alcance reducido, con dependencias reales validadas.</x:v>
      </x:c>
      <x:c r="J38"/>
      <x:c r="K38" t="str">
        <x:v>RF22!F38</x:v>
      </x:c>
      <x:c r="L38" t="str">
        <x:v>↩ AUTO-MENSAJE: mismo objeto; lógica local, no salto de capa.</x:v>
      </x:c>
    </x:row>
    <x:row r="39" ht="57" customHeight="1">
      <x:c r="A39" t="str">
        <x:v>33</x:v>
      </x:c>
      <x:c r="B39" t="str">
        <x:v>B3</x:v>
      </x:c>
      <x:c r="C39" t="str">
        <x:v>C_ControlKilometraje</x:v>
      </x:c>
      <x:c r="D39" t="str">
        <x:v>↩ (auto-msg)</x:v>
      </x:c>
      <x:c r="E39" t="str">
        <x:v>C_ControlKilometraje</x:v>
      </x:c>
      <x:c r="F39" t="str">
        <x:v>prepararBaseKilometrajeActual(km_vigente_o_NULL,fecha_lectura_o_NULL)</x:v>
      </x:c>
      <x:c r="G39" t="str">
        <x:v>Prepara la BASE DE CÁLCULO por km usando la última lectura válida efectiva de RF14. fecha_lectura es metadato interno de validación/ordenación, no un campo visible en «Datos actuales». No altera el km del mantenimiento histórico.</x:v>
      </x:c>
      <x:c r="H39" t="str">
        <x:v>IMPLEMENTAR</x:v>
      </x:c>
      <x:c r="I39" t="str">
        <x:v>MVP H03: usar última lectura efectiva válida RF08/RF14 como base de objetivos POR_KILOMETRAJE/AMBOS; no usar km histórico de RF17.</x:v>
      </x:c>
      <x:c r="J39"/>
      <x:c r="K39" t="str">
        <x:v>RF22!F39</x:v>
      </x:c>
      <x:c r="L39" t="str">
        <x:v>↩ AUTO-MENSAJE: mismo objeto; lógica local, no salto de capa.</x:v>
      </x:c>
    </x:row>
    <x:row r="40" ht="57" customHeight="1">
      <x:c r="A40" t="str">
        <x:v>34</x:v>
      </x:c>
      <x:c r="B40" t="str">
        <x:v>B3</x:v>
      </x:c>
      <x:c r="C40" t="str">
        <x:v>C_ControlKilometraje</x:v>
      </x:c>
      <x:c r="D40" t="str">
        <x:v>◄ - - - - - (return)</x:v>
      </x:c>
      <x:c r="E40" t="str">
        <x:v>C_ControlAlerta</x:v>
      </x:c>
      <x:c r="F40" t="str">
        <x:v>retornarKilometrajeActualYFecha(km_vigente_o_NULL,fecha_lectura_o_NULL)</x:v>
      </x:c>
      <x:c r="G40" t="str">
        <x:v>Devuelve la última lectura válida efectiva de RF14 y su fecha INTERNA al controlador. La interfaz mostrará solo «Kilometraje actual» (o «No registrado»). El valor es el último registrado, no necesariamente una medición realizada hoy.</x:v>
      </x:c>
      <x:c r="H40" t="str">
        <x:v>IMPLEMENTAR</x:v>
      </x:c>
      <x:c r="I40" t="str">
        <x:v>MVP H03: entregar última lectura válida del vehículo (RF08 inicial o RF14 posterior), con fecha interna; mostrar únicamente «Kilometraje actual» o «No registrado». No equiparar fecha de lectura con fecha de hoy.</x:v>
      </x:c>
      <x:c r="J40"/>
      <x:c r="K40" t="str">
        <x:v>RF22!F40</x:v>
      </x:c>
      <x:c r="L40" t="str">
        <x:v>◄ RETORNO discontinuo al llamador. C y E identifican emisor y receptor; ◄ representa disposición de líneas de vida, no inversión de columnas.</x:v>
      </x:c>
    </x:row>
    <x:row r="41" ht="57" customHeight="1">
      <x:c r="A41" t="str">
        <x:v>35</x:v>
      </x:c>
      <x:c r="B41" t="str">
        <x:v>B3</x:v>
      </x:c>
      <x:c r="C41" t="str">
        <x:v>C_ControlAlerta</x:v>
      </x:c>
      <x:c r="D41" t="str">
        <x:v>↩ (auto-msg)</x:v>
      </x:c>
      <x:c r="E41" t="str">
        <x:v>C_ControlAlerta</x:v>
      </x:c>
      <x:c r="F41" t="str">
        <x:v>prepararReferenciasYBasesActuales(referencia_ultimo_tipo_o_NULL,lista_servicios_otro_o_vacia,km_vigente_o_NULL,fecha_lectura_o_NULL)</x:v>
      </x:c>
      <x:c r="G41" t="str">
        <x:v>DATOS ACTUALES (exactamente DOS campos VISIBLES y NO EDITABLES): «Fecha actual», obtenida automáticamente del sistema, y «Kilometraje actual», última lectura válida efectiva de RF14 (o «No registrado»). fecha_lectura_o_NULL se mantiene solo como metadato INTERNO; NO se muestra. Referencias históricas y aceite, cuando proceden, están en secciones distintas. No existe botón ni edición de km en RF22.</x:v>
      </x:c>
      <x:c r="H41" t="str">
        <x:v>IMPLEMENTAR</x:v>
      </x:c>
      <x:c r="I41" t="str">
        <x:v>MVP: «Datos actuales» mantiene dos campos de solo lectura: fecha actual del servidor (America/Lima) y kilometraje efectivo RF08/RF14. Si no existe lectura, «No registrado»; su fecha no se muestra.</x:v>
      </x:c>
      <x:c r="J41"/>
      <x:c r="K41" t="str">
        <x:v>RF22!F41</x:v>
      </x:c>
      <x:c r="L41" t="str">
        <x:v>↩ AUTO-MENSAJE: mismo objeto; lógica local, no salto de capa.</x:v>
      </x:c>
    </x:row>
    <x:row r="42" ht="57" customHeight="1">
      <x:c r="A42" t="str">
        <x:v>36</x:v>
      </x:c>
      <x:c r="B42" t="str">
        <x:v>B3</x:v>
      </x:c>
      <x:c r="C42" t="str">
        <x:v>C_ControlAlerta</x:v>
      </x:c>
      <x:c r="D42" t="str">
        <x:v>────► (llamada)</x:v>
      </x:c>
      <x:c r="E42" t="str">
        <x:v>I_ProgramarAlerta</x:v>
      </x:c>
      <x:c r="F42" t="str">
        <x:v>mostrarDatosReferenciaYActuales(referencia_ultimo_tipo_o_NULL,lista_servicios_otro_o_vacia,fecha_actual,km_vigente_o_NULL,tipo_aceite_referencia)</x:v>
      </x:c>
      <x:c r="G42" t="str">
        <x:v>La pantalla muestra exactamente dos DATOS ACTUALES: «Fecha actual» automática y «Kilometraje actual» de RF14, ambos SOLO LECTURA; si km es NULL presenta «No registrado». No presenta fecha de lectura ni botón de actualización. Aparte, muestra último servicio como referencia informativa, aceite solo si Cambio de aceite y «Especificar servicio» con sugerencias opcionales para OTRO. Criterios: tiempo/km/ambos.</x:v>
      </x:c>
      <x:c r="H42" t="str">
        <x:v>IMPLEMENTAR</x:v>
      </x:c>
      <x:c r="I42" t="str">
        <x:v>MVP: mostrar fecha actual y último kilometraje válido RF08/RF14 como solo lectura; no incorporar botón «Actualizar kilometraje» en RF22. Para POR_TIEMPO no exigir lectura.</x:v>
      </x:c>
      <x:c r="J42"/>
      <x:c r="K42" t="str">
        <x:v>RF22!F42</x:v>
      </x:c>
      <x:c r="L42" t="str">
        <x:v>► LLAMADA: operación desde el objeto de C hacia el de E; comprobar contrato y autorización.</x:v>
      </x:c>
    </x:row>
    <x:row r="43" ht="57" customHeight="1">
      <x:c r="A43" t="str">
        <x:v>37</x:v>
      </x:c>
      <x:c r="B43" t="str">
        <x:v>B3</x:v>
      </x:c>
      <x:c r="C43" t="str">
        <x:v>I_ProgramarAlerta</x:v>
      </x:c>
      <x:c r="D43" t="str">
        <x:v>────► (llamada)</x:v>
      </x:c>
      <x:c r="E43" t="str">
        <x:v>AS_Usuario</x:v>
      </x:c>
      <x:c r="F43" t="str">
        <x:v>visualizarFormularioConDatosActualesYServicioCondicional()</x:v>
      </x:c>
      <x:c r="G43" t="str">
        <x:v>El conductor visualiza únicamente «Fecha actual» y «Kilometraje actual» en DATOS ACTUALES, ambos SOLO LECTURA. Las referencias del historial se muestran en otra sección; OTRO admite texto nuevo o sugerencia opcional. RF22 NO ofrece «Actualizar kilometraje». Si no existe lectura válida, podrá programar POR TIEMPO; POR KM/AMBOS se resuelve con EA02 y RF14 de modo independiente.</x:v>
      </x:c>
      <x:c r="H43" t="str">
        <x:v>IMPLEMENTAR</x:v>
      </x:c>
      <x:c r="I43" t="str">
        <x:v>Implementar la ruta original BCE en el alcance reducido, con dependencias reales validadas.</x:v>
      </x:c>
      <x:c r="J43"/>
      <x:c r="K43" t="str">
        <x:v>RF22!F43</x:v>
      </x:c>
      <x:c r="L43" t="str">
        <x:v>⚠ SALIDA VISUAL al actor: no ejecutar «visualizar...» como método/API del usuario. En UML formal es presentación/resultado de UI, no llamada remota.</x:v>
      </x:c>
    </x:row>
    <x:row r="44" ht="28.799999237060547" customHeight="1">
      <x:c r="A44" t="str">
        <x:v>BLOQUE 4 — SERVICIO OTRO, CONFIGURACIÓN, CÁLCULO Y DUPLICIDAD — Pasos 38–59</x:v>
      </x:c>
      <x:c r="B44"/>
      <x:c r="C44"/>
      <x:c r="D44"/>
      <x:c r="E44"/>
      <x:c r="F44"/>
      <x:c r="G44"/>
      <x:c r="H44"/>
      <x:c r="I44"/>
      <x:c r="J44"/>
      <x:c r="K44"/>
      <x:c r="L44"/>
    </x:row>
    <x:row r="45" ht="57" customHeight="1">
      <x:c r="A45" t="str">
        <x:v>38</x:v>
      </x:c>
      <x:c r="B45" t="str">
        <x:v>B4</x:v>
      </x:c>
      <x:c r="C45" t="str">
        <x:v>AS_Usuario</x:v>
      </x:c>
      <x:c r="D45" t="str">
        <x:v>────► (llamada)</x:v>
      </x:c>
      <x:c r="E45" t="str">
        <x:v>I_ProgramarAlerta</x:v>
      </x:c>
      <x:c r="F45" t="str">
        <x:v>escribirServicioOtro(texto_libre)</x:v>
      </x:c>
      <x:c r="G45" t="str">
        <x:v>[opt tipo=OTRO] Escribe libremente «Cambia correa» o cualquier servicio. No se cambia ni corrige automáticamente el texto. Si no hay anteriores, sigue como servicio nuevo.</x:v>
      </x:c>
      <x:c r="H45" t="str">
        <x:v>IMPLEMENTAR</x:v>
      </x:c>
      <x:c r="I45" t="str">
        <x:v>Implementar la ruta original BCE en el alcance reducido, con dependencias reales validadas.</x:v>
      </x:c>
      <x:c r="J45"/>
      <x:c r="K45" t="str">
        <x:v>RF22!F45</x:v>
      </x:c>
      <x:c r="L45" t="str">
        <x:v>► LLAMADA: operación desde el objeto de C hacia el de E; comprobar contrato y autorización.</x:v>
      </x:c>
    </x:row>
    <x:row r="46" ht="57" customHeight="1">
      <x:c r="A46" t="str">
        <x:v>39</x:v>
      </x:c>
      <x:c r="B46" t="str">
        <x:v>B4</x:v>
      </x:c>
      <x:c r="C46" t="str">
        <x:v>I_ProgramarAlerta</x:v>
      </x:c>
      <x:c r="D46" t="str">
        <x:v>↩ (auto-msg)</x:v>
      </x:c>
      <x:c r="E46" t="str">
        <x:v>I_ProgramarAlerta</x:v>
      </x:c>
      <x:c r="F46" t="str">
        <x:v>filtrarSugerenciasLocales(texto_libre,lista_servicios_otro_o_vacia)</x:v>
      </x:c>
      <x:c r="G46" t="str">
        <x:v>[opt tipo=OTRO] Filtra localmente los nombres consultados UNA VEZ en 25–28. Puede sugerir «Cambio de correa» por palabra «correa» aunque se escribió «Cambia correa». No consulta la BD por cada letra ni confirma coincidencias automáticamente.</x:v>
      </x:c>
      <x:c r="H46" t="str">
        <x:v>IMPLEMENTAR</x:v>
      </x:c>
      <x:c r="I46" t="str">
        <x:v>Implementar la ruta original BCE en el alcance reducido, con dependencias reales validadas.</x:v>
      </x:c>
      <x:c r="J46"/>
      <x:c r="K46" t="str">
        <x:v>RF22!F46</x:v>
      </x:c>
      <x:c r="L46" t="str">
        <x:v>↩ AUTO-MENSAJE: mismo objeto; lógica local, no salto de capa.</x:v>
      </x:c>
    </x:row>
    <x:row r="47" ht="57" customHeight="1">
      <x:c r="A47" t="str">
        <x:v>40</x:v>
      </x:c>
      <x:c r="B47" t="str">
        <x:v>B4</x:v>
      </x:c>
      <x:c r="C47" t="str">
        <x:v>I_ProgramarAlerta</x:v>
      </x:c>
      <x:c r="D47" t="str">
        <x:v>────► (llamada)</x:v>
      </x:c>
      <x:c r="E47" t="str">
        <x:v>AS_Usuario</x:v>
      </x:c>
      <x:c r="F47" t="str">
        <x:v>mostrarSugerenciasServicioOtro(lista_sugerencias_filtradas)</x:v>
      </x:c>
      <x:c r="G47" t="str">
        <x:v>[opt tipo=OTRO] Desplegable bajo «Especificar servicio»: «Servicio registrado anteriormente: Cambio de correa». Si lista vacía, muestra «Sin servicio anterior» y permite texto libre; tocar una sugerencia es opcional.</x:v>
      </x:c>
      <x:c r="H47" t="str">
        <x:v>IMPLEMENTAR</x:v>
      </x:c>
      <x:c r="I47" t="str">
        <x:v>Implementar la ruta original BCE en el alcance reducido, con dependencias reales validadas.</x:v>
      </x:c>
      <x:c r="J47"/>
      <x:c r="K47" t="str">
        <x:v>RF22!F47</x:v>
      </x:c>
      <x:c r="L47" t="str">
        <x:v>⚠ SALIDA VISUAL al actor: no ejecutar «visualizar...» como método/API del usuario. En UML formal es presentación/resultado de UI, no llamada remota.</x:v>
      </x:c>
    </x:row>
    <x:row r="48" ht="57" customHeight="1">
      <x:c r="A48" t="str">
        <x:v>41</x:v>
      </x:c>
      <x:c r="B48" t="str">
        <x:v>B4</x:v>
      </x:c>
      <x:c r="C48" t="str">
        <x:v>AS_Usuario</x:v>
      </x:c>
      <x:c r="D48" t="str">
        <x:v>────► (llamada)</x:v>
      </x:c>
      <x:c r="E48" t="str">
        <x:v>I_ProgramarAlerta</x:v>
      </x:c>
      <x:c r="F48" t="str">
        <x:v>seleccionarSugerenciaServicioOtro(nombre_elegido)</x:v>
      </x:c>
      <x:c r="G48" t="str">
        <x:v>[opt existe_sugerencia_y_usuario_la_elige] Toca «Cambio de correa». Solo la selección explícita vincula al servicio anterior; si no toca, permanece el texto libre y referencia histórica NULL.</x:v>
      </x:c>
      <x:c r="H48" t="str">
        <x:v>IMPLEMENTAR</x:v>
      </x:c>
      <x:c r="I48" t="str">
        <x:v>Implementar la ruta original BCE en el alcance reducido, con dependencias reales validadas.</x:v>
      </x:c>
      <x:c r="J48"/>
      <x:c r="K48" t="str">
        <x:v>RF22!F48</x:v>
      </x:c>
      <x:c r="L48" t="str">
        <x:v>► LLAMADA: operación desde el objeto de C hacia el de E; comprobar contrato y autorización.</x:v>
      </x:c>
    </x:row>
    <x:row r="49" ht="57" customHeight="1">
      <x:c r="A49" t="str">
        <x:v>42</x:v>
      </x:c>
      <x:c r="B49" t="str">
        <x:v>B4</x:v>
      </x:c>
      <x:c r="C49" t="str">
        <x:v>I_ProgramarAlerta</x:v>
      </x:c>
      <x:c r="D49" t="str">
        <x:v>↩ (auto-msg)</x:v>
      </x:c>
      <x:c r="E49" t="str">
        <x:v>I_ProgramarAlerta</x:v>
      </x:c>
      <x:c r="F49" t="str">
        <x:v>autocompletarServicioOtroYFijarSeleccion(nombre_elegido)</x:v>
      </x:c>
      <x:c r="G49" t="str">
        <x:v>[opt sugerencia_elegida] Sustituye el campo por el nombre seleccionado «Cambio de correa», conserva la selección y elimina asociación si después se vuelve a editar el texto o cambia de vehículo. descripcion es otro campo, no se modifica.</x:v>
      </x:c>
      <x:c r="H49" t="str">
        <x:v>IMPLEMENTAR</x:v>
      </x:c>
      <x:c r="I49" t="str">
        <x:v>Implementar la ruta original BCE en el alcance reducido, con dependencias reales validadas.</x:v>
      </x:c>
      <x:c r="J49"/>
      <x:c r="K49" t="str">
        <x:v>RF22!F49</x:v>
      </x:c>
      <x:c r="L49" t="str">
        <x:v>↩ AUTO-MENSAJE: mismo objeto; lógica local, no salto de capa.</x:v>
      </x:c>
    </x:row>
    <x:row r="50" ht="57" customHeight="1">
      <x:c r="A50" t="str">
        <x:v>43</x:v>
      </x:c>
      <x:c r="B50" t="str">
        <x:v>B4</x:v>
      </x:c>
      <x:c r="C50" t="str">
        <x:v>I_ProgramarAlerta</x:v>
      </x:c>
      <x:c r="D50" t="str">
        <x:v>────► (llamada)</x:v>
      </x:c>
      <x:c r="E50" t="str">
        <x:v>C_ControlAlerta</x:v>
      </x:c>
      <x:c r="F50" t="str">
        <x:v>solicitarReferenciaServicioOtroElegido(id_usuario,id_vehiculo,nombre_elegido)</x:v>
      </x:c>
      <x:c r="G50" t="str">
        <x:v>[opt sugerencia_elegida] Tras tocar la sugerencia consulta el último REALIZADO del servicio OTRO exacto en significado/nombre normalizado y vehículo autorizado; la búsqueda no usa un texto ambiguo no confirmado.</x:v>
      </x:c>
      <x:c r="H50" t="str">
        <x:v>IMPLEMENTAR</x:v>
      </x:c>
      <x:c r="I50" t="str">
        <x:v>Implementar la ruta original BCE en el alcance reducido, con dependencias reales validadas.</x:v>
      </x:c>
      <x:c r="J50"/>
      <x:c r="K50" t="str">
        <x:v>RF22!F50</x:v>
      </x:c>
      <x:c r="L50" t="str">
        <x:v>► LLAMADA: operación desde el objeto de C hacia el de E; comprobar contrato y autorización.</x:v>
      </x:c>
    </x:row>
    <x:row r="51" ht="57" customHeight="1">
      <x:c r="A51" t="str">
        <x:v>44</x:v>
      </x:c>
      <x:c r="B51" t="str">
        <x:v>B4</x:v>
      </x:c>
      <x:c r="C51" t="str">
        <x:v>C_ControlAlerta</x:v>
      </x:c>
      <x:c r="D51" t="str">
        <x:v>────► (llamada)</x:v>
      </x:c>
      <x:c r="E51" t="str">
        <x:v>C_ControlMantenimiento</x:v>
      </x:c>
      <x:c r="F51" t="str">
        <x:v>solicitarUltimoRealizadoServicioOtro(id_usuario,id_vehiculo,nombre_elegido)</x:v>
      </x:c>
      <x:c r="G51" t="str">
        <x:v>[opt sugerencia_elegida] Delega el historial a su controlador especializado. Valida contexto de usuario/vehículo y conserva el servicio específico seleccionado.</x:v>
      </x:c>
      <x:c r="H51" t="str">
        <x:v>IMPLEMENTAR</x:v>
      </x:c>
      <x:c r="I51" t="str">
        <x:v>Implementar la ruta original BCE en el alcance reducido, con dependencias reales validadas.</x:v>
      </x:c>
      <x:c r="J51"/>
      <x:c r="K51" t="str">
        <x:v>RF22!F51</x:v>
      </x:c>
      <x:c r="L51" t="str">
        <x:v>► LLAMADA: operación desde el objeto de C hacia el de E; comprobar contrato y autorización.</x:v>
      </x:c>
    </x:row>
    <x:row r="52" ht="57" customHeight="1">
      <x:c r="A52" t="str">
        <x:v>45</x:v>
      </x:c>
      <x:c r="B52" t="str">
        <x:v>B4</x:v>
      </x:c>
      <x:c r="C52" t="str">
        <x:v>C_ControlMantenimiento</x:v>
      </x:c>
      <x:c r="D52" t="str">
        <x:v>────► (llamada)</x:v>
      </x:c>
      <x:c r="E52" t="str">
        <x:v>E_Mantenimiento</x:v>
      </x:c>
      <x:c r="F52" t="str">
        <x:v>consultarUltimoRealizadoServicioOtro(id_usuario,id_vehiculo,nombre_elegido_normalizado)</x:v>
      </x:c>
      <x:c r="G52" t="str">
        <x:v>[opt sugerencia_elegida] Busca ÚNICAMENTE mantenimientos REALIZADOS, del vehículo del usuario, con tipo OTRO y mantenimiento.servicio_otro equivalente en nombre normalizado. Excluye ANULADOS y nunca usa descripcion.</x:v>
      </x:c>
      <x:c r="H52" t="str">
        <x:v>IMPLEMENTAR</x:v>
      </x:c>
      <x:c r="I52" t="str">
        <x:v>Implementar la ruta original BCE en el alcance reducido, con dependencias reales validadas.</x:v>
      </x:c>
      <x:c r="J52"/>
      <x:c r="K52" t="str">
        <x:v>RF22!F52</x:v>
      </x:c>
      <x:c r="L52" t="str">
        <x:v>► LLAMADA: operación desde el objeto de C hacia el de E; comprobar contrato y autorización.</x:v>
      </x:c>
    </x:row>
    <x:row r="53" ht="57" customHeight="1">
      <x:c r="A53" t="str">
        <x:v>46</x:v>
      </x:c>
      <x:c r="B53" t="str">
        <x:v>B4</x:v>
      </x:c>
      <x:c r="C53" t="str">
        <x:v>E_Mantenimiento</x:v>
      </x:c>
      <x:c r="D53" t="str">
        <x:v>◄ - - - - - (return)</x:v>
      </x:c>
      <x:c r="E53" t="str">
        <x:v>C_ControlMantenimiento</x:v>
      </x:c>
      <x:c r="F53" t="str">
        <x:v>retornarUltimoRealizadoServicioOtroOpcional(id_mantenimiento_o_NULL,fecha_servicio_o_NULL,km_servicio_o_NULL)</x:v>
      </x:c>
      <x:c r="G53" t="str">
        <x:v>[opt sugerencia_elegida] Retorna último mantenimiento del servicio elegido con fecha/km histórico de RF17; NULL si ya no existe. No modifica odómetro RF14 ni historial.</x:v>
      </x:c>
      <x:c r="H53" t="str">
        <x:v>IMPLEMENTAR</x:v>
      </x:c>
      <x:c r="I53" t="str">
        <x:v>Implementar la ruta original BCE en el alcance reducido, con dependencias reales validadas.</x:v>
      </x:c>
      <x:c r="J53"/>
      <x:c r="K53" t="str">
        <x:v>RF22!F53</x:v>
      </x:c>
      <x:c r="L53" t="str">
        <x:v>◄ RETORNO discontinuo al llamador. C y E identifican emisor y receptor; ◄ representa disposición de líneas de vida, no inversión de columnas.</x:v>
      </x:c>
    </x:row>
    <x:row r="54" ht="57" customHeight="1">
      <x:c r="A54" t="str">
        <x:v>47</x:v>
      </x:c>
      <x:c r="B54" t="str">
        <x:v>B4</x:v>
      </x:c>
      <x:c r="C54" t="str">
        <x:v>C_ControlMantenimiento</x:v>
      </x:c>
      <x:c r="D54" t="str">
        <x:v>◄ - - - - - (return)</x:v>
      </x:c>
      <x:c r="E54" t="str">
        <x:v>C_ControlAlerta</x:v>
      </x:c>
      <x:c r="F54" t="str">
        <x:v>retornarUltimoRealizadoServicioOtroOpcional(id_mantenimiento_o_NULL,fecha_servicio_o_NULL,km_servicio_o_NULL)</x:v>
      </x:c>
      <x:c r="G54" t="str">
        <x:v>[opt sugerencia_elegida] Proporciona referencia histórica del servicio específico; la ausencia no impide programar, pero muestra sin mantenimiento previo.</x:v>
      </x:c>
      <x:c r="H54" t="str">
        <x:v>IMPLEMENTAR</x:v>
      </x:c>
      <x:c r="I54" t="str">
        <x:v>Implementar la ruta original BCE en el alcance reducido, con dependencias reales validadas.</x:v>
      </x:c>
      <x:c r="J54"/>
      <x:c r="K54" t="str">
        <x:v>RF22!F54</x:v>
      </x:c>
      <x:c r="L54" t="str">
        <x:v>◄ RETORNO discontinuo al llamador. C y E identifican emisor y receptor; ◄ representa disposición de líneas de vida, no inversión de columnas.</x:v>
      </x:c>
    </x:row>
    <x:row r="55" ht="57" customHeight="1">
      <x:c r="A55" t="str">
        <x:v>48</x:v>
      </x:c>
      <x:c r="B55" t="str">
        <x:v>B4</x:v>
      </x:c>
      <x:c r="C55" t="str">
        <x:v>C_ControlAlerta</x:v>
      </x:c>
      <x:c r="D55" t="str">
        <x:v>────► (llamada)</x:v>
      </x:c>
      <x:c r="E55" t="str">
        <x:v>I_ProgramarAlerta</x:v>
      </x:c>
      <x:c r="F55" t="str">
        <x:v>actualizarReferenciaServicioOtro(id_mantenimiento_o_NULL,fecha_servicio_o_NULL,km_servicio_o_NULL)</x:v>
      </x:c>
      <x:c r="G55" t="str">
        <x:v>[opt sugerencia_elegida] Muestra referencia histórica SOLO LECTURA vinculada a la sugerencia elegida. No la utiliza para calcular nuevos objetivos; la fecha/km actual siguen siendo la base.</x:v>
      </x:c>
      <x:c r="H55" t="str">
        <x:v>IMPLEMENTAR</x:v>
      </x:c>
      <x:c r="I55" t="str">
        <x:v>Implementar la ruta original BCE en el alcance reducido, con dependencias reales validadas.</x:v>
      </x:c>
      <x:c r="J55"/>
      <x:c r="K55" t="str">
        <x:v>RF22!F55</x:v>
      </x:c>
      <x:c r="L55" t="str">
        <x:v>► LLAMADA: operación desde el objeto de C hacia el de E; comprobar contrato y autorización.</x:v>
      </x:c>
    </x:row>
    <x:row r="56" ht="57" customHeight="1">
      <x:c r="A56" t="str">
        <x:v>49</x:v>
      </x:c>
      <x:c r="B56" t="str">
        <x:v>B4</x:v>
      </x:c>
      <x:c r="C56" t="str">
        <x:v>I_ProgramarAlerta</x:v>
      </x:c>
      <x:c r="D56" t="str">
        <x:v>────► (llamada)</x:v>
      </x:c>
      <x:c r="E56" t="str">
        <x:v>AS_Usuario</x:v>
      </x:c>
      <x:c r="F56" t="str">
        <x:v>visualizarServicioAutocompletadoYReferencia()</x:v>
      </x:c>
      <x:c r="G56" t="str">
        <x:v>[opt sugerencia_elegida] El usuario ve «Especificar servicio: Cambio de correa» y, si existe, fecha/km del último servicio. Si escribió un nombre nuevo, mantiene texto libre y muestra «Sin mantenimiento previo».</x:v>
      </x:c>
      <x:c r="H56" t="str">
        <x:v>IMPLEMENTAR</x:v>
      </x:c>
      <x:c r="I56" t="str">
        <x:v>Implementar la ruta original BCE en el alcance reducido, con dependencias reales validadas.</x:v>
      </x:c>
      <x:c r="J56"/>
      <x:c r="K56" t="str">
        <x:v>RF22!F56</x:v>
      </x:c>
      <x:c r="L56" t="str">
        <x:v>⚠ SALIDA VISUAL al actor: no ejecutar «visualizar...» como método/API del usuario. En UML formal es presentación/resultado de UI, no llamada remota.</x:v>
      </x:c>
    </x:row>
    <x:row r="57" ht="57" customHeight="1">
      <x:c r="A57" t="str">
        <x:v>50</x:v>
      </x:c>
      <x:c r="B57" t="str">
        <x:v>B4</x:v>
      </x:c>
      <x:c r="C57" t="str">
        <x:v>AS_Usuario</x:v>
      </x:c>
      <x:c r="D57" t="str">
        <x:v>────► (llamada)</x:v>
      </x:c>
      <x:c r="E57" t="str">
        <x:v>I_ProgramarAlerta</x:v>
      </x:c>
      <x:c r="F57" t="str">
        <x:v>ingresarConfiguracion(criterio,unidad_tiempo,cantidad_tiempo,intervalo_km,servicio_otro_o_NULL)</x:v>
      </x:c>
      <x:c r="G57" t="str">
        <x:v>Después de las interacciones opcionales de sugerencia, el conductor configura POR_TIEMPO, POR_KILOMETRAJE o AMBOS. Para OTRO, servicio_otro toma el nombre seleccionado o el texto libre validado; sin selección no se vincula automáticamente a un histórico similar. Para otros tipos es NULL.</x:v>
      </x:c>
      <x:c r="H57" t="str">
        <x:v>IMPLEMENTAR</x:v>
      </x:c>
      <x:c r="I57" t="str">
        <x:v>Implementar la ruta original BCE en el alcance reducido, con dependencias reales validadas.</x:v>
      </x:c>
      <x:c r="J57"/>
      <x:c r="K57" t="str">
        <x:v>RF22!F57</x:v>
      </x:c>
      <x:c r="L57" t="str">
        <x:v>► LLAMADA: operación desde el objeto de C hacia el de E; comprobar contrato y autorización.</x:v>
      </x:c>
    </x:row>
    <x:row r="58" ht="57" customHeight="1">
      <x:c r="A58" t="str">
        <x:v>51</x:v>
      </x:c>
      <x:c r="B58" t="str">
        <x:v>B4</x:v>
      </x:c>
      <x:c r="C58" t="str">
        <x:v>I_ProgramarAlerta</x:v>
      </x:c>
      <x:c r="D58" t="str">
        <x:v>────► (llamada)</x:v>
      </x:c>
      <x:c r="E58" t="str">
        <x:v>C_ControlAlerta</x:v>
      </x:c>
      <x:c r="F58" t="str">
        <x:v>solicitarRevisionProgramacion(datos_configuracion,servicio_otro_o_NULL,id_mantenimiento_referencia_o_NULL)</x:v>
      </x:c>
      <x:c r="G58" t="str">
        <x:v>Al pulsar «Revisar y programar», envía intervalos, servicio_otro_o_NULL e id_mantenimiento_referencia_o_NULL (cuando aplica). El controlador no acepta referencia de otro vehículo ni servicio.</x:v>
      </x:c>
      <x:c r="H58" t="str">
        <x:v>IMPLEMENTAR</x:v>
      </x:c>
      <x:c r="I58" t="str">
        <x:v>Implementar la ruta original BCE en el alcance reducido, con dependencias reales validadas.</x:v>
      </x:c>
      <x:c r="J58"/>
      <x:c r="K58" t="str">
        <x:v>RF22!F58</x:v>
      </x:c>
      <x:c r="L58" t="str">
        <x:v>► LLAMADA: operación desde el objeto de C hacia el de E; comprobar contrato y autorización.</x:v>
      </x:c>
    </x:row>
    <x:row r="59" ht="57" customHeight="1">
      <x:c r="A59" t="str">
        <x:v>52</x:v>
      </x:c>
      <x:c r="B59" t="str">
        <x:v>B4</x:v>
      </x:c>
      <x:c r="C59" t="str">
        <x:v>C_ControlAlerta</x:v>
      </x:c>
      <x:c r="D59" t="str">
        <x:v>↩ (auto-msg)</x:v>
      </x:c>
      <x:c r="E59" t="str">
        <x:v>C_ControlAlerta</x:v>
      </x:c>
      <x:c r="F59" t="str">
        <x:v>validarConfiguracionManual(criterio,unidad_tiempo,cantidad_tiempo,intervalo_km,km_vigente_o_NULL,servicio_otro_o_NULL)</x:v>
      </x:c>
      <x:c r="G59" t="str">
        <x:v>Valida intervalos SEMANAS/MESES y/o km positivos. POR TIEMPO puede programarse sin lectura RF14; POR KM/AMBOS exige última lectura válida efectiva, y si falta se deriva a EA02, sin navegación para cambiar km dentro de RF22. OTRO requiere servicio_otro no vacío; los seis tipos estándar NULL. descripcion NO sustituye el nombre del servicio.</x:v>
      </x:c>
      <x:c r="H59" t="str">
        <x:v>IMPLEMENTAR</x:v>
      </x:c>
      <x:c r="I59" t="str">
        <x:v>MVP: validar intervalos positivos y servicio OTRO obligatorio cuando corresponda. POR_TIEMPO admite kilometraje ausente; POR_KILOMETRAJE/AMBOS requieren lectura efectiva válida RF08/RF14.</x:v>
      </x:c>
      <x:c r="J59"/>
      <x:c r="K59" t="str">
        <x:v>RF22!F59</x:v>
      </x:c>
      <x:c r="L59" t="str">
        <x:v>↩ AUTO-MENSAJE: mismo objeto; lógica local, no salto de capa.</x:v>
      </x:c>
    </x:row>
    <x:row r="60" ht="57" customHeight="1">
      <x:c r="A60" t="str">
        <x:v>53</x:v>
      </x:c>
      <x:c r="B60" t="str">
        <x:v>B4</x:v>
      </x:c>
      <x:c r="C60" t="str">
        <x:v>C_ControlAlerta</x:v>
      </x:c>
      <x:c r="D60" t="str">
        <x:v>↩ (auto-msg)</x:v>
      </x:c>
      <x:c r="E60" t="str">
        <x:v>C_ControlAlerta</x:v>
      </x:c>
      <x:c r="F60" t="str">
        <x:v>obtenerFechaActualConfiableAntesDeCalcular()</x:v>
      </x:c>
      <x:c r="G60" t="str">
        <x:v>Obtiene la fecha actual CONFIABLE del sistema antes del cálculo. La fecha no es editable ni puede retrocederse a «ayer» en RF22. Si cambió desde que se mostró el formulario, actualiza el resumen y solicita revisar según EA05.</x:v>
      </x:c>
      <x:c r="H60" t="str">
        <x:v>IMPLEMENTAR</x:v>
      </x:c>
      <x:c r="I60" t="str">
        <x:v>MVP: obtener fecha confiable del backend en la zona America/Lima; distinguir esta fecha de las fechas históricas de lecturas RF08/RF14.</x:v>
      </x:c>
      <x:c r="J60"/>
      <x:c r="K60" t="str">
        <x:v>RF22!F60</x:v>
      </x:c>
      <x:c r="L60" t="str">
        <x:v>↩ AUTO-MENSAJE: mismo objeto; lógica local, no salto de capa.</x:v>
      </x:c>
    </x:row>
    <x:row r="61" ht="57" customHeight="1">
      <x:c r="A61" t="str">
        <x:v>54</x:v>
      </x:c>
      <x:c r="B61" t="str">
        <x:v>B4</x:v>
      </x:c>
      <x:c r="C61" t="str">
        <x:v>C_ControlAlerta</x:v>
      </x:c>
      <x:c r="D61" t="str">
        <x:v>↩ (auto-msg)</x:v>
      </x:c>
      <x:c r="E61" t="str">
        <x:v>C_ControlAlerta</x:v>
      </x:c>
      <x:c r="F61" t="str">
        <x:v>calcularObjetivosDesdeValoresActuales(criterio,fecha_actual,km_vigente,unidad_tiempo,cantidad_tiempo,intervalo_km)</x:v>
      </x:c>
      <x:c r="G61" t="str">
        <x:v>Calcula objetivos desde la fecha actual del sistema y el último km válido EFECTIVO de RF14: fecha_objetivo = fecha_actual + intervalo; km_objetivo = km_RF14 + intervalo_km. AMBOS genera UNA alerta, cuyo primer criterio alcanzado inicia atención. El km/fecha del último mantenimiento histórico nunca se utiliza como base.</x:v>
      </x:c>
      <x:c r="H61" t="str">
        <x:v>IMPLEMENTAR</x:v>
      </x:c>
      <x:c r="I61" t="str">
        <x:v>MVP: calcular objetivos desde la fecha actual confiable y/o el último km efectivo válido de RF08 (inicial) o RF14 (posterior). No modificar kilometraje actual ni reemplazar el km histórico del servicio; no redondear previamente el 10 %.</x:v>
      </x:c>
      <x:c r="J61"/>
      <x:c r="K61" t="str">
        <x:v>RF22!F61</x:v>
      </x:c>
      <x:c r="L61" t="str">
        <x:v>↩ AUTO-MENSAJE: mismo objeto; lógica local, no salto de capa.</x:v>
      </x:c>
    </x:row>
    <x:row r="62" ht="57" customHeight="1">
      <x:c r="A62" t="str">
        <x:v>55</x:v>
      </x:c>
      <x:c r="B62" t="str">
        <x:v>B4</x:v>
      </x:c>
      <x:c r="C62" t="str">
        <x:v>C_ControlAlerta</x:v>
      </x:c>
      <x:c r="D62" t="str">
        <x:v>↩ (auto-msg)</x:v>
      </x:c>
      <x:c r="E62" t="str">
        <x:v>C_ControlAlerta</x:v>
      </x:c>
      <x:c r="F62" t="str">
        <x:v>validarObjetivosFuturos(criterio,fecha_objetivo,km_objetivo,fecha_actual,km_vigente)</x:v>
      </x:c>
      <x:c r="G62" t="str">
        <x:v>Valida fecha objetivo &gt; fecha actual si hay tiempo y km objetivo &gt; última lectura válida si hay km. La alerta recién creada no nace VENCIDA; la ausencia de km solo es admisible en POR TIEMPO. Objetivos ya alcanzados obligan a corregir/revisar, no se guardan.</x:v>
      </x:c>
      <x:c r="H62" t="str">
        <x:v>IMPLEMENTAR</x:v>
      </x:c>
      <x:c r="I62" t="str">
        <x:v>MVP aprobado: validar antes del guardado que los objetivos del criterio elegido sean estrictamente futuros respecto a fecha actual/lectura vigente. Si el objetivo ya se alcanzó o superó, pedir corregir y reconfirmar; no crear directamente VENCIDA.</x:v>
      </x:c>
      <x:c r="J62"/>
      <x:c r="K62" t="str">
        <x:v>RF22!F62</x:v>
      </x:c>
      <x:c r="L62" t="str">
        <x:v>↩ AUTO-MENSAJE: mismo objeto; lógica local, no salto de capa.</x:v>
      </x:c>
    </x:row>
    <x:row r="63" ht="57" customHeight="1">
      <x:c r="A63" t="str">
        <x:v>56</x:v>
      </x:c>
      <x:c r="B63" t="str">
        <x:v>B4</x:v>
      </x:c>
      <x:c r="C63" t="str">
        <x:v>C_ControlAlerta</x:v>
      </x:c>
      <x:c r="D63" t="str">
        <x:v>↩ (auto-msg)</x:v>
      </x:c>
      <x:c r="E63" t="str">
        <x:v>C_ControlAlerta</x:v>
      </x:c>
      <x:c r="F63" t="str">
        <x:v>determinarEstadoInicialAlerta(criterio,fecha_objetivo,km_objetivo,intervalo_km,fecha_actual,km_vigente)</x:v>
      </x:c>
      <x:c r="G63" t="str">
        <x:v>Determina el estado inicial. POR_TIEMPO: más de 30 días = PROGRAMADA; de 8 a 30 días antes = PROXIMA; de 1 a 7 días antes = PENDIENTE. POR_KILOMETRAJE: calcula el 10 % del intervalo; si faltan más km que ese umbral = PROGRAMADA y si faltan como máximo ese 10 % = PROXIMA. En AMBOS prevalece el estado más avanzado alcanzado: PENDIENTE si el criterio temporal entra en los 7 días previos; en caso contrario PROXIMA si alguno entra en proximidad; si ninguno entra, PROGRAMADA.</x:v>
      </x:c>
      <x:c r="H63" t="str">
        <x:v>IMPLEMENTAR</x:v>
      </x:c>
      <x:c r="I63" t="str">
        <x:v>MVP aprobado Nayu+Fran: calcular estado inicial con los mismos límites que RF23 (PROGRAMADA/PRÓXIMA/PENDIENTE), según fecha/km vigentes; nunca asignar PROGRAMADA por defecto. POR_TIEMPO: &gt;30, 30–8, 7–0 días antes; POR_KM: margen exacto 10 % del intervalo sin redondeo previo. Objetivos ya alcanzados se rechazan en validación.</x:v>
      </x:c>
      <x:c r="J63"/>
      <x:c r="K63" t="str">
        <x:v>RF22!F63</x:v>
      </x:c>
      <x:c r="L63" t="str">
        <x:v>↩ AUTO-MENSAJE: mismo objeto; lógica local, no salto de capa.</x:v>
      </x:c>
    </x:row>
    <x:row r="64" ht="57" customHeight="1">
      <x:c r="A64" t="str">
        <x:v>57</x:v>
      </x:c>
      <x:c r="B64" t="str">
        <x:v>B4</x:v>
      </x:c>
      <x:c r="C64" t="str">
        <x:v>C_ControlAlerta</x:v>
      </x:c>
      <x:c r="D64" t="str">
        <x:v>────► (llamada)</x:v>
      </x:c>
      <x:c r="E64" t="str">
        <x:v>E_Alerta</x:v>
      </x:c>
      <x:c r="F64" t="str">
        <x:v>consultarAlertaEquivalenteVigente(id_vehiculo,id_tipo_mantenimiento,criterio,fecha_objetivo,km_objetivo,servicio_otro_normalizado)</x:v>
      </x:c>
      <x:c r="G64" t="str">
        <x:v>Una alerta de mantenimiento ACTIVA es equivalente tanto si su origen es MANUAL (RF22) como DESDE_MANTENIMIENTO (RF17), cuando coinciden usuario/vehículo, tipo, criterio, fecha_objetivo (o SIN_FECHA), km_objetivo (o SIN_KM) y, solo para OTRO, servicio_otro normalizado. Estados activos: PROGRAMADA, PROXIMA, PENDIENTE y VENCIDA. REALIZADA/ANULADA no bloquean nuevos ciclos; fecha_actual NO integra la firma. La comparación previa requiere respaldo de una firma canónica común y unicidad efectiva; V4 no genera automáticamente la clave para DESDE_MANTENIMIENTO.</x:v>
      </x:c>
      <x:c r="H64" t="str">
        <x:v>IMPLEMENTAR</x:v>
      </x:c>
      <x:c r="I64" t="str">
        <x:v>Implementar la ruta original BCE en el alcance reducido, con dependencias reales validadas.</x:v>
      </x:c>
      <x:c r="J64"/>
      <x:c r="K64" t="str">
        <x:v>RF22!F64</x:v>
      </x:c>
      <x:c r="L64" t="str">
        <x:v>► LLAMADA: operación desde el objeto de C hacia el de E; comprobar contrato y autorización.</x:v>
      </x:c>
    </x:row>
    <x:row r="65" ht="57" customHeight="1">
      <x:c r="A65" t="str">
        <x:v>58</x:v>
      </x:c>
      <x:c r="B65" t="str">
        <x:v>B4</x:v>
      </x:c>
      <x:c r="C65" t="str">
        <x:v>E_Alerta</x:v>
      </x:c>
      <x:c r="D65" t="str">
        <x:v>◄ - - - - - (return)</x:v>
      </x:c>
      <x:c r="E65" t="str">
        <x:v>C_ControlAlerta</x:v>
      </x:c>
      <x:c r="F65" t="str">
        <x:v>retornarResultadoDuplicidadVigente(existe_equivalente=false)</x:v>
      </x:c>
      <x:c r="G65" t="str">
        <x:v>[EF: existe_equivalente=false] La entidad confirma que NO hay alerta equivalente vigente con igual vehículo, tipo, criterio y objetivos. Si existe, se sigue EA04; no se muestra el resumen ni se crea otra alerta.</x:v>
      </x:c>
      <x:c r="H65" t="str">
        <x:v>IMPLEMENTAR</x:v>
      </x:c>
      <x:c r="I65" t="str">
        <x:v>Implementar la ruta original BCE en el alcance reducido, con dependencias reales validadas.</x:v>
      </x:c>
      <x:c r="J65"/>
      <x:c r="K65" t="str">
        <x:v>RF22!F65</x:v>
      </x:c>
      <x:c r="L65" t="str">
        <x:v>◄ RETORNO discontinuo al llamador. C y E identifican emisor y receptor; ◄ representa disposición de líneas de vida, no inversión de columnas.</x:v>
      </x:c>
    </x:row>
    <x:row r="66" ht="57" customHeight="1">
      <x:c r="A66" t="str">
        <x:v>59</x:v>
      </x:c>
      <x:c r="B66" t="str">
        <x:v>B4</x:v>
      </x:c>
      <x:c r="C66" t="str">
        <x:v>C_ControlAlerta</x:v>
      </x:c>
      <x:c r="D66" t="str">
        <x:v>↩ (auto-msg)</x:v>
      </x:c>
      <x:c r="E66" t="str">
        <x:v>C_ControlAlerta</x:v>
      </x:c>
      <x:c r="F66" t="str">
        <x:v>validarAusenciaAlertaEquivalenteAntesDeMostrarResumen(existe_equivalente)</x:v>
      </x:c>
      <x:c r="G66" t="str">
        <x:v>[Condición EF: existe_equivalente=false] El controlador autoriza pasar a la pantalla de revisión únicamente sin alerta vigente equivalente; si existe=true, no continúa el EF y se atiende EA04. No modifica intervalos, objetivos ni estado. Para OTRO, la verificación de equivalencia también considera «Especificar servicio» y no bloquea servicios personalizados distintos.</x:v>
      </x:c>
      <x:c r="H66" t="str">
        <x:v>IMPLEMENTAR</x:v>
      </x:c>
      <x:c r="I66" t="str">
        <x:v>Implementar la ruta original BCE en el alcance reducido, con dependencias reales validadas.</x:v>
      </x:c>
      <x:c r="J66"/>
      <x:c r="K66" t="str">
        <x:v>RF22!F66</x:v>
      </x:c>
      <x:c r="L66" t="str">
        <x:v>↩ AUTO-MENSAJE: mismo objeto; lógica local, no salto de capa.</x:v>
      </x:c>
    </x:row>
    <x:row r="67" ht="28.799999237060547" customHeight="1">
      <x:c r="A67" t="str">
        <x:v>BLOQUE 5 — REVISIÓN Y CONFIRMACIÓN DE LA PROGRAMACIÓN — Pasos 60–63</x:v>
      </x:c>
      <x:c r="B67"/>
      <x:c r="C67"/>
      <x:c r="D67"/>
      <x:c r="E67"/>
      <x:c r="F67"/>
      <x:c r="G67"/>
      <x:c r="H67"/>
      <x:c r="I67"/>
      <x:c r="J67"/>
      <x:c r="K67"/>
      <x:c r="L67"/>
    </x:row>
    <x:row r="68" ht="57" customHeight="1">
      <x:c r="A68" t="str">
        <x:v>60</x:v>
      </x:c>
      <x:c r="B68" t="str">
        <x:v>B5</x:v>
      </x:c>
      <x:c r="C68" t="str">
        <x:v>C_ControlAlerta</x:v>
      </x:c>
      <x:c r="D68" t="str">
        <x:v>────► (llamada)</x:v>
      </x:c>
      <x:c r="E68" t="str">
        <x:v>I_ConfirmacionProgramacion</x:v>
      </x:c>
      <x:c r="F68" t="str">
        <x:v>mostrarResumenProgramacion(datos_vehiculo,datos_tipo,fecha_ultimo_servicio_ref_o_NULL,km_ultimo_servicio_ref_o_NULL,fecha_base_actual,km_base_actual_o_NULL,criterio,unidad_tiempo,cantidad_tiempo,intervalo_km,fecha_objetivo,km_objetivo,estado_inicial,tipo_aceite_referencia,servicio_otro_o_NULL)</x:v>
      </x:c>
      <x:c r="G68" t="str">
        <x:v>Resumen con tipo/servicio (si OTRO), vehículo, intervalos, fecha/km actuales usados para objetivos y referencia histórica OPCIONAL; una sugerencia seleccionada muestra el último servicio coincidente, un servicio nuevo sin selección muestra «Sin mantenimiento previo». aceite SOLO LECTURA si corresponde.</x:v>
      </x:c>
      <x:c r="H68" t="str">
        <x:v>IMPLEMENTAR</x:v>
      </x:c>
      <x:c r="I68" t="str">
        <x:v>Implementar la ruta original BCE en el alcance reducido, con dependencias reales validadas.</x:v>
      </x:c>
      <x:c r="J68"/>
      <x:c r="K68" t="str">
        <x:v>RF22!F68</x:v>
      </x:c>
      <x:c r="L68" t="str">
        <x:v>► LLAMADA: operación desde el objeto de C hacia el de E; comprobar contrato y autorización.</x:v>
      </x:c>
    </x:row>
    <x:row r="69" ht="57" customHeight="1">
      <x:c r="A69" t="str">
        <x:v>61</x:v>
      </x:c>
      <x:c r="B69" t="str">
        <x:v>B5</x:v>
      </x:c>
      <x:c r="C69" t="str">
        <x:v>I_ConfirmacionProgramacion</x:v>
      </x:c>
      <x:c r="D69" t="str">
        <x:v>────► (llamada)</x:v>
      </x:c>
      <x:c r="E69" t="str">
        <x:v>AS_Usuario</x:v>
      </x:c>
      <x:c r="F69" t="str">
        <x:v>visualizarResumenProgramacion()</x:v>
      </x:c>
      <x:c r="G69" t="str">
        <x:v>La persona revisa intervalos y objetivos, referencia histórica opcional; en OTRO verifica el nombre específico, diferente de descripcion. Cambiar el texto o vehículo tras elegir sugerencia invalida la asociación histórica y exige revisar de nuevo.</x:v>
      </x:c>
      <x:c r="H69" t="str">
        <x:v>IMPLEMENTAR</x:v>
      </x:c>
      <x:c r="I69" t="str">
        <x:v>Implementar la ruta original BCE en el alcance reducido, con dependencias reales validadas.</x:v>
      </x:c>
      <x:c r="J69"/>
      <x:c r="K69" t="str">
        <x:v>RF22!F69</x:v>
      </x:c>
      <x:c r="L69" t="str">
        <x:v>⚠ SALIDA VISUAL al actor: no ejecutar «visualizar...» como método/API del usuario. En UML formal es presentación/resultado de UI, no llamada remota.</x:v>
      </x:c>
    </x:row>
    <x:row r="70" ht="57" customHeight="1">
      <x:c r="A70" t="str">
        <x:v>62</x:v>
      </x:c>
      <x:c r="B70" t="str">
        <x:v>B5</x:v>
      </x:c>
      <x:c r="C70" t="str">
        <x:v>AS_Usuario</x:v>
      </x:c>
      <x:c r="D70" t="str">
        <x:v>────► (llamada)</x:v>
      </x:c>
      <x:c r="E70" t="str">
        <x:v>I_ConfirmacionProgramacion</x:v>
      </x:c>
      <x:c r="F70" t="str">
        <x:v>confirmarProgramacionAlerta()</x:v>
      </x:c>
      <x:c r="G70" t="str">
        <x:v>El usuario selecciona «Programar alerta».</x:v>
      </x:c>
      <x:c r="H70" t="str">
        <x:v>IMPLEMENTAR</x:v>
      </x:c>
      <x:c r="I70" t="str">
        <x:v>Implementar la ruta original BCE en el alcance reducido, con dependencias reales validadas.</x:v>
      </x:c>
      <x:c r="J70"/>
      <x:c r="K70" t="str">
        <x:v>RF22!F70</x:v>
      </x:c>
      <x:c r="L70" t="str">
        <x:v>► LLAMADA: operación desde el objeto de C hacia el de E; comprobar contrato y autorización.</x:v>
      </x:c>
    </x:row>
    <x:row r="71" ht="57" customHeight="1">
      <x:c r="A71" t="str">
        <x:v>63</x:v>
      </x:c>
      <x:c r="B71" t="str">
        <x:v>B5</x:v>
      </x:c>
      <x:c r="C71" t="str">
        <x:v>I_ConfirmacionProgramacion</x:v>
      </x:c>
      <x:c r="D71" t="str">
        <x:v>────► (llamada)</x:v>
      </x:c>
      <x:c r="E71" t="str">
        <x:v>C_ControlAlerta</x:v>
      </x:c>
      <x:c r="F71" t="str">
        <x:v>confirmarRegistroAlertaManual(id_usuario,datos_confirmados,fecha_base_revision,km_base_revision_o_NULL,servicio_otro_o_NULL,id_mantenimiento_referencia_o_NULL)</x:v>
      </x:c>
      <x:c r="G71" t="str">
        <x:v>Los datos confirmados preservan servicio_otro_o_NULL, id_mantenimiento_referencia_o_NULL y si se seleccionó una sugerencia. No aceptar referencias inventadas por cliente; E_Alerta guarda servicio_otro de forma independiente de descripcion. Cambios en objetivos/bases exigen reconfirmar.</x:v>
      </x:c>
      <x:c r="H71" t="str">
        <x:v>IMPLEMENTAR</x:v>
      </x:c>
      <x:c r="I71" t="str">
        <x:v>Implementar la ruta original BCE en el alcance reducido, con dependencias reales validadas.</x:v>
      </x:c>
      <x:c r="J71"/>
      <x:c r="K71" t="str">
        <x:v>RF22!F71</x:v>
      </x:c>
      <x:c r="L71" t="str">
        <x:v>► LLAMADA: operación desde el objeto de C hacia el de E; comprobar contrato y autorización.</x:v>
      </x:c>
    </x:row>
    <x:row r="72" ht="28.799999237060547" customHeight="1">
      <x:c r="A72" t="str">
        <x:v>BLOQUE 6 — REVALIDACIÓN, PERSISTENCIA Y TRAZABILIDAD DE LA ALERTA — Pasos 64–93</x:v>
      </x:c>
      <x:c r="B72"/>
      <x:c r="C72"/>
      <x:c r="D72"/>
      <x:c r="E72"/>
      <x:c r="F72"/>
      <x:c r="G72"/>
      <x:c r="H72"/>
      <x:c r="I72"/>
      <x:c r="J72"/>
      <x:c r="K72"/>
      <x:c r="L72"/>
    </x:row>
    <x:row r="73" ht="57" customHeight="1">
      <x:c r="A73" t="str">
        <x:v>64</x:v>
      </x:c>
      <x:c r="B73" t="str">
        <x:v>B6</x:v>
      </x:c>
      <x:c r="C73" t="str">
        <x:v>C_ControlAlerta</x:v>
      </x:c>
      <x:c r="D73" t="str">
        <x:v>────► (llamada)</x:v>
      </x:c>
      <x:c r="E73" t="str">
        <x:v>C_ControlVehiculo</x:v>
      </x:c>
      <x:c r="F73" t="str">
        <x:v>revalidarVehiculoActivoUsuario(id_usuario,id_vehiculo)</x:v>
      </x:c>
      <x:c r="G73" t="str">
        <x:v>Antes de persistir, solicita comprobar nuevamente que el vehículo siga perteneciendo al usuario y continúe Activo.</x:v>
      </x:c>
      <x:c r="H73" t="str">
        <x:v>IMPLEMENTAR</x:v>
      </x:c>
      <x:c r="I73" t="str">
        <x:v>Implementar la ruta original BCE en el alcance reducido, con dependencias reales validadas.</x:v>
      </x:c>
      <x:c r="J73"/>
      <x:c r="K73" t="str">
        <x:v>RF22!F73</x:v>
      </x:c>
      <x:c r="L73" t="str">
        <x:v>► LLAMADA: operación desde el objeto de C hacia el de E; comprobar contrato y autorización.</x:v>
      </x:c>
    </x:row>
    <x:row r="74" ht="57" customHeight="1">
      <x:c r="A74" t="str">
        <x:v>65</x:v>
      </x:c>
      <x:c r="B74" t="str">
        <x:v>B6</x:v>
      </x:c>
      <x:c r="C74" t="str">
        <x:v>C_ControlVehiculo</x:v>
      </x:c>
      <x:c r="D74" t="str">
        <x:v>────► (llamada)</x:v>
      </x:c>
      <x:c r="E74" t="str">
        <x:v>E_Vehiculo</x:v>
      </x:c>
      <x:c r="F74" t="str">
        <x:v>consultarVehiculoActivoUsuario(id_usuario,id_vehiculo)</x:v>
      </x:c>
      <x:c r="G74" t="str">
        <x:v>El controlador consulta nuevamente la propiedad y estado vigente del vehículo.</x:v>
      </x:c>
      <x:c r="H74" t="str">
        <x:v>IMPLEMENTAR</x:v>
      </x:c>
      <x:c r="I74" t="str">
        <x:v>Implementar la ruta original BCE en el alcance reducido, con dependencias reales validadas.</x:v>
      </x:c>
      <x:c r="J74"/>
      <x:c r="K74" t="str">
        <x:v>RF22!F74</x:v>
      </x:c>
      <x:c r="L74" t="str">
        <x:v>► LLAMADA: operación desde el objeto de C hacia el de E; comprobar contrato y autorización.</x:v>
      </x:c>
    </x:row>
    <x:row r="75" ht="57" customHeight="1">
      <x:c r="A75" t="str">
        <x:v>66</x:v>
      </x:c>
      <x:c r="B75" t="str">
        <x:v>B6</x:v>
      </x:c>
      <x:c r="C75" t="str">
        <x:v>E_Vehiculo</x:v>
      </x:c>
      <x:c r="D75" t="str">
        <x:v>◄ - - - - - (return)</x:v>
      </x:c>
      <x:c r="E75" t="str">
        <x:v>C_ControlVehiculo</x:v>
      </x:c>
      <x:c r="F75" t="str">
        <x:v>retornarVehiculoValidado(datos_vehiculo)</x:v>
      </x:c>
      <x:c r="G75" t="str">
        <x:v>La entidad confirma que el vehículo continúa habilitado.</x:v>
      </x:c>
      <x:c r="H75" t="str">
        <x:v>IMPLEMENTAR</x:v>
      </x:c>
      <x:c r="I75" t="str">
        <x:v>Implementar la ruta original BCE en el alcance reducido, con dependencias reales validadas.</x:v>
      </x:c>
      <x:c r="J75"/>
      <x:c r="K75" t="str">
        <x:v>RF22!F75</x:v>
      </x:c>
      <x:c r="L75" t="str">
        <x:v>◄ RETORNO discontinuo al llamador. C y E identifican emisor y receptor; ◄ representa disposición de líneas de vida, no inversión de columnas.</x:v>
      </x:c>
    </x:row>
    <x:row r="76" ht="57" customHeight="1">
      <x:c r="A76" t="str">
        <x:v>67</x:v>
      </x:c>
      <x:c r="B76" t="str">
        <x:v>B6</x:v>
      </x:c>
      <x:c r="C76" t="str">
        <x:v>C_ControlVehiculo</x:v>
      </x:c>
      <x:c r="D76" t="str">
        <x:v>◄ - - - - - (return)</x:v>
      </x:c>
      <x:c r="E76" t="str">
        <x:v>C_ControlAlerta</x:v>
      </x:c>
      <x:c r="F76" t="str">
        <x:v>retornarVehiculoActivo(datos_vehiculo)</x:v>
      </x:c>
      <x:c r="G76" t="str">
        <x:v>El controlador de alertas recibe la revalidación positiva.</x:v>
      </x:c>
      <x:c r="H76" t="str">
        <x:v>IMPLEMENTAR</x:v>
      </x:c>
      <x:c r="I76" t="str">
        <x:v>Implementar la ruta original BCE en el alcance reducido, con dependencias reales validadas.</x:v>
      </x:c>
      <x:c r="J76"/>
      <x:c r="K76" t="str">
        <x:v>RF22!F76</x:v>
      </x:c>
      <x:c r="L76" t="str">
        <x:v>◄ RETORNO discontinuo al llamador. C y E identifican emisor y receptor; ◄ representa disposición de líneas de vida, no inversión de columnas.</x:v>
      </x:c>
    </x:row>
    <x:row r="77" ht="57" customHeight="1">
      <x:c r="A77" t="str">
        <x:v>68</x:v>
      </x:c>
      <x:c r="B77" t="str">
        <x:v>B6</x:v>
      </x:c>
      <x:c r="C77" t="str">
        <x:v>C_ControlAlerta</x:v>
      </x:c>
      <x:c r="D77" t="str">
        <x:v>────► (llamada)</x:v>
      </x:c>
      <x:c r="E77" t="str">
        <x:v>C_ControlTipoMantenimiento</x:v>
      </x:c>
      <x:c r="F77" t="str">
        <x:v>revalidarTipoMantenimientoActivoPermitido(id_tipo_mantenimiento)</x:v>
      </x:c>
      <x:c r="G77" t="str">
        <x:v>Revalida antes de persistir que el tipo continúa ACTIVO y habilitado para mantenimiento, sea uno de los siete iniciales o uno nuevo de RF62. Inspección técnica/CITV no es seleccionable en este módulo. Si no cumple, ejecutar EA12 sin guardar.</x:v>
      </x:c>
      <x:c r="H77" t="str">
        <x:v>IMPLEMENTAR</x:v>
      </x:c>
      <x:c r="I77" t="str">
        <x:v>H04 (aprobada por Nayu): antes de guardar, verificar en el catálogo compartido tipo_mantenimiento que el tipo elegido existe, está ACTIVO y permitido para mantenimiento. En el MVP se usarán los 7 tipos iniciales; RF62 para administrar/agregar otros tipos es FUTURO. Si no es válido, aplicar EA12 sin guardar.</x:v>
      </x:c>
      <x:c r="J77" t="str">
        <x:v>Siete códigos lógicos confirmados por Nayu y Fran. Pendiente comprobar PK/FK físicas del catálogo y responsable de semilla en PostgreSQL; RF62 futuro.</x:v>
      </x:c>
      <x:c r="K77" t="str">
        <x:v>RF22!F77</x:v>
      </x:c>
      <x:c r="L77" t="str">
        <x:v>► LLAMADA: operación desde el objeto de C hacia el de E; comprobar contrato y autorización.</x:v>
      </x:c>
    </x:row>
    <x:row r="78" ht="57" customHeight="1">
      <x:c r="A78" t="str">
        <x:v>69</x:v>
      </x:c>
      <x:c r="B78" t="str">
        <x:v>B6</x:v>
      </x:c>
      <x:c r="C78" t="str">
        <x:v>C_ControlTipoMantenimiento</x:v>
      </x:c>
      <x:c r="D78" t="str">
        <x:v>────► (llamada)</x:v>
      </x:c>
      <x:c r="E78" t="str">
        <x:v>E_TipoMantenimiento</x:v>
      </x:c>
      <x:c r="F78" t="str">
        <x:v>consultarTipoMantenimientoActivo(id_tipo_mantenimiento)</x:v>
      </x:c>
      <x:c r="G78" t="str">
        <x:v>Consulta el registro actual del catálogo. Evita utilizar solo el estado obtenido al abrir el formulario cuando el catálogo puede ser administrado.</x:v>
      </x:c>
      <x:c r="H78" t="str">
        <x:v>IMPLEMENTAR</x:v>
      </x:c>
      <x:c r="I78" t="str">
        <x:v>Implementar la ruta original BCE en el alcance reducido, con dependencias reales validadas.</x:v>
      </x:c>
      <x:c r="J78"/>
      <x:c r="K78" t="str">
        <x:v>RF22!F78</x:v>
      </x:c>
      <x:c r="L78" t="str">
        <x:v>► LLAMADA: operación desde el objeto de C hacia el de E; comprobar contrato y autorización.</x:v>
      </x:c>
    </x:row>
    <x:row r="79" ht="57" customHeight="1">
      <x:c r="A79" t="str">
        <x:v>70</x:v>
      </x:c>
      <x:c r="B79" t="str">
        <x:v>B6</x:v>
      </x:c>
      <x:c r="C79" t="str">
        <x:v>E_TipoMantenimiento</x:v>
      </x:c>
      <x:c r="D79" t="str">
        <x:v>◄ - - - - - (return)</x:v>
      </x:c>
      <x:c r="E79" t="str">
        <x:v>C_ControlTipoMantenimiento</x:v>
      </x:c>
      <x:c r="F79" t="str">
        <x:v>retornarTipoActivo(datos_tipo,activo=true)</x:v>
      </x:c>
      <x:c r="G79" t="str">
        <x:v>Se recupera el tipo seleccionado como ACTIVO y existente; si dejó de estar disponible, se activa EA12, no el EF.</x:v>
      </x:c>
      <x:c r="H79" t="str">
        <x:v>IMPLEMENTAR</x:v>
      </x:c>
      <x:c r="I79" t="str">
        <x:v>Implementar la ruta original BCE en el alcance reducido, con dependencias reales validadas.</x:v>
      </x:c>
      <x:c r="J79"/>
      <x:c r="K79" t="str">
        <x:v>RF22!F79</x:v>
      </x:c>
      <x:c r="L79" t="str">
        <x:v>◄ RETORNO discontinuo al llamador. C y E identifican emisor y receptor; ◄ representa disposición de líneas de vida, no inversión de columnas.</x:v>
      </x:c>
    </x:row>
    <x:row r="80" ht="57" customHeight="1">
      <x:c r="A80" t="str">
        <x:v>71</x:v>
      </x:c>
      <x:c r="B80" t="str">
        <x:v>B6</x:v>
      </x:c>
      <x:c r="C80" t="str">
        <x:v>C_ControlTipoMantenimiento</x:v>
      </x:c>
      <x:c r="D80" t="str">
        <x:v>◄ - - - - - (return)</x:v>
      </x:c>
      <x:c r="E80" t="str">
        <x:v>C_ControlAlerta</x:v>
      </x:c>
      <x:c r="F80" t="str">
        <x:v>retornarTipoPermitidoYActivo(validado=true,datos_tipo)</x:v>
      </x:c>
      <x:c r="G80" t="str">
        <x:v>Confirma tipo ACTIVO y habilitado en el catálogo compartido con RF17 y RF24; incluye tipos agregados mediante RF62. Solo entonces prosigue el guardado de la alerta.</x:v>
      </x:c>
      <x:c r="H80" t="str">
        <x:v>IMPLEMENTAR</x:v>
      </x:c>
      <x:c r="I80" t="str">
        <x:v>Implementar la ruta original BCE en el alcance reducido, con dependencias reales validadas.</x:v>
      </x:c>
      <x:c r="J80"/>
      <x:c r="K80" t="str">
        <x:v>RF22!F80</x:v>
      </x:c>
      <x:c r="L80" t="str">
        <x:v>◄ RETORNO discontinuo al llamador. C y E identifican emisor y receptor; ◄ representa disposición de líneas de vida, no inversión de columnas.</x:v>
      </x:c>
    </x:row>
    <x:row r="81" ht="57" customHeight="1">
      <x:c r="A81" t="str">
        <x:v>72</x:v>
      </x:c>
      <x:c r="B81" t="str">
        <x:v>B6</x:v>
      </x:c>
      <x:c r="C81" t="str">
        <x:v>C_ControlAlerta</x:v>
      </x:c>
      <x:c r="D81" t="str">
        <x:v>────► (llamada)</x:v>
      </x:c>
      <x:c r="E81" t="str">
        <x:v>C_ControlMantenimiento</x:v>
      </x:c>
      <x:c r="F81" t="str">
        <x:v>revalidarReferenciaHistorialOpcional(id_usuario,id_vehiculo,id_tipo_mantenimiento,servicio_otro_o_NULL,id_mantenimiento_referencia_o_NULL,seleccion_sugerencia)</x:v>
      </x:c>
      <x:c r="G81" t="str">
        <x:v>Antes de guardar, revalida la referencia histórica SOLO si se mostró alguna. Tipos estándar: último REALIZADO por tipo. OTRO con sugerencia elegida: último REALIZADO del MISMO servicio_otro normalizado. OTRO nuevo sin selección: referencia NULL, sin exigir registro previo. Si cambió la referencia mostrada, EA06 solicita nuevo resumen.</x:v>
      </x:c>
      <x:c r="H81" t="str">
        <x:v>IMPLEMENTAR</x:v>
      </x:c>
      <x:c r="I81" t="str">
        <x:v>Implementar la ruta original BCE en el alcance reducido, con dependencias reales validadas.</x:v>
      </x:c>
      <x:c r="J81"/>
      <x:c r="K81" t="str">
        <x:v>RF22!F81</x:v>
      </x:c>
      <x:c r="L81" t="str">
        <x:v>► LLAMADA: operación desde el objeto de C hacia el de E; comprobar contrato y autorización.</x:v>
      </x:c>
    </x:row>
    <x:row r="82" ht="57" customHeight="1">
      <x:c r="A82" t="str">
        <x:v>73</x:v>
      </x:c>
      <x:c r="B82" t="str">
        <x:v>B6</x:v>
      </x:c>
      <x:c r="C82" t="str">
        <x:v>C_ControlMantenimiento</x:v>
      </x:c>
      <x:c r="D82" t="str">
        <x:v>────► (llamada)</x:v>
      </x:c>
      <x:c r="E82" t="str">
        <x:v>E_Mantenimiento</x:v>
      </x:c>
      <x:c r="F82" t="str">
        <x:v>consultarUltimoRealizadoSegunTipoYServicio(id_usuario,id_vehiculo,id_tipo_mantenimiento,servicio_otro_o_NULL,seleccion_sugerencia)</x:v>
      </x:c>
      <x:c r="G82" t="str">
        <x:v>Consulta el último servicio REALIZADO según reglas: tipo estándar por id_tipo; OTRO seleccionado por nombre de servicio específico (nunca solo por la categoría OTRO); OTRO sin sugerencia seleccionada retorna NULL sin relacionarlo forzosamente. Verifica el vehículo; excluye ANULADOS.</x:v>
      </x:c>
      <x:c r="H82" t="str">
        <x:v>IMPLEMENTAR</x:v>
      </x:c>
      <x:c r="I82" t="str">
        <x:v>Implementar la ruta original BCE en el alcance reducido, con dependencias reales validadas.</x:v>
      </x:c>
      <x:c r="J82"/>
      <x:c r="K82" t="str">
        <x:v>RF22!F82</x:v>
      </x:c>
      <x:c r="L82" t="str">
        <x:v>► LLAMADA: operación desde el objeto de C hacia el de E; comprobar contrato y autorización.</x:v>
      </x:c>
    </x:row>
    <x:row r="83" ht="57" customHeight="1">
      <x:c r="A83" t="str">
        <x:v>74</x:v>
      </x:c>
      <x:c r="B83" t="str">
        <x:v>B6</x:v>
      </x:c>
      <x:c r="C83" t="str">
        <x:v>E_Mantenimiento</x:v>
      </x:c>
      <x:c r="D83" t="str">
        <x:v>◄ - - - - - (return)</x:v>
      </x:c>
      <x:c r="E83" t="str">
        <x:v>C_ControlMantenimiento</x:v>
      </x:c>
      <x:c r="F83" t="str">
        <x:v>retornarReferenciaUltimoServicioOpcional(id_mantenimiento_o_NULL,fecha_servicio_o_NULL,km_servicio_o_NULL)</x:v>
      </x:c>
      <x:c r="G83" t="str">
        <x:v>Retorna id, fecha y kilometraje histórico del servicio correcto si estaba vinculado, o NULL en ausencia de referencia. No modifica el dato histórico almacenado en RF17.</x:v>
      </x:c>
      <x:c r="H83" t="str">
        <x:v>IMPLEMENTAR</x:v>
      </x:c>
      <x:c r="I83" t="str">
        <x:v>Implementar la ruta original BCE en el alcance reducido, con dependencias reales validadas.</x:v>
      </x:c>
      <x:c r="J83"/>
      <x:c r="K83" t="str">
        <x:v>RF22!F83</x:v>
      </x:c>
      <x:c r="L83" t="str">
        <x:v>◄ RETORNO discontinuo al llamador. C y E identifican emisor y receptor; ◄ representa disposición de líneas de vida, no inversión de columnas.</x:v>
      </x:c>
    </x:row>
    <x:row r="84" ht="57" customHeight="1">
      <x:c r="A84" t="str">
        <x:v>75</x:v>
      </x:c>
      <x:c r="B84" t="str">
        <x:v>B6</x:v>
      </x:c>
      <x:c r="C84" t="str">
        <x:v>C_ControlMantenimiento</x:v>
      </x:c>
      <x:c r="D84" t="str">
        <x:v>◄ - - - - - (return)</x:v>
      </x:c>
      <x:c r="E84" t="str">
        <x:v>C_ControlAlerta</x:v>
      </x:c>
      <x:c r="F84" t="str">
        <x:v>retornarReferenciaHistorialRevalidada(id_mantenimiento_o_NULL,fecha_servicio_o_NULL,km_servicio_o_NULL)</x:v>
      </x:c>
      <x:c r="G84" t="str">
        <x:v>Devuelve referencia histórica revalidada o NULL para compararla con la revisión del usuario. Para OTRO conserva el nombre elegido y evita mostrar referencias de otros servicios.</x:v>
      </x:c>
      <x:c r="H84" t="str">
        <x:v>IMPLEMENTAR</x:v>
      </x:c>
      <x:c r="I84" t="str">
        <x:v>Implementar la ruta original BCE en el alcance reducido, con dependencias reales validadas.</x:v>
      </x:c>
      <x:c r="J84"/>
      <x:c r="K84" t="str">
        <x:v>RF22!F84</x:v>
      </x:c>
      <x:c r="L84" t="str">
        <x:v>◄ RETORNO discontinuo al llamador. C y E identifican emisor y receptor; ◄ representa disposición de líneas de vida, no inversión de columnas.</x:v>
      </x:c>
    </x:row>
    <x:row r="85" ht="57" customHeight="1">
      <x:c r="A85" t="str">
        <x:v>76</x:v>
      </x:c>
      <x:c r="B85" t="str">
        <x:v>B6</x:v>
      </x:c>
      <x:c r="C85" t="str">
        <x:v>C_ControlAlerta</x:v>
      </x:c>
      <x:c r="D85" t="str">
        <x:v>────► (llamada)</x:v>
      </x:c>
      <x:c r="E85" t="str">
        <x:v>C_ControlKilometraje</x:v>
      </x:c>
      <x:c r="F85" t="str">
        <x:v>revalidarLecturaRF14SiAplica(id_vehiculo,criterio)</x:v>
      </x:c>
      <x:c r="G85" t="str">
        <x:v>Para POR KM y AMBOS solicita de nuevo la última lectura válida RF14 antes de persistir. En POR TIEMPO no se exige lectura: los pasos 76–79 se consideran condicionales y no bloquean por km ausente.</x:v>
      </x:c>
      <x:c r="H85" t="str">
        <x:v>IMPLEMENTAR</x:v>
      </x:c>
      <x:c r="I85" t="str">
        <x:v>MVP H03/H04: aunque el método BCE histórico cite RF14, solicitar revalidación de la ÚLTIMA lectura efectiva válida RF08 o RF14 para POR_KILOMETRAJE/AMBOS; POR_TIEMPO no exige kilometraje. El nombre físico se acuerda en contrato.</x:v>
      </x:c>
      <x:c r="J85"/>
      <x:c r="K85" t="str">
        <x:v>RF22!F85</x:v>
      </x:c>
      <x:c r="L85" t="str">
        <x:v>► LLAMADA: operación desde el objeto de C hacia el de E; comprobar contrato y autorización.</x:v>
      </x:c>
    </x:row>
    <x:row r="86" ht="57" customHeight="1">
      <x:c r="A86" t="str">
        <x:v>77</x:v>
      </x:c>
      <x:c r="B86" t="str">
        <x:v>B6</x:v>
      </x:c>
      <x:c r="C86" t="str">
        <x:v>C_ControlKilometraje</x:v>
      </x:c>
      <x:c r="D86" t="str">
        <x:v>────► (llamada)</x:v>
      </x:c>
      <x:c r="E86" t="str">
        <x:v>E_Kilometraje</x:v>
      </x:c>
      <x:c r="F86" t="str">
        <x:v>consultarUltimoKilometrajeValidoSiAplica(id_vehiculo,criterio)</x:v>
      </x:c>
      <x:c r="G86" t="str">
        <x:v>Para POR KM/AMBOS consulta la última lectura válida efectiva y su fecha interna, considerando RF14. Si falta, no permite guardar: el usuario debe registrar la lectura usando RF14 desde fuera de RF22 (EA02). En POR TIEMPO no se exige lectura.</x:v>
      </x:c>
      <x:c r="H86" t="str">
        <x:v>ADAPTAR</x:v>
      </x:c>
      <x:c r="I86" t="str">
        <x:v>H04 (aprobada por Nayu; coherente con H03): si el criterio es POR_KILOMETRAJE o AMBOS, consultar la ÚLTIMA lectura efectiva válida del vehículo: lectura INICIAL de RF08 o posterior de RF14. Revalidar km/fecha antes de guardar. POR_TIEMPO no exige km. Ausencia confirmada de lectura =&gt; EA02; error técnico de consulta no significa km ausente. El método BCE original se conserva.</x:v>
      </x:c>
      <x:c r="J86" t="str">
        <x:v>RF08 inicial + RF14 posterior CONFIRMADO por Fran; contrato físico de lectura, permisos y FK del vehículo todavía pendiente de validar.</x:v>
      </x:c>
      <x:c r="K86" t="str">
        <x:v>RF22!F86</x:v>
      </x:c>
      <x:c r="L86" t="str">
        <x:v>► LLAMADA: operación desde el objeto de C hacia el de E; comprobar contrato y autorización.</x:v>
      </x:c>
    </x:row>
    <x:row r="87" ht="57" customHeight="1">
      <x:c r="A87" t="str">
        <x:v>78</x:v>
      </x:c>
      <x:c r="B87" t="str">
        <x:v>B6</x:v>
      </x:c>
      <x:c r="C87" t="str">
        <x:v>E_Kilometraje</x:v>
      </x:c>
      <x:c r="D87" t="str">
        <x:v>◄ - - - - - (return)</x:v>
      </x:c>
      <x:c r="E87" t="str">
        <x:v>C_ControlKilometraje</x:v>
      </x:c>
      <x:c r="F87" t="str">
        <x:v>retornarKilometrajeActualSiAplica(km_vigente_confirmacion_o_NULL,fecha_lectura_confirmacion_o_NULL)</x:v>
      </x:c>
      <x:c r="G87" t="str">
        <x:v>Retorna lectura vigente para criterios con km; en programación solo por tiempo puede devolver NULL sin generar error.</x:v>
      </x:c>
      <x:c r="H87" t="str">
        <x:v>IMPLEMENTAR</x:v>
      </x:c>
      <x:c r="I87" t="str">
        <x:v>Implementar la ruta original BCE en el alcance reducido, con dependencias reales validadas.</x:v>
      </x:c>
      <x:c r="J87"/>
      <x:c r="K87" t="str">
        <x:v>RF22!F87</x:v>
      </x:c>
      <x:c r="L87" t="str">
        <x:v>◄ RETORNO discontinuo al llamador. C y E identifican emisor y receptor; ◄ representa disposición de líneas de vida, no inversión de columnas.</x:v>
      </x:c>
    </x:row>
    <x:row r="88" ht="57" customHeight="1">
      <x:c r="A88" t="str">
        <x:v>79</x:v>
      </x:c>
      <x:c r="B88" t="str">
        <x:v>B6</x:v>
      </x:c>
      <x:c r="C88" t="str">
        <x:v>C_ControlKilometraje</x:v>
      </x:c>
      <x:c r="D88" t="str">
        <x:v>◄ - - - - - (return)</x:v>
      </x:c>
      <x:c r="E88" t="str">
        <x:v>C_ControlAlerta</x:v>
      </x:c>
      <x:c r="F88" t="str">
        <x:v>retornarBaseKilometrajeRevalidada(km_vigente_confirmacion_o_NULL,fecha_lectura_confirmacion_o_NULL)</x:v>
      </x:c>
      <x:c r="G88" t="str">
        <x:v>Devuelve la base actual revalidada cuando hay km; no sustituye el kilometraje histórico de RF17.</x:v>
      </x:c>
      <x:c r="H88" t="str">
        <x:v>IMPLEMENTAR</x:v>
      </x:c>
      <x:c r="I88" t="str">
        <x:v>Implementar la ruta original BCE en el alcance reducido, con dependencias reales validadas.</x:v>
      </x:c>
      <x:c r="J88"/>
      <x:c r="K88" t="str">
        <x:v>RF22!F88</x:v>
      </x:c>
      <x:c r="L88" t="str">
        <x:v>◄ RETORNO discontinuo al llamador. C y E identifican emisor y receptor; ◄ representa disposición de líneas de vida, no inversión de columnas.</x:v>
      </x:c>
    </x:row>
    <x:row r="89" ht="57" customHeight="1">
      <x:c r="A89" t="str">
        <x:v>80</x:v>
      </x:c>
      <x:c r="B89" t="str">
        <x:v>B6</x:v>
      </x:c>
      <x:c r="C89" t="str">
        <x:v>C_ControlAlerta</x:v>
      </x:c>
      <x:c r="D89" t="str">
        <x:v>↩ (auto-msg)</x:v>
      </x:c>
      <x:c r="E89" t="str">
        <x:v>C_ControlAlerta</x:v>
      </x:c>
      <x:c r="F89" t="str">
        <x:v>revalidarBasesObjetivosYEstadoAntesDeGuardar()</x:v>
      </x:c>
      <x:c r="G89" t="str">
        <x:v>Revalida fecha actual, km RF14 si aplica, objetivos, estado e historial solo si se mostró. Si cambió una base, el servicio elegido, el vínculo de sugerencia o la referencia histórica, NO guarda silenciosamente: actualiza resumen y pide reconfirmación. Texto libre OTRO debe permanecer válido; por tiempo no exige lectura RF14.</x:v>
      </x:c>
      <x:c r="H89" t="str">
        <x:v>ADAPTAR</x:v>
      </x:c>
      <x:c r="I89" t="str">
        <x:v>H04 (aprobada por Nayu): antes de persistir, revalidar fecha actual del servidor, última lectura efectiva RF08/RF14 solo para criterios con km, objetivos de tiempo/km, estado calculado y referencia histórica si fue seleccionada. Si una base, objetivo o referencia relevante cambió, mostrar resumen actualizado y exigir reconfirmación; no guardar silenciosamente. Tipo activo se comprueba en los mensajes 68–71.</x:v>
      </x:c>
      <x:c r="J89"/>
      <x:c r="K89" t="str">
        <x:v>RF22!F89</x:v>
      </x:c>
      <x:c r="L89" t="str">
        <x:v>↩ AUTO-MENSAJE: mismo objeto; lógica local, no salto de capa.</x:v>
      </x:c>
    </x:row>
    <x:row r="90" ht="57" customHeight="1">
      <x:c r="A90" t="str">
        <x:v>81</x:v>
      </x:c>
      <x:c r="B90" t="str">
        <x:v>B6</x:v>
      </x:c>
      <x:c r="C90" t="str">
        <x:v>C_ControlAlerta</x:v>
      </x:c>
      <x:c r="D90" t="str">
        <x:v>↩ (auto-msg)</x:v>
      </x:c>
      <x:c r="E90" t="str">
        <x:v>C_ControlAlerta</x:v>
      </x:c>
      <x:c r="F90" t="str">
        <x:v>iniciarRegistroConsistenteAlertaHistorial()</x:v>
      </x:c>
      <x:c r="G90" t="str">
        <x:v>BEGIN de UNA transacción MVP para E_Alerta + E_HistorialAlerta (sin E_Notificacion ni aviso interno). Revalidar objetivos y la firmaEquivalenciaActiva (usuario/vehículo, tipo, criterio, objetivos, OTRO normalizado; NULL tratados consistentemente), protegida contra duplicados concurrentes mediante la restricción que resulte compatible con la BD mvp. COMMIT único tras guardar la alerta y el historial inicial, antes de mostrar éxito. La idempotencia persistente de idOperacion y el mapeo físico siguen pendientes de contrato y pruebas. Notificaciones y asociación DESDE_MANTENIMIENTO quedan FUTURO en este MVP.</x:v>
      </x:c>
      <x:c r="H90" t="str">
        <x:v>ADAPTAR</x:v>
      </x:c>
      <x:c r="I90" t="str">
        <x:v>H01 (aprobada por Nayu): INICIAR una sola transacción para guardar E_Alerta y E_HistorialAlerta. NO invocar E_Notificacion; preservar validación concurrente de duplicados.</x:v>
      </x:c>
      <x:c r="J90" t="str">
        <x:v>H01: transacción alerta+historial y notificaciones futuras CONFIRMADAS Nayu+Fran; protección contra duplicados y mapeo físico pendientes de pruebas.</x:v>
      </x:c>
      <x:c r="K90" t="str">
        <x:v>RF22!F90</x:v>
      </x:c>
      <x:c r="L90" t="str">
        <x:v>↩ AUTO-MENSAJE: mismo objeto; lógica local, no salto de capa.</x:v>
      </x:c>
    </x:row>
    <x:row r="91" ht="57" customHeight="1">
      <x:c r="A91" t="str">
        <x:v>82</x:v>
      </x:c>
      <x:c r="B91" t="str">
        <x:v>B6</x:v>
      </x:c>
      <x:c r="C91" t="str">
        <x:v>C_ControlAlerta</x:v>
      </x:c>
      <x:c r="D91" t="str">
        <x:v>────► (llamada)</x:v>
      </x:c>
      <x:c r="E91" t="str">
        <x:v>E_Alerta</x:v>
      </x:c>
      <x:c r="F91" t="str">
        <x:v>consultarAlertaEquivalenteVigente(id_vehiculo,id_tipo_mantenimiento,criterio,fecha_objetivo,km_objetivo,servicio_otro_normalizado)</x:v>
      </x:c>
      <x:c r="G91" t="str">
        <x:v>Reconsulta dentro de la transacción la firmaEquivalenciaActiva usada en la revisión, considerando alertas vigentes PROGRAMADA/PROXIMA/PENDIENTE/VENCIDA tanto de MANUAL como DESDE_MANTENIMIENTO. fecha_actual no integra su identidad. La consulta no sustituye el índice único; repetir una misma claveOperacion solo se reconocerá sin duplicar si se implementa y prueba idempotencia persistente.</x:v>
      </x:c>
      <x:c r="H91" t="str">
        <x:v>IMPLEMENTAR</x:v>
      </x:c>
      <x:c r="I91" t="str">
        <x:v>Implementar la ruta original BCE en el alcance reducido, con dependencias reales validadas.</x:v>
      </x:c>
      <x:c r="J91"/>
      <x:c r="K91" t="str">
        <x:v>RF22!F91</x:v>
      </x:c>
      <x:c r="L91" t="str">
        <x:v>► LLAMADA: operación desde el objeto de C hacia el de E; comprobar contrato y autorización.</x:v>
      </x:c>
    </x:row>
    <x:row r="92" ht="57" customHeight="1">
      <x:c r="A92" t="str">
        <x:v>83</x:v>
      </x:c>
      <x:c r="B92" t="str">
        <x:v>B6</x:v>
      </x:c>
      <x:c r="C92" t="str">
        <x:v>E_Alerta</x:v>
      </x:c>
      <x:c r="D92" t="str">
        <x:v>◄ - - - - - (return)</x:v>
      </x:c>
      <x:c r="E92" t="str">
        <x:v>C_ControlAlerta</x:v>
      </x:c>
      <x:c r="F92" t="str">
        <x:v>retornarResultadoDuplicidadVigente(existe_equivalente=false)</x:v>
      </x:c>
      <x:c r="G92" t="str">
        <x:v>Devuelve ausencia de firma activa equivalente bajo bloqueo/índice único efectivo; solo prosigue el EF si no hay otra alerta activa equivalente para el mismo vehículo, tipo, criterio, objetivos y OTRO normalizado.</x:v>
      </x:c>
      <x:c r="H92" t="str">
        <x:v>IMPLEMENTAR</x:v>
      </x:c>
      <x:c r="I92" t="str">
        <x:v>Implementar la ruta original BCE en el alcance reducido, con dependencias reales validadas.</x:v>
      </x:c>
      <x:c r="J92"/>
      <x:c r="K92" t="str">
        <x:v>RF22!F92</x:v>
      </x:c>
      <x:c r="L92" t="str">
        <x:v>◄ RETORNO discontinuo al llamador. C y E identifican emisor y receptor; ◄ representa disposición de líneas de vida, no inversión de columnas.</x:v>
      </x:c>
    </x:row>
    <x:row r="93" ht="57" customHeight="1">
      <x:c r="A93" t="str">
        <x:v>84</x:v>
      </x:c>
      <x:c r="B93" t="str">
        <x:v>B6</x:v>
      </x:c>
      <x:c r="C93" t="str">
        <x:v>C_ControlAlerta</x:v>
      </x:c>
      <x:c r="D93" t="str">
        <x:v>↩ (auto-msg)</x:v>
      </x:c>
      <x:c r="E93" t="str">
        <x:v>C_ControlAlerta</x:v>
      </x:c>
      <x:c r="F93" t="str">
        <x:v>validarNoExisteAlertaEquivalenteVigente(existe_equivalente)</x:v>
      </x:c>
      <x:c r="G93" t="str">
        <x:v>Revalida la ausencia de equivalente activo en la transacción y con protección concurrente de la firma común. Si otra petición insertó la misma firma, revertir esta solicitud y aplicar RF22-EA04 sin crear alerta, historial o notificación duplicados. Si se reutiliza claveOperacion, aplicar control idempotente SOLO cuando dicho mecanismo persistente esté implementado; V1–V4 no permiten presumir esa garantía. No confirmar éxito sin COMMIT validado.</x:v>
      </x:c>
      <x:c r="H93" t="str">
        <x:v>IMPLEMENTAR</x:v>
      </x:c>
      <x:c r="I93" t="str">
        <x:v>Implementar la ruta original BCE en el alcance reducido, con dependencias reales validadas.</x:v>
      </x:c>
      <x:c r="J93"/>
      <x:c r="K93" t="str">
        <x:v>RF22!F93</x:v>
      </x:c>
      <x:c r="L93" t="str">
        <x:v>↩ AUTO-MENSAJE: mismo objeto; lógica local, no salto de capa.</x:v>
      </x:c>
    </x:row>
    <x:row r="94" ht="57" customHeight="1">
      <x:c r="A94" t="str">
        <x:v>85</x:v>
      </x:c>
      <x:c r="B94" t="str">
        <x:v>B6</x:v>
      </x:c>
      <x:c r="C94" t="str">
        <x:v>C_ControlAlerta</x:v>
      </x:c>
      <x:c r="D94" t="str">
        <x:v>────► (llamada)</x:v>
      </x:c>
      <x:c r="E94" t="str">
        <x:v>E_Alerta</x:v>
      </x:c>
      <x:c r="F94" t="str">
        <x:v>guardarAlertaManual(id_vehiculo,id_tipo_mantenimiento,servicio_otro_o_NULL,criterio,fecha_ultimo_servicio_ref_o_NULL,km_ultimo_servicio_ref_o_NULL,unidad_tiempo,cantidad_tiempo,intervalo_km,fecha_objetivo,km_objetivo,tipo_aceite_referencia_o_NULL,estado_inicial,fecha_actual,id_mantenimiento_referencia_o_NULL)</x:v>
      </x:c>
      <x:c r="G94" t="str">
        <x:v>Guarda UNA alerta manual con fecha/km objetivo calculados desde fecha actual / última lectura RF14, nunca desde último servicio. Persiste `alerta.servicio_otro` como dato propio para OTRO, NULL para los tipos distintos de OTRO; NO usar `descripcion`. Referencia histórica opcional (fecha/km) es solo informativa. Compatible con el esquema actual de alerta y con RF17 y RF24; origen='MANUAL' e id_mantenimiento_referencia=id_mantenimiento_referencia_o_NULL (referencia validada si existe). DENTRO de la transacción iniciada en el mensaje 81, realiza la última búsqueda de equivalente VIGENTE bajo esa protección y crea la alerta SOLO si sigue sin existir. Si otra solicitud creó la equivalente, NO inserta: ROLLBACK de esta solicitud y derivación a RF22-EA04. No duplica historial ni notificaciones. El servicio OTRO se compara normalizado. La BD V4 todavía normaliza el texto almacenado; conservar las tildes y mayúsculas originales requiere la mejora SQL V5 pendiente.</x:v>
      </x:c>
      <x:c r="H94" t="str">
        <x:v>IMPLEMENTAR</x:v>
      </x:c>
      <x:c r="I94" t="str">
        <x:v>MVP: guardar una alerta con objetivos futuros revalidados y estado inicial calculado según RF23; única transacción E_Alerta + E_HistorialAlerta, sin notificaciones. Rechazar objetivos alcanzados y duplicados antes del COMMIT.</x:v>
      </x:c>
      <x:c r="J94"/>
      <x:c r="K94" t="str">
        <x:v>RF22!F94</x:v>
      </x:c>
      <x:c r="L94" t="str">
        <x:v>► LLAMADA: operación desde el objeto de C hacia el de E; comprobar contrato y autorización.</x:v>
      </x:c>
    </x:row>
    <x:row r="95" ht="57" customHeight="1">
      <x:c r="A95" t="str">
        <x:v>86</x:v>
      </x:c>
      <x:c r="B95" t="str">
        <x:v>B6</x:v>
      </x:c>
      <x:c r="C95" t="str">
        <x:v>E_Alerta</x:v>
      </x:c>
      <x:c r="D95" t="str">
        <x:v>◄ - - - - - (return)</x:v>
      </x:c>
      <x:c r="E95" t="str">
        <x:v>C_ControlAlerta</x:v>
      </x:c>
      <x:c r="F95" t="str">
        <x:v>retornarAlertaCreada(id_alerta,datos_alerta,fecha_estado_actual)</x:v>
      </x:c>
      <x:c r="G95" t="str">
        <x:v>Retorna alerta persistida con id_alerta, fecha_estado_actual y `servicio_otro` si corresponde, separado de descripcion. Su nombre se mostrará en las tarjetas y quedará disponible para RF24. Camino exitoso exclusivamente cuando el alta superó la validación atómica de unicidad de 84–85; el duplicado concurrente NO llega a este retorno.</x:v>
      </x:c>
      <x:c r="H95" t="str">
        <x:v>IMPLEMENTAR</x:v>
      </x:c>
      <x:c r="I95" t="str">
        <x:v>Implementar la ruta original BCE en el alcance reducido, con dependencias reales validadas.</x:v>
      </x:c>
      <x:c r="J95"/>
      <x:c r="K95" t="str">
        <x:v>RF22!F95</x:v>
      </x:c>
      <x:c r="L95" t="str">
        <x:v>◄ RETORNO discontinuo al llamador. C y E identifican emisor y receptor; ◄ representa disposición de líneas de vida, no inversión de columnas.</x:v>
      </x:c>
    </x:row>
    <x:row r="96" ht="57" customHeight="1">
      <x:c r="A96" t="str">
        <x:v>87</x:v>
      </x:c>
      <x:c r="B96" t="str">
        <x:v>B6</x:v>
      </x:c>
      <x:c r="C96" t="str">
        <x:v>C_ControlAlerta</x:v>
      </x:c>
      <x:c r="D96" t="str">
        <x:v>────► (llamada)</x:v>
      </x:c>
      <x:c r="E96" t="str">
        <x:v>E_HistorialAlerta</x:v>
      </x:c>
      <x:c r="F96" t="str">
        <x:v>registrarCreacionAlerta(id_alerta,NULL,estado_inicial,motivo_creacion_manual)</x:v>
      </x:c>
      <x:c r="G96" t="str">
        <x:v>Registra transición de creación (sin estado previo) al estado PROGRAMADA, PROXIMA o PENDIENTE; los estados posteriores VENCIDA, REALIZADA y ANULADA se gestionan en su ciclo de vida, no nacen en RF22.</x:v>
      </x:c>
      <x:c r="H96" t="str">
        <x:v>IMPLEMENTAR</x:v>
      </x:c>
      <x:c r="I96" t="str">
        <x:v>MVP: registrar en E_HistorialAlerta la creación real (NULL → estado inicial PROGRAMADA/PRÓXIMA/PENDIENTE), en la misma transacción del alta; no crear transición artificial a VENCIDA.</x:v>
      </x:c>
      <x:c r="J96"/>
      <x:c r="K96" t="str">
        <x:v>RF22!F96</x:v>
      </x:c>
      <x:c r="L96" t="str">
        <x:v>► LLAMADA: operación desde el objeto de C hacia el de E; comprobar contrato y autorización.</x:v>
      </x:c>
    </x:row>
    <x:row r="97" ht="57" customHeight="1">
      <x:c r="A97" t="str">
        <x:v>88</x:v>
      </x:c>
      <x:c r="B97" t="str">
        <x:v>B6</x:v>
      </x:c>
      <x:c r="C97" t="str">
        <x:v>E_HistorialAlerta</x:v>
      </x:c>
      <x:c r="D97" t="str">
        <x:v>◄ - - - - - (return)</x:v>
      </x:c>
      <x:c r="E97" t="str">
        <x:v>C_ControlAlerta</x:v>
      </x:c>
      <x:c r="F97" t="str">
        <x:v>retornarCreacionRegistrada(datos_historial)</x:v>
      </x:c>
      <x:c r="G97" t="str">
        <x:v>La entidad confirma que la creación quedó registrada para trazabilidad.</x:v>
      </x:c>
      <x:c r="H97" t="str">
        <x:v>IMPLEMENTAR</x:v>
      </x:c>
      <x:c r="I97" t="str">
        <x:v>Implementar la ruta original BCE en el alcance reducido, con dependencias reales validadas.</x:v>
      </x:c>
      <x:c r="J97"/>
      <x:c r="K97" t="str">
        <x:v>RF22!F97</x:v>
      </x:c>
      <x:c r="L97" t="str">
        <x:v>◄ RETORNO discontinuo al llamador. C y E identifican emisor y receptor; ◄ representa disposición de líneas de vida, no inversión de columnas.</x:v>
      </x:c>
    </x:row>
    <x:row r="98" ht="57" customHeight="1">
      <x:c r="A98" t="str">
        <x:v>89</x:v>
      </x:c>
      <x:c r="B98" t="str">
        <x:v>B6</x:v>
      </x:c>
      <x:c r="C98" t="str">
        <x:v>C_ControlAlerta</x:v>
      </x:c>
      <x:c r="D98" t="str">
        <x:v>────► (llamada)</x:v>
      </x:c>
      <x:c r="E98" t="str">
        <x:v>C_ControlNotificacion</x:v>
      </x:c>
      <x:c r="F98" t="str">
        <x:v>sincronizarNotificacionAlertaCreada(id_usuario,id_alerta,estado_inicial)</x:v>
      </x:c>
      <x:c r="G98" t="str">
        <x:v>Dentro de la MISMA transacción aún sin confirmar, solicita reconciliar el aviso INTERNO de la alerta nueva. Solo genera uno activo para PRÓXIMA/PENDIENTE; PROGRAMADA no requiere notificación activa. No efectúa despacho externo.</x:v>
      </x:c>
      <x:c r="H98" t="str">
        <x:v>FUTURO</x:v>
      </x:c>
      <x:c r="I98" t="str">
        <x:v>H01: NO ejecutar sincronizarNotificacionAlertaCreada() en el MVP. Se conserva únicamente como referencia del flujo completo.</x:v>
      </x:c>
      <x:c r="J98" t="str">
        <x:v>Notificaciones FUERA DEL MVP confirmado Nayu+Fran; conservar BCE original solo como referencia futura.</x:v>
      </x:c>
      <x:c r="K98" t="str">
        <x:v>RF22!F98</x:v>
      </x:c>
      <x:c r="L98" t="str">
        <x:v>► LLAMADA: operación desde el objeto de C hacia el de E; comprobar contrato y autorización.</x:v>
      </x:c>
    </x:row>
    <x:row r="99" ht="57" customHeight="1">
      <x:c r="A99" t="str">
        <x:v>90</x:v>
      </x:c>
      <x:c r="B99" t="str">
        <x:v>B6</x:v>
      </x:c>
      <x:c r="C99" t="str">
        <x:v>C_ControlNotificacion</x:v>
      </x:c>
      <x:c r="D99" t="str">
        <x:v>────► (llamada)</x:v>
      </x:c>
      <x:c r="E99" t="str">
        <x:v>E_Notificacion</x:v>
      </x:c>
      <x:c r="F99" t="str">
        <x:v>crearOActualizarNotificacionSegunEstadoAlerta(id_usuario,id_vehiculo,id_alerta,MANTENIMIENTO,estado_inicial,fecha_actual)</x:v>
      </x:c>
      <x:c r="G99" t="str">
        <x:v>Dentro de la transacción compartida, para PRÓXIMA/PENDIENTE crea/reactiva de forma idempotente una notificación interna PENDIENTE (leída=0, fechaUltimaEmision=fecha_actual y reemisión a 24 h). Si PROGRAMADA no crea aviso activo y retorna SIN_CAMBIOS. Errores obligatorios abortan las tres escrituras.</x:v>
      </x:c>
      <x:c r="H99" t="str">
        <x:v>FUTURO</x:v>
      </x:c>
      <x:c r="I99" t="str">
        <x:v>H01: NO crear ni actualizar E_Notificacion en el MVP; sin insertar filas de aviso y sin dependencia de servicios de notificación.</x:v>
      </x:c>
      <x:c r="J99" t="str">
        <x:v>Notificaciones FUERA DEL MVP confirmado Nayu+Fran; conservar BCE original solo como referencia futura.</x:v>
      </x:c>
      <x:c r="K99" t="str">
        <x:v>RF22!F99</x:v>
      </x:c>
      <x:c r="L99" t="str">
        <x:v>► LLAMADA: operación desde el objeto de C hacia el de E; comprobar contrato y autorización.</x:v>
      </x:c>
    </x:row>
    <x:row r="100" ht="57" customHeight="1">
      <x:c r="A100" t="str">
        <x:v>91</x:v>
      </x:c>
      <x:c r="B100" t="str">
        <x:v>B6</x:v>
      </x:c>
      <x:c r="C100" t="str">
        <x:v>E_Notificacion</x:v>
      </x:c>
      <x:c r="D100" t="str">
        <x:v>◄ - - - - - (return)</x:v>
      </x:c>
      <x:c r="E100" t="str">
        <x:v>C_ControlNotificacion</x:v>
      </x:c>
      <x:c r="F100" t="str">
        <x:v>retornarSincronizacionNotificacion(resultado_notificacion)</x:v>
      </x:c>
      <x:c r="G100" t="str">
        <x:v>Devuelve creada/reactivada o SIN_CAMBIOS cuando PROGRAMADA. Ninguna escritura se ha confirmado todavía; un error impide el COMMIT y provoca ROLLBACK.</x:v>
      </x:c>
      <x:c r="H100" t="str">
        <x:v>FUTURO</x:v>
      </x:c>
      <x:c r="I100" t="str">
        <x:v>H01: NO esperar retorno del resultado de la sincronización de notificaciones; continuar tras registrar el historial inicial.</x:v>
      </x:c>
      <x:c r="J100" t="str">
        <x:v>Notificaciones FUERA DEL MVP confirmado Nayu+Fran; conservar BCE original solo como referencia futura.</x:v>
      </x:c>
      <x:c r="K100" t="str">
        <x:v>RF22!F100</x:v>
      </x:c>
      <x:c r="L100" t="str">
        <x:v>◄ RETORNO discontinuo al llamador. C y E identifican emisor y receptor; ◄ representa disposición de líneas de vida, no inversión de columnas.</x:v>
      </x:c>
    </x:row>
    <x:row r="101" ht="57" customHeight="1">
      <x:c r="A101" t="str">
        <x:v>92</x:v>
      </x:c>
      <x:c r="B101" t="str">
        <x:v>B6</x:v>
      </x:c>
      <x:c r="C101" t="str">
        <x:v>C_ControlNotificacion</x:v>
      </x:c>
      <x:c r="D101" t="str">
        <x:v>◄ - - - - - (return)</x:v>
      </x:c>
      <x:c r="E101" t="str">
        <x:v>C_ControlAlerta</x:v>
      </x:c>
      <x:c r="F101" t="str">
        <x:v>retornarSincronizacionNotificacion(resultado_notificacion)</x:v>
      </x:c>
      <x:c r="G101" t="str">
        <x:v>Notificaciones entrega el resultado interno de forma idempotente, sin suponer entrega de una alerta externa. C_ControlAlerta podrá confirmar únicamente si alerta, historial y notificación aplicable son coherentes.</x:v>
      </x:c>
      <x:c r="H101" t="str">
        <x:v>FUTURO</x:v>
      </x:c>
      <x:c r="I101" t="str">
        <x:v>H01: NO devolver ni validar resultado de E_Notificacion. Este mensaje original queda reservado para futuras versiones.</x:v>
      </x:c>
      <x:c r="J101" t="str">
        <x:v>Notificaciones FUERA DEL MVP confirmado Nayu+Fran; conservar BCE original solo como referencia futura.</x:v>
      </x:c>
      <x:c r="K101" t="str">
        <x:v>RF22!F101</x:v>
      </x:c>
      <x:c r="L101" t="str">
        <x:v>◄ RETORNO discontinuo al llamador. C y E identifican emisor y receptor; ◄ representa disposición de líneas de vida, no inversión de columnas.</x:v>
      </x:c>
    </x:row>
    <x:row r="102" ht="57" customHeight="1">
      <x:c r="A102" t="str">
        <x:v>93</x:v>
      </x:c>
      <x:c r="B102" t="str">
        <x:v>B6</x:v>
      </x:c>
      <x:c r="C102" t="str">
        <x:v>C_ControlAlerta</x:v>
      </x:c>
      <x:c r="D102" t="str">
        <x:v>↩ (auto-msg)</x:v>
      </x:c>
      <x:c r="E102" t="str">
        <x:v>C_ControlAlerta</x:v>
      </x:c>
      <x:c r="F102" t="str">
        <x:v>confirmarRegistroConsistenteAlertaHistorialYNotificacion(id_alerta,resultado_notificacion)</x:v>
      </x:c>
      <x:c r="G102" t="str">
        <x:v>ÚNICO COMMIT: valida la creación de E_Alerta (85), la transición inicial de E_HistorialAlerta (87) y la sincronización de E_Notificacion (89–92), o SIN_CAMBIOS válido si PROGRAMADA. Ante cualquier fallo obligatorio se revierte todo; notificaciones externas nunca se dan por enviadas dentro del EF. No confirma si se detectó duplicado concurrente en 84–85. Libera la protección por clave tras COMMIT o ROLLBACK; la BD deberá respaldar esta garantía sin confiar solo en una consulta previa.</x:v>
      </x:c>
      <x:c r="H102" t="str">
        <x:v>ADAPTAR</x:v>
      </x:c>
      <x:c r="I102" t="str">
        <x:v>H01 (aprobada por Nayu): confirmar COMMIT atómico de E_Alerta + E_HistorialAlerta solamente. Si falla cualquier escritura, ROLLBACK; no condicionar éxito a E_Notificacion.</x:v>
      </x:c>
      <x:c r="J102" t="str">
        <x:v>H01: COMMIT/ROLLBACK atómico alerta+historial acordado Nayu+Fran. BD, restricciones e idempotencia pendientes de verificación.</x:v>
      </x:c>
      <x:c r="K102" t="str">
        <x:v>RF22!F102</x:v>
      </x:c>
      <x:c r="L102" t="str">
        <x:v>↩ AUTO-MENSAJE: mismo objeto; lógica local, no salto de capa.</x:v>
      </x:c>
    </x:row>
    <x:row r="103" ht="28.799999237060547" customHeight="1">
      <x:c r="A103" t="str">
        <x:v>BLOQUE 7 — PANTALLA DE PROGRAMACIÓN EXITOSA — Pasos 94–96</x:v>
      </x:c>
      <x:c r="B103"/>
      <x:c r="C103"/>
      <x:c r="D103"/>
      <x:c r="E103"/>
      <x:c r="F103"/>
      <x:c r="G103"/>
      <x:c r="H103"/>
      <x:c r="I103"/>
      <x:c r="J103"/>
      <x:c r="K103"/>
      <x:c r="L103"/>
    </x:row>
    <x:row r="104" ht="57" customHeight="1">
      <x:c r="A104" t="str">
        <x:v>94</x:v>
      </x:c>
      <x:c r="B104" t="str">
        <x:v>B7</x:v>
      </x:c>
      <x:c r="C104" t="str">
        <x:v>C_ControlAlerta</x:v>
      </x:c>
      <x:c r="D104" t="str">
        <x:v>────► (llamada)</x:v>
      </x:c>
      <x:c r="E104" t="str">
        <x:v>I_AlertaProgramada</x:v>
      </x:c>
      <x:c r="F104" t="str">
        <x:v>mostrarAlertaProgramada(fecha_objetivo,km_objetivo,criterio,estado_inicial,servicio_otro_o_NULL)</x:v>
      </x:c>
      <x:c r="G104" t="str">
        <x:v>Pantalla «¡Alerta programada!» muestra servicio_otro en vez de «Otro» genérico, con objetivos y estado REAL; no altera los datos históricos.</x:v>
      </x:c>
      <x:c r="H104" t="str">
        <x:v>IMPLEMENTAR</x:v>
      </x:c>
      <x:c r="I104" t="str">
        <x:v>Implementar la ruta original BCE en el alcance reducido, con dependencias reales validadas.</x:v>
      </x:c>
      <x:c r="J104"/>
      <x:c r="K104" t="str">
        <x:v>RF22!F104</x:v>
      </x:c>
      <x:c r="L104" t="str">
        <x:v>► LLAMADA: operación desde el objeto de C hacia el de E; comprobar contrato y autorización.</x:v>
      </x:c>
    </x:row>
    <x:row r="105" ht="57" customHeight="1">
      <x:c r="A105" t="str">
        <x:v>95</x:v>
      </x:c>
      <x:c r="B105" t="str">
        <x:v>B7</x:v>
      </x:c>
      <x:c r="C105" t="str">
        <x:v>I_AlertaProgramada</x:v>
      </x:c>
      <x:c r="D105" t="str">
        <x:v>────► (llamada)</x:v>
      </x:c>
      <x:c r="E105" t="str">
        <x:v>AS_Usuario</x:v>
      </x:c>
      <x:c r="F105" t="str">
        <x:v>visualizarAlertaProgramada()</x:v>
      </x:c>
      <x:c r="G105" t="str">
        <x:v>El usuario visualiza la confirmación y las opciones «Ver alertas» e «Ir al inicio».</x:v>
      </x:c>
      <x:c r="H105" t="str">
        <x:v>IMPLEMENTAR</x:v>
      </x:c>
      <x:c r="I105" t="str">
        <x:v>Implementar la ruta original BCE en el alcance reducido, con dependencias reales validadas.</x:v>
      </x:c>
      <x:c r="J105"/>
      <x:c r="K105" t="str">
        <x:v>RF22!F105</x:v>
      </x:c>
      <x:c r="L105" t="str">
        <x:v>⚠ SALIDA VISUAL al actor: no ejecutar «visualizar...» como método/API del usuario. En UML formal es presentación/resultado de UI, no llamada remota.</x:v>
      </x:c>
    </x:row>
    <x:row r="106" ht="57" customHeight="1">
      <x:c r="A106" t="str">
        <x:v>96</x:v>
      </x:c>
      <x:c r="B106" t="str">
        <x:v>B7</x:v>
      </x:c>
      <x:c r="C106" t="str">
        <x:v>AS_Usuario</x:v>
      </x:c>
      <x:c r="D106" t="str">
        <x:v>────► (llamada)</x:v>
      </x:c>
      <x:c r="E106" t="str">
        <x:v>I_AlertaProgramada</x:v>
      </x:c>
      <x:c r="F106" t="str">
        <x:v>seleccionarVerAlertas()</x:v>
      </x:c>
      <x:c r="G106" t="str">
        <x:v>El usuario selecciona «Ver alertas».</x:v>
      </x:c>
      <x:c r="H106" t="str">
        <x:v>IMPLEMENTAR</x:v>
      </x:c>
      <x:c r="I106" t="str">
        <x:v>Implementar la ruta original BCE en el alcance reducido, con dependencias reales validadas.</x:v>
      </x:c>
      <x:c r="J106"/>
      <x:c r="K106" t="str">
        <x:v>RF22!F106</x:v>
      </x:c>
      <x:c r="L106" t="str">
        <x:v>► LLAMADA: operación desde el objeto de C hacia el de E; comprobar contrato y autorización.</x:v>
      </x:c>
    </x:row>
    <x:row r="107" ht="28.799999237060547" customHeight="1">
      <x:c r="A107" t="str">
        <x:v>BLOQUE 8 — RETORNO A ALERTAS CON FILTRO TODAS — Pasos 97–102</x:v>
      </x:c>
      <x:c r="B107"/>
      <x:c r="C107"/>
      <x:c r="D107"/>
      <x:c r="E107"/>
      <x:c r="F107"/>
      <x:c r="G107"/>
      <x:c r="H107"/>
      <x:c r="I107"/>
      <x:c r="J107"/>
      <x:c r="K107"/>
      <x:c r="L107"/>
    </x:row>
    <x:row r="108" ht="57" customHeight="1">
      <x:c r="A108" t="str">
        <x:v>97</x:v>
      </x:c>
      <x:c r="B108" t="str">
        <x:v>B8</x:v>
      </x:c>
      <x:c r="C108" t="str">
        <x:v>I_AlertaProgramada</x:v>
      </x:c>
      <x:c r="D108" t="str">
        <x:v>────► (llamada)</x:v>
      </x:c>
      <x:c r="E108" t="str">
        <x:v>C_ControlAlerta</x:v>
      </x:c>
      <x:c r="F108" t="str">
        <x:v>solicitarAlertasActualizadas(id_usuario,id_vehiculo,TODAS)</x:v>
      </x:c>
      <x:c r="G108" t="str">
        <x:v>La pantalla de éxito solicita volver a Alertas manteniendo el vehículo seleccionado y el filtro «Todas», que es el filtro predeterminado.</x:v>
      </x:c>
      <x:c r="H108" t="str">
        <x:v>IMPLEMENTAR</x:v>
      </x:c>
      <x:c r="I108" t="str">
        <x:v>MVP: «Ver alertas» navega a RF23. RF23 ejecuta primero el comando explícito de sincronización si corresponde y luego GET de solo lectura; RF22 no realiza por su cuenta una segunda sincronización.</x:v>
      </x:c>
      <x:c r="J108"/>
      <x:c r="K108" t="str">
        <x:v>RF22!F108</x:v>
      </x:c>
      <x:c r="L108" t="str">
        <x:v>► LLAMADA: operación desde el objeto de C hacia el de E; comprobar contrato y autorización.</x:v>
      </x:c>
    </x:row>
    <x:row r="109" ht="57" customHeight="1">
      <x:c r="A109" t="str">
        <x:v>98</x:v>
      </x:c>
      <x:c r="B109" t="str">
        <x:v>B8</x:v>
      </x:c>
      <x:c r="C109" t="str">
        <x:v>C_ControlAlerta</x:v>
      </x:c>
      <x:c r="D109" t="str">
        <x:v>────► (llamada)</x:v>
      </x:c>
      <x:c r="E109" t="str">
        <x:v>E_Alerta</x:v>
      </x:c>
      <x:c r="F109" t="str">
        <x:v>consultarAlertasVehiculo(id_usuario,id_vehiculo)</x:v>
      </x:c>
      <x:c r="G109" t="str">
        <x:v>El controlador consulta las alertas persistidas del vehículo sin restringirlas a un único estado.</x:v>
      </x:c>
      <x:c r="H109" t="str">
        <x:v>FUTURO</x:v>
      </x:c>
      <x:c r="I109" t="str">
        <x:v>NO ejecutar sincronización ni persistencia en E_Notificacion; funcionalidad reservada.</x:v>
      </x:c>
      <x:c r="J109" t="str">
        <x:v>RF22 no modifica notificaciones. RF23 sincroniza al abrir «Mis alertas» y después consulta con GET solo lectura; acuerdo Nayu+Fran.</x:v>
      </x:c>
      <x:c r="K109" t="str">
        <x:v>RF22!F109</x:v>
      </x:c>
      <x:c r="L109" t="str">
        <x:v>► LLAMADA: operación desde el objeto de C hacia el de E; comprobar contrato y autorización.</x:v>
      </x:c>
    </x:row>
    <x:row r="110" ht="57" customHeight="1">
      <x:c r="A110" t="str">
        <x:v>99</x:v>
      </x:c>
      <x:c r="B110" t="str">
        <x:v>B8</x:v>
      </x:c>
      <x:c r="C110" t="str">
        <x:v>E_Alerta</x:v>
      </x:c>
      <x:c r="D110" t="str">
        <x:v>◄ - - - - - (return)</x:v>
      </x:c>
      <x:c r="E110" t="str">
        <x:v>C_ControlAlerta</x:v>
      </x:c>
      <x:c r="F110" t="str">
        <x:v>retornarAlertasVehiculo(lista_alertas)</x:v>
      </x:c>
      <x:c r="G110" t="str">
        <x:v>La entidad devuelve la lista actualizada, incluyendo la alerta recién creada.</x:v>
      </x:c>
      <x:c r="H110" t="str">
        <x:v>FUTURO</x:v>
      </x:c>
      <x:c r="I110" t="str">
        <x:v>NO ejecutar sincronización ni persistencia en E_Notificacion; funcionalidad reservada.</x:v>
      </x:c>
      <x:c r="J110" t="str">
        <x:v>RF22 no modifica notificaciones. RF23 sincroniza al abrir «Mis alertas» y después consulta con GET solo lectura; acuerdo Nayu+Fran.</x:v>
      </x:c>
      <x:c r="K110" t="str">
        <x:v>RF22!F110</x:v>
      </x:c>
      <x:c r="L110" t="str">
        <x:v>◄ RETORNO discontinuo al llamador. C y E identifican emisor y receptor; ◄ representa disposición de líneas de vida, no inversión de columnas.</x:v>
      </x:c>
    </x:row>
    <x:row r="111" ht="57" customHeight="1">
      <x:c r="A111" t="str">
        <x:v>100</x:v>
      </x:c>
      <x:c r="B111" t="str">
        <x:v>B8</x:v>
      </x:c>
      <x:c r="C111" t="str">
        <x:v>C_ControlAlerta</x:v>
      </x:c>
      <x:c r="D111" t="str">
        <x:v>↩ (auto-msg)</x:v>
      </x:c>
      <x:c r="E111" t="str">
        <x:v>C_ControlAlerta</x:v>
      </x:c>
      <x:c r="F111" t="str">
        <x:v>prepararVistaAlertasTodas(lista_alertas)</x:v>
      </x:c>
      <x:c r="G111" t="str">
        <x:v>Prepara lista por estado para «Todas», incluidos servicios OTRO con nombre guardado. Nunca usa descripcion para titular el servicio.</x:v>
      </x:c>
      <x:c r="H111" t="str">
        <x:v>FUTURO</x:v>
      </x:c>
      <x:c r="I111" t="str">
        <x:v>NO ejecutar sincronización ni persistencia en E_Notificacion; funcionalidad reservada.</x:v>
      </x:c>
      <x:c r="J111" t="str">
        <x:v>RF22 no modifica notificaciones. RF23 sincroniza al abrir «Mis alertas» y después consulta con GET solo lectura; acuerdo Nayu+Fran.</x:v>
      </x:c>
      <x:c r="K111" t="str">
        <x:v>RF22!F111</x:v>
      </x:c>
      <x:c r="L111" t="str">
        <x:v>↩ AUTO-MENSAJE: mismo objeto; lógica local, no salto de capa.</x:v>
      </x:c>
    </x:row>
    <x:row r="112" ht="57" customHeight="1">
      <x:c r="A112" t="str">
        <x:v>101</x:v>
      </x:c>
      <x:c r="B112" t="str">
        <x:v>B8</x:v>
      </x:c>
      <x:c r="C112" t="str">
        <x:v>C_ControlAlerta</x:v>
      </x:c>
      <x:c r="D112" t="str">
        <x:v>────► (llamada)</x:v>
      </x:c>
      <x:c r="E112" t="str">
        <x:v>I_Alertas</x:v>
      </x:c>
      <x:c r="F112" t="str">
        <x:v>mostrarAlertasActualizadas(lista_alertas,TODAS)</x:v>
      </x:c>
      <x:c r="G112" t="str">
        <x:v>Vuelve a Alertas con la alerta nueva. Si OTRO, presenta nombre de servicio guardado; el usuario puede distinguir servicios distintos.</x:v>
      </x:c>
      <x:c r="H112" t="str">
        <x:v>FUTURO</x:v>
      </x:c>
      <x:c r="I112" t="str">
        <x:v>NO ejecutar sincronización ni persistencia en E_Notificacion; funcionalidad reservada.</x:v>
      </x:c>
      <x:c r="J112" t="str">
        <x:v>RF22 no modifica notificaciones. RF23 sincroniza al abrir «Mis alertas» y después consulta con GET solo lectura; acuerdo Nayu+Fran.</x:v>
      </x:c>
      <x:c r="K112" t="str">
        <x:v>RF22!F112</x:v>
      </x:c>
      <x:c r="L112" t="str">
        <x:v>► LLAMADA: operación desde el objeto de C hacia el de E; comprobar contrato y autorización.</x:v>
      </x:c>
    </x:row>
    <x:row r="113" ht="57" customHeight="1">
      <x:c r="A113" t="str">
        <x:v>102</x:v>
      </x:c>
      <x:c r="B113" t="str">
        <x:v>B8</x:v>
      </x:c>
      <x:c r="C113" t="str">
        <x:v>I_Alertas</x:v>
      </x:c>
      <x:c r="D113" t="str">
        <x:v>────► (llamada)</x:v>
      </x:c>
      <x:c r="E113" t="str">
        <x:v>AS_Usuario</x:v>
      </x:c>
      <x:c r="F113" t="str">
        <x:v>visualizarNuevaAlerta()</x:v>
      </x:c>
      <x:c r="G113" t="str">
        <x:v>Muestra nueva tarjeta PROGRAMADA/PROXIMA/PENDIENTE con fecha y/o km objetivo. Para OTRO presenta el nombre específico persistido.</x:v>
      </x:c>
      <x:c r="H113" t="str">
        <x:v>ADAPTAR</x:v>
      </x:c>
      <x:c r="I113" t="str">
        <x:v>COMMIT atómico de alerta manual e historial inicial. Sin notificación en la transacción.</x:v>
      </x:c>
      <x:c r="J113" t="str">
        <x:v>RF22 no modifica notificaciones. RF23 sincroniza al abrir «Mis alertas» y después consulta con GET solo lectura; acuerdo Nayu+Fran.</x:v>
      </x:c>
      <x:c r="K113" t="str">
        <x:v>RF22!F113</x:v>
      </x:c>
      <x:c r="L113" t="str">
        <x:v>⚠ SALIDA VISUAL al actor: no ejecutar «visualizar...» como método/API del usuario. En UML formal es presentación/resultado de UI, no llamada remota.</x:v>
      </x:c>
    </x:row>
  </x:sheetData>
  <x:mergeCells>
    <x:mergeCell ref="A1:K1"/>
    <x:mergeCell ref="A2:K2"/>
    <x:mergeCell ref="A4:K4"/>
    <x:mergeCell ref="A18:K18"/>
    <x:mergeCell ref="A30:K30"/>
    <x:mergeCell ref="A44:K44"/>
    <x:mergeCell ref="A67:K67"/>
    <x:mergeCell ref="A72:K72"/>
    <x:mergeCell ref="A103:K103"/>
    <x:mergeCell ref="A107:K107"/>
  </x:mergeCells>
  <x:pageMargins left="0.7" right="0.7" top="0.75" bottom="0.75" header="0.3" footer="0.3"/>
</x:worksheet>
</file>

<file path=xl/worksheets/sheet20.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 min="13" max="13" width="58" hidden="0" customWidth="1"/>
  </x:cols>
  <x:sheetData>
    <x:row r="1" ht="28" customHeight="1">
      <x:c r="A1" t="str">
        <x:v>DIAGRAMA DE SECUENCIA — RF23 · Consultar alertas registradas | Vehículos + Licencia</x:v>
      </x:c>
      <x:c r="B1"/>
      <x:c r="C1"/>
      <x:c r="D1"/>
      <x:c r="E1"/>
      <x:c r="F1"/>
      <x:c r="G1"/>
      <x:c r="H1"/>
      <x:c r="I1"/>
      <x:c r="J1"/>
      <x:c r="K1"/>
      <x:c r="L1"/>
    </x:row>
    <x:row r="2" ht="32" customHeight="1">
      <x:c r="A2" t="str">
        <x:v>88 mensajes / 11 bloques · Consulta vehículos 1–36 · Motor autónomo 37–69 · Consulta personal LICENCIA 70–88 (cuenta ACTIVA + titularidad; lectura de registros conservados en FREE o PREMIUM)</x:v>
      </x:c>
      <x:c r="B2"/>
      <x:c r="C2"/>
      <x:c r="D2"/>
      <x:c r="E2"/>
      <x:c r="F2"/>
      <x:c r="G2"/>
      <x:c r="H2"/>
      <x:c r="I2"/>
      <x:c r="J2"/>
      <x:c r="K2"/>
      <x:c r="L2"/>
    </x:row>
    <x:row r="3" ht="36" customHeight="1">
      <x:c r="A3" t="str">
        <x:v>#</x:v>
      </x:c>
      <x:c r="B3" t="str">
        <x:v>Bloque</x:v>
      </x:c>
      <x:c r="C3" t="str">
        <x:v>Objeto origen</x:v>
      </x:c>
      <x:c r="D3" t="str">
        <x:v>Flecha UML</x:v>
      </x:c>
      <x:c r="E3" t="str">
        <x:v>Objeto destino</x:v>
      </x:c>
      <x:c r="F3" t="str">
        <x:v>Método / mensaje</x:v>
      </x:c>
      <x:c r="G3" t="str">
        <x:v>Descripción / nota</x:v>
      </x:c>
      <x:c r="H3" t="str">
        <x:v>ESTADO MVP</x:v>
      </x:c>
      <x:c r="I3" t="str">
        <x:v>ACCIÓN / CAMBIO A PROGRAMAR</x:v>
      </x:c>
      <x:c r="J3" t="str">
        <x:v>APROBACIÓN / DEPENDENCIA</x:v>
      </x:c>
      <x:c r="K3" t="str">
        <x:v>CELDA ORIGINAL</x:v>
      </x:c>
      <x:c r="L3" t="str">
        <x:v>LECTURA FLECHA (UML/BCE)</x:v>
      </x:c>
      <x:c r="M3" t="str">
        <x:v>CONDICIÓN RF65 (NO MVP)</x:v>
      </x:c>
    </x:row>
    <x:row r="4" ht="25" customHeight="1">
      <x:c r="A4" t="str">
        <x:v>BLOQUE 1 — ACCESO A ALERTAS Y PESTAÑAS — Mensajes 1–4</x:v>
      </x:c>
      <x:c r="B4"/>
      <x:c r="C4"/>
      <x:c r="D4"/>
      <x:c r="E4"/>
      <x:c r="F4"/>
      <x:c r="G4"/>
      <x:c r="H4"/>
      <x:c r="I4"/>
      <x:c r="J4"/>
      <x:c r="K4"/>
      <x:c r="L4"/>
    </x:row>
    <x:row r="5" ht="52" customHeight="1">
      <x:c r="A5" t="str">
        <x:v>1</x:v>
      </x:c>
      <x:c r="B5" t="str">
        <x:v>B1</x:v>
      </x:c>
      <x:c r="C5" t="str">
        <x:v>AS_Usuario</x:v>
      </x:c>
      <x:c r="D5" t="str">
        <x:v>────► (llamada)</x:v>
      </x:c>
      <x:c r="E5" t="str">
        <x:v>I_Inicio</x:v>
      </x:c>
      <x:c r="F5" t="str">
        <x:v>seleccionarModuloAlertas()</x:v>
      </x:c>
      <x:c r="G5" t="str">
        <x:v>El usuario ingresa a Alertas desde Inicio. La sección dispone de dos pestañas: VEHÍCULOS y LICENCIA; ambas pertenecen a RF23.</x:v>
      </x:c>
      <x:c r="H5" t="str">
        <x:v>ADAPTAR</x:v>
      </x:c>
      <x:c r="I5" t="str">
        <x:v>Mostrar pestaña VEHÍCULOS funcional y LICENCIA como «Próximamente», deshabilitada.</x:v>
      </x:c>
      <x:c r="J5" t="str">
        <x:v>Fran: alcance licencias</x:v>
      </x:c>
      <x:c r="K5" t="str">
        <x:v>RF23!F5</x:v>
      </x:c>
      <x:c r="L5" t="str">
        <x:v>► LLAMADA: operación desde el objeto de C hacia el de E; comprobar contrato y autorización.</x:v>
      </x:c>
      <x:c r="M5" s="1071" t="str">
        <x:v>RF65 POST-MVP · CONDICIONADO A APROBACIÓN. Alertas: excluir vehículos ELIMINADOS de selector y reevaluación; preservar estados e historial. La eliminación no crea VENCIDA/ANULADA. LICENCIA sigue siendo personal, no depende de vehículo. Sin aprobación no aplicar filtros ni cambios de BD por RF65.</x:v>
      </x:c>
    </x:row>
    <x:row r="6" ht="52" customHeight="1">
      <x:c r="A6" t="str">
        <x:v>2</x:v>
      </x:c>
      <x:c r="B6" t="str">
        <x:v>B1</x:v>
      </x:c>
      <x:c r="C6" t="str">
        <x:v>I_Inicio</x:v>
      </x:c>
      <x:c r="D6" t="str">
        <x:v>────► (llamada)</x:v>
      </x:c>
      <x:c r="E6" t="str">
        <x:v>C_Navegacion</x:v>
      </x:c>
      <x:c r="F6" t="str">
        <x:v>solicitarVistaAlertas()</x:v>
      </x:c>
      <x:c r="G6" t="str">
        <x:v>La interfaz solicita cambiar a la vista Alertas.</x:v>
      </x:c>
      <x:c r="H6" t="str">
        <x:v>IMPLEMENTAR</x:v>
      </x:c>
      <x:c r="I6" t="str">
        <x:v>Implementar la ruta original BCE en el alcance reducido, con dependencias reales validadas.</x:v>
      </x:c>
      <x:c r="J6"/>
      <x:c r="K6" t="str">
        <x:v>RF23!F6</x:v>
      </x:c>
      <x:c r="L6" t="str">
        <x:v>► LLAMADA: operación desde el objeto de C hacia el de E; comprobar contrato y autorización.</x:v>
      </x:c>
    </x:row>
    <x:row r="7" ht="52" customHeight="1">
      <x:c r="A7" t="str">
        <x:v>3</x:v>
      </x:c>
      <x:c r="B7" t="str">
        <x:v>B1</x:v>
      </x:c>
      <x:c r="C7" t="str">
        <x:v>C_Navegacion</x:v>
      </x:c>
      <x:c r="D7" t="str">
        <x:v>────► (llamada)</x:v>
      </x:c>
      <x:c r="E7" t="str">
        <x:v>I_Alertas</x:v>
      </x:c>
      <x:c r="F7" t="str">
        <x:v>mostrarVistaAlertas()</x:v>
      </x:c>
      <x:c r="G7" t="str">
        <x:v>Abre I_Alertas con pestañas VEHÍCULOS y LICENCIA. No requiere disponer de un vehículo ACTIVO para navegar a LICENCIA, porque esta es personal del conductor.</x:v>
      </x:c>
      <x:c r="H7" t="str">
        <x:v>ADAPTAR</x:v>
      </x:c>
      <x:c r="I7" t="str">
        <x:v>No abrir flujo de licencia en el MVP.</x:v>
      </x:c>
      <x:c r="J7" t="str">
        <x:v>Fran: alcance licencias</x:v>
      </x:c>
      <x:c r="K7" t="str">
        <x:v>RF23!F7</x:v>
      </x:c>
      <x:c r="L7" t="str">
        <x:v>► LLAMADA: operación desde el objeto de C hacia el de E; comprobar contrato y autorización.</x:v>
      </x:c>
    </x:row>
    <x:row r="8" ht="52" customHeight="1">
      <x:c r="A8" t="str">
        <x:v>4</x:v>
      </x:c>
      <x:c r="B8" t="str">
        <x:v>B1</x:v>
      </x:c>
      <x:c r="C8" t="str">
        <x:v>I_Alertas</x:v>
      </x:c>
      <x:c r="D8" t="str">
        <x:v>────► (llamada)</x:v>
      </x:c>
      <x:c r="E8" t="str">
        <x:v>C_ControlAlerta</x:v>
      </x:c>
      <x:c r="F8" t="str">
        <x:v>inicializarVistaAlertasPorPestana(idUsuarioAutenticado,pestanaInicial,vehiculoContextoOpcional)</x:v>
      </x:c>
      <x:c r="G8" t="str">
        <x:v>Obtiene idUsuario de la sesión autenticada, no de un parámetro libre del cliente. Si la pestaña inicial es VEHÍCULOS y hay vehículo ACTIVO, continúa 5–36; la pestaña LICENCIA utiliza su propia consulta 70–88 sin pasar por validación vehicular. Sin vehículo, la navegación a LICENCIA permanece disponible.</x:v>
      </x:c>
      <x:c r="H8" t="str">
        <x:v>ADAPTAR</x:v>
      </x:c>
      <x:c r="I8" t="str">
        <x:v>Inicializar directamente VEHÍCULOS; cuenta/vehículo propio/ACTIVO.</x:v>
      </x:c>
      <x:c r="J8"/>
      <x:c r="K8" t="str">
        <x:v>RF23!F8</x:v>
      </x:c>
      <x:c r="L8" t="str">
        <x:v>► LLAMADA: operación desde el objeto de C hacia el de E; comprobar contrato y autorización.</x:v>
      </x:c>
    </x:row>
    <x:row r="9" ht="25" customHeight="1">
      <x:c r="A9" t="str">
        <x:v>BLOQUE 2 — CONSULTA VEHICULAR [solo pestaña VEHÍCULOS] — Mensajes 5–12</x:v>
      </x:c>
      <x:c r="B9"/>
      <x:c r="C9"/>
      <x:c r="D9"/>
      <x:c r="E9"/>
      <x:c r="F9"/>
      <x:c r="G9"/>
      <x:c r="H9"/>
      <x:c r="I9"/>
      <x:c r="J9"/>
      <x:c r="K9"/>
      <x:c r="L9"/>
    </x:row>
    <x:row r="10" ht="52" customHeight="1">
      <x:c r="A10" t="str">
        <x:v>5</x:v>
      </x:c>
      <x:c r="B10" t="str">
        <x:v>B2</x:v>
      </x:c>
      <x:c r="C10" t="str">
        <x:v>C_ControlAlerta</x:v>
      </x:c>
      <x:c r="D10" t="str">
        <x:v>────► (llamada)</x:v>
      </x:c>
      <x:c r="E10" t="str">
        <x:v>C_ControlListadoVehiculos</x:v>
      </x:c>
      <x:c r="F10" t="str">
        <x:v>solicitarVehiculosUsuario(idUsuario)</x:v>
      </x:c>
      <x:c r="G10" t="str">
        <x:v>Rama VEHÍCULOS (opt): solicita los vehículos pertenecientes al usuario autenticado, sin intervenir en la consulta personal de LICENCIA.</x:v>
      </x:c>
      <x:c r="H10" t="str">
        <x:v>IMPLEMENTAR</x:v>
      </x:c>
      <x:c r="I10" t="str">
        <x:v>Implementar la ruta original BCE en el alcance reducido, con dependencias reales validadas.</x:v>
      </x:c>
      <x:c r="J10"/>
      <x:c r="K10" t="str">
        <x:v>RF23!F10</x:v>
      </x:c>
      <x:c r="L10" t="str">
        <x:v>► LLAMADA: operación desde el objeto de C hacia el de E; comprobar contrato y autorización.</x:v>
      </x:c>
    </x:row>
    <x:row r="11" ht="52" customHeight="1">
      <x:c r="A11" t="str">
        <x:v>6</x:v>
      </x:c>
      <x:c r="B11" t="str">
        <x:v>B2</x:v>
      </x:c>
      <x:c r="C11" t="str">
        <x:v>C_ControlListadoVehiculos</x:v>
      </x:c>
      <x:c r="D11" t="str">
        <x:v>────► (llamada)</x:v>
      </x:c>
      <x:c r="E11" t="str">
        <x:v>E_Vehiculo</x:v>
      </x:c>
      <x:c r="F11" t="str">
        <x:v>consultarVehiculosPorUsuario(idUsuario)</x:v>
      </x:c>
      <x:c r="G11" t="str">
        <x:v>Se consultan únicamente los vehículos pertenecientes al usuario, conservando su estado y condición es_principal.</x:v>
      </x:c>
      <x:c r="H11" t="str">
        <x:v>IMPLEMENTAR</x:v>
      </x:c>
      <x:c r="I11" t="str">
        <x:v>Implementar la ruta original BCE en el alcance reducido, con dependencias reales validadas.</x:v>
      </x:c>
      <x:c r="J11"/>
      <x:c r="K11" t="str">
        <x:v>RF23!F11</x:v>
      </x:c>
      <x:c r="L11" t="str">
        <x:v>► LLAMADA: operación desde el objeto de C hacia el de E; comprobar contrato y autorización.</x:v>
      </x:c>
    </x:row>
    <x:row r="12" ht="52" customHeight="1">
      <x:c r="A12" t="str">
        <x:v>7</x:v>
      </x:c>
      <x:c r="B12" t="str">
        <x:v>B2</x:v>
      </x:c>
      <x:c r="C12" t="str">
        <x:v>E_Vehiculo</x:v>
      </x:c>
      <x:c r="D12" t="str">
        <x:v>◄ ─ ─ (return)</x:v>
      </x:c>
      <x:c r="E12" t="str">
        <x:v>C_ControlListadoVehiculos</x:v>
      </x:c>
      <x:c r="F12" t="str">
        <x:v>retornarDatosVehiculos(listaVehiculos)</x:v>
      </x:c>
      <x:c r="G12" t="str">
        <x:v>La entidad devuelve los datos necesarios del vehículo, como id, marca, modelo, placa, estado y es_principal.</x:v>
      </x:c>
      <x:c r="H12" t="str">
        <x:v>IMPLEMENTAR</x:v>
      </x:c>
      <x:c r="I12" t="str">
        <x:v>Implementar la ruta original BCE en el alcance reducido, con dependencias reales validadas.</x:v>
      </x:c>
      <x:c r="J12"/>
      <x:c r="K12" t="str">
        <x:v>RF23!F12</x:v>
      </x:c>
      <x:c r="L12" t="str">
        <x:v>◄ RETORNO discontinuo al llamador. C y E identifican emisor y receptor; ◄ representa disposición de líneas de vida, no inversión de columnas.</x:v>
      </x:c>
    </x:row>
    <x:row r="13" ht="52" customHeight="1">
      <x:c r="A13" t="str">
        <x:v>8</x:v>
      </x:c>
      <x:c r="B13" t="str">
        <x:v>B2</x:v>
      </x:c>
      <x:c r="C13" t="str">
        <x:v>C_ControlListadoVehiculos</x:v>
      </x:c>
      <x:c r="D13" t="str">
        <x:v>↩ (auto-msg)</x:v>
      </x:c>
      <x:c r="E13" t="str">
        <x:v>C_ControlListadoVehiculos</x:v>
      </x:c>
      <x:c r="F13" t="str">
        <x:v>ordenarVehiculosPrincipalPrimero(listaVehiculos)</x:v>
      </x:c>
      <x:c r="G13" t="str">
        <x:v>Si existe un vehículo principal, se coloca primero en la lista.</x:v>
      </x:c>
      <x:c r="H13" t="str">
        <x:v>IMPLEMENTAR</x:v>
      </x:c>
      <x:c r="I13" t="str">
        <x:v>Implementar la ruta original BCE en el alcance reducido, con dependencias reales validadas.</x:v>
      </x:c>
      <x:c r="J13"/>
      <x:c r="K13" t="str">
        <x:v>RF23!F13</x:v>
      </x:c>
      <x:c r="L13" t="str">
        <x:v>↩ AUTO-MENSAJE: mismo objeto; lógica local, no salto de capa.</x:v>
      </x:c>
    </x:row>
    <x:row r="14" ht="52" customHeight="1">
      <x:c r="A14" t="str">
        <x:v>9</x:v>
      </x:c>
      <x:c r="B14" t="str">
        <x:v>B2</x:v>
      </x:c>
      <x:c r="C14" t="str">
        <x:v>C_ControlListadoVehiculos</x:v>
      </x:c>
      <x:c r="D14" t="str">
        <x:v>◄ ─ ─ (return)</x:v>
      </x:c>
      <x:c r="E14" t="str">
        <x:v>C_ControlAlerta</x:v>
      </x:c>
      <x:c r="F14" t="str">
        <x:v>retornarVehiculosUsuario(listaOrdenada)</x:v>
      </x:c>
      <x:c r="G14" t="str">
        <x:v>El controlador de Alertas recibe los vehículos del usuario sin duplicar la lógica del módulo Vehículos.</x:v>
      </x:c>
      <x:c r="H14" t="str">
        <x:v>IMPLEMENTAR</x:v>
      </x:c>
      <x:c r="I14" t="str">
        <x:v>Implementar la ruta original BCE en el alcance reducido, con dependencias reales validadas.</x:v>
      </x:c>
      <x:c r="J14"/>
      <x:c r="K14" t="str">
        <x:v>RF23!F14</x:v>
      </x:c>
      <x:c r="L14" t="str">
        <x:v>◄ RETORNO discontinuo al llamador. C y E identifican emisor y receptor; ◄ representa disposición de líneas de vida, no inversión de columnas.</x:v>
      </x:c>
    </x:row>
    <x:row r="15" ht="52" customHeight="1">
      <x:c r="A15" t="str">
        <x:v>10</x:v>
      </x:c>
      <x:c r="B15" t="str">
        <x:v>B2</x:v>
      </x:c>
      <x:c r="C15" t="str">
        <x:v>C_ControlAlerta</x:v>
      </x:c>
      <x:c r="D15" t="str">
        <x:v>↩ (auto-msg)</x:v>
      </x:c>
      <x:c r="E15" t="str">
        <x:v>C_ControlAlerta</x:v>
      </x:c>
      <x:c r="F15" t="str">
        <x:v>determinarVehiculoConsulta(idVehiculoContexto,listaOrdenada)</x:v>
      </x:c>
      <x:c r="G15" t="str">
        <x:v>Solo en pestaña VEHÍCULOS: usa el vehículo ACTIVO seleccionado, o el principal si está autorizado. El cambio manual de vehículo queda en RF23-EA02. La pestaña LICENCIA no ejecuta esta selección.</x:v>
      </x:c>
      <x:c r="H15" t="str">
        <x:v>IMPLEMENTAR</x:v>
      </x:c>
      <x:c r="I15" t="str">
        <x:v>Implementar la ruta original BCE en el alcance reducido, con dependencias reales validadas.</x:v>
      </x:c>
      <x:c r="J15"/>
      <x:c r="K15" t="str">
        <x:v>RF23!F15</x:v>
      </x:c>
      <x:c r="L15" t="str">
        <x:v>↩ AUTO-MENSAJE: mismo objeto; lógica local, no salto de capa.</x:v>
      </x:c>
    </x:row>
    <x:row r="16" ht="57" customHeight="1">
      <x:c r="A16" t="str">
        <x:v>11</x:v>
      </x:c>
      <x:c r="B16" t="str">
        <x:v>B2</x:v>
      </x:c>
      <x:c r="C16" t="str">
        <x:v>C_ControlAlerta</x:v>
      </x:c>
      <x:c r="D16" t="str">
        <x:v>↩ (auto-msg)</x:v>
      </x:c>
      <x:c r="E16" t="str">
        <x:v>C_ControlAlerta</x:v>
      </x:c>
      <x:c r="F16" t="str">
        <x:v>validarVehiculoActivoParaConsulta(datosVehiculo)</x:v>
      </x:c>
      <x:c r="G16" t="str">
        <x:v>Valida ACTIVO y propiedad exclusivamente para consulta VEHÍCULOS. Si no hay vehículo ACTIVO, no impide abrir la pestaña LICENCIA; los casos de vehículo INACTIVO permanecen en RF23-EA01.</x:v>
      </x:c>
      <x:c r="H16" t="str">
        <x:v>IMPLEMENTAR</x:v>
      </x:c>
      <x:c r="I16" t="str">
        <x:v>Implementar la ruta original BCE en el alcance reducido, con dependencias reales validadas.</x:v>
      </x:c>
      <x:c r="J16"/>
      <x:c r="K16" t="str">
        <x:v>RF23!F16</x:v>
      </x:c>
      <x:c r="L16" t="str">
        <x:v>↩ AUTO-MENSAJE: mismo objeto; lógica local, no salto de capa.</x:v>
      </x:c>
    </x:row>
    <x:row r="17" ht="57" customHeight="1">
      <x:c r="A17" t="str">
        <x:v>12</x:v>
      </x:c>
      <x:c r="B17" t="str">
        <x:v>B2</x:v>
      </x:c>
      <x:c r="C17" t="str">
        <x:v>C_ControlAlerta</x:v>
      </x:c>
      <x:c r="D17" t="str">
        <x:v>────► (llamada)</x:v>
      </x:c>
      <x:c r="E17" t="str">
        <x:v>I_Alertas</x:v>
      </x:c>
      <x:c r="F17" t="str">
        <x:v>mostrarVehiculoConsultaInicial(datosVehiculo,listaOrdenada)</x:v>
      </x:c>
      <x:c r="G17" t="str">
        <x:v>Solo en pestaña VEHÍCULOS muestra el vehículo autorizado y su selector; la pestaña LICENCIA no usa ni solicita idVehiculo.</x:v>
      </x:c>
      <x:c r="H17" t="str">
        <x:v>IMPLEMENTAR</x:v>
      </x:c>
      <x:c r="I17" t="str">
        <x:v>Implementar la ruta original BCE en el alcance reducido, con dependencias reales validadas.</x:v>
      </x:c>
      <x:c r="J17"/>
      <x:c r="K17" t="str">
        <x:v>RF23!F17</x:v>
      </x:c>
      <x:c r="L17" t="str">
        <x:v>► LLAMADA: operación desde el objeto de C hacia el de E; comprobar contrato y autorización.</x:v>
      </x:c>
    </x:row>
    <x:row r="18" ht="28.799999237060547" customHeight="1">
      <x:c r="A18" t="str">
        <x:v>BLOQUE 3 — CARGA DE ALERTAS VISIBLES — Mensajes 13–16</x:v>
      </x:c>
      <x:c r="B18"/>
      <x:c r="C18"/>
      <x:c r="D18"/>
      <x:c r="E18"/>
      <x:c r="F18"/>
      <x:c r="G18"/>
      <x:c r="H18"/>
      <x:c r="I18"/>
      <x:c r="J18"/>
      <x:c r="K18"/>
      <x:c r="L18"/>
    </x:row>
    <x:row r="19" ht="57" customHeight="1">
      <x:c r="A19" t="str">
        <x:v>13</x:v>
      </x:c>
      <x:c r="B19" t="str">
        <x:v>B3</x:v>
      </x:c>
      <x:c r="C19" t="str">
        <x:v>I_Alertas</x:v>
      </x:c>
      <x:c r="D19" t="str">
        <x:v>────► (llamada)</x:v>
      </x:c>
      <x:c r="E19" t="str">
        <x:v>C_ControlAlerta</x:v>
      </x:c>
      <x:c r="F19" t="str">
        <x:v>solicitarAlertasVehiculoSeleccionado(idUsuario,idVehiculo)</x:v>
      </x:c>
      <x:c r="G19" t="str">
        <x:v>La rama VEHÍCULOS solicita alertas MANTENIMIENTO/SOAT del vehículo elegido. LICENCIA se consulta separadamente en 70–88 por identidad del conductor.</x:v>
      </x:c>
      <x:c r="H19" t="str">
        <x:v>ADAPTAR</x:v>
      </x:c>
      <x:c r="I19" t="str">
        <x:v>Al abrir RF23, solicitar VEHÍCULO propio ACTIVO; backend debe orquestar reconciliación por una operación de escritura explícita y consulta de resultados separada. Autenticación desde sesión, no confiar en idUsuario de Android.</x:v>
      </x:c>
      <x:c r="J19"/>
      <x:c r="K19" t="str">
        <x:v>RF23!F19</x:v>
      </x:c>
      <x:c r="L19" t="str">
        <x:v>► LLAMADA: operación desde el objeto de C hacia el de E; comprobar contrato y autorización.</x:v>
      </x:c>
    </x:row>
    <x:row r="20" ht="57" customHeight="1">
      <x:c r="A20" t="str">
        <x:v>14</x:v>
      </x:c>
      <x:c r="B20" t="str">
        <x:v>B3</x:v>
      </x:c>
      <x:c r="C20" t="str">
        <x:v>C_ControlAlerta</x:v>
      </x:c>
      <x:c r="D20" t="str">
        <x:v>────► (llamada)</x:v>
      </x:c>
      <x:c r="E20" t="str">
        <x:v>E_Alerta</x:v>
      </x:c>
      <x:c r="F20" t="str">
        <x:v>consultarAlertasVisiblesVehiculoUsuario(idUsuario,idVehiculo)</x:v>
      </x:c>
      <x:c r="G20" t="str">
        <x:v>Solo MANTENIMIENTO y SOAT del vehículo ACTIVO seleccionado (estados PROGRAMADA/PROXIMA/PENDIENTE/VENCIDA/REALIZADA); se excluye ANULADA. Nunca intenta filtrar LICENCIA por idVehiculo.</x:v>
      </x:c>
      <x:c r="H20" t="str">
        <x:v>ADAPTAR</x:v>
      </x:c>
      <x:c r="I20" t="str">
        <x:v>Consulta de alertas MANTENIMIENTO para evaluar; si se expone API pública, GET es SOLO LECTURA. Orquestar comando de reconciliación antes de servir las tarjetas definitivas. Excluir SOAT/LICENCIA y ANULADA de vista normal.</x:v>
      </x:c>
      <x:c r="J20"/>
      <x:c r="K20" t="str">
        <x:v>RF23!F20</x:v>
      </x:c>
      <x:c r="L20" t="str">
        <x:v>► LLAMADA: operación desde el objeto de C hacia el de E; comprobar contrato y autorización.</x:v>
      </x:c>
    </x:row>
    <x:row r="21" ht="57" customHeight="1">
      <x:c r="A21" t="str">
        <x:v>15</x:v>
      </x:c>
      <x:c r="B21" t="str">
        <x:v>B3</x:v>
      </x:c>
      <x:c r="C21" t="str">
        <x:v>E_Alerta</x:v>
      </x:c>
      <x:c r="D21" t="str">
        <x:v>◄ ─ ─ (return)</x:v>
      </x:c>
      <x:c r="E21" t="str">
        <x:v>C_ControlAlerta</x:v>
      </x:c>
      <x:c r="F21" t="str">
        <x:v>retornarAlertasVisiblesVehiculo(listaAlertas,fecha_estado_actual)</x:v>
      </x:c>
      <x:c r="G21" t="str">
        <x:v>La entidad devuelve criterio, objetivos, intervalos, estado y fecha_estado_actual de cada alerta. Esta fecha permite medir cuánto tiempo lleva una alerta en VENCIDA sin depender del tipo de criterio.</x:v>
      </x:c>
      <x:c r="H21" t="str">
        <x:v>ADAPTAR</x:v>
      </x:c>
      <x:c r="I21" t="str">
        <x:v>H05 aprobado conceptualmente Nayu+Fran: distinguir fecha verificable de entrada en VENCIDA y fecha REAL de registro en PostgreSQL. Pueden diferir si RF23 no se abrió. Verificar cómo derivar/persistir cada una en BD mvp; no inventar columnas.</x:v>
      </x:c>
      <x:c r="J21"/>
      <x:c r="K21" t="str">
        <x:v>RF23!F21</x:v>
      </x:c>
      <x:c r="L21" t="str">
        <x:v>◄ RETORNO discontinuo al llamador. C y E identifican emisor y receptor; ◄ representa disposición de líneas de vida, no inversión de columnas.</x:v>
      </x:c>
    </x:row>
    <x:row r="22" ht="57" customHeight="1">
      <x:c r="A22" t="str">
        <x:v>16</x:v>
      </x:c>
      <x:c r="B22" t="str">
        <x:v>B3</x:v>
      </x:c>
      <x:c r="C22" t="str">
        <x:v>C_ControlAlerta</x:v>
      </x:c>
      <x:c r="D22" t="str">
        <x:v>↩ (auto-msg)</x:v>
      </x:c>
      <x:c r="E22" t="str">
        <x:v>C_ControlAlerta</x:v>
      </x:c>
      <x:c r="F22" t="str">
        <x:v>identificarAlertasEvaluablesYCicloVida(listaAlertas)</x:v>
      </x:c>
      <x:c r="G22" t="str">
        <x:v>Identifica las alertas MANTENIMIENTO/SOAT evaluables para la rama VEHÍCULOS. La rama LICENCIA 70–88 es lectura personal de estados persistidos; el motor independiente 37–69 es quien los reevalúa.</x:v>
      </x:c>
      <x:c r="H22" t="str">
        <x:v>ADAPTAR</x:v>
      </x:c>
      <x:c r="I22" t="str">
        <x:v>Reconciliar solo alertas MANTENIMIENTO de vehículo ACTIVO; sin motor autónomo.</x:v>
      </x:c>
      <x:c r="J22"/>
      <x:c r="K22" t="str">
        <x:v>RF23!F22</x:v>
      </x:c>
      <x:c r="L22" t="str">
        <x:v>↩ AUTO-MENSAJE: mismo objeto; lógica local, no salto de capa.</x:v>
      </x:c>
    </x:row>
    <x:row r="23" ht="28.799999237060547" customHeight="1">
      <x:c r="A23" t="str">
        <x:v>BLOQUE 4 — CONSULTA DE KILOMETRAJE SI CORRESPONDE — Mensajes 17–20</x:v>
      </x:c>
      <x:c r="B23"/>
      <x:c r="C23"/>
      <x:c r="D23"/>
      <x:c r="E23"/>
      <x:c r="F23"/>
      <x:c r="G23"/>
      <x:c r="H23"/>
      <x:c r="I23"/>
      <x:c r="J23"/>
      <x:c r="K23"/>
      <x:c r="L23"/>
    </x:row>
    <x:row r="24" ht="57" customHeight="1">
      <x:c r="A24" t="str">
        <x:v>17</x:v>
      </x:c>
      <x:c r="B24" t="str">
        <x:v>B4</x:v>
      </x:c>
      <x:c r="C24" t="str">
        <x:v>C_ControlAlerta</x:v>
      </x:c>
      <x:c r="D24" t="str">
        <x:v>────► (llamada)</x:v>
      </x:c>
      <x:c r="E24" t="str">
        <x:v>C_ControlKilometraje</x:v>
      </x:c>
      <x:c r="F24" t="str">
        <x:v>solicitarUltimoKilometrajeSiCorresponde(idVehiculo,listaAlertas)</x:v>
      </x:c>
      <x:c r="G24" t="str">
        <x:v>Se solicita la última lectura válida de RF14 SOLO si alguna alerta de MANTENIMIENTO evaluable del vehículo ACTIVO utiliza POR_KILOMETRAJE o AMBOS. SOAT siempre se evalúa por fecha y no requiere kilometraje. Si todas son POR_TIEMPO o SOAT, se omiten 17–20. RF23 no modifica la lectura.</x:v>
      </x:c>
      <x:c r="H24" t="str">
        <x:v>IMPLEMENTAR</x:v>
      </x:c>
      <x:c r="I24" t="str">
        <x:v>MVP: consultar kilometraje SOLO si hay alertas POR_KILOMETRAJE/AMBOS. Solicitar última lectura efectiva válida del vehículo: INICIAL RF08 o posterior RF14. Conservar nombre BCE histórico; fecha y lecturas anteriores necesarias para vencimiento se obtienen mediante contrato compartido.</x:v>
      </x:c>
      <x:c r="J24"/>
      <x:c r="K24" t="str">
        <x:v>RF23!F24</x:v>
      </x:c>
      <x:c r="L24" t="str">
        <x:v>► LLAMADA: operación desde el objeto de C hacia el de E; comprobar contrato y autorización.</x:v>
      </x:c>
    </x:row>
    <x:row r="25" ht="57" customHeight="1">
      <x:c r="A25" t="str">
        <x:v>18</x:v>
      </x:c>
      <x:c r="B25" t="str">
        <x:v>B4</x:v>
      </x:c>
      <x:c r="C25" t="str">
        <x:v>C_ControlKilometraje</x:v>
      </x:c>
      <x:c r="D25" t="str">
        <x:v>────► (llamada)</x:v>
      </x:c>
      <x:c r="E25" t="str">
        <x:v>E_Kilometraje</x:v>
      </x:c>
      <x:c r="F25" t="str">
        <x:v>consultarUltimaLectura(idVehiculo)</x:v>
      </x:c>
      <x:c r="G25" t="str">
        <x:v>Cuando corresponde, el controlador de Kilometraje consulta la última lectura VALIDA efectiva del vehículo.</x:v>
      </x:c>
      <x:c r="H25" t="str">
        <x:v>IMPLEMENTAR</x:v>
      </x:c>
      <x:c r="I25" t="str">
        <x:v>MVP: C_ControlKilometraje consulta última lectura efectiva válida RF08/RF14, autorizada y con fecha. Para comprobar entrada en VENCIDA por km, RF23 necesita además histórico pertinente posterior a la programación.</x:v>
      </x:c>
      <x:c r="J25"/>
      <x:c r="K25" t="str">
        <x:v>RF23!F25</x:v>
      </x:c>
      <x:c r="L25" t="str">
        <x:v>► LLAMADA: operación desde el objeto de C hacia el de E; comprobar contrato y autorización.</x:v>
      </x:c>
    </x:row>
    <x:row r="26" ht="57" customHeight="1">
      <x:c r="A26" t="str">
        <x:v>19</x:v>
      </x:c>
      <x:c r="B26" t="str">
        <x:v>B4</x:v>
      </x:c>
      <x:c r="C26" t="str">
        <x:v>E_Kilometraje</x:v>
      </x:c>
      <x:c r="D26" t="str">
        <x:v>◄ ─ ─ (return)</x:v>
      </x:c>
      <x:c r="E26" t="str">
        <x:v>C_ControlKilometraje</x:v>
      </x:c>
      <x:c r="F26" t="str">
        <x:v>retornarUltimaLectura(datosLectura)</x:v>
      </x:c>
      <x:c r="G26" t="str">
        <x:v>La entidad devuelve el kilometraje vigente y la fecha de la lectura cuando la evaluación requiere kilometraje.</x:v>
      </x:c>
      <x:c r="H26" t="str">
        <x:v>IMPLEMENTAR</x:v>
      </x:c>
      <x:c r="I26" t="str">
        <x:v>MVP: retornar km vigente RF08/RF14 con fecha verificable; separar la última lectura actual de la primera lectura que demuestre vencimiento. No deducir la fecha física de cruce entre lecturas.</x:v>
      </x:c>
      <x:c r="J26"/>
      <x:c r="K26" t="str">
        <x:v>RF23!F26</x:v>
      </x:c>
      <x:c r="L26" t="str">
        <x:v>◄ RETORNO discontinuo al llamador. C y E identifican emisor y receptor; ◄ representa disposición de líneas de vida, no inversión de columnas.</x:v>
      </x:c>
    </x:row>
    <x:row r="27" ht="57" customHeight="1">
      <x:c r="A27" t="str">
        <x:v>20</x:v>
      </x:c>
      <x:c r="B27" t="str">
        <x:v>B4</x:v>
      </x:c>
      <x:c r="C27" t="str">
        <x:v>C_ControlKilometraje</x:v>
      </x:c>
      <x:c r="D27" t="str">
        <x:v>◄ ─ ─ (return)</x:v>
      </x:c>
      <x:c r="E27" t="str">
        <x:v>C_ControlAlerta</x:v>
      </x:c>
      <x:c r="F27" t="str">
        <x:v>retornarUltimoKilometraje(datosLecturaOpcional)</x:v>
      </x:c>
      <x:c r="G27" t="str">
        <x:v>El controlador retorna la última lectura VALIDA cuando fue requerida. Si las alertas solo son POR_TIEMPO, los pasos 17–20 se omiten y el controlador de Alertas utiliza datosLecturaOpcional=[] al evaluar en el paso 22, sin consultar kilometraje innecesariamente.</x:v>
      </x:c>
      <x:c r="H27" t="str">
        <x:v>IMPLEMENTAR</x:v>
      </x:c>
      <x:c r="I27" t="str">
        <x:v>MVP: omitir la consulta de kilometraje si todas las alertas son POR_TIEMPO; cuando se requiera, usar lectura válida RF08/RF14 y evidencia histórica fechada cuando corresponda.</x:v>
      </x:c>
      <x:c r="J27"/>
      <x:c r="K27" t="str">
        <x:v>RF23!F27</x:v>
      </x:c>
      <x:c r="L27" t="str">
        <x:v>◄ RETORNO discontinuo al llamador. C y E identifican emisor y receptor; ◄ representa disposición de líneas de vida, no inversión de columnas.</x:v>
      </x:c>
    </x:row>
    <x:row r="28" ht="28.799999237060547" customHeight="1">
      <x:c r="A28" t="str">
        <x:v>BLOQUE 5 — EVALUACIÓN Y RECONCILIACIÓN TRANSACCIONAL — Mensajes 21–29</x:v>
      </x:c>
      <x:c r="B28"/>
      <x:c r="C28"/>
      <x:c r="D28"/>
      <x:c r="E28"/>
      <x:c r="F28"/>
      <x:c r="G28"/>
      <x:c r="H28"/>
      <x:c r="I28"/>
      <x:c r="J28"/>
      <x:c r="K28"/>
      <x:c r="L28"/>
    </x:row>
    <x:row r="29" ht="57" customHeight="1">
      <x:c r="A29" t="str">
        <x:v>21</x:v>
      </x:c>
      <x:c r="B29" t="str">
        <x:v>B5</x:v>
      </x:c>
      <x:c r="C29" t="str">
        <x:v>C_ControlAlerta</x:v>
      </x:c>
      <x:c r="D29" t="str">
        <x:v>↩ (auto-msg)</x:v>
      </x:c>
      <x:c r="E29" t="str">
        <x:v>C_ControlAlerta</x:v>
      </x:c>
      <x:c r="F29" t="str">
        <x:v>obtenerFechaActualConfiable()</x:v>
      </x:c>
      <x:c r="G29" t="str">
        <x:v>En el camino principal, con vehículo ACTIVO, obtiene la fecha confiable para evaluar los criterios POR_TIEMPO y AMBOS y el tiempo transcurrido en estado VENCIDA.</x:v>
      </x:c>
      <x:c r="H29" t="str">
        <x:v>IMPLEMENTAR</x:v>
      </x:c>
      <x:c r="I29" t="str">
        <x:v>MVP: usar fecha confiable del servidor, en zona America/Lima, para evaluar umbrales temporales y 30 días CALENDARIO desde la fecha verificable de entrada en VENCIDA.</x:v>
      </x:c>
      <x:c r="J29"/>
      <x:c r="K29" t="str">
        <x:v>RF23!F29</x:v>
      </x:c>
      <x:c r="L29" t="str">
        <x:v>↩ AUTO-MENSAJE: mismo objeto; lógica local, no salto de capa.</x:v>
      </x:c>
    </x:row>
    <x:row r="30" ht="57" customHeight="1">
      <x:c r="A30" t="str">
        <x:v>22</x:v>
      </x:c>
      <x:c r="B30" t="str">
        <x:v>B5</x:v>
      </x:c>
      <x:c r="C30" t="str">
        <x:v>C_ControlAlerta</x:v>
      </x:c>
      <x:c r="D30" t="str">
        <x:v>↩ (auto-msg)</x:v>
      </x:c>
      <x:c r="E30" t="str">
        <x:v>C_ControlAlerta</x:v>
      </x:c>
      <x:c r="F30" t="str">
        <x:v>evaluarEstadosYCicloVida(listaAlertas,fechaActual,datosLecturaOpcional)</x:v>
      </x:c>
      <x:c r="G30" t="str">
        <x:v>Evalúa SEGÚN EL ORIGEN DE LA ALERTA. MANTENIMIENTO: POR_TIEMPO: PROGRAMADA si faltan más de 30 días; PROXIMA de 30 a 8 días antes; PENDIENTE desde 7 días antes hasta 14 días después; VENCIDA desde 15 días después. POR_KILOMETRAJE: umbral_km = intervalo_km × 10 %; PROGRAMADA cuando km_actual &lt; km_objetivo - umbral_km; PROXIMA cuando km_objetivo - umbral_km ≤ km_actual &lt; km_objetivo; PENDIENTE cuando km_objetivo ≤ km_actual &lt; km_objetivo + umbral_km; VENCIDA cuando km_actual ≥ km_objetivo + umbral_km. AMBOS: prevalece el estado más avanzado. SOAT: se evalúa SOLO por fecha de vencimiento y estado de recordatorio, según RF31–RF33; PRÓXIMA inicia a 30 días y los demás límites se rigen por el módulo SOAT, SIN aplicar el 10 % por km ni el margen de +14 días del mantenimiento. Se mantiene la regla general RF23 de cierre VENCIDA→ANULADA al cumplir 30 días en VENCIDA, siempre que la alerta siga evaluable y no se haya cerrado por renovación. No requiere lectura de km cuando ninguna alerta de mantenimiento la necesita.</x:v>
      </x:c>
      <x:c r="H30" t="str">
        <x:v>ADAPTAR</x:v>
      </x:c>
      <x:c r="I30" t="str">
        <x:v>H05 ACORDADO Nayu+Fran: conservar los umbrales G30 por tiempo/km/ambos. Los 30 días CALENDARIO para ANULADA empiezan en la primera fecha verificable de VENCIDA, NO en el objetivo (TIEMPO: objetivo +15 días; KM: primera lectura válida posterior a programación que prueba objetivo + 10 % exacto del intervalo; AMBOS: primer criterio que realmente alcanza VENCIDA). Calcular 10 % sin redondeo previo (comparación entera exacta); usar America/Lima. Sin evidencia suficiente, no anular anticipadamente. Algoritmo físico/columnas BD mvp pendientes.</x:v>
      </x:c>
      <x:c r="J30" t="str">
        <x:v>H05: umbrales, primera fecha verificable, 30 días calendario America/Lima y 10 % exacto APROBADOS Nayu+Fran. PENDIENTE: validar lecturas históricas, PK/FK y conservación/derivación de fecha efectiva en BD mvp.</x:v>
      </x:c>
      <x:c r="K30" t="str">
        <x:v>RF23!F30</x:v>
      </x:c>
      <x:c r="L30" t="str">
        <x:v>↩ AUTO-MENSAJE: mismo objeto; lógica local, no salto de capa.</x:v>
      </x:c>
    </x:row>
    <x:row r="31" ht="57" customHeight="1">
      <x:c r="A31" t="str">
        <x:v>23</x:v>
      </x:c>
      <x:c r="B31" t="str">
        <x:v>B5</x:v>
      </x:c>
      <x:c r="C31" t="str">
        <x:v>C_ControlAlerta</x:v>
      </x:c>
      <x:c r="D31" t="str">
        <x:v>↩ (auto-msg)</x:v>
      </x:c>
      <x:c r="E31" t="str">
        <x:v>C_ControlAlerta</x:v>
      </x:c>
      <x:c r="F31" t="str">
        <x:v>identificarTransicionesReales(listaAlertas,alertasEvaluadas)</x:v>
      </x:c>
      <x:c r="G31" t="str">
        <x:v>Compara estados guardados con resultados obtenidos por categoría: mantenimiento (tiempo/km/ambos) y SOAT (vencimiento de la vigencia, RF31–RF33). Identifica SOLO transiciones reales; evita aplicar a SOAT los umbrales kilométricos o el margen de mantenimiento. Conserva VENCIDA→ANULADA tras 30 días cuando corresponda al ciclo RF23, sin reabrir alertas SOAT cerradas por renovación.</x:v>
      </x:c>
      <x:c r="H31" t="str">
        <x:v>ADAPTAR</x:v>
      </x:c>
      <x:c r="I31" t="str">
        <x:v>Identificar transiciones solo MANTENIMIENTO; idempotente, sin SOAT/licencia.</x:v>
      </x:c>
      <x:c r="J31"/>
      <x:c r="K31" t="str">
        <x:v>RF23!F31</x:v>
      </x:c>
      <x:c r="L31" t="str">
        <x:v>↩ AUTO-MENSAJE: mismo objeto; lógica local, no salto de capa.</x:v>
      </x:c>
    </x:row>
    <x:row r="32" ht="57" customHeight="1">
      <x:c r="A32" t="str">
        <x:v>24</x:v>
      </x:c>
      <x:c r="B32" t="str">
        <x:v>B5</x:v>
      </x:c>
      <x:c r="C32" t="str">
        <x:v>C_ControlAlerta</x:v>
      </x:c>
      <x:c r="D32" t="str">
        <x:v>↩ (auto-msg)</x:v>
      </x:c>
      <x:c r="E32" t="str">
        <x:v>C_ControlAlerta</x:v>
      </x:c>
      <x:c r="F32" t="str">
        <x:v>iniciarReconciliacionTransaccionalYRevalidarEstados(transicionesReales,fechaActual)</x:v>
      </x:c>
      <x:c r="G32" t="str">
        <x:v>MVP: transacción ÚNICA de E_Alerta y E_HistorialAlerta, revalidando estado, cuenta y vehículo, y sin duplicados. E_Notificacion SOLO VERSIÓN FUTURA: no participa en la transacción del MVP. No modificar los mensajes de futuro; separación funcional explícita.</x:v>
      </x:c>
      <x:c r="H32" t="str">
        <x:v>ADAPTAR</x:v>
      </x:c>
      <x:c r="I32" t="str">
        <x:v>MVP confirmado Nayu+Fran: RF23, nunca RF14, inicia al abrir «Mis alertas» una operación explícita de escritura para sincronización atómica de alerta.estado + historial_alerta si hubo cambio real. Concurrencia/idempotencia; NO E_Notificacion; GET posterior exclusivamente de lectura.</x:v>
      </x:c>
      <x:c r="J32" t="str">
        <x:v>Separación RF14/RF23 y escritura transaccional CONFIRMADAS Nayu+Fran. PENDIENTE únicamente contrato HTTP, concurrencia e implementación física BD.</x:v>
      </x:c>
      <x:c r="K32" t="str">
        <x:v>RF23!F32</x:v>
      </x:c>
      <x:c r="L32" t="str">
        <x:v>↩ AUTO-MENSAJE: mismo objeto; lógica local, no salto de capa.</x:v>
      </x:c>
    </x:row>
    <x:row r="33" ht="57" customHeight="1">
      <x:c r="A33" t="str">
        <x:v>25</x:v>
      </x:c>
      <x:c r="B33" t="str">
        <x:v>B5</x:v>
      </x:c>
      <x:c r="C33" t="str">
        <x:v>C_ControlAlerta</x:v>
      </x:c>
      <x:c r="D33" t="str">
        <x:v>────► (llamada)</x:v>
      </x:c>
      <x:c r="E33" t="str">
        <x:v>E_Alerta</x:v>
      </x:c>
      <x:c r="F33" t="str">
        <x:v>actualizarEstadosSiCorresponde(idUsuario,idVehiculo,transicionesReales,fechaActual)</x:v>
      </x:c>
      <x:c r="G33" t="str">
        <x:v>En la transacción iniciada en el paso 24, actualiza únicamente las transiciones revalidadas cuyo estado anterior aún coincide con el persistido. Incluye VENCIDA→ANULADA tras 30 días. No se confirma por separado: si falla una escritura obligatoria se ejecuta ROLLBACK de estado, historial y notificación.</x:v>
      </x:c>
      <x:c r="H33" t="str">
        <x:v>ADAPTAR</x:v>
      </x:c>
      <x:c r="I33" t="str">
        <x:v>H05 confirmado Nayu+Fran: revalidar y aplicar SOLO transiciones reales, incluyendo ANULADA tras 30 días verificables de VENCIDA. Saltos directos si corresponden sin inventar actualizaciones históricas; no reactivar REALIZADA/ANULADA ni modificar RF14. Comprobar restricciones reales de BD.</x:v>
      </x:c>
      <x:c r="J33" t="str">
        <x:v>30 días, idempotencia e historial real CONFIRMADOS Nayu+Fran; pendientes estructura real BD y pruebas de concurrencia/fechas.</x:v>
      </x:c>
      <x:c r="K33" t="str">
        <x:v>RF23!F33</x:v>
      </x:c>
      <x:c r="L33" t="str">
        <x:v>► LLAMADA: operación desde el objeto de C hacia el de E; comprobar contrato y autorización.</x:v>
      </x:c>
    </x:row>
    <x:row r="34" ht="57" customHeight="1">
      <x:c r="A34" t="str">
        <x:v>26</x:v>
      </x:c>
      <x:c r="B34" t="str">
        <x:v>B5</x:v>
      </x:c>
      <x:c r="C34" t="str">
        <x:v>E_Alerta</x:v>
      </x:c>
      <x:c r="D34" t="str">
        <x:v>◄ ─ ─ (return)</x:v>
      </x:c>
      <x:c r="E34" t="str">
        <x:v>C_ControlAlerta</x:v>
      </x:c>
      <x:c r="F34" t="str">
        <x:v>retornarEstadosActualizados(listaAlertasActualizada,transicionesAplicadas,fecha_estado_actual)</x:v>
      </x:c>
      <x:c r="G34" t="str">
        <x:v>La entidad devuelve las alertas con los estados vigentes, las transiciones efectivamente aplicadas y fecha_estado_actual. Si no hubo cambios, conserva los estados almacenados sin generar una transición adicional.</x:v>
      </x:c>
      <x:c r="H34" t="str">
        <x:v>ADAPTAR</x:v>
      </x:c>
      <x:c r="I34" t="str">
        <x:v>Devolver solo estados persistidos de MANTENIMIENTO; ANULADA no aparece en lista normal; no crear historial si no cambió el estado.</x:v>
      </x:c>
      <x:c r="J34"/>
      <x:c r="K34" t="str">
        <x:v>RF23!F34</x:v>
      </x:c>
      <x:c r="L34" t="str">
        <x:v>◄ RETORNO discontinuo al llamador. C y E identifican emisor y receptor; ◄ representa disposición de líneas de vida, no inversión de columnas.</x:v>
      </x:c>
    </x:row>
    <x:row r="35" ht="57" customHeight="1">
      <x:c r="A35" t="str">
        <x:v>27</x:v>
      </x:c>
      <x:c r="B35" t="str">
        <x:v>B5</x:v>
      </x:c>
      <x:c r="C35" t="str">
        <x:v>C_ControlAlerta</x:v>
      </x:c>
      <x:c r="D35" t="str">
        <x:v>────► (llamada)</x:v>
      </x:c>
      <x:c r="E35" t="str">
        <x:v>E_HistorialAlerta</x:v>
      </x:c>
      <x:c r="F35" t="str">
        <x:v>registrarTransicionesAutomaticasSiCorresponde(transicionesAplicadas,AUTOMATICO)</x:v>
      </x:c>
      <x:c r="G35" t="str">
        <x:v>Dentro de la MISMA transacción, registra el historial de cada transición realmente aplicada por E_Alerta, incluida VENCIDA→ANULADA con motivo VENCIMIENTO_30_DIAS. Si falla el registro obligatorio, ROLLBACK de alerta, historial y notificación. Sin cambios de estado, no se crea historial.</x:v>
      </x:c>
      <x:c r="H35" t="str">
        <x:v>ADAPTAR</x:v>
      </x:c>
      <x:c r="I35" t="str">
        <x:v>H05 confirmado Nayu+Fran: insertar historial_alerta solo si se ejecutó una transición real, en la misma transacción que alerta.estado y sin duplicarla. Guardar fecha REAL del cambio; conservar evidencia de fecha efectiva de VENCIDA si el esquema lo permite. Si fue PROGRAMADA→ANULADA por sincronización tardía, NO inventar eventos intermedios. Verificación de columnas/motivo pendientes.</x:v>
      </x:c>
      <x:c r="J35" t="str">
        <x:v>H05: transiciones reales y atómicas CONFIRMADAS Nayu+Fran. PENDIENTE comprobar columnas para fecha efectiva, registro, motivo, PK/FK y auditoría.</x:v>
      </x:c>
      <x:c r="K35" t="str">
        <x:v>RF23!F35</x:v>
      </x:c>
      <x:c r="L35" t="str">
        <x:v>► LLAMADA: operación desde el objeto de C hacia el de E; comprobar contrato y autorización.</x:v>
      </x:c>
    </x:row>
    <x:row r="36" ht="57" customHeight="1">
      <x:c r="A36" t="str">
        <x:v>28</x:v>
      </x:c>
      <x:c r="B36" t="str">
        <x:v>B5</x:v>
      </x:c>
      <x:c r="C36" t="str">
        <x:v>E_HistorialAlerta</x:v>
      </x:c>
      <x:c r="D36" t="str">
        <x:v>◄ ─ ─ (return)</x:v>
      </x:c>
      <x:c r="E36" t="str">
        <x:v>C_ControlAlerta</x:v>
      </x:c>
      <x:c r="F36" t="str">
        <x:v>retornarTransicionesRegistradas(idsHistorial)</x:v>
      </x:c>
      <x:c r="G36" t="str">
        <x:v>La entidad confirma la trazabilidad registrada y devuelve los identificadores generados cuando correspondía.</x:v>
      </x:c>
      <x:c r="H36" t="str">
        <x:v>IMPLEMENTAR</x:v>
      </x:c>
      <x:c r="I36" t="str">
        <x:v>Si no hay cambios, no insertar un historial duplicado.</x:v>
      </x:c>
      <x:c r="J36"/>
      <x:c r="K36" t="str">
        <x:v>RF23!F36</x:v>
      </x:c>
      <x:c r="L36" t="str">
        <x:v>◄ RETORNO discontinuo al llamador. C y E identifican emisor y receptor; ◄ representa disposición de líneas de vida, no inversión de columnas.</x:v>
      </x:c>
    </x:row>
    <x:row r="37" ht="57" customHeight="1">
      <x:c r="A37" t="str">
        <x:v>29</x:v>
      </x:c>
      <x:c r="B37" t="str">
        <x:v>B5</x:v>
      </x:c>
      <x:c r="C37" t="str">
        <x:v>C_ControlAlerta</x:v>
      </x:c>
      <x:c r="D37" t="str">
        <x:v>────► (llamada)</x:v>
      </x:c>
      <x:c r="E37" t="str">
        <x:v>C_ControlNotificacion</x:v>
      </x:c>
      <x:c r="F37" t="str">
        <x:v>sincronizarNotificacionesPorEstadosAlerta(idUsuario,listaAlertasActualizada,transicionesAplicadas)</x:v>
      </x:c>
      <x:c r="G37" t="str">
        <x:v>SOLO VERSIÓN FUTURA: la sincronización interna de notificaciones se reserva para después del MVP. No ejecutarla ni convertirla en dependencia del COMMIT de E_Alerta/E_HistorialAlerta en RF23 MVP.</x:v>
      </x:c>
      <x:c r="H37" t="str">
        <x:v>FUTURO</x:v>
      </x:c>
      <x:c r="I37" t="str">
        <x:v>Notificaciones internas/push NO incluidas en el MVP. No consultar ni modificar E_Notificacion.</x:v>
      </x:c>
      <x:c r="J37" t="str">
        <x:v>Notificaciones internas/push fuera del MVP confirmado Nayu+Fran; sin acceso a E_Notificacion.</x:v>
      </x:c>
      <x:c r="K37" t="str">
        <x:v>RF23!F37</x:v>
      </x:c>
      <x:c r="L37" t="str">
        <x:v>► LLAMADA: operación desde el objeto de C hacia el de E; comprobar contrato y autorización.</x:v>
      </x:c>
    </x:row>
    <x:row r="38" ht="28.799999237060547" customHeight="1">
      <x:c r="A38" t="str">
        <x:v>BLOQUE 6 — NOTIFICACIONES Y CONFIRMACIÓN DE TRANSACCIÓN — Mensajes 30–34</x:v>
      </x:c>
      <x:c r="B38"/>
      <x:c r="C38"/>
      <x:c r="D38"/>
      <x:c r="E38"/>
      <x:c r="F38"/>
      <x:c r="G38"/>
      <x:c r="H38"/>
      <x:c r="I38"/>
      <x:c r="J38"/>
      <x:c r="K38"/>
      <x:c r="L38"/>
    </x:row>
    <x:row r="39" ht="57" customHeight="1">
      <x:c r="A39" t="str">
        <x:v>30</x:v>
      </x:c>
      <x:c r="B39" t="str">
        <x:v>B6</x:v>
      </x:c>
      <x:c r="C39" t="str">
        <x:v>C_ControlNotificacion</x:v>
      </x:c>
      <x:c r="D39" t="str">
        <x:v>────► (llamada)</x:v>
      </x:c>
      <x:c r="E39" t="str">
        <x:v>E_Notificacion</x:v>
      </x:c>
      <x:c r="F39" t="str">
        <x:v>sincronizarGestionSegunEstadoAlerta(listaAlertasActualizada,transicionesAplicadas)</x:v>
      </x:c>
      <x:c r="G39" t="str">
        <x:v>SOLO VERSIÓN FUTURA (NO MVP): E_Notificacion sincroniza de forma IDEMPOTENTE un único aviso interno por alerta en la MISMA transacción: PRÓXIMA/PENDIENTE=PENDIENTE; VENCIDA/ANULADA=Historial/cerrada; REALIZADA=ATENDIDA; PROGRAMADA=sin aviso activo. Cuando corresponda se deja persistida la solicitud de despacho externo para RF46 DESPUÉS del COMMIT del paso 33; jamás se envía durante la transacción. Si falla la escritura obligatoria, ROLLBACK completo.</x:v>
      </x:c>
      <x:c r="H39" t="str">
        <x:v>FUTURO</x:v>
      </x:c>
      <x:c r="I39" t="str">
        <x:v>Notificaciones internas/push NO incluidas en el MVP. No consultar ni modificar E_Notificacion.</x:v>
      </x:c>
      <x:c r="J39" t="str">
        <x:v>Notificaciones internas/push fuera del MVP confirmado Nayu+Fran; sin acceso a E_Notificacion.</x:v>
      </x:c>
      <x:c r="K39" t="str">
        <x:v>RF23!F39</x:v>
      </x:c>
      <x:c r="L39" t="str">
        <x:v>► LLAMADA: operación desde el objeto de C hacia el de E; comprobar contrato y autorización.</x:v>
      </x:c>
    </x:row>
    <x:row r="40" ht="57" customHeight="1">
      <x:c r="A40" t="str">
        <x:v>31</x:v>
      </x:c>
      <x:c r="B40" t="str">
        <x:v>B6</x:v>
      </x:c>
      <x:c r="C40" t="str">
        <x:v>E_Notificacion</x:v>
      </x:c>
      <x:c r="D40" t="str">
        <x:v>◄ ─ ─ (return)</x:v>
      </x:c>
      <x:c r="E40" t="str">
        <x:v>C_ControlNotificacion</x:v>
      </x:c>
      <x:c r="F40" t="str">
        <x:v>retornarSincronizacionNotificaciones(resultadoNotificaciones)</x:v>
      </x:c>
      <x:c r="G40" t="str">
        <x:v>SOLO VERSIÓN FUTURA (NO MVP): La entidad devuelve el resultado de la sincronización aplicada, indicando qué notificaciones permanecen activas y cuáles quedaron en Historial o atendidas, sin crear duplicados.</x:v>
      </x:c>
      <x:c r="H40" t="str">
        <x:v>FUTURO</x:v>
      </x:c>
      <x:c r="I40" t="str">
        <x:v>Notificaciones internas/push NO incluidas en el MVP. No consultar ni modificar E_Notificacion.</x:v>
      </x:c>
      <x:c r="J40" t="str">
        <x:v>Notificaciones internas/push fuera del MVP confirmado Nayu+Fran; sin acceso a E_Notificacion.</x:v>
      </x:c>
      <x:c r="K40" t="str">
        <x:v>RF23!F40</x:v>
      </x:c>
      <x:c r="L40" t="str">
        <x:v>◄ RETORNO discontinuo al llamador. C y E identifican emisor y receptor; ◄ representa disposición de líneas de vida, no inversión de columnas.</x:v>
      </x:c>
    </x:row>
    <x:row r="41" ht="57" customHeight="1">
      <x:c r="A41" t="str">
        <x:v>32</x:v>
      </x:c>
      <x:c r="B41" t="str">
        <x:v>B6</x:v>
      </x:c>
      <x:c r="C41" t="str">
        <x:v>C_ControlNotificacion</x:v>
      </x:c>
      <x:c r="D41" t="str">
        <x:v>◄ ─ ─ (return)</x:v>
      </x:c>
      <x:c r="E41" t="str">
        <x:v>C_ControlAlerta</x:v>
      </x:c>
      <x:c r="F41" t="str">
        <x:v>retornarSincronizacionNotificaciones(resultadoNotificaciones)</x:v>
      </x:c>
      <x:c r="G41" t="str">
        <x:v>SOLO VERSIÓN FUTURA (NO MVP): Devuelve al controlador de Alertas el resultado persistido provisionalmente de la notificación. La transacción continúa ABIERTA hasta el COMMIT del paso 33; un error obliga a ROLLBACK total.</x:v>
      </x:c>
      <x:c r="H41" t="str">
        <x:v>FUTURO</x:v>
      </x:c>
      <x:c r="I41" t="str">
        <x:v>Notificaciones internas/push NO incluidas en el MVP. No consultar ni modificar E_Notificacion.</x:v>
      </x:c>
      <x:c r="J41" t="str">
        <x:v>Notificaciones internas/push fuera del MVP confirmado Nayu+Fran; sin acceso a E_Notificacion.</x:v>
      </x:c>
      <x:c r="K41" t="str">
        <x:v>RF23!F41</x:v>
      </x:c>
      <x:c r="L41" t="str">
        <x:v>◄ RETORNO discontinuo al llamador. C y E identifican emisor y receptor; ◄ representa disposición de líneas de vida, no inversión de columnas.</x:v>
      </x:c>
    </x:row>
    <x:row r="42" ht="57" customHeight="1">
      <x:c r="A42" t="str">
        <x:v>33</x:v>
      </x:c>
      <x:c r="B42" t="str">
        <x:v>B6</x:v>
      </x:c>
      <x:c r="C42" t="str">
        <x:v>C_ControlAlerta</x:v>
      </x:c>
      <x:c r="D42" t="str">
        <x:v>↩ (auto-msg)</x:v>
      </x:c>
      <x:c r="E42" t="str">
        <x:v>C_ControlAlerta</x:v>
      </x:c>
      <x:c r="F42" t="str">
        <x:v>confirmarReconciliacionTransaccionalAlertas(transicionesAplicadas)</x:v>
      </x:c>
      <x:c r="G42" t="str">
        <x:v>MVP: COMMIT solo después de actualizar E_Alerta y registrar E_HistorialAlerta de las transiciones reales; si falla uno, ROLLBACK de ambos. Ignorar pasos 29–32 FUTUROS sobre E_Notificacion (no forman parte del COMMIT MVP). No inventar notificaciones ni transiciones. VERSIÓN COMPLETA podrá ampliar la misma transacción posteriormente.</x:v>
      </x:c>
      <x:c r="H42" t="str">
        <x:v>ADAPTAR</x:v>
      </x:c>
      <x:c r="I42" t="str">
        <x:v>MVP aprobado Nayu+Fran: COMMIT/ROLLBACK conjunto de alerta.estado e historial_alerta únicamente para transiciones reales; sin notificaciones y sin escrituras ocultas en GET. Asegurar idempotencia y control de concurrencia en contrato/BD.</x:v>
      </x:c>
      <x:c r="J42" t="str">
        <x:v>Atomicidad/ROLLBACK y separación RF14 CONFIRMADAS Nayu+Fran; implementación y restricciones en BD mvp pendientes.</x:v>
      </x:c>
      <x:c r="K42" t="str">
        <x:v>RF23!F42</x:v>
      </x:c>
      <x:c r="L42" t="str">
        <x:v>↩ AUTO-MENSAJE: mismo objeto; lógica local, no salto de capa.</x:v>
      </x:c>
    </x:row>
    <x:row r="43" ht="57" customHeight="1">
      <x:c r="A43" t="str">
        <x:v>34</x:v>
      </x:c>
      <x:c r="B43" t="str">
        <x:v>B6</x:v>
      </x:c>
      <x:c r="C43" t="str">
        <x:v>C_ControlAlerta</x:v>
      </x:c>
      <x:c r="D43" t="str">
        <x:v>↩ (auto-msg)</x:v>
      </x:c>
      <x:c r="E43" t="str">
        <x:v>C_ControlAlerta</x:v>
      </x:c>
      <x:c r="F43" t="str">
        <x:v>prepararAlertasVisiblesYOrdenadas(listaAlertasActualizada,TODAS)</x:v>
      </x:c>
      <x:c r="G43" t="str">
        <x:v>Una vez confirmado el paso 33, prepara y ordena las alertas actualizadas del vehículo ACTIVO. Utiliza listaAlertasActualizada del paso 26, que también existe cuando no se aplicaron transiciones. Se muestran PROGRAMADA, PROXIMA, PENDIENTE, VENCIDA y REALIZADA según su estado vigente; ANULADA queda fuera de la lista normal. No se oculta una VENCIDA por su antigüedad sin haber cambiado efectivamente a ANULADA. Si no existen alertas visibles, el caso se desarrolla en RF23-EA03.</x:v>
      </x:c>
      <x:c r="H43" t="str">
        <x:v>ADAPTAR</x:v>
      </x:c>
      <x:c r="I43" t="str">
        <x:v>MVP: después de sincronizar exitosamente, ejecutar GET de SOLO LECTURA y preparar tarjetas desde estados persistidos. Vehículos propios ACTIVOS, mantenimiento; ANULADA no se muestra en lista normal, historial preservado.</x:v>
      </x:c>
      <x:c r="J43"/>
      <x:c r="K43" t="str">
        <x:v>RF23!F43</x:v>
      </x:c>
      <x:c r="L43" t="str">
        <x:v>↩ AUTO-MENSAJE: mismo objeto; lógica local, no salto de capa.</x:v>
      </x:c>
    </x:row>
    <x:row r="44" ht="28.799999237060547" customHeight="1">
      <x:c r="A44" t="str">
        <x:v>BLOQUE 7 — PRESENTACIÓN VEHICULAR AL CONDUCTOR — Mensajes 35–36</x:v>
      </x:c>
      <x:c r="B44"/>
      <x:c r="C44"/>
      <x:c r="D44"/>
      <x:c r="E44"/>
      <x:c r="F44"/>
      <x:c r="G44"/>
      <x:c r="H44"/>
      <x:c r="I44"/>
      <x:c r="J44"/>
      <x:c r="K44"/>
      <x:c r="L44"/>
    </x:row>
    <x:row r="45" ht="57" customHeight="1">
      <x:c r="A45" t="str">
        <x:v>35</x:v>
      </x:c>
      <x:c r="B45" t="str">
        <x:v>B7</x:v>
      </x:c>
      <x:c r="C45" t="str">
        <x:v>C_ControlAlerta</x:v>
      </x:c>
      <x:c r="D45" t="str">
        <x:v>────► (llamada)</x:v>
      </x:c>
      <x:c r="E45" t="str">
        <x:v>I_Alertas</x:v>
      </x:c>
      <x:c r="F45" t="str">
        <x:v>mostrarPestanaVehiculos(datosVehiculo,alertasPriorizadas,filtrosEstado,pestanasDisponibles)</x:v>
      </x:c>
      <x:c r="G45" t="str">
        <x:v>Renderiza la pestaña VEHÍCULOS con selector de vehículo y tarjetas de MANTENIMIENTO/SOAT. Pestañas: VEHÍCULOS y LICENCIA. Filtros por estado: Todas, Programadas, Próximas, Pendientes, Vencidas, Realizadas. «+ Programar» permanece solo en VEHÍCULOS y dirige a RF22; no crea licencia.</x:v>
      </x:c>
      <x:c r="H45" t="str">
        <x:v>ADAPTAR</x:v>
      </x:c>
      <x:c r="I45" t="str">
        <x:v>SOLO tarjetas MANTENIMIENTO; Licencia «Próximamente»; sin SOAT ni avisos.</x:v>
      </x:c>
      <x:c r="J45"/>
      <x:c r="K45" t="str">
        <x:v>RF23!F45</x:v>
      </x:c>
      <x:c r="L45" t="str">
        <x:v>► LLAMADA: operación desde el objeto de C hacia el de E; comprobar contrato y autorización.</x:v>
      </x:c>
    </x:row>
    <x:row r="46" ht="57" customHeight="1">
      <x:c r="A46" t="str">
        <x:v>36</x:v>
      </x:c>
      <x:c r="B46" t="str">
        <x:v>B7</x:v>
      </x:c>
      <x:c r="C46" t="str">
        <x:v>I_Alertas</x:v>
      </x:c>
      <x:c r="D46" t="str">
        <x:v>────► (llamada)</x:v>
      </x:c>
      <x:c r="E46" t="str">
        <x:v>AS_Usuario</x:v>
      </x:c>
      <x:c r="F46" t="str">
        <x:v>visualizarAlertasVehiculo()</x:v>
      </x:c>
      <x:c r="G46" t="str">
        <x:v>El conductor visualiza MANTENIMIENTO y SOAT del vehículo. La elección de LICENCIA activa otra ruta exitosa de consulta (70–88) que no depende del vehículo. El motor automático 37–69 continúa siendo proceso autónomo separado.</x:v>
      </x:c>
      <x:c r="H46" t="str">
        <x:v>ADAPTAR</x:v>
      </x:c>
      <x:c r="I46" t="str">
        <x:v>Mostrar seis filtros y estados persistidos; motor autónomo NO se inicia.</x:v>
      </x:c>
      <x:c r="J46"/>
      <x:c r="K46" t="str">
        <x:v>RF23!F46</x:v>
      </x:c>
      <x:c r="L46" t="str">
        <x:v>⚠ SALIDA VISUAL al actor: no ejecutar «visualizar...» como método/API del usuario. En UML formal es presentación/resultado de UI, no llamada remota.</x:v>
      </x:c>
    </x:row>
    <x:row r="47" ht="28.799999237060547" customHeight="1">
      <x:c r="A47" t="str">
        <x:v>BLOQUE 8 — MOTOR AUTÓNOMO: CANDIDATAS Y ELEGIBILIDAD — Mensajes 37–53</x:v>
      </x:c>
      <x:c r="B47"/>
      <x:c r="C47"/>
      <x:c r="D47"/>
      <x:c r="E47"/>
      <x:c r="F47"/>
      <x:c r="G47"/>
      <x:c r="H47"/>
      <x:c r="I47"/>
      <x:c r="J47"/>
      <x:c r="K47"/>
      <x:c r="L47"/>
    </x:row>
    <x:row r="48" ht="57" customHeight="1">
      <x:c r="A48" t="str">
        <x:v>37</x:v>
      </x:c>
      <x:c r="B48" t="str">
        <x:v>B8</x:v>
      </x:c>
      <x:c r="C48" t="str">
        <x:v>C_ProgramadorAlertas</x:v>
      </x:c>
      <x:c r="D48" t="str">
        <x:v>────► (llamada)</x:v>
      </x:c>
      <x:c r="E48" t="str">
        <x:v>C_ControlAlerta</x:v>
      </x:c>
      <x:c r="F48" t="str">
        <x:v>iniciarEvaluacionAutomaticaAlertas(fechaActual)</x:v>
      </x:c>
      <x:c r="G48" t="str">
        <x:v>INICIO AUTÓNOMO del motor: se ejecuta por programación/fecha para MANTENIMIENTO, SOAT y LICENCIA; también por eventos válidos de kilometraje para alertas de mantenimiento. No necesita abrir la pantalla ni sigue al mensaje 36.</x:v>
      </x:c>
      <x:c r="H48" t="str">
        <x:v>FUTURO</x:v>
      </x:c>
      <x:c r="I48" t="str">
        <x:v>FUERA DEL MVP por acuerdo Nayu+Fran: no ejecutar motor automático/programado. La sincronización de estados se realiza solamente al abrir RF23.</x:v>
      </x:c>
      <x:c r="J48" t="str">
        <x:v>Motor autónomo/periodicidad futura; sincronización solo al abrir RF23 confirmado Nayu+Fran.</x:v>
      </x:c>
      <x:c r="K48" t="str">
        <x:v>RF23!F48</x:v>
      </x:c>
      <x:c r="L48" t="str">
        <x:v>► LLAMADA: operación desde el objeto de C hacia el de E; comprobar contrato y autorización.</x:v>
      </x:c>
    </x:row>
    <x:row r="49" ht="57" customHeight="1">
      <x:c r="A49" t="str">
        <x:v>38</x:v>
      </x:c>
      <x:c r="B49" t="str">
        <x:v>B8</x:v>
      </x:c>
      <x:c r="C49" t="str">
        <x:v>C_ControlAlerta</x:v>
      </x:c>
      <x:c r="D49" t="str">
        <x:v>────► (llamada)</x:v>
      </x:c>
      <x:c r="E49" t="str">
        <x:v>E_Alerta</x:v>
      </x:c>
      <x:c r="F49" t="str">
        <x:v>consultarAlertasEvaluablesYCandidatasACierre()</x:v>
      </x:c>
      <x:c r="G49" t="str">
        <x:v>Consulta alertas evaluables de MANTENIMIENTO, SOAT (solo seguimiento con recordatorioActivo=true) y LICENCIA creada por RF51. LICENCIA: categoria=LICENCIA, origen=LICENCIA, criterio=FECHA, id_licencia obligatorio, id_vehiculo=NULL, fecha_objetivo=fecha_revalidacion. Considera PROGRAMADA, PROXIMA, PENDIENTE y VENCIDA no ANULADA, incluidas las VENCIDA que cumplen 30 días continuos en ese estado y requieren cierre. Excluye REALIZADA y ANULADA y no reactiva SOAT cerrado por renovación ni LICENCIA ya terminal. No requiere vehículo ni km para LICENCIA. La elegibilidad administrativa/titularidad de licencia se valida en 49–53.</x:v>
      </x:c>
      <x:c r="H49" t="str">
        <x:v>FUTURO</x:v>
      </x:c>
      <x:c r="I49" t="str">
        <x:v>Motor autónomo/programado excluido del MVP. La reconciliación se ejecuta al abrir RF23; coordinación con RF14 pendiente.</x:v>
      </x:c>
      <x:c r="J49" t="str">
        <x:v>Fran/Francesca: motor y RF14</x:v>
      </x:c>
      <x:c r="K49" t="str">
        <x:v>RF23!F49</x:v>
      </x:c>
      <x:c r="L49" t="str">
        <x:v>► LLAMADA: operación desde el objeto de C hacia el de E; comprobar contrato y autorización.</x:v>
      </x:c>
    </x:row>
    <x:row r="50" ht="57" customHeight="1">
      <x:c r="A50" t="str">
        <x:v>39</x:v>
      </x:c>
      <x:c r="B50" t="str">
        <x:v>B8</x:v>
      </x:c>
      <x:c r="C50" t="str">
        <x:v>E_Alerta</x:v>
      </x:c>
      <x:c r="D50" t="str">
        <x:v>◄ ─ ─ (return)</x:v>
      </x:c>
      <x:c r="E50" t="str">
        <x:v>C_ControlAlerta</x:v>
      </x:c>
      <x:c r="F50" t="str">
        <x:v>retornarAlertasEvaluables(listaAlertas)</x:v>
      </x:c>
      <x:c r="G50" t="str">
        <x:v>Devuelve categoría, criterio, objetivos, estado, fecha_estado_actual, id_usuario propietario y vinculación específica: id_vehiculo para MANTENIMIENTO/SOAT o id_licencia e id_vehiculo=NULL para LICENCIA. El id_usuario de LICENCIA se resuelve por LICENCIA→CONDUCTOR→USUARIO; incluye VENCIDA evaluable para posible cierre.</x:v>
      </x:c>
      <x:c r="H50" t="str">
        <x:v>FUTURO</x:v>
      </x:c>
      <x:c r="I50" t="str">
        <x:v>Motor autónomo/programado excluido del MVP. La reconciliación se ejecuta al abrir RF23; coordinación con RF14 pendiente.</x:v>
      </x:c>
      <x:c r="J50" t="str">
        <x:v>Fran/Francesca: motor y RF14</x:v>
      </x:c>
      <x:c r="K50" t="str">
        <x:v>RF23!F50</x:v>
      </x:c>
      <x:c r="L50" t="str">
        <x:v>◄ RETORNO discontinuo al llamador. C y E identifican emisor y receptor; ◄ representa disposición de líneas de vida, no inversión de columnas.</x:v>
      </x:c>
    </x:row>
    <x:row r="51" ht="57" customHeight="1">
      <x:c r="A51" t="str">
        <x:v>40</x:v>
      </x:c>
      <x:c r="B51" t="str">
        <x:v>B8</x:v>
      </x:c>
      <x:c r="C51" t="str">
        <x:v>C_ControlAlerta</x:v>
      </x:c>
      <x:c r="D51" t="str">
        <x:v>────► (llamada)</x:v>
      </x:c>
      <x:c r="E51" t="str">
        <x:v>C_ControlVehiculo</x:v>
      </x:c>
      <x:c r="F51" t="str">
        <x:v>solicitarEstadosVehiculosAlertas(listaIdVehiculo)</x:v>
      </x:c>
      <x:c r="G51" t="str">
        <x:v>Solicita estados SOLO para id_vehiculo no nulos de alertas MANTENIMIENTO/SOAT. Si solo existen LICENCIAS, se omiten 40–43 y estadosVehiculo={}. Nunca se bloquea una alerta LICENCIA por carecer de vehículo.</x:v>
      </x:c>
      <x:c r="H51" t="str">
        <x:v>FUTURO</x:v>
      </x:c>
      <x:c r="I51" t="str">
        <x:v>Motor autónomo/programado excluido del MVP. La reconciliación se ejecuta al abrir RF23; coordinación con RF14 pendiente.</x:v>
      </x:c>
      <x:c r="J51" t="str">
        <x:v>Fran/Francesca: motor y RF14</x:v>
      </x:c>
      <x:c r="K51" t="str">
        <x:v>RF23!F51</x:v>
      </x:c>
      <x:c r="L51" t="str">
        <x:v>► LLAMADA: operación desde el objeto de C hacia el de E; comprobar contrato y autorización.</x:v>
      </x:c>
    </x:row>
    <x:row r="52" ht="57" customHeight="1">
      <x:c r="A52" t="str">
        <x:v>41</x:v>
      </x:c>
      <x:c r="B52" t="str">
        <x:v>B8</x:v>
      </x:c>
      <x:c r="C52" t="str">
        <x:v>C_ControlVehiculo</x:v>
      </x:c>
      <x:c r="D52" t="str">
        <x:v>────► (llamada)</x:v>
      </x:c>
      <x:c r="E52" t="str">
        <x:v>E_Vehiculo</x:v>
      </x:c>
      <x:c r="F52" t="str">
        <x:v>consultarEstadosVehiculos(listaIdVehiculo)</x:v>
      </x:c>
      <x:c r="G52" t="str">
        <x:v>Consulta los estados de los vehículos de alertas vehiculares candidatas únicamente; omite la consulta si listaIdVehiculo está vacía.</x:v>
      </x:c>
      <x:c r="H52" t="str">
        <x:v>FUTURO</x:v>
      </x:c>
      <x:c r="I52" t="str">
        <x:v>Motor autónomo/programado excluido del MVP. La reconciliación se ejecuta al abrir RF23; coordinación con RF14 pendiente.</x:v>
      </x:c>
      <x:c r="J52" t="str">
        <x:v>Fran/Francesca: motor y RF14</x:v>
      </x:c>
      <x:c r="K52" t="str">
        <x:v>RF23!F52</x:v>
      </x:c>
      <x:c r="L52" t="str">
        <x:v>► LLAMADA: operación desde el objeto de C hacia el de E; comprobar contrato y autorización.</x:v>
      </x:c>
    </x:row>
    <x:row r="53" ht="57" customHeight="1">
      <x:c r="A53" t="str">
        <x:v>42</x:v>
      </x:c>
      <x:c r="B53" t="str">
        <x:v>B8</x:v>
      </x:c>
      <x:c r="C53" t="str">
        <x:v>E_Vehiculo</x:v>
      </x:c>
      <x:c r="D53" t="str">
        <x:v>◄ ─ ─ (return)</x:v>
      </x:c>
      <x:c r="E53" t="str">
        <x:v>C_ControlVehiculo</x:v>
      </x:c>
      <x:c r="F53" t="str">
        <x:v>retornarEstadosVehiculos(estadosVehiculo)</x:v>
      </x:c>
      <x:c r="G53" t="str">
        <x:v>Devuelve estados vehiculares de las alertas MANTENIMIENTO/SOAT consultadas; cuando se omiten 40–43, el conjunto lógico es {}.</x:v>
      </x:c>
      <x:c r="H53" t="str">
        <x:v>FUTURO</x:v>
      </x:c>
      <x:c r="I53" t="str">
        <x:v>Motor autónomo/programado excluido del MVP. La reconciliación se ejecuta al abrir RF23; coordinación con RF14 pendiente.</x:v>
      </x:c>
      <x:c r="J53" t="str">
        <x:v>Fran/Francesca: motor y RF14</x:v>
      </x:c>
      <x:c r="K53" t="str">
        <x:v>RF23!F53</x:v>
      </x:c>
      <x:c r="L53" t="str">
        <x:v>◄ RETORNO discontinuo al llamador. C y E identifican emisor y receptor; ◄ representa disposición de líneas de vida, no inversión de columnas.</x:v>
      </x:c>
    </x:row>
    <x:row r="54" ht="57" customHeight="1">
      <x:c r="A54" t="str">
        <x:v>43</x:v>
      </x:c>
      <x:c r="B54" t="str">
        <x:v>B8</x:v>
      </x:c>
      <x:c r="C54" t="str">
        <x:v>C_ControlVehiculo</x:v>
      </x:c>
      <x:c r="D54" t="str">
        <x:v>◄ ─ ─ (return)</x:v>
      </x:c>
      <x:c r="E54" t="str">
        <x:v>C_ControlAlerta</x:v>
      </x:c>
      <x:c r="F54" t="str">
        <x:v>retornarEstadosVehiculos(estadosVehiculo)</x:v>
      </x:c>
      <x:c r="G54" t="str">
        <x:v>Entrega estados vehiculares a Alertas; ninguna LICENCIA exige un vehículo asociado.</x:v>
      </x:c>
      <x:c r="H54" t="str">
        <x:v>FUTURO</x:v>
      </x:c>
      <x:c r="I54" t="str">
        <x:v>Motor autónomo/programado excluido del MVP. La reconciliación se ejecuta al abrir RF23; coordinación con RF14 pendiente.</x:v>
      </x:c>
      <x:c r="J54" t="str">
        <x:v>Fran/Francesca: motor y RF14</x:v>
      </x:c>
      <x:c r="K54" t="str">
        <x:v>RF23!F54</x:v>
      </x:c>
      <x:c r="L54" t="str">
        <x:v>◄ RETORNO discontinuo al llamador. C y E identifican emisor y receptor; ◄ representa disposición de líneas de vida, no inversión de columnas.</x:v>
      </x:c>
    </x:row>
    <x:row r="55" ht="57" customHeight="1">
      <x:c r="A55" t="str">
        <x:v>44</x:v>
      </x:c>
      <x:c r="B55" t="str">
        <x:v>B8</x:v>
      </x:c>
      <x:c r="C55" t="str">
        <x:v>C_ControlAlerta</x:v>
      </x:c>
      <x:c r="D55" t="str">
        <x:v>────► (llamada)</x:v>
      </x:c>
      <x:c r="E55" t="str">
        <x:v>C_ControlUsuario</x:v>
      </x:c>
      <x:c r="F55" t="str">
        <x:v>solicitarEstadosCuentasPropietarias(listaIdUsuario)</x:v>
      </x:c>
      <x:c r="G55" t="str">
        <x:v>Solicita validar cuentas propietarias de TODAS las categorías, incluidas las licencias vinculadas al usuario mediante CONDUCTOR. Solo cuentas ACTIVAS continúan la evaluación.</x:v>
      </x:c>
      <x:c r="H55" t="str">
        <x:v>FUTURO</x:v>
      </x:c>
      <x:c r="I55" t="str">
        <x:v>Motor autónomo/programado excluido del MVP. La reconciliación se ejecuta al abrir RF23; coordinación con RF14 pendiente.</x:v>
      </x:c>
      <x:c r="J55" t="str">
        <x:v>Fran/Francesca: motor y RF14</x:v>
      </x:c>
      <x:c r="K55" t="str">
        <x:v>RF23!F55</x:v>
      </x:c>
      <x:c r="L55" t="str">
        <x:v>► LLAMADA: operación desde el objeto de C hacia el de E; comprobar contrato y autorización.</x:v>
      </x:c>
    </x:row>
    <x:row r="56" ht="57" customHeight="1">
      <x:c r="A56" t="str">
        <x:v>45</x:v>
      </x:c>
      <x:c r="B56" t="str">
        <x:v>B8</x:v>
      </x:c>
      <x:c r="C56" t="str">
        <x:v>C_ControlUsuario</x:v>
      </x:c>
      <x:c r="D56" t="str">
        <x:v>────► (llamada)</x:v>
      </x:c>
      <x:c r="E56" t="str">
        <x:v>E_Usuario</x:v>
      </x:c>
      <x:c r="F56" t="str">
        <x:v>consultarEstadosCuentas(listaIdUsuario)</x:v>
      </x:c>
      <x:c r="G56" t="str">
        <x:v>Consulta estado de cuentas de los id_usuario obtenidos de las alertas candidatas, incluidas LICENCIA sin id_vehiculo.</x:v>
      </x:c>
      <x:c r="H56" t="str">
        <x:v>FUTURO</x:v>
      </x:c>
      <x:c r="I56" t="str">
        <x:v>Motor autónomo/programado excluido del MVP. La reconciliación se ejecuta al abrir RF23; coordinación con RF14 pendiente.</x:v>
      </x:c>
      <x:c r="J56" t="str">
        <x:v>Fran/Francesca: motor y RF14</x:v>
      </x:c>
      <x:c r="K56" t="str">
        <x:v>RF23!F56</x:v>
      </x:c>
      <x:c r="L56" t="str">
        <x:v>► LLAMADA: operación desde el objeto de C hacia el de E; comprobar contrato y autorización.</x:v>
      </x:c>
    </x:row>
    <x:row r="57" ht="57" customHeight="1">
      <x:c r="A57" t="str">
        <x:v>46</x:v>
      </x:c>
      <x:c r="B57" t="str">
        <x:v>B8</x:v>
      </x:c>
      <x:c r="C57" t="str">
        <x:v>E_Usuario</x:v>
      </x:c>
      <x:c r="D57" t="str">
        <x:v>◄ ─ ─ (return)</x:v>
      </x:c>
      <x:c r="E57" t="str">
        <x:v>C_ControlUsuario</x:v>
      </x:c>
      <x:c r="F57" t="str">
        <x:v>retornarEstadosCuentas(estadosCuenta)</x:v>
      </x:c>
      <x:c r="G57" t="str">
        <x:v>La entidad devuelve el estado real de cada usuario según el catálogo ACTIVA, SUSPENDIDA y PENDIENTE_ELIMINACION. El motor de alertas continuará únicamente con cuentas ACTIVA y omitirá el resto, sin modificar alertas históricas. Una cuenta eliminada físicamente no mantiene un estado ELIMINADA_DEFINITIVA en usuario.estado_cuenta.</x:v>
      </x:c>
      <x:c r="H57" t="str">
        <x:v>FUTURO</x:v>
      </x:c>
      <x:c r="I57" t="str">
        <x:v>Motor autónomo/programado excluido del MVP. La reconciliación se ejecuta al abrir RF23; coordinación con RF14 pendiente.</x:v>
      </x:c>
      <x:c r="J57" t="str">
        <x:v>Fran/Francesca: motor y RF14</x:v>
      </x:c>
      <x:c r="K57" t="str">
        <x:v>RF23!F57</x:v>
      </x:c>
      <x:c r="L57" t="str">
        <x:v>◄ RETORNO discontinuo al llamador. C y E identifican emisor y receptor; ◄ representa disposición de líneas de vida, no inversión de columnas.</x:v>
      </x:c>
    </x:row>
    <x:row r="58" ht="57" customHeight="1">
      <x:c r="A58" t="str">
        <x:v>47</x:v>
      </x:c>
      <x:c r="B58" t="str">
        <x:v>B8</x:v>
      </x:c>
      <x:c r="C58" t="str">
        <x:v>C_ControlUsuario</x:v>
      </x:c>
      <x:c r="D58" t="str">
        <x:v>◄ ─ ─ (return)</x:v>
      </x:c>
      <x:c r="E58" t="str">
        <x:v>C_ControlAlerta</x:v>
      </x:c>
      <x:c r="F58" t="str">
        <x:v>retornarEstadosCuentas(estadosCuenta)</x:v>
      </x:c>
      <x:c r="G58" t="str">
        <x:v>Devuelve los estados reales de las cuentas existentes propietarias de alertas vehiculares y personales (ACTIVA, SUSPENDIDA o PENDIENTE_ELIMINACION). El motor procesa únicamente cuentas ACTIVA; para las demás no genera nuevas transiciones ni avisos. Una cuenta eliminada físicamente no tiene fila ni estado en usuario, y no se presume la conservación de sus alertas o historial_alerta, que dependen de las relaciones de eliminación y la política de retención.</x:v>
      </x:c>
      <x:c r="H58" t="str">
        <x:v>FUTURO</x:v>
      </x:c>
      <x:c r="I58" t="str">
        <x:v>Motor autónomo/programado excluido del MVP. La reconciliación se ejecuta al abrir RF23; coordinación con RF14 pendiente.</x:v>
      </x:c>
      <x:c r="J58" t="str">
        <x:v>Fran/Francesca: motor y RF14</x:v>
      </x:c>
      <x:c r="K58" t="str">
        <x:v>RF23!F58</x:v>
      </x:c>
      <x:c r="L58" t="str">
        <x:v>◄ RETORNO discontinuo al llamador. C y E identifican emisor y receptor; ◄ representa disposición de líneas de vida, no inversión de columnas.</x:v>
      </x:c>
    </x:row>
    <x:row r="59" ht="57" customHeight="1">
      <x:c r="A59" t="str">
        <x:v>48</x:v>
      </x:c>
      <x:c r="B59" t="str">
        <x:v>B8</x:v>
      </x:c>
      <x:c r="C59" t="str">
        <x:v>C_ControlAlerta</x:v>
      </x:c>
      <x:c r="D59" t="str">
        <x:v>↩ (auto-msg)</x:v>
      </x:c>
      <x:c r="E59" t="str">
        <x:v>C_ControlAlerta</x:v>
      </x:c>
      <x:c r="F59" t="str">
        <x:v>clasificarAlertasPorCuentaYCategoriaYRequisitoVehiculo(listaAlertas,estadosVehiculo,estadosCuenta)</x:v>
      </x:c>
      <x:c r="G59" t="str">
        <x:v>Separa MANTENIMIENTO/SOAT (requieren cuenta ACTIVA + vehículo ACTIVO) y LICENCIA (solo cuenta ACTIVA; no requiere vehículo). SOAT exige recordatorioActivo=true. Conserva alertas VENCIDAS candidatas a cierre. Prepara id_licencia e id_usuario para comprobación administrativa en 49–53; kilometraje solo se identificará para MANTENIMIENTO.</x:v>
      </x:c>
      <x:c r="H59" t="str">
        <x:v>FUTURO</x:v>
      </x:c>
      <x:c r="I59" t="str">
        <x:v>Motor autónomo/programado excluido del MVP. La reconciliación se ejecuta al abrir RF23; coordinación con RF14 pendiente.</x:v>
      </x:c>
      <x:c r="J59" t="str">
        <x:v>Fran/Francesca: motor y RF14</x:v>
      </x:c>
      <x:c r="K59" t="str">
        <x:v>RF23!F59</x:v>
      </x:c>
      <x:c r="L59" t="str">
        <x:v>↩ AUTO-MENSAJE: mismo objeto; lógica local, no salto de capa.</x:v>
      </x:c>
    </x:row>
    <x:row r="60" ht="57" customHeight="1">
      <x:c r="A60" t="str">
        <x:v>49</x:v>
      </x:c>
      <x:c r="B60" t="str">
        <x:v>B8</x:v>
      </x:c>
      <x:c r="C60" t="str">
        <x:v>C_ControlAlerta</x:v>
      </x:c>
      <x:c r="D60" t="str">
        <x:v>────► (llamada)</x:v>
      </x:c>
      <x:c r="E60" t="str">
        <x:v>C_ControlLicencia</x:v>
      </x:c>
      <x:c r="F60" t="str">
        <x:v>solicitarElegibilidadLicenciasAlertas(listaIdLicencia,listaIdUsuario)</x:v>
      </x:c>
      <x:c r="G60" t="str">
        <x:v>Si hay LICENCIAS candidatas, solicita comprobar vigencia de la asociación LICENCIA→CONDUCTOR→USUARIO, fecha de revalidación y estado administrativo. No consulta E_Vehiculo. Si no hay LICENCIAS, se omiten 49–52 y datosLicenciasValidadas={}.</x:v>
      </x:c>
      <x:c r="H60" t="str">
        <x:v>FUTURO</x:v>
      </x:c>
      <x:c r="I60" t="str">
        <x:v>Motor autónomo/programado excluido del MVP. La reconciliación se ejecuta al abrir RF23; coordinación con RF14 pendiente.</x:v>
      </x:c>
      <x:c r="J60" t="str">
        <x:v>Fran/Francesca: motor y RF14</x:v>
      </x:c>
      <x:c r="K60" t="str">
        <x:v>RF23!F60</x:v>
      </x:c>
      <x:c r="L60" t="str">
        <x:v>► LLAMADA: operación desde el objeto de C hacia el de E; comprobar contrato y autorización.</x:v>
      </x:c>
    </x:row>
    <x:row r="61" ht="57" customHeight="1">
      <x:c r="A61" t="str">
        <x:v>50</x:v>
      </x:c>
      <x:c r="B61" t="str">
        <x:v>B8</x:v>
      </x:c>
      <x:c r="C61" t="str">
        <x:v>C_ControlLicencia</x:v>
      </x:c>
      <x:c r="D61" t="str">
        <x:v>────► (llamada)</x:v>
      </x:c>
      <x:c r="E61" t="str">
        <x:v>E_Licencia</x:v>
      </x:c>
      <x:c r="F61" t="str">
        <x:v>consultarLicenciasConTitularidadYEstado(listaIdLicencia,listaIdUsuario)</x:v>
      </x:c>
      <x:c r="G61" t="str">
        <x:v>Consulta licencias con sus conductores y propietario real, fecha_revalidacion y estado administrativo. No requiere id_vehiculo ni acceso a kilometraje; aplica validación de pertenencia.</x:v>
      </x:c>
      <x:c r="H61" t="str">
        <x:v>FUTURO</x:v>
      </x:c>
      <x:c r="I61" t="str">
        <x:v>Motor autónomo/programado excluido del MVP. La reconciliación se ejecuta al abrir RF23; coordinación con RF14 pendiente.</x:v>
      </x:c>
      <x:c r="J61" t="str">
        <x:v>Fran/Francesca: motor y RF14</x:v>
      </x:c>
      <x:c r="K61" t="str">
        <x:v>RF23!F61</x:v>
      </x:c>
      <x:c r="L61" t="str">
        <x:v>► LLAMADA: operación desde el objeto de C hacia el de E; comprobar contrato y autorización.</x:v>
      </x:c>
    </x:row>
    <x:row r="62" ht="57" customHeight="1">
      <x:c r="A62" t="str">
        <x:v>51</x:v>
      </x:c>
      <x:c r="B62" t="str">
        <x:v>B8</x:v>
      </x:c>
      <x:c r="C62" t="str">
        <x:v>E_Licencia</x:v>
      </x:c>
      <x:c r="D62" t="str">
        <x:v>◄ ─ ─ (return)</x:v>
      </x:c>
      <x:c r="E62" t="str">
        <x:v>C_ControlLicencia</x:v>
      </x:c>
      <x:c r="F62" t="str">
        <x:v>retornarDatosLicenciasParaEvaluacion(datosLicencias)</x:v>
      </x:c>
      <x:c r="G62" t="str">
        <x:v>Devuelve licencias encontradas, propietario, estado administrativo y fecha_revalidacion. VIGENTE, SUSPENDIDA y VENCIDA son elegibles según RF51; CANCELADA y NO_DETERMINADA u otros estados no habilitados no lo son.</x:v>
      </x:c>
      <x:c r="H62" t="str">
        <x:v>FUTURO</x:v>
      </x:c>
      <x:c r="I62" t="str">
        <x:v>Motor autónomo/programado excluido del MVP. La reconciliación se ejecuta al abrir RF23; coordinación con RF14 pendiente.</x:v>
      </x:c>
      <x:c r="J62" t="str">
        <x:v>Fran/Francesca: motor y RF14</x:v>
      </x:c>
      <x:c r="K62" t="str">
        <x:v>RF23!F62</x:v>
      </x:c>
      <x:c r="L62" t="str">
        <x:v>◄ RETORNO discontinuo al llamador. C y E identifican emisor y receptor; ◄ representa disposición de líneas de vida, no inversión de columnas.</x:v>
      </x:c>
    </x:row>
    <x:row r="63" ht="57" customHeight="1">
      <x:c r="A63" t="str">
        <x:v>52</x:v>
      </x:c>
      <x:c r="B63" t="str">
        <x:v>B8</x:v>
      </x:c>
      <x:c r="C63" t="str">
        <x:v>C_ControlLicencia</x:v>
      </x:c>
      <x:c r="D63" t="str">
        <x:v>◄ ─ ─ (return)</x:v>
      </x:c>
      <x:c r="E63" t="str">
        <x:v>C_ControlAlerta</x:v>
      </x:c>
      <x:c r="F63" t="str">
        <x:v>retornarElegibilidadLicencias(datosLicenciasValidadas)</x:v>
      </x:c>
      <x:c r="G63" t="str">
        <x:v>Informa qué LICENCIAS mantienen titularidad y estado administrativo elegibles. SUSPENDIDA conserva su advertencia propia sin mezclarse con el estado temporal de la alerta.</x:v>
      </x:c>
      <x:c r="H63" t="str">
        <x:v>FUTURO</x:v>
      </x:c>
      <x:c r="I63" t="str">
        <x:v>Motor autónomo/programado excluido del MVP. La reconciliación se ejecuta al abrir RF23; coordinación con RF14 pendiente.</x:v>
      </x:c>
      <x:c r="J63" t="str">
        <x:v>Fran/Francesca: motor y RF14</x:v>
      </x:c>
      <x:c r="K63" t="str">
        <x:v>RF23!F63</x:v>
      </x:c>
      <x:c r="L63" t="str">
        <x:v>◄ RETORNO discontinuo al llamador. C y E identifican emisor y receptor; ◄ representa disposición de líneas de vida, no inversión de columnas.</x:v>
      </x:c>
    </x:row>
    <x:row r="64" ht="57" customHeight="1">
      <x:c r="A64" t="str">
        <x:v>53</x:v>
      </x:c>
      <x:c r="B64" t="str">
        <x:v>B8</x:v>
      </x:c>
      <x:c r="C64" t="str">
        <x:v>C_ControlAlerta</x:v>
      </x:c>
      <x:c r="D64" t="str">
        <x:v>↩ (auto-msg)</x:v>
      </x:c>
      <x:c r="E64" t="str">
        <x:v>C_ControlAlerta</x:v>
      </x:c>
      <x:c r="F64" t="str">
        <x:v>filtrarLicenciasElegiblesYDetectarNecesidadKm(listaAlertasCandidatas,datosLicenciasValidadas)</x:v>
      </x:c>
      <x:c r="G64" t="str">
        <x:v>Separa listaAlertasActivas (LICENCIA con titularidad y estado administrativo VIGENTE/SUSPENDIDA/VENCIDA, más alertas vehiculares elegibles) y idsAlertasLicenciaNoElegibles para conciliación de avisos cuando el estado administrativo sea CANCELADA/NO_DETERMINADA. Las no elegibles NO entran al recálculo temporal, NO originan nuevas notificaciones ni cambios automáticos en E_Alerta; PERO sus identificadores llegan a E_Notificacion (pasos 65–66) para retirar/suspender cualquier aviso interno PENDIENTE ya existente, sin eliminar alerta ni historial. Si una licencia recupera elegibilidad, se evalúa la misma id_alerta. La comprobación de estado/titularidad se repite dentro de la transacción antes de cerrar un aviso. Para MANTENIMIENTO prepara listaIdVehiculoKm solo con POR_KILOMETRAJE/AMBOS; SOAT/LICENCIA jamás requieren km.</x:v>
      </x:c>
      <x:c r="H64" t="str">
        <x:v>FUTURO</x:v>
      </x:c>
      <x:c r="I64" t="str">
        <x:v>Motor autónomo/programado excluido del MVP. La reconciliación se ejecuta al abrir RF23; coordinación con RF14 pendiente.</x:v>
      </x:c>
      <x:c r="J64" t="str">
        <x:v>Fran/Francesca: motor y RF14</x:v>
      </x:c>
      <x:c r="K64" t="str">
        <x:v>RF23!F64</x:v>
      </x:c>
      <x:c r="L64" t="str">
        <x:v>↩ AUTO-MENSAJE: mismo objeto; lógica local, no salto de capa.</x:v>
      </x:c>
    </x:row>
    <x:row r="65" ht="28.799999237060547" customHeight="1">
      <x:c r="A65" t="str">
        <x:v>BLOQUE 9 — EVALUACIÓN Y PERSISTENCIA AUTOMÁTICA — Mensajes 54–62</x:v>
      </x:c>
      <x:c r="B65"/>
      <x:c r="C65"/>
      <x:c r="D65"/>
      <x:c r="E65"/>
      <x:c r="F65"/>
      <x:c r="G65"/>
      <x:c r="H65"/>
      <x:c r="I65"/>
      <x:c r="J65"/>
      <x:c r="K65"/>
      <x:c r="L65"/>
    </x:row>
    <x:row r="66" ht="57" customHeight="1">
      <x:c r="A66" t="str">
        <x:v>54</x:v>
      </x:c>
      <x:c r="B66" t="str">
        <x:v>B9</x:v>
      </x:c>
      <x:c r="C66" t="str">
        <x:v>C_ControlAlerta</x:v>
      </x:c>
      <x:c r="D66" t="str">
        <x:v>────► (llamada)</x:v>
      </x:c>
      <x:c r="E66" t="str">
        <x:v>C_ControlKilometraje</x:v>
      </x:c>
      <x:c r="F66" t="str">
        <x:v>solicitarUltimosKilometrajes(listaIdVehiculoKm)</x:v>
      </x:c>
      <x:c r="G66" t="str">
        <x:v>Se ejecuta SOLO para MANTENIMIENTO con criterio POR_KILOMETRAJE o AMBOS de un vehículo ACTIVO. Si listaIdVehiculoKm está vacía, omitir los mensajes 54–57 y usar lecturasPorVehiculoOpcional={}. LICENCIA y SOAT nunca consultan kilometraje; RF23 no altera lecturas RF14.</x:v>
      </x:c>
      <x:c r="H66" t="str">
        <x:v>FUTURO</x:v>
      </x:c>
      <x:c r="I66" t="str">
        <x:v>Motor autónomo/programado excluido del MVP. La reconciliación se ejecuta al abrir RF23; coordinación con RF14 pendiente.</x:v>
      </x:c>
      <x:c r="J66" t="str">
        <x:v>Fran/Francesca: motor y RF14</x:v>
      </x:c>
      <x:c r="K66" t="str">
        <x:v>RF23!F66</x:v>
      </x:c>
      <x:c r="L66" t="str">
        <x:v>► LLAMADA: operación desde el objeto de C hacia el de E; comprobar contrato y autorización.</x:v>
      </x:c>
    </x:row>
    <x:row r="67" ht="57" customHeight="1">
      <x:c r="A67" t="str">
        <x:v>55</x:v>
      </x:c>
      <x:c r="B67" t="str">
        <x:v>B9</x:v>
      </x:c>
      <x:c r="C67" t="str">
        <x:v>C_ControlKilometraje</x:v>
      </x:c>
      <x:c r="D67" t="str">
        <x:v>────► (llamada)</x:v>
      </x:c>
      <x:c r="E67" t="str">
        <x:v>E_Kilometraje</x:v>
      </x:c>
      <x:c r="F67" t="str">
        <x:v>consultarUltimasLecturasValidas(listaIdVehiculoKm)</x:v>
      </x:c>
      <x:c r="G67" t="str">
        <x:v>Consulta la última lectura VALIDA efectiva de cada vehículo, considerando correcciones vigentes.</x:v>
      </x:c>
      <x:c r="H67" t="str">
        <x:v>FUTURO</x:v>
      </x:c>
      <x:c r="I67" t="str">
        <x:v>Motor autónomo/programado excluido del MVP. La reconciliación se ejecuta al abrir RF23; coordinación con RF14 pendiente.</x:v>
      </x:c>
      <x:c r="J67" t="str">
        <x:v>Fran/Francesca: motor y RF14</x:v>
      </x:c>
      <x:c r="K67" t="str">
        <x:v>RF23!F67</x:v>
      </x:c>
      <x:c r="L67" t="str">
        <x:v>► LLAMADA: operación desde el objeto de C hacia el de E; comprobar contrato y autorización.</x:v>
      </x:c>
    </x:row>
    <x:row r="68" ht="57" customHeight="1">
      <x:c r="A68" t="str">
        <x:v>56</x:v>
      </x:c>
      <x:c r="B68" t="str">
        <x:v>B9</x:v>
      </x:c>
      <x:c r="C68" t="str">
        <x:v>E_Kilometraje</x:v>
      </x:c>
      <x:c r="D68" t="str">
        <x:v>◄ ─ ─ (return)</x:v>
      </x:c>
      <x:c r="E68" t="str">
        <x:v>C_ControlKilometraje</x:v>
      </x:c>
      <x:c r="F68" t="str">
        <x:v>retornarUltimasLecturasValidas(lecturasPorVehiculo)</x:v>
      </x:c>
      <x:c r="G68" t="str">
        <x:v>La entidad devuelve kilometraje y fecha de lectura por vehículo.</x:v>
      </x:c>
      <x:c r="H68" t="str">
        <x:v>FUTURO</x:v>
      </x:c>
      <x:c r="I68" t="str">
        <x:v>Motor autónomo/programado excluido del MVP. La reconciliación se ejecuta al abrir RF23; coordinación con RF14 pendiente.</x:v>
      </x:c>
      <x:c r="J68" t="str">
        <x:v>Fran/Francesca: motor y RF14</x:v>
      </x:c>
      <x:c r="K68" t="str">
        <x:v>RF23!F68</x:v>
      </x:c>
      <x:c r="L68" t="str">
        <x:v>◄ RETORNO discontinuo al llamador. C y E identifican emisor y receptor; ◄ representa disposición de líneas de vida, no inversión de columnas.</x:v>
      </x:c>
    </x:row>
    <x:row r="69" ht="57" customHeight="1">
      <x:c r="A69" t="str">
        <x:v>57</x:v>
      </x:c>
      <x:c r="B69" t="str">
        <x:v>B9</x:v>
      </x:c>
      <x:c r="C69" t="str">
        <x:v>C_ControlKilometraje</x:v>
      </x:c>
      <x:c r="D69" t="str">
        <x:v>◄ ─ ─ (return)</x:v>
      </x:c>
      <x:c r="E69" t="str">
        <x:v>C_ControlAlerta</x:v>
      </x:c>
      <x:c r="F69" t="str">
        <x:v>retornarUltimosKilometrajes(lecturasPorVehiculo)</x:v>
      </x:c>
      <x:c r="G69" t="str">
        <x:v>C_ControlKilometraje entrega a C_ControlAlerta las últimas lecturas válidas requeridas para evaluar automáticamente las alertas POR_KILOMETRAJE o AMBOS.</x:v>
      </x:c>
      <x:c r="H69" t="str">
        <x:v>FUTURO</x:v>
      </x:c>
      <x:c r="I69" t="str">
        <x:v>Motor autónomo/programado excluido del MVP. La reconciliación se ejecuta al abrir RF23; coordinación con RF14 pendiente.</x:v>
      </x:c>
      <x:c r="J69" t="str">
        <x:v>Fran/Francesca: motor y RF14</x:v>
      </x:c>
      <x:c r="K69" t="str">
        <x:v>RF23!F69</x:v>
      </x:c>
      <x:c r="L69" t="str">
        <x:v>◄ RETORNO discontinuo al llamador. C y E identifican emisor y receptor; ◄ representa disposición de líneas de vida, no inversión de columnas.</x:v>
      </x:c>
    </x:row>
    <x:row r="70" ht="57" customHeight="1">
      <x:c r="A70" t="str">
        <x:v>58</x:v>
      </x:c>
      <x:c r="B70" t="str">
        <x:v>B9</x:v>
      </x:c>
      <x:c r="C70" t="str">
        <x:v>C_ControlAlerta</x:v>
      </x:c>
      <x:c r="D70" t="str">
        <x:v>↩ (auto-msg)</x:v>
      </x:c>
      <x:c r="E70" t="str">
        <x:v>C_ControlAlerta</x:v>
      </x:c>
      <x:c r="F70" t="str">
        <x:v>evaluarEstadosYCicloVidaAutomatico(listaAlertasActivas,fechaActual,lecturasPorVehiculoOpcional)</x:v>
      </x:c>
      <x:c r="G70" t="str">
        <x:v>Evalúa de forma diferenciada por categoría. MANTENIMIENTO: tiempo y km conservan íntegramente los umbrales del paso 22; POR_KM usa umbral_km=intervalo_km×10 %, AMBOS toma el estado más avanzado. SOAT: solo fecha de vencimiento y recordatorio habilitado según RF31–RF33; no usar 10 % km ni +14 días de mantenimiento. LICENCIA (RF51 paso 45): fecha_objetivo=fecha_revalidacion, criterio=FECHA; PROGRAMADA si faltan &gt;30 días, PROXIMA si faltan 30–8 días, PENDIENTE desde 7 días ANTES hasta 14 días DESPUÉS, VENCIDA desde el día 15 posterior. En LICENCIA el estado temporal de alerta no altera el estado administrativo VIGENTE/SUSPENDIDA/VENCIDA. Cierre VENCIDA→ANULADA tras 30 días CONTINUOS con fecha_estado_actual y seguimiento todavía evaluable; no reactivar renovaciones de SOAT ni LICENCIAS terminales. Nunca pedir km para LICENCIA.</x:v>
      </x:c>
      <x:c r="H70" t="str">
        <x:v>FUTURO</x:v>
      </x:c>
      <x:c r="I70" t="str">
        <x:v>Motor autónomo/programado excluido del MVP. La reconciliación se ejecuta al abrir RF23; coordinación con RF14 pendiente.</x:v>
      </x:c>
      <x:c r="J70" t="str">
        <x:v>Fran/Francesca: motor y RF14</x:v>
      </x:c>
      <x:c r="K70" t="str">
        <x:v>RF23!F70</x:v>
      </x:c>
      <x:c r="L70" t="str">
        <x:v>↩ AUTO-MENSAJE: mismo objeto; lógica local, no salto de capa.</x:v>
      </x:c>
    </x:row>
    <x:row r="71" ht="57" customHeight="1">
      <x:c r="A71" t="str">
        <x:v>59</x:v>
      </x:c>
      <x:c r="B71" t="str">
        <x:v>B9</x:v>
      </x:c>
      <x:c r="C71" t="str">
        <x:v>C_ControlAlerta</x:v>
      </x:c>
      <x:c r="D71" t="str">
        <x:v>↩ (auto-msg)</x:v>
      </x:c>
      <x:c r="E71" t="str">
        <x:v>C_ControlAlerta</x:v>
      </x:c>
      <x:c r="F71" t="str">
        <x:v>identificarTransicionesReales(listaAlertasActivas,alertasEvaluadas)</x:v>
      </x:c>
      <x:c r="G71" t="str">
        <x:v>Compara únicamente estados temporales persistidos y calculados por categoría (MANTENIMIENTO, SOAT, LICENCIA), generando transiciones reales e idempotentes. Una alerta LICENCIA creada por RF51 no se inserta nuevamente; se actualiza la misma id_alerta.</x:v>
      </x:c>
      <x:c r="H71" t="str">
        <x:v>FUTURO</x:v>
      </x:c>
      <x:c r="I71" t="str">
        <x:v>Motor autónomo/programado excluido del MVP. La reconciliación se ejecuta al abrir RF23; coordinación con RF14 pendiente.</x:v>
      </x:c>
      <x:c r="J71" t="str">
        <x:v>Fran/Francesca: motor y RF14</x:v>
      </x:c>
      <x:c r="K71" t="str">
        <x:v>RF23!F71</x:v>
      </x:c>
      <x:c r="L71" t="str">
        <x:v>↩ AUTO-MENSAJE: mismo objeto; lógica local, no salto de capa.</x:v>
      </x:c>
    </x:row>
    <x:row r="72" ht="57" customHeight="1">
      <x:c r="A72" t="str">
        <x:v>60</x:v>
      </x:c>
      <x:c r="B72" t="str">
        <x:v>B9</x:v>
      </x:c>
      <x:c r="C72" t="str">
        <x:v>C_ControlAlerta</x:v>
      </x:c>
      <x:c r="D72" t="str">
        <x:v>↩ (auto-msg)</x:v>
      </x:c>
      <x:c r="E72" t="str">
        <x:v>C_ControlAlerta</x:v>
      </x:c>
      <x:c r="F72" t="str">
        <x:v>iniciarReconciliacionAutomaticaTransaccional(transicionesReales,idsAlertasLicenciaNoElegibles,fechaActual)</x:v>
      </x:c>
      <x:c r="G72" t="str">
        <x:v>Abre transacción compartida para E_Alerta, E_HistorialAlerta y E_Notificacion incluso si no hay transición de E_Alerta pero sí una notificación PENDIENTE de licencia no elegible por retirar. Revalida cuentas ACTIVAS, vehículos ACTIVOS solo para categorías vehiculares y, para LICENCIA, titularidad, estado administrativo y fecha_revalidacion vigente. La regla administrativa NO cambia el estado temporal de E_Alerta ni crea historial de transición inexistente. Si una licencia recuperó elegibilidad antes de aplicar el cierre del aviso, no se cierra: se recalcula o se aborta para evitar carreras. Ante fallo obligatorio ROLLBACK total; ninguna escritura parcial.</x:v>
      </x:c>
      <x:c r="H72" t="str">
        <x:v>FUTURO</x:v>
      </x:c>
      <x:c r="I72" t="str">
        <x:v>Motor autónomo/programado excluido del MVP. La reconciliación se ejecuta al abrir RF23; coordinación con RF14 pendiente.</x:v>
      </x:c>
      <x:c r="J72" t="str">
        <x:v>Fran/Francesca: motor y RF14</x:v>
      </x:c>
      <x:c r="K72" t="str">
        <x:v>RF23!F72</x:v>
      </x:c>
      <x:c r="L72" t="str">
        <x:v>↩ AUTO-MENSAJE: mismo objeto; lógica local, no salto de capa.</x:v>
      </x:c>
    </x:row>
    <x:row r="73" ht="57" customHeight="1">
      <x:c r="A73" t="str">
        <x:v>61</x:v>
      </x:c>
      <x:c r="B73" t="str">
        <x:v>B9</x:v>
      </x:c>
      <x:c r="C73" t="str">
        <x:v>C_ControlAlerta</x:v>
      </x:c>
      <x:c r="D73" t="str">
        <x:v>────► (llamada)</x:v>
      </x:c>
      <x:c r="E73" t="str">
        <x:v>E_Alerta</x:v>
      </x:c>
      <x:c r="F73" t="str">
        <x:v>actualizarEstadosAutomaticosSiCorresponde(transicionesReales,fechaActual)</x:v>
      </x:c>
      <x:c r="G73" t="str">
        <x:v>Actualiza SOLO transiciones vigentes confirmadas mediante comparación de estado anterior y versión/fecha objetiva. LICENCIA conserva el mismo id_alerta e id_licencia que RF51, id_vehiculo=NULL; no crea duplicados. Actualiza fecha_estado_actual si corresponde y admite VENCIDA→ANULADA al cumplir 30 días continuos. Persistencia dentro de la transacción abierta en el paso 60; COMMIT exclusivamente en el paso 69.</x:v>
      </x:c>
      <x:c r="H73" t="str">
        <x:v>FUTURO</x:v>
      </x:c>
      <x:c r="I73" t="str">
        <x:v>Motor autónomo/programado excluido del MVP. La reconciliación se ejecuta al abrir RF23; coordinación con RF14 pendiente.</x:v>
      </x:c>
      <x:c r="J73" t="str">
        <x:v>Fran/Francesca: motor y RF14</x:v>
      </x:c>
      <x:c r="K73" t="str">
        <x:v>RF23!F73</x:v>
      </x:c>
      <x:c r="L73" t="str">
        <x:v>► LLAMADA: operación desde el objeto de C hacia el de E; comprobar contrato y autorización.</x:v>
      </x:c>
    </x:row>
    <x:row r="74" ht="57" customHeight="1">
      <x:c r="A74" t="str">
        <x:v>62</x:v>
      </x:c>
      <x:c r="B74" t="str">
        <x:v>B9</x:v>
      </x:c>
      <x:c r="C74" t="str">
        <x:v>E_Alerta</x:v>
      </x:c>
      <x:c r="D74" t="str">
        <x:v>◄ ─ ─ (return)</x:v>
      </x:c>
      <x:c r="E74" t="str">
        <x:v>C_ControlAlerta</x:v>
      </x:c>
      <x:c r="F74" t="str">
        <x:v>retornarEstadosAutomaticosActualizados(listaAlertasActualizada,transicionesAplicadas)</x:v>
      </x:c>
      <x:c r="G74" t="str">
        <x:v>La entidad devuelve los estados vigentes y las transiciones efectivamente aplicadas.</x:v>
      </x:c>
      <x:c r="H74" t="str">
        <x:v>FUTURO</x:v>
      </x:c>
      <x:c r="I74" t="str">
        <x:v>Motor autónomo/programado excluido del MVP. La reconciliación se ejecuta al abrir RF23; coordinación con RF14 pendiente.</x:v>
      </x:c>
      <x:c r="J74" t="str">
        <x:v>Fran/Francesca: motor y RF14</x:v>
      </x:c>
      <x:c r="K74" t="str">
        <x:v>RF23!F74</x:v>
      </x:c>
      <x:c r="L74" t="str">
        <x:v>◄ RETORNO discontinuo al llamador. C y E identifican emisor y receptor; ◄ representa disposición de líneas de vida, no inversión de columnas.</x:v>
      </x:c>
    </x:row>
    <x:row r="75" ht="28.799999237060547" customHeight="1">
      <x:c r="A75" t="str">
        <x:v>BLOQUE 10 — HISTORIAL, NOTIFICACIONES Y COMMIT — Mensajes 63–69</x:v>
      </x:c>
      <x:c r="B75"/>
      <x:c r="C75"/>
      <x:c r="D75"/>
      <x:c r="E75"/>
      <x:c r="F75"/>
      <x:c r="G75"/>
      <x:c r="H75"/>
      <x:c r="I75"/>
      <x:c r="J75"/>
      <x:c r="K75"/>
      <x:c r="L75"/>
    </x:row>
    <x:row r="76" ht="57" customHeight="1">
      <x:c r="A76" t="str">
        <x:v>63</x:v>
      </x:c>
      <x:c r="B76" t="str">
        <x:v>B10</x:v>
      </x:c>
      <x:c r="C76" t="str">
        <x:v>C_ControlAlerta</x:v>
      </x:c>
      <x:c r="D76" t="str">
        <x:v>────► (llamada)</x:v>
      </x:c>
      <x:c r="E76" t="str">
        <x:v>E_HistorialAlerta</x:v>
      </x:c>
      <x:c r="F76" t="str">
        <x:v>registrarTransicionesAutomaticasSiCorresponde(transicionesAplicadas,AUTOMATICO)</x:v>
      </x:c>
      <x:c r="G76" t="str">
        <x:v>Registra en E_HistorialAlerta únicamente las transiciones aplicadas de las tres categorías, en la misma transacción. Incluye LICENCIA de RF51 sin duplicar su historial INICIAL, y VENCIDA→ANULADA con motivo VENCIMIENTO_30_DIAS. Fallo de historial =&gt; ROLLBACK; sin transición no agrega historia.</x:v>
      </x:c>
      <x:c r="H76" t="str">
        <x:v>FUTURO</x:v>
      </x:c>
      <x:c r="I76" t="str">
        <x:v>Motor autónomo/programado excluido del MVP. La reconciliación se ejecuta al abrir RF23; coordinación con RF14 pendiente.</x:v>
      </x:c>
      <x:c r="J76" t="str">
        <x:v>Fran/Francesca: motor y RF14</x:v>
      </x:c>
      <x:c r="K76" t="str">
        <x:v>RF23!F76</x:v>
      </x:c>
      <x:c r="L76" t="str">
        <x:v>► LLAMADA: operación desde el objeto de C hacia el de E; comprobar contrato y autorización.</x:v>
      </x:c>
    </x:row>
    <x:row r="77" ht="57" customHeight="1">
      <x:c r="A77" t="str">
        <x:v>64</x:v>
      </x:c>
      <x:c r="B77" t="str">
        <x:v>B10</x:v>
      </x:c>
      <x:c r="C77" t="str">
        <x:v>E_HistorialAlerta</x:v>
      </x:c>
      <x:c r="D77" t="str">
        <x:v>◄ ─ ─ (return)</x:v>
      </x:c>
      <x:c r="E77" t="str">
        <x:v>C_ControlAlerta</x:v>
      </x:c>
      <x:c r="F77" t="str">
        <x:v>retornarTransicionesRegistradas(idsHistorial)</x:v>
      </x:c>
      <x:c r="G77" t="str">
        <x:v>La entidad confirma los registros creados; si no hubo transición, no genera historial innecesario.</x:v>
      </x:c>
      <x:c r="H77" t="str">
        <x:v>FUTURO</x:v>
      </x:c>
      <x:c r="I77" t="str">
        <x:v>Motor autónomo/programado excluido del MVP. La reconciliación se ejecuta al abrir RF23; coordinación con RF14 pendiente.</x:v>
      </x:c>
      <x:c r="J77" t="str">
        <x:v>Fran/Francesca: motor y RF14</x:v>
      </x:c>
      <x:c r="K77" t="str">
        <x:v>RF23!F77</x:v>
      </x:c>
      <x:c r="L77" t="str">
        <x:v>◄ RETORNO discontinuo al llamador. C y E identifican emisor y receptor; ◄ representa disposición de líneas de vida, no inversión de columnas.</x:v>
      </x:c>
    </x:row>
    <x:row r="78" ht="57" customHeight="1">
      <x:c r="A78" t="str">
        <x:v>65</x:v>
      </x:c>
      <x:c r="B78" t="str">
        <x:v>B10</x:v>
      </x:c>
      <x:c r="C78" t="str">
        <x:v>C_ControlAlerta</x:v>
      </x:c>
      <x:c r="D78" t="str">
        <x:v>────► (llamada)</x:v>
      </x:c>
      <x:c r="E78" t="str">
        <x:v>C_ControlNotificacion</x:v>
      </x:c>
      <x:c r="F78" t="str">
        <x:v>sincronizarNotificacionesYProgramarDespachoPostCommit(listaAlertasActualizada,transicionesAplicadas,idsAlertasLicenciaNoElegibles)</x:v>
      </x:c>
      <x:c r="G78" t="str">
        <x:v>Concilia dentro de la misma transacción las notificaciones internas de MANTENIMIENTO, SOAT y LICENCIA elegibles. Incluye además las LICENCIA ahora no elegibles identificadas en 53, aunque no hayan cambiado de estado temporal, para retirar de Pendientes cualquier aviso previo y conservar su trazabilidad sin nuevos push. Reevalúa primero la elegibilidad conforme a 60. Un solo aviso activo por alerta, operación idempotente. Los push de LICENCIA siguen PENDIENTES de habilitación por RF46; solo categorías admitidas se despachan post-COMMIT.</x:v>
      </x:c>
      <x:c r="H78" t="str">
        <x:v>FUTURO</x:v>
      </x:c>
      <x:c r="I78" t="str">
        <x:v>Motor autónomo/programado excluido del MVP. La reconciliación se ejecuta al abrir RF23; coordinación con RF14 pendiente.</x:v>
      </x:c>
      <x:c r="J78" t="str">
        <x:v>Fran/Francesca: motor y RF14</x:v>
      </x:c>
      <x:c r="K78" t="str">
        <x:v>RF23!F78</x:v>
      </x:c>
      <x:c r="L78" t="str">
        <x:v>► LLAMADA: operación desde el objeto de C hacia el de E; comprobar contrato y autorización.</x:v>
      </x:c>
    </x:row>
    <x:row r="79" ht="57" customHeight="1">
      <x:c r="A79" t="str">
        <x:v>66</x:v>
      </x:c>
      <x:c r="B79" t="str">
        <x:v>B10</x:v>
      </x:c>
      <x:c r="C79" t="str">
        <x:v>C_ControlNotificacion</x:v>
      </x:c>
      <x:c r="D79" t="str">
        <x:v>────► (llamada)</x:v>
      </x:c>
      <x:c r="E79" t="str">
        <x:v>E_Notificacion</x:v>
      </x:c>
      <x:c r="F79" t="str">
        <x:v>crearMantenerOCerrarSegunEstadoAlertaPorLote(listaAlertasActualizada,fechaActual,idsAlertasLicenciaNoElegibles)</x:v>
      </x:c>
      <x:c r="G79" t="str">
        <x:v>Operación POR LOTE en E_Notificacion. Regla normal: PROGRAMADA sin aviso activo; PRÓXIMA/PENDIENTE con un único aviso interno; VENCIDA/ANULADA a Historial/cerrada; REALIZADA ATENDIDA. Excepción administrativa prioritaria para LICENCIA: si está CANCELADA o NO_DETERMINADA y tenía un aviso PENDIENTE, retirarlo/suspenderlo de Pendientes y conservar el registro y motivo de gestión con los estados YA soportados por E_Notificacion; NO inventar un estado nuevo de E_Alerta ni eliminar su historial, ni generar un push. Si no había aviso PENDIENTE, operación sin cambios. Si posteriormente vuelve a ser elegible, evaluar de nuevo la MISMA alerta sin duplicar notificaciones activas. Verificar la condición administrativa revalidada antes de actualizar. ROLLBACK ante fallo obligatorio.</x:v>
      </x:c>
      <x:c r="H79" t="str">
        <x:v>FUTURO</x:v>
      </x:c>
      <x:c r="I79" t="str">
        <x:v>Motor autónomo/programado excluido del MVP. La reconciliación se ejecuta al abrir RF23; coordinación con RF14 pendiente.</x:v>
      </x:c>
      <x:c r="J79" t="str">
        <x:v>Fran/Francesca: motor y RF14</x:v>
      </x:c>
      <x:c r="K79" t="str">
        <x:v>RF23!F79</x:v>
      </x:c>
      <x:c r="L79" t="str">
        <x:v>► LLAMADA: operación desde el objeto de C hacia el de E; comprobar contrato y autorización.</x:v>
      </x:c>
    </x:row>
    <x:row r="80" ht="57" customHeight="1">
      <x:c r="A80" t="str">
        <x:v>67</x:v>
      </x:c>
      <x:c r="B80" t="str">
        <x:v>B10</x:v>
      </x:c>
      <x:c r="C80" t="str">
        <x:v>E_Notificacion</x:v>
      </x:c>
      <x:c r="D80" t="str">
        <x:v>◄ ─ ─ (return)</x:v>
      </x:c>
      <x:c r="E80" t="str">
        <x:v>C_ControlNotificacion</x:v>
      </x:c>
      <x:c r="F80" t="str">
        <x:v>retornarSincronizacionAutomatica(resultadoNotificaciones)</x:v>
      </x:c>
      <x:c r="G80" t="str">
        <x:v>Retorna el resultado interno por alerta, incluidas notificaciones de LICENCIA elegibles y avisos previos retirados por falta de elegibilidad administrativa; no genera duplicados. Avisos push LICENCIA siguen fuera del despacho hasta actualizar RF46.</x:v>
      </x:c>
      <x:c r="H80" t="str">
        <x:v>FUTURO</x:v>
      </x:c>
      <x:c r="I80" t="str">
        <x:v>Motor autónomo/programado excluido del MVP. La reconciliación se ejecuta al abrir RF23; coordinación con RF14 pendiente.</x:v>
      </x:c>
      <x:c r="J80" t="str">
        <x:v>Fran/Francesca: motor y RF14</x:v>
      </x:c>
      <x:c r="K80" t="str">
        <x:v>RF23!F80</x:v>
      </x:c>
      <x:c r="L80" t="str">
        <x:v>◄ RETORNO discontinuo al llamador. C y E identifican emisor y receptor; ◄ representa disposición de líneas de vida, no inversión de columnas.</x:v>
      </x:c>
    </x:row>
    <x:row r="81" ht="57" customHeight="1">
      <x:c r="A81" t="str">
        <x:v>68</x:v>
      </x:c>
      <x:c r="B81" t="str">
        <x:v>B10</x:v>
      </x:c>
      <x:c r="C81" t="str">
        <x:v>C_ControlNotificacion</x:v>
      </x:c>
      <x:c r="D81" t="str">
        <x:v>◄ ─ ─ (return)</x:v>
      </x:c>
      <x:c r="E81" t="str">
        <x:v>C_ControlAlerta</x:v>
      </x:c>
      <x:c r="F81" t="str">
        <x:v>retornarSincronizacionAutomatica(resultadoNotificaciones)</x:v>
      </x:c>
      <x:c r="G81" t="str">
        <x:v>Devuelve sincronizaciones internas, incluidas las retiradas administrativas, a C_ControlAlerta. Las escrituras permanecen provisionales hasta el COMMIT del paso 69. Ante fallo, ROLLBACK total.</x:v>
      </x:c>
      <x:c r="H81" t="str">
        <x:v>FUTURO</x:v>
      </x:c>
      <x:c r="I81" t="str">
        <x:v>Motor autónomo/programado excluido del MVP. La reconciliación se ejecuta al abrir RF23; coordinación con RF14 pendiente.</x:v>
      </x:c>
      <x:c r="J81" t="str">
        <x:v>Fran/Francesca: motor y RF14</x:v>
      </x:c>
      <x:c r="K81" t="str">
        <x:v>RF23!F81</x:v>
      </x:c>
      <x:c r="L81" t="str">
        <x:v>◄ RETORNO discontinuo al llamador. C y E identifican emisor y receptor; ◄ representa disposición de líneas de vida, no inversión de columnas.</x:v>
      </x:c>
    </x:row>
    <x:row r="82" ht="57" customHeight="1">
      <x:c r="A82" t="str">
        <x:v>69</x:v>
      </x:c>
      <x:c r="B82" t="str">
        <x:v>B10</x:v>
      </x:c>
      <x:c r="C82" t="str">
        <x:v>C_ControlAlerta</x:v>
      </x:c>
      <x:c r="D82" t="str">
        <x:v>↩ (auto-msg)</x:v>
      </x:c>
      <x:c r="E82" t="str">
        <x:v>C_ControlAlerta</x:v>
      </x:c>
      <x:c r="F82" t="str">
        <x:v>confirmarReconciliacionAutomaticaYHabilitarEnviosPostCommit(resultadoNotificaciones)</x:v>
      </x:c>
      <x:c r="G82" t="str">
        <x:v>COMMIT único de los cambios de E_Alerta, E_HistorialAlerta y E_Notificacion. También confirma conciliaciones de notificación de LICENCIA no elegible cuando NO existió transición de estado de E_Alerta; nunca inventa un cambio de estado ni borra la alerta. Ante fallo obligatorio ROLLBACK. Tras COMMIT, RF46 puede despachar solo categorías existentes con preferencia ON y permiso CONCEDIDO. Push de LICENCIA continúa pendiente de ampliar RF46; no se da por implementado aquí.</x:v>
      </x:c>
      <x:c r="H82" t="str">
        <x:v>FUTURO</x:v>
      </x:c>
      <x:c r="I82" t="str">
        <x:v>Motor autónomo/programado excluido del MVP. La reconciliación se ejecuta al abrir RF23; coordinación con RF14 pendiente.</x:v>
      </x:c>
      <x:c r="J82" t="str">
        <x:v>Fran/Francesca: motor y RF14</x:v>
      </x:c>
      <x:c r="K82" t="str">
        <x:v>RF23!F82</x:v>
      </x:c>
      <x:c r="L82" t="str">
        <x:v>↩ AUTO-MENSAJE: mismo objeto; lógica local, no salto de capa.</x:v>
      </x:c>
    </x:row>
    <x:row r="83" ht="57" customHeight="1">
      <x:c r="A83"/>
      <x:c r="B83"/>
      <x:c r="C83"/>
      <x:c r="D83"/>
      <x:c r="E83"/>
      <x:c r="F83"/>
      <x:c r="G83"/>
      <x:c r="H83"/>
      <x:c r="I83"/>
      <x:c r="J83"/>
      <x:c r="K83"/>
      <x:c r="L83"/>
    </x:row>
    <x:row r="84" ht="28.799999237060547" customHeight="1">
      <x:c r="A84" t="str">
        <x:v>BLOQUE 11 — PESTAÑA LICENCIA: CONSULTA PERSONAL INDEPENDIENTE — Mensajes 70–88</x:v>
      </x:c>
      <x:c r="B84"/>
      <x:c r="C84"/>
      <x:c r="D84"/>
      <x:c r="E84"/>
      <x:c r="F84"/>
      <x:c r="G84"/>
      <x:c r="H84"/>
      <x:c r="I84"/>
      <x:c r="J84"/>
      <x:c r="K84"/>
      <x:c r="L84"/>
    </x:row>
    <x:row r="85" ht="57" customHeight="1">
      <x:c r="A85" t="str">
        <x:v>70</x:v>
      </x:c>
      <x:c r="B85" t="str">
        <x:v>B11</x:v>
      </x:c>
      <x:c r="C85" t="str">
        <x:v>AS_Usuario</x:v>
      </x:c>
      <x:c r="D85" t="str">
        <x:v>────► (llamada)</x:v>
      </x:c>
      <x:c r="E85" t="str">
        <x:v>I_Alertas</x:v>
      </x:c>
      <x:c r="F85" t="str">
        <x:v>seleccionarPestanaLicencia()</x:v>
      </x:c>
      <x:c r="G85" t="str">
        <x:v>Inicio independiente de la consulta personal. El conductor pulsa LICENCIA desde la misma sección Alertas. Puede hacerlo aunque no tenga vehículos; no selecciona automóvil ni usa km.</x:v>
      </x:c>
      <x:c r="H85" t="str">
        <x:v>FUTURO</x:v>
      </x:c>
      <x:c r="I85" t="str">
        <x:v>Pestaña y consulta LICENCIA quedan «Próximamente». No consumir tablas/API de licencias.</x:v>
      </x:c>
      <x:c r="J85" t="str">
        <x:v>Licencia/SOAT/Premium fuera del MVP confirmado funcionalmente; conservar BCE histórico y no llamar APIs. Dependencias futuras por validar.</x:v>
      </x:c>
      <x:c r="K85" t="str">
        <x:v>RF23!F85</x:v>
      </x:c>
      <x:c r="L85" t="str">
        <x:v>► LLAMADA: operación desde el objeto de C hacia el de E; comprobar contrato y autorización.</x:v>
      </x:c>
    </x:row>
    <x:row r="86" ht="57" customHeight="1">
      <x:c r="A86" t="str">
        <x:v>71</x:v>
      </x:c>
      <x:c r="B86" t="str">
        <x:v>B11</x:v>
      </x:c>
      <x:c r="C86" t="str">
        <x:v>I_Alertas</x:v>
      </x:c>
      <x:c r="D86" t="str">
        <x:v>────► (llamada)</x:v>
      </x:c>
      <x:c r="E86" t="str">
        <x:v>C_ControlAlerta</x:v>
      </x:c>
      <x:c r="F86" t="str">
        <x:v>solicitarAlertasLicenciaDeUsuarioAutenticado(filtroEstado=TODAS)</x:v>
      </x:c>
      <x:c r="G86" t="str">
        <x:v>Solicita las alertas personales de revalidación. La identidad de usuario procede de la sesión autenticada; no se admite idUsuario arbitrario enviado por la interfaz. Los pasos 76–79 validan cuenta ACTIVA, titularidad y permiso de lectura de licencias conservadas tanto en FREE como en PREMIUM; el registro nuevo de licencia sigue sujeto a RF51.</x:v>
      </x:c>
      <x:c r="H86" t="str">
        <x:v>FUTURO</x:v>
      </x:c>
      <x:c r="I86" t="str">
        <x:v>Pestaña y consulta LICENCIA quedan «Próximamente». No consumir tablas/API de licencias.</x:v>
      </x:c>
      <x:c r="J86" t="str">
        <x:v>Licencia/SOAT/Premium fuera del MVP confirmado funcionalmente; conservar BCE histórico y no llamar APIs. Dependencias futuras por validar.</x:v>
      </x:c>
      <x:c r="K86" t="str">
        <x:v>RF23!F86</x:v>
      </x:c>
      <x:c r="L86" t="str">
        <x:v>► LLAMADA: operación desde el objeto de C hacia el de E; comprobar contrato y autorización.</x:v>
      </x:c>
    </x:row>
    <x:row r="87" ht="57" customHeight="1">
      <x:c r="A87" t="str">
        <x:v>72</x:v>
      </x:c>
      <x:c r="B87" t="str">
        <x:v>B11</x:v>
      </x:c>
      <x:c r="C87" t="str">
        <x:v>C_ControlAlerta</x:v>
      </x:c>
      <x:c r="D87" t="str">
        <x:v>────► (llamada)</x:v>
      </x:c>
      <x:c r="E87" t="str">
        <x:v>C_ControlUsuario</x:v>
      </x:c>
      <x:c r="F87" t="str">
        <x:v>verificarCuentaActivaParaConsultaPersonal(idUsuarioAutenticado)</x:v>
      </x:c>
      <x:c r="G87" t="str">
        <x:v>Comprueba el estado de la cuenta antes de recuperar alertas personales; no usa C_ControlVehiculo ni idVehiculo.</x:v>
      </x:c>
      <x:c r="H87" t="str">
        <x:v>FUTURO</x:v>
      </x:c>
      <x:c r="I87" t="str">
        <x:v>Pestaña y consulta LICENCIA quedan «Próximamente». No consumir tablas/API de licencias.</x:v>
      </x:c>
      <x:c r="J87" t="str">
        <x:v>Licencia/SOAT/Premium fuera del MVP confirmado funcionalmente; conservar BCE histórico y no llamar APIs. Dependencias futuras por validar.</x:v>
      </x:c>
      <x:c r="K87" t="str">
        <x:v>RF23!F87</x:v>
      </x:c>
      <x:c r="L87" t="str">
        <x:v>► LLAMADA: operación desde el objeto de C hacia el de E; comprobar contrato y autorización.</x:v>
      </x:c>
    </x:row>
    <x:row r="88" ht="57" customHeight="1">
      <x:c r="A88" t="str">
        <x:v>73</x:v>
      </x:c>
      <x:c r="B88" t="str">
        <x:v>B11</x:v>
      </x:c>
      <x:c r="C88" t="str">
        <x:v>C_ControlUsuario</x:v>
      </x:c>
      <x:c r="D88" t="str">
        <x:v>────► (llamada)</x:v>
      </x:c>
      <x:c r="E88" t="str">
        <x:v>E_Usuario</x:v>
      </x:c>
      <x:c r="F88" t="str">
        <x:v>consultarEstadoCuenta(idUsuarioAutenticado)</x:v>
      </x:c>
      <x:c r="G88" t="str">
        <x:v>Lee el estado real de la cuenta propietaria. En EF la cuenta está ACTIVA.</x:v>
      </x:c>
      <x:c r="H88" t="str">
        <x:v>FUTURO</x:v>
      </x:c>
      <x:c r="I88" t="str">
        <x:v>Pestaña y consulta LICENCIA quedan «Próximamente». No consumir tablas/API de licencias.</x:v>
      </x:c>
      <x:c r="J88" t="str">
        <x:v>Licencia/SOAT/Premium fuera del MVP confirmado funcionalmente; conservar BCE histórico y no llamar APIs. Dependencias futuras por validar.</x:v>
      </x:c>
      <x:c r="K88" t="str">
        <x:v>RF23!F88</x:v>
      </x:c>
      <x:c r="L88" t="str">
        <x:v>► LLAMADA: operación desde el objeto de C hacia el de E; comprobar contrato y autorización.</x:v>
      </x:c>
    </x:row>
    <x:row r="89" ht="57" customHeight="1">
      <x:c r="A89" t="str">
        <x:v>74</x:v>
      </x:c>
      <x:c r="B89" t="str">
        <x:v>B11</x:v>
      </x:c>
      <x:c r="C89" t="str">
        <x:v>E_Usuario</x:v>
      </x:c>
      <x:c r="D89" t="str">
        <x:v>◄ ─ ─ (return)</x:v>
      </x:c>
      <x:c r="E89" t="str">
        <x:v>C_ControlUsuario</x:v>
      </x:c>
      <x:c r="F89" t="str">
        <x:v>retornarEstadoCuenta(estadoCuenta)</x:v>
      </x:c>
      <x:c r="G89" t="str">
        <x:v>La entidad devuelve la cuenta y su estado al controlador de Usuario.</x:v>
      </x:c>
      <x:c r="H89" t="str">
        <x:v>FUTURO</x:v>
      </x:c>
      <x:c r="I89" t="str">
        <x:v>Pestaña y consulta LICENCIA quedan «Próximamente». No consumir tablas/API de licencias.</x:v>
      </x:c>
      <x:c r="J89" t="str">
        <x:v>Licencia/SOAT/Premium fuera del MVP confirmado funcionalmente; conservar BCE histórico y no llamar APIs. Dependencias futuras por validar.</x:v>
      </x:c>
      <x:c r="K89" t="str">
        <x:v>RF23!F89</x:v>
      </x:c>
      <x:c r="L89" t="str">
        <x:v>◄ RETORNO discontinuo al llamador. C y E identifican emisor y receptor; ◄ representa disposición de líneas de vida, no inversión de columnas.</x:v>
      </x:c>
    </x:row>
    <x:row r="90" ht="57" customHeight="1">
      <x:c r="A90" t="str">
        <x:v>75</x:v>
      </x:c>
      <x:c r="B90" t="str">
        <x:v>B11</x:v>
      </x:c>
      <x:c r="C90" t="str">
        <x:v>C_ControlUsuario</x:v>
      </x:c>
      <x:c r="D90" t="str">
        <x:v>◄ ─ ─ (return)</x:v>
      </x:c>
      <x:c r="E90" t="str">
        <x:v>C_ControlAlerta</x:v>
      </x:c>
      <x:c r="F90" t="str">
        <x:v>retornarValidacionCuentaActiva(idUsuarioAutenticado)</x:v>
      </x:c>
      <x:c r="G90" t="str">
        <x:v>Confirma que el usuario de sesión tiene cuenta ACTIVA. Una cuenta no elegible corresponde a escenario alternativo. Prosigue la validación de acceso a registros conservados (76–79) para cuenta ACTIVA en FREE o PREMIUM; no consulta E_Alerta antes de autorizar.</x:v>
      </x:c>
      <x:c r="H90" t="str">
        <x:v>FUTURO</x:v>
      </x:c>
      <x:c r="I90" t="str">
        <x:v>Pestaña y consulta LICENCIA quedan «Próximamente». No consumir tablas/API de licencias.</x:v>
      </x:c>
      <x:c r="J90" t="str">
        <x:v>Licencia/SOAT/Premium fuera del MVP confirmado funcionalmente; conservar BCE histórico y no llamar APIs. Dependencias futuras por validar.</x:v>
      </x:c>
      <x:c r="K90" t="str">
        <x:v>RF23!F90</x:v>
      </x:c>
      <x:c r="L90" t="str">
        <x:v>◄ RETORNO discontinuo al llamador. C y E identifican emisor y receptor; ◄ representa disposición de líneas de vida, no inversión de columnas.</x:v>
      </x:c>
    </x:row>
    <x:row r="91" ht="57" customHeight="1">
      <x:c r="A91" t="str">
        <x:v>76</x:v>
      </x:c>
      <x:c r="B91" t="str">
        <x:v>B11</x:v>
      </x:c>
      <x:c r="C91" t="str">
        <x:v>C_ControlAlerta</x:v>
      </x:c>
      <x:c r="D91" t="str">
        <x:v>────► (llamada)</x:v>
      </x:c>
      <x:c r="E91" t="str">
        <x:v>C_ControlSuscripcion</x:v>
      </x:c>
      <x:c r="F91" t="str">
        <x:v>validarPermisoLecturaAlertasLicenciaConservada(idUsuarioAutenticado)</x:v>
      </x:c>
      <x:c r="G91" t="str">
        <x:v>Las alertas de una licencia previamente registrada permanecen consultables para una cuenta ACTIVA tanto PREMIUM como FREE. La restricción Premium se aplica al REGISTRO en RF51, no a la lectura conservada.</x:v>
      </x:c>
      <x:c r="H91" t="str">
        <x:v>FUTURO</x:v>
      </x:c>
      <x:c r="I91" t="str">
        <x:v>Pestaña y consulta LICENCIA quedan «Próximamente». No consumir tablas/API de licencias.</x:v>
      </x:c>
      <x:c r="J91" t="str">
        <x:v>Licencia/SOAT/Premium fuera del MVP confirmado funcionalmente; conservar BCE histórico y no llamar APIs. Dependencias futuras por validar.</x:v>
      </x:c>
      <x:c r="K91" t="str">
        <x:v>RF23!F91</x:v>
      </x:c>
      <x:c r="L91" t="str">
        <x:v>► LLAMADA: operación desde el objeto de C hacia el de E; comprobar contrato y autorización.</x:v>
      </x:c>
    </x:row>
    <x:row r="92" ht="57" customHeight="1">
      <x:c r="A92" t="str">
        <x:v>77</x:v>
      </x:c>
      <x:c r="B92" t="str">
        <x:v>B11</x:v>
      </x:c>
      <x:c r="C92" t="str">
        <x:v>C_ControlSuscripcion</x:v>
      </x:c>
      <x:c r="D92" t="str">
        <x:v>────► (llamada)</x:v>
      </x:c>
      <x:c r="E92" t="str">
        <x:v>E_Suscripcion</x:v>
      </x:c>
      <x:c r="F92" t="str">
        <x:v>consultarPlanEfectivoYEstadoCuenta(idUsuarioAutenticado)</x:v>
      </x:c>
      <x:c r="G92" t="str">
        <x:v>Consulta plan efectivo y comprueba cuenta ACTIVA; Free con registro previo tiene lectura, sin nuevos registros de licencia.</x:v>
      </x:c>
      <x:c r="H92" t="str">
        <x:v>FUTURO</x:v>
      </x:c>
      <x:c r="I92" t="str">
        <x:v>Pestaña y consulta LICENCIA quedan «Próximamente». No consumir tablas/API de licencias.</x:v>
      </x:c>
      <x:c r="J92" t="str">
        <x:v>Licencia/SOAT/Premium fuera del MVP confirmado funcionalmente; conservar BCE histórico y no llamar APIs. Dependencias futuras por validar.</x:v>
      </x:c>
      <x:c r="K92" t="str">
        <x:v>RF23!F92</x:v>
      </x:c>
      <x:c r="L92" t="str">
        <x:v>► LLAMADA: operación desde el objeto de C hacia el de E; comprobar contrato y autorización.</x:v>
      </x:c>
    </x:row>
    <x:row r="93" ht="57" customHeight="1">
      <x:c r="A93" t="str">
        <x:v>78</x:v>
      </x:c>
      <x:c r="B93" t="str">
        <x:v>B11</x:v>
      </x:c>
      <x:c r="C93" t="str">
        <x:v>E_Suscripcion</x:v>
      </x:c>
      <x:c r="D93" t="str">
        <x:v>◄ ─ ─ (return)</x:v>
      </x:c>
      <x:c r="E93" t="str">
        <x:v>C_ControlSuscripcion</x:v>
      </x:c>
      <x:c r="F93" t="str">
        <x:v>retornarCuentaHabilitadaYPlan(FREE_O_PREMIUM,ACTIVA)</x:v>
      </x:c>
      <x:c r="G93" t="str">
        <x:v>El exitoso admite PREMIUM vigente o FREE con alerta/licencia previamente registrada y cuenta ACTIVA. Sin licencia registrada se usa flujo alternativo.</x:v>
      </x:c>
      <x:c r="H93" t="str">
        <x:v>FUTURO</x:v>
      </x:c>
      <x:c r="I93" t="str">
        <x:v>Pestaña y consulta LICENCIA quedan «Próximamente». No consumir tablas/API de licencias.</x:v>
      </x:c>
      <x:c r="J93" t="str">
        <x:v>Licencia/SOAT/Premium fuera del MVP confirmado funcionalmente; conservar BCE histórico y no llamar APIs. Dependencias futuras por validar.</x:v>
      </x:c>
      <x:c r="K93" t="str">
        <x:v>RF23!F93</x:v>
      </x:c>
      <x:c r="L93" t="str">
        <x:v>◄ RETORNO discontinuo al llamador. C y E identifican emisor y receptor; ◄ representa disposición de líneas de vida, no inversión de columnas.</x:v>
      </x:c>
    </x:row>
    <x:row r="94" ht="57" customHeight="1">
      <x:c r="A94" t="str">
        <x:v>79</x:v>
      </x:c>
      <x:c r="B94" t="str">
        <x:v>B11</x:v>
      </x:c>
      <x:c r="C94" t="str">
        <x:v>C_ControlSuscripcion</x:v>
      </x:c>
      <x:c r="D94" t="str">
        <x:v>◄ ─ ─ (return)</x:v>
      </x:c>
      <x:c r="E94" t="str">
        <x:v>C_ControlAlerta</x:v>
      </x:c>
      <x:c r="F94" t="str">
        <x:v>retornarPermisoConsultaAlertasLicenciaConservadas(true)</x:v>
      </x:c>
      <x:c r="G94" t="str">
        <x:v>Autoriza consulta de las tarjetas personales previamente registradas en solo lectura; no permite registro o edición de licencia en plan Free.</x:v>
      </x:c>
      <x:c r="H94" t="str">
        <x:v>FUTURO</x:v>
      </x:c>
      <x:c r="I94" t="str">
        <x:v>Pestaña y consulta LICENCIA quedan «Próximamente». No consumir tablas/API de licencias.</x:v>
      </x:c>
      <x:c r="J94" t="str">
        <x:v>Licencia/SOAT/Premium fuera del MVP confirmado funcionalmente; conservar BCE histórico y no llamar APIs. Dependencias futuras por validar.</x:v>
      </x:c>
      <x:c r="K94" t="str">
        <x:v>RF23!F94</x:v>
      </x:c>
      <x:c r="L94" t="str">
        <x:v>◄ RETORNO discontinuo al llamador. C y E identifican emisor y receptor; ◄ representa disposición de líneas de vida, no inversión de columnas.</x:v>
      </x:c>
    </x:row>
    <x:row r="95" ht="57" customHeight="1">
      <x:c r="A95" t="str">
        <x:v>80</x:v>
      </x:c>
      <x:c r="B95" t="str">
        <x:v>B11</x:v>
      </x:c>
      <x:c r="C95" t="str">
        <x:v>C_ControlAlerta</x:v>
      </x:c>
      <x:c r="D95" t="str">
        <x:v>────► (llamada)</x:v>
      </x:c>
      <x:c r="E95" t="str">
        <x:v>E_Alerta</x:v>
      </x:c>
      <x:c r="F95" t="str">
        <x:v>consultarAlertasLicenciaVisiblesDeTitular(idUsuarioAutenticado,categoria=LICENCIA)</x:v>
      </x:c>
      <x:c r="G95" t="str">
        <x:v>Consulta solo LICENCIA del titular por alerta.id_licencia→licencia.id_conductor→conductor.id_usuario, sin id_vehiculo. Incluye PROGRAMADA/PROXIMA/PENDIENTE/VENCIDA/REALIZADA; excluye ANULADA de «Todas». No actualiza estados. Acceso permitido a cuenta ACTIVA en FREE o PREMIUM con licencia previamente registrada y titularidad confirmada por JOIN (76–79).</x:v>
      </x:c>
      <x:c r="H95" t="str">
        <x:v>FUTURO</x:v>
      </x:c>
      <x:c r="I95" t="str">
        <x:v>Pestaña y consulta LICENCIA quedan «Próximamente». No consumir tablas/API de licencias.</x:v>
      </x:c>
      <x:c r="J95" t="str">
        <x:v>Licencia/SOAT/Premium fuera del MVP confirmado funcionalmente; conservar BCE histórico y no llamar APIs. Dependencias futuras por validar.</x:v>
      </x:c>
      <x:c r="K95" t="str">
        <x:v>RF23!F95</x:v>
      </x:c>
      <x:c r="L95" t="str">
        <x:v>► LLAMADA: operación desde el objeto de C hacia el de E; comprobar contrato y autorización.</x:v>
      </x:c>
    </x:row>
    <x:row r="96" ht="57" customHeight="1">
      <x:c r="A96" t="str">
        <x:v>81</x:v>
      </x:c>
      <x:c r="B96" t="str">
        <x:v>B11</x:v>
      </x:c>
      <x:c r="C96" t="str">
        <x:v>E_Alerta</x:v>
      </x:c>
      <x:c r="D96" t="str">
        <x:v>◄ ─ ─ (return)</x:v>
      </x:c>
      <x:c r="E96" t="str">
        <x:v>C_ControlAlerta</x:v>
      </x:c>
      <x:c r="F96" t="str">
        <x:v>retornarAlertasLicenciaVisibles(listaAlertasPersonales)</x:v>
      </x:c>
      <x:c r="G96" t="str">
        <x:v>Devuelve id_alerta, id_licencia, fecha_objetivo, estado temporal y fecha_estado_actual para alertas del usuario. Nunca mezcla SOAT ni MANTENIMIENTO.</x:v>
      </x:c>
      <x:c r="H96" t="str">
        <x:v>FUTURO</x:v>
      </x:c>
      <x:c r="I96" t="str">
        <x:v>Pestaña y consulta LICENCIA quedan «Próximamente». No consumir tablas/API de licencias.</x:v>
      </x:c>
      <x:c r="J96" t="str">
        <x:v>Licencia/SOAT/Premium fuera del MVP confirmado funcionalmente; conservar BCE histórico y no llamar APIs. Dependencias futuras por validar.</x:v>
      </x:c>
      <x:c r="K96" t="str">
        <x:v>RF23!F96</x:v>
      </x:c>
      <x:c r="L96" t="str">
        <x:v>◄ RETORNO discontinuo al llamador. C y E identifican emisor y receptor; ◄ representa disposición de líneas de vida, no inversión de columnas.</x:v>
      </x:c>
    </x:row>
    <x:row r="97" ht="57" customHeight="1">
      <x:c r="A97" t="str">
        <x:v>82</x:v>
      </x:c>
      <x:c r="B97" t="str">
        <x:v>B11</x:v>
      </x:c>
      <x:c r="C97" t="str">
        <x:v>C_ControlAlerta</x:v>
      </x:c>
      <x:c r="D97" t="str">
        <x:v>────► (llamada)</x:v>
      </x:c>
      <x:c r="E97" t="str">
        <x:v>C_ControlLicencia</x:v>
      </x:c>
      <x:c r="F97" t="str">
        <x:v>solicitarDatosLicenciasTitular(idUsuarioAutenticado,listaIdLicencia)</x:v>
      </x:c>
      <x:c r="G97" t="str">
        <x:v>Pide datos básicos autorizados para cada tarjeta: categoría, fecha_revalidacion y estado administrativo; evita exponer documentos de otro conductor.</x:v>
      </x:c>
      <x:c r="H97" t="str">
        <x:v>FUTURO</x:v>
      </x:c>
      <x:c r="I97" t="str">
        <x:v>Pestaña y consulta LICENCIA quedan «Próximamente». No consumir tablas/API de licencias.</x:v>
      </x:c>
      <x:c r="J97" t="str">
        <x:v>Licencia/SOAT/Premium fuera del MVP confirmado funcionalmente; conservar BCE histórico y no llamar APIs. Dependencias futuras por validar.</x:v>
      </x:c>
      <x:c r="K97" t="str">
        <x:v>RF23!F97</x:v>
      </x:c>
      <x:c r="L97" t="str">
        <x:v>► LLAMADA: operación desde el objeto de C hacia el de E; comprobar contrato y autorización.</x:v>
      </x:c>
    </x:row>
    <x:row r="98" ht="57" customHeight="1">
      <x:c r="A98" t="str">
        <x:v>83</x:v>
      </x:c>
      <x:c r="B98" t="str">
        <x:v>B11</x:v>
      </x:c>
      <x:c r="C98" t="str">
        <x:v>C_ControlLicencia</x:v>
      </x:c>
      <x:c r="D98" t="str">
        <x:v>────► (llamada)</x:v>
      </x:c>
      <x:c r="E98" t="str">
        <x:v>E_Licencia</x:v>
      </x:c>
      <x:c r="F98" t="str">
        <x:v>consultarLicenciasConTitularidadPorUsuario(idUsuarioAutenticado,listaIdLicencia)</x:v>
      </x:c>
      <x:c r="G98" t="str">
        <x:v>Valida JOIN LICENCIA→CONDUCTOR→USUARIO y retorna solo licencias pertenecientes a la cuenta. No requiere id_vehiculo ni kilometraje.</x:v>
      </x:c>
      <x:c r="H98" t="str">
        <x:v>FUTURO</x:v>
      </x:c>
      <x:c r="I98" t="str">
        <x:v>Pestaña y consulta LICENCIA quedan «Próximamente». No consumir tablas/API de licencias.</x:v>
      </x:c>
      <x:c r="J98" t="str">
        <x:v>Licencia/SOAT/Premium fuera del MVP confirmado funcionalmente; conservar BCE histórico y no llamar APIs. Dependencias futuras por validar.</x:v>
      </x:c>
      <x:c r="K98" t="str">
        <x:v>RF23!F98</x:v>
      </x:c>
      <x:c r="L98" t="str">
        <x:v>► LLAMADA: operación desde el objeto de C hacia el de E; comprobar contrato y autorización.</x:v>
      </x:c>
    </x:row>
    <x:row r="99" ht="57" customHeight="1">
      <x:c r="A99" t="str">
        <x:v>84</x:v>
      </x:c>
      <x:c r="B99" t="str">
        <x:v>B11</x:v>
      </x:c>
      <x:c r="C99" t="str">
        <x:v>E_Licencia</x:v>
      </x:c>
      <x:c r="D99" t="str">
        <x:v>◄ ─ ─ (return)</x:v>
      </x:c>
      <x:c r="E99" t="str">
        <x:v>C_ControlLicencia</x:v>
      </x:c>
      <x:c r="F99" t="str">
        <x:v>retornarDatosLicenciasPropias(datosLicencias)</x:v>
      </x:c>
      <x:c r="G99" t="str">
        <x:v>Devuelve las licencias verificadas con fecha de revalidación y estado administrativo; estos no son los mismos estados temporales de la alerta.</x:v>
      </x:c>
      <x:c r="H99" t="str">
        <x:v>FUTURO</x:v>
      </x:c>
      <x:c r="I99" t="str">
        <x:v>Pestaña y consulta LICENCIA quedan «Próximamente». No consumir tablas/API de licencias.</x:v>
      </x:c>
      <x:c r="J99" t="str">
        <x:v>Licencia/SOAT/Premium fuera del MVP confirmado funcionalmente; conservar BCE histórico y no llamar APIs. Dependencias futuras por validar.</x:v>
      </x:c>
      <x:c r="K99" t="str">
        <x:v>RF23!F99</x:v>
      </x:c>
      <x:c r="L99" t="str">
        <x:v>◄ RETORNO discontinuo al llamador. C y E identifican emisor y receptor; ◄ representa disposición de líneas de vida, no inversión de columnas.</x:v>
      </x:c>
    </x:row>
    <x:row r="100" ht="57" customHeight="1">
      <x:c r="A100" t="str">
        <x:v>85</x:v>
      </x:c>
      <x:c r="B100" t="str">
        <x:v>B11</x:v>
      </x:c>
      <x:c r="C100" t="str">
        <x:v>C_ControlLicencia</x:v>
      </x:c>
      <x:c r="D100" t="str">
        <x:v>◄ ─ ─ (return)</x:v>
      </x:c>
      <x:c r="E100" t="str">
        <x:v>C_ControlAlerta</x:v>
      </x:c>
      <x:c r="F100" t="str">
        <x:v>retornarDatosLicenciasAutorizadas(datosLicencias)</x:v>
      </x:c>
      <x:c r="G100" t="str">
        <x:v>C_ControlAlerta recibe exclusivamente las licencias propias y las relaciona con las alertas por id_licencia.</x:v>
      </x:c>
      <x:c r="H100" t="str">
        <x:v>FUTURO</x:v>
      </x:c>
      <x:c r="I100" t="str">
        <x:v>Pestaña y consulta LICENCIA quedan «Próximamente». No consumir tablas/API de licencias.</x:v>
      </x:c>
      <x:c r="J100" t="str">
        <x:v>Licencia/SOAT/Premium fuera del MVP confirmado funcionalmente; conservar BCE histórico y no llamar APIs. Dependencias futuras por validar.</x:v>
      </x:c>
      <x:c r="K100" t="str">
        <x:v>RF23!F100</x:v>
      </x:c>
      <x:c r="L100" t="str">
        <x:v>◄ RETORNO discontinuo al llamador. C y E identifican emisor y receptor; ◄ representa disposición de líneas de vida, no inversión de columnas.</x:v>
      </x:c>
    </x:row>
    <x:row r="101" ht="57" customHeight="1">
      <x:c r="A101" t="str">
        <x:v>86</x:v>
      </x:c>
      <x:c r="B101" t="str">
        <x:v>B11</x:v>
      </x:c>
      <x:c r="C101" t="str">
        <x:v>C_ControlAlerta</x:v>
      </x:c>
      <x:c r="D101" t="str">
        <x:v>↩ (auto-msg)</x:v>
      </x:c>
      <x:c r="E101" t="str">
        <x:v>C_ControlAlerta</x:v>
      </x:c>
      <x:c r="F101" t="str">
        <x:v>filtrarYOrdenarAlertasPersonales(listaAlertasPersonales,datosLicencias,filtroEstado=TODAS)</x:v>
      </x:c>
      <x:c r="G101" t="str">
        <x:v>Prepara las tarjetas y filtros compartidos por estado: Todas, Programadas, Próximas, Pendientes, Vencidas y Realizadas; en «Todas» prioriza VENCIDAS, PENDIENTES, PROXIMAS, PROGRAMADAS y REALIZADAS. No solicita vehículo ni escribe BD.</x:v>
      </x:c>
      <x:c r="H101" t="str">
        <x:v>FUTURO</x:v>
      </x:c>
      <x:c r="I101" t="str">
        <x:v>Pestaña y consulta LICENCIA quedan «Próximamente». No consumir tablas/API de licencias.</x:v>
      </x:c>
      <x:c r="J101" t="str">
        <x:v>Licencia/SOAT/Premium fuera del MVP confirmado funcionalmente; conservar BCE histórico y no llamar APIs. Dependencias futuras por validar.</x:v>
      </x:c>
      <x:c r="K101" t="str">
        <x:v>RF23!F101</x:v>
      </x:c>
      <x:c r="L101" t="str">
        <x:v>↩ AUTO-MENSAJE: mismo objeto; lógica local, no salto de capa.</x:v>
      </x:c>
    </x:row>
    <x:row r="102" ht="57" customHeight="1">
      <x:c r="A102" t="str">
        <x:v>87</x:v>
      </x:c>
      <x:c r="B102" t="str">
        <x:v>B11</x:v>
      </x:c>
      <x:c r="C102" t="str">
        <x:v>C_ControlAlerta</x:v>
      </x:c>
      <x:c r="D102" t="str">
        <x:v>────► (llamada)</x:v>
      </x:c>
      <x:c r="E102" t="str">
        <x:v>I_Alertas</x:v>
      </x:c>
      <x:c r="F102" t="str">
        <x:v>mostrarPestanaLicencia(alertasPersonalesOrdenadas,filtrosEstado,datosLicencias)</x:v>
      </x:c>
      <x:c r="G102" t="str">
        <x:v>Muestra LICENCIA en su pestaña con fecha de revalidación, días restantes, estado temporal y estado administrativo separados. Oculta selector de vehículos, kilometraje y botón «+ Programar» (exclusivo RF22). Se utiliza el mismo parámetro plural datosLicencias que retornan los mensajes 84–85; no se interpreta como un único registro.</x:v>
      </x:c>
      <x:c r="H102" t="str">
        <x:v>FUTURO</x:v>
      </x:c>
      <x:c r="I102" t="str">
        <x:v>Pestaña y consulta LICENCIA quedan «Próximamente». No consumir tablas/API de licencias.</x:v>
      </x:c>
      <x:c r="J102" t="str">
        <x:v>Licencia/SOAT/Premium fuera del MVP confirmado funcionalmente; conservar BCE histórico y no llamar APIs. Dependencias futuras por validar.</x:v>
      </x:c>
      <x:c r="K102" t="str">
        <x:v>RF23!F102</x:v>
      </x:c>
      <x:c r="L102" t="str">
        <x:v>► LLAMADA: operación desde el objeto de C hacia el de E; comprobar contrato y autorización.</x:v>
      </x:c>
    </x:row>
    <x:row r="103" ht="57" customHeight="1">
      <x:c r="A103" t="str">
        <x:v>88</x:v>
      </x:c>
      <x:c r="B103" t="str">
        <x:v>B11</x:v>
      </x:c>
      <x:c r="C103" t="str">
        <x:v>I_Alertas</x:v>
      </x:c>
      <x:c r="D103" t="str">
        <x:v>────► (llamada)</x:v>
      </x:c>
      <x:c r="E103" t="str">
        <x:v>AS_Usuario</x:v>
      </x:c>
      <x:c r="F103" t="str">
        <x:v>visualizarAlertasPersonalesLicencia()</x:v>
      </x:c>
      <x:c r="G103" t="str">
        <x:v>Finaliza la consulta LICENCIA sin vehículo; permite ver registros conservados en Free o Premium cuando la cuenta sigue ACTIVA. El motor 37–69 es autónomo y no forma parte secuencial de esta consulta. RF53 corresponde ahora a reactivación de cuenta, sin operación de edición de licencia.</x:v>
      </x:c>
      <x:c r="H103" t="str">
        <x:v>FUTURO</x:v>
      </x:c>
      <x:c r="I103" t="str">
        <x:v>Pestaña y consulta LICENCIA quedan «Próximamente». No consumir tablas/API de licencias.</x:v>
      </x:c>
      <x:c r="J103" t="str">
        <x:v>Licencia/SOAT/Premium fuera del MVP confirmado funcionalmente; conservar BCE histórico y no llamar APIs. Dependencias futuras por validar.</x:v>
      </x:c>
      <x:c r="K103" t="str">
        <x:v>RF23!F103</x:v>
      </x:c>
      <x:c r="L103" t="str">
        <x:v>⚠ SALIDA VISUAL al actor: no ejecutar «visualizar...» como método/API del usuario. En UML formal es presentación/resultado de UI, no llamada remota.</x:v>
      </x:c>
    </x:row>
  </x:sheetData>
  <x:mergeCells>
    <x:mergeCell ref="A1:K1"/>
    <x:mergeCell ref="A2:K2"/>
    <x:mergeCell ref="A4:K4"/>
    <x:mergeCell ref="A9:K9"/>
    <x:mergeCell ref="A18:K18"/>
    <x:mergeCell ref="A23:K23"/>
    <x:mergeCell ref="A28:K28"/>
    <x:mergeCell ref="A38:K38"/>
    <x:mergeCell ref="A44:K44"/>
    <x:mergeCell ref="A47:K47"/>
    <x:mergeCell ref="A65:K65"/>
    <x:mergeCell ref="A75:K75"/>
    <x:mergeCell ref="A84:K84"/>
  </x:mergeCells>
  <x:pageMargins left="0.7" right="0.7" top="0.75" bottom="0.75" header="0.3" footer="0.3"/>
</x:worksheet>
</file>

<file path=xl/worksheets/sheet21.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5" t="s">
        <x:v>1265</x:v>
      </x:c>
      <x:c r="B1" s="5"/>
      <x:c r="C1" s="5"/>
      <x:c r="D1" s="5"/>
      <x:c r="E1" s="5"/>
      <x:c r="F1" s="5"/>
      <x:c r="G1" s="5"/>
    </x:row>
    <x:row r="2" ht="49.20000076293945" customHeight="1">
      <x:c r="A2" s="4" t="s">
        <x:v>1266</x:v>
      </x:c>
      <x:c r="B2" s="3"/>
      <x:c r="C2" s="3"/>
      <x:c r="D2" s="3"/>
      <x:c r="E2" s="3"/>
      <x:c r="F2" s="3"/>
      <x:c r="G2" s="3"/>
    </x:row>
    <x:row r="3" ht="31.049999237060547" customHeight="1">
      <x:c r="A3" s="262" t="s">
        <x:v>1267</x:v>
      </x:c>
      <x:c r="B3" s="262" t="s">
        <x:v>3</x:v>
      </x:c>
      <x:c r="C3" s="262" t="s">
        <x:v>1268</x:v>
      </x:c>
      <x:c r="D3" s="262" t="s">
        <x:v>1269</x:v>
      </x:c>
      <x:c r="E3" s="262" t="s">
        <x:v>1270</x:v>
      </x:c>
      <x:c r="F3" s="262" t="s">
        <x:v>7</x:v>
      </x:c>
      <x:c r="G3" s="262" t="s">
        <x:v>1271</x:v>
      </x:c>
      <x:c r="H3" t="str">
        <x:v>CONDICIÓN RF65 (NO MVP)</x:v>
      </x:c>
    </x:row>
    <x:row r="4" ht="28.799999237060547" customHeight="1">
      <x:c r="A4" s="430" t="s">
        <x:v>1272</x:v>
      </x:c>
      <x:c r="B4" s="430"/>
      <x:c r="C4" s="430"/>
      <x:c r="D4" s="430"/>
      <x:c r="E4" s="430"/>
      <x:c r="F4" s="430"/>
      <x:c r="G4" s="430"/>
    </x:row>
    <x:row r="5" ht="57" customHeight="1">
      <x:c r="A5" s="261">
        <x:v>1</x:v>
      </x:c>
      <x:c r="B5" s="261" t="s">
        <x:v>10</x:v>
      </x:c>
      <x:c r="C5" s="261" t="s">
        <x:v>11</x:v>
      </x:c>
      <x:c r="D5" s="261" t="s">
        <x:v>1092</x:v>
      </x:c>
      <x:c r="E5" s="261" t="s">
        <x:v>1273</x:v>
      </x:c>
      <x:c r="F5" s="261" t="s">
        <x:v>1274</x:v>
      </x:c>
      <x:c r="G5" s="261" t="s">
        <x:v>1275</x:v>
      </x:c>
      <x:c r="H5" s="1071" t="str">
        <x:v>RF65 POST-MVP · CONDICIONADO A APROBACIÓN. Atención de alerta: no ejecutar para ELIMINADOS, ni marcar alertas realizadas por la eliminación de vehículo. Sin aprobación no aplicar filtros ni cambios de BD por RF65.</x:v>
      </x:c>
    </x:row>
    <x:row r="6" ht="57" customHeight="1">
      <x:c r="A6" s="263">
        <x:v>2</x:v>
      </x:c>
      <x:c r="B6" s="263" t="s">
        <x:v>10</x:v>
      </x:c>
      <x:c r="C6" s="263" t="s">
        <x:v>1273</x:v>
      </x:c>
      <x:c r="D6" s="263" t="s">
        <x:v>1092</x:v>
      </x:c>
      <x:c r="E6" s="263" t="s">
        <x:v>373</x:v>
      </x:c>
      <x:c r="F6" s="263" t="s">
        <x:v>1276</x:v>
      </x:c>
      <x:c r="G6" s="263" t="s">
        <x:v>1277</x:v>
      </x:c>
    </x:row>
    <x:row r="7" ht="57" customHeight="1">
      <x:c r="A7" s="261">
        <x:v>3</x:v>
      </x:c>
      <x:c r="B7" s="261" t="s">
        <x:v>10</x:v>
      </x:c>
      <x:c r="C7" s="261" t="s">
        <x:v>373</x:v>
      </x:c>
      <x:c r="D7" s="261" t="s">
        <x:v>1092</x:v>
      </x:c>
      <x:c r="E7" s="261" t="s">
        <x:v>791</x:v>
      </x:c>
      <x:c r="F7" s="261" t="s">
        <x:v>1276</x:v>
      </x:c>
      <x:c r="G7" s="261" t="s">
        <x:v>1278</x:v>
      </x:c>
    </x:row>
    <x:row r="8" ht="57" customHeight="1">
      <x:c r="A8" s="263">
        <x:v>4</x:v>
      </x:c>
      <x:c r="B8" s="263" t="s">
        <x:v>10</x:v>
      </x:c>
      <x:c r="C8" s="263" t="s">
        <x:v>791</x:v>
      </x:c>
      <x:c r="D8" s="263" t="s">
        <x:v>323</x:v>
      </x:c>
      <x:c r="E8" s="263" t="s">
        <x:v>373</x:v>
      </x:c>
      <x:c r="F8" s="263" t="s">
        <x:v>1279</x:v>
      </x:c>
      <x:c r="G8" s="263" t="s">
        <x:v>1280</x:v>
      </x:c>
    </x:row>
    <x:row r="9" ht="57" customHeight="1">
      <x:c r="A9" s="261">
        <x:v>5</x:v>
      </x:c>
      <x:c r="B9" s="261" t="s">
        <x:v>10</x:v>
      </x:c>
      <x:c r="C9" s="261" t="s">
        <x:v>373</x:v>
      </x:c>
      <x:c r="D9" s="261" t="s">
        <x:v>1092</x:v>
      </x:c>
      <x:c r="E9" s="261" t="s">
        <x:v>908</x:v>
      </x:c>
      <x:c r="F9" s="261" t="s">
        <x:v>1281</x:v>
      </x:c>
      <x:c r="G9" s="261" t="s">
        <x:v>1282</x:v>
      </x:c>
    </x:row>
    <x:row r="10" ht="57" customHeight="1">
      <x:c r="A10" s="263">
        <x:v>6</x:v>
      </x:c>
      <x:c r="B10" s="263" t="s">
        <x:v>10</x:v>
      </x:c>
      <x:c r="C10" s="263" t="s">
        <x:v>908</x:v>
      </x:c>
      <x:c r="D10" s="263" t="s">
        <x:v>1092</x:v>
      </x:c>
      <x:c r="E10" s="263" t="s">
        <x:v>440</x:v>
      </x:c>
      <x:c r="F10" s="263" t="s">
        <x:v>1283</x:v>
      </x:c>
      <x:c r="G10" s="263" t="s">
        <x:v>1284</x:v>
      </x:c>
    </x:row>
    <x:row r="11" ht="57" customHeight="1">
      <x:c r="A11" s="261">
        <x:v>7</x:v>
      </x:c>
      <x:c r="B11" s="261" t="s">
        <x:v>10</x:v>
      </x:c>
      <x:c r="C11" s="261" t="s">
        <x:v>440</x:v>
      </x:c>
      <x:c r="D11" s="261" t="s">
        <x:v>323</x:v>
      </x:c>
      <x:c r="E11" s="261" t="s">
        <x:v>908</x:v>
      </x:c>
      <x:c r="F11" s="261" t="s">
        <x:v>1110</x:v>
      </x:c>
      <x:c r="G11" s="261" t="s">
        <x:v>1285</x:v>
      </x:c>
    </x:row>
    <x:row r="12" ht="57" customHeight="1">
      <x:c r="A12" s="263">
        <x:v>8</x:v>
      </x:c>
      <x:c r="B12" s="263" t="s">
        <x:v>10</x:v>
      </x:c>
      <x:c r="C12" s="263" t="s">
        <x:v>908</x:v>
      </x:c>
      <x:c r="D12" s="263" t="s">
        <x:v>323</x:v>
      </x:c>
      <x:c r="E12" s="263" t="s">
        <x:v>373</x:v>
      </x:c>
      <x:c r="F12" s="263" t="s">
        <x:v>1110</x:v>
      </x:c>
      <x:c r="G12" s="263" t="s">
        <x:v>1286</x:v>
      </x:c>
    </x:row>
    <x:row r="13" ht="57" customHeight="1">
      <x:c r="A13" s="261">
        <x:v>9</x:v>
      </x:c>
      <x:c r="B13" s="261" t="s">
        <x:v>10</x:v>
      </x:c>
      <x:c r="C13" s="261" t="s">
        <x:v>373</x:v>
      </x:c>
      <x:c r="D13" s="261" t="s">
        <x:v>404</x:v>
      </x:c>
      <x:c r="E13" s="261" t="s">
        <x:v>373</x:v>
      </x:c>
      <x:c r="F13" s="261" t="s">
        <x:v>1287</x:v>
      </x:c>
      <x:c r="G13" s="261" t="s">
        <x:v>1288</x:v>
      </x:c>
    </x:row>
    <x:row r="14" ht="57" customHeight="1">
      <x:c r="A14" s="263">
        <x:v>10</x:v>
      </x:c>
      <x:c r="B14" s="263" t="s">
        <x:v>10</x:v>
      </x:c>
      <x:c r="C14" s="263" t="s">
        <x:v>373</x:v>
      </x:c>
      <x:c r="D14" s="263" t="s">
        <x:v>1092</x:v>
      </x:c>
      <x:c r="E14" s="263" t="s">
        <x:v>500</x:v>
      </x:c>
      <x:c r="F14" s="263" t="s">
        <x:v>1289</x:v>
      </x:c>
      <x:c r="G14" s="263" t="s">
        <x:v>1290</x:v>
      </x:c>
    </x:row>
    <x:row r="15" ht="57" customHeight="1">
      <x:c r="A15" s="261">
        <x:v>11</x:v>
      </x:c>
      <x:c r="B15" s="261" t="s">
        <x:v>10</x:v>
      </x:c>
      <x:c r="C15" s="261" t="s">
        <x:v>500</x:v>
      </x:c>
      <x:c r="D15" s="261" t="s">
        <x:v>1092</x:v>
      </x:c>
      <x:c r="E15" s="261" t="s">
        <x:v>503</x:v>
      </x:c>
      <x:c r="F15" s="261" t="s">
        <x:v>1291</x:v>
      </x:c>
      <x:c r="G15" s="261" t="s">
        <x:v>1292</x:v>
      </x:c>
    </x:row>
    <x:row r="16" ht="57" customHeight="1">
      <x:c r="A16" s="263">
        <x:v>12</x:v>
      </x:c>
      <x:c r="B16" s="263" t="s">
        <x:v>10</x:v>
      </x:c>
      <x:c r="C16" s="263" t="s">
        <x:v>503</x:v>
      </x:c>
      <x:c r="D16" s="263" t="s">
        <x:v>323</x:v>
      </x:c>
      <x:c r="E16" s="263" t="s">
        <x:v>500</x:v>
      </x:c>
      <x:c r="F16" s="263" t="s">
        <x:v>1293</x:v>
      </x:c>
      <x:c r="G16" s="263" t="s">
        <x:v>1294</x:v>
      </x:c>
    </x:row>
    <x:row r="17" ht="57" customHeight="1">
      <x:c r="A17" s="261">
        <x:v>13</x:v>
      </x:c>
      <x:c r="B17" s="261" t="s">
        <x:v>10</x:v>
      </x:c>
      <x:c r="C17" s="261" t="s">
        <x:v>500</x:v>
      </x:c>
      <x:c r="D17" s="261" t="s">
        <x:v>323</x:v>
      </x:c>
      <x:c r="E17" s="261" t="s">
        <x:v>373</x:v>
      </x:c>
      <x:c r="F17" s="261" t="s">
        <x:v>1295</x:v>
      </x:c>
      <x:c r="G17" s="261" t="s">
        <x:v>1296</x:v>
      </x:c>
    </x:row>
    <x:row r="18" ht="57" customHeight="1">
      <x:c r="A18" s="263">
        <x:v>14</x:v>
      </x:c>
      <x:c r="B18" s="263" t="s">
        <x:v>10</x:v>
      </x:c>
      <x:c r="C18" s="263" t="s">
        <x:v>373</x:v>
      </x:c>
      <x:c r="D18" s="263" t="s">
        <x:v>404</x:v>
      </x:c>
      <x:c r="E18" s="263" t="s">
        <x:v>373</x:v>
      </x:c>
      <x:c r="F18" s="263" t="s">
        <x:v>1297</x:v>
      </x:c>
      <x:c r="G18" s="263" t="s">
        <x:v>1298</x:v>
      </x:c>
    </x:row>
    <x:row r="19" ht="57" customHeight="1">
      <x:c r="A19" s="261">
        <x:v>15</x:v>
      </x:c>
      <x:c r="B19" s="261" t="s">
        <x:v>10</x:v>
      </x:c>
      <x:c r="C19" s="261" t="s">
        <x:v>373</x:v>
      </x:c>
      <x:c r="D19" s="261" t="s">
        <x:v>404</x:v>
      </x:c>
      <x:c r="E19" s="261" t="s">
        <x:v>373</x:v>
      </x:c>
      <x:c r="F19" s="261" t="s">
        <x:v>1299</x:v>
      </x:c>
      <x:c r="G19" s="261" t="s">
        <x:v>1300</x:v>
      </x:c>
    </x:row>
    <x:row r="20" ht="57" customHeight="1">
      <x:c r="A20" s="263">
        <x:v>16</x:v>
      </x:c>
      <x:c r="B20" s="263" t="s">
        <x:v>10</x:v>
      </x:c>
      <x:c r="C20" s="263" t="s">
        <x:v>373</x:v>
      </x:c>
      <x:c r="D20" s="263" t="s">
        <x:v>404</x:v>
      </x:c>
      <x:c r="E20" s="263" t="s">
        <x:v>373</x:v>
      </x:c>
      <x:c r="F20" s="263" t="s">
        <x:v>1301</x:v>
      </x:c>
      <x:c r="G20" s="263" t="s">
        <x:v>1302</x:v>
      </x:c>
    </x:row>
    <x:row r="21" ht="57" customHeight="1">
      <x:c r="A21" s="261">
        <x:v>17</x:v>
      </x:c>
      <x:c r="B21" s="261" t="s">
        <x:v>10</x:v>
      </x:c>
      <x:c r="C21" s="261" t="s">
        <x:v>373</x:v>
      </x:c>
      <x:c r="D21" s="261" t="s">
        <x:v>1092</x:v>
      </x:c>
      <x:c r="E21" s="261" t="s">
        <x:v>791</x:v>
      </x:c>
      <x:c r="F21" s="261" t="s">
        <x:v>1303</x:v>
      </x:c>
      <x:c r="G21" s="261" t="s">
        <x:v>1304</x:v>
      </x:c>
    </x:row>
    <x:row r="22" ht="57" customHeight="1">
      <x:c r="A22" s="263">
        <x:v>18</x:v>
      </x:c>
      <x:c r="B22" s="263" t="s">
        <x:v>10</x:v>
      </x:c>
      <x:c r="C22" s="263" t="s">
        <x:v>791</x:v>
      </x:c>
      <x:c r="D22" s="263" t="s">
        <x:v>323</x:v>
      </x:c>
      <x:c r="E22" s="263" t="s">
        <x:v>373</x:v>
      </x:c>
      <x:c r="F22" s="263" t="s">
        <x:v>1305</x:v>
      </x:c>
      <x:c r="G22" s="263" t="s">
        <x:v>1306</x:v>
      </x:c>
    </x:row>
    <x:row r="23" ht="57" customHeight="1">
      <x:c r="A23" s="261">
        <x:v>19</x:v>
      </x:c>
      <x:c r="B23" s="261" t="s">
        <x:v>10</x:v>
      </x:c>
      <x:c r="C23" s="261" t="s">
        <x:v>373</x:v>
      </x:c>
      <x:c r="D23" s="261" t="s">
        <x:v>1092</x:v>
      </x:c>
      <x:c r="E23" s="261" t="s">
        <x:v>797</x:v>
      </x:c>
      <x:c r="F23" s="261" t="s">
        <x:v>1307</x:v>
      </x:c>
      <x:c r="G23" s="261" t="s">
        <x:v>1308</x:v>
      </x:c>
    </x:row>
    <x:row r="24" ht="57" customHeight="1">
      <x:c r="A24" s="263">
        <x:v>20</x:v>
      </x:c>
      <x:c r="B24" s="263" t="s">
        <x:v>10</x:v>
      </x:c>
      <x:c r="C24" s="263" t="s">
        <x:v>797</x:v>
      </x:c>
      <x:c r="D24" s="263" t="s">
        <x:v>323</x:v>
      </x:c>
      <x:c r="E24" s="263" t="s">
        <x:v>373</x:v>
      </x:c>
      <x:c r="F24" s="263" t="s">
        <x:v>1309</x:v>
      </x:c>
      <x:c r="G24" s="263" t="s">
        <x:v>1310</x:v>
      </x:c>
    </x:row>
    <x:row r="25" ht="57" customHeight="1">
      <x:c r="A25" s="261">
        <x:v>21</x:v>
      </x:c>
      <x:c r="B25" s="261" t="s">
        <x:v>10</x:v>
      </x:c>
      <x:c r="C25" s="261" t="s">
        <x:v>373</x:v>
      </x:c>
      <x:c r="D25" s="261" t="s">
        <x:v>1092</x:v>
      </x:c>
      <x:c r="E25" s="261" t="s">
        <x:v>380</x:v>
      </x:c>
      <x:c r="F25" s="261" t="s">
        <x:v>1311</x:v>
      </x:c>
      <x:c r="G25" s="261" t="s">
        <x:v>1312</x:v>
      </x:c>
    </x:row>
    <x:row r="26" ht="57" customHeight="1">
      <x:c r="A26" s="263">
        <x:v>22</x:v>
      </x:c>
      <x:c r="B26" s="263" t="s">
        <x:v>10</x:v>
      </x:c>
      <x:c r="C26" s="263" t="s">
        <x:v>380</x:v>
      </x:c>
      <x:c r="D26" s="263" t="s">
        <x:v>1092</x:v>
      </x:c>
      <x:c r="E26" s="263" t="s">
        <x:v>802</x:v>
      </x:c>
      <x:c r="F26" s="263" t="s">
        <x:v>1313</x:v>
      </x:c>
      <x:c r="G26" s="263" t="s">
        <x:v>1314</x:v>
      </x:c>
    </x:row>
    <x:row r="27" ht="57" customHeight="1">
      <x:c r="A27" s="261">
        <x:v>23</x:v>
      </x:c>
      <x:c r="B27" s="261" t="s">
        <x:v>10</x:v>
      </x:c>
      <x:c r="C27" s="261" t="s">
        <x:v>802</x:v>
      </x:c>
      <x:c r="D27" s="261" t="s">
        <x:v>323</x:v>
      </x:c>
      <x:c r="E27" s="261" t="s">
        <x:v>380</x:v>
      </x:c>
      <x:c r="F27" s="261" t="s">
        <x:v>1315</x:v>
      </x:c>
      <x:c r="G27" s="261" t="s">
        <x:v>1316</x:v>
      </x:c>
    </x:row>
    <x:row r="28" ht="57" customHeight="1">
      <x:c r="A28" s="263">
        <x:v>24</x:v>
      </x:c>
      <x:c r="B28" s="263" t="s">
        <x:v>10</x:v>
      </x:c>
      <x:c r="C28" s="263" t="s">
        <x:v>380</x:v>
      </x:c>
      <x:c r="D28" s="263" t="s">
        <x:v>323</x:v>
      </x:c>
      <x:c r="E28" s="263" t="s">
        <x:v>373</x:v>
      </x:c>
      <x:c r="F28" s="263" t="s">
        <x:v>1317</x:v>
      </x:c>
      <x:c r="G28" s="263" t="s">
        <x:v>1318</x:v>
      </x:c>
    </x:row>
    <x:row r="29" ht="57" customHeight="1">
      <x:c r="A29" s="261">
        <x:v>25</x:v>
      </x:c>
      <x:c r="B29" s="261" t="s">
        <x:v>10</x:v>
      </x:c>
      <x:c r="C29" s="261" t="s">
        <x:v>373</x:v>
      </x:c>
      <x:c r="D29" s="261" t="s">
        <x:v>404</x:v>
      </x:c>
      <x:c r="E29" s="261" t="s">
        <x:v>373</x:v>
      </x:c>
      <x:c r="F29" s="261" t="s">
        <x:v>1319</x:v>
      </x:c>
      <x:c r="G29" s="261" t="s">
        <x:v>1320</x:v>
      </x:c>
    </x:row>
    <x:row r="30" ht="57" customHeight="1">
      <x:c r="A30" s="263">
        <x:v>26</x:v>
      </x:c>
      <x:c r="B30" s="263" t="s">
        <x:v>10</x:v>
      </x:c>
      <x:c r="C30" s="263" t="s">
        <x:v>373</x:v>
      </x:c>
      <x:c r="D30" s="263" t="s">
        <x:v>1092</x:v>
      </x:c>
      <x:c r="E30" s="263" t="s">
        <x:v>1321</x:v>
      </x:c>
      <x:c r="F30" s="263" t="s">
        <x:v>1322</x:v>
      </x:c>
      <x:c r="G30" s="263" t="s">
        <x:v>1323</x:v>
      </x:c>
    </x:row>
    <x:row r="31" ht="28.799999237060547" customHeight="1">
      <x:c r="A31" s="430" t="s">
        <x:v>1324</x:v>
      </x:c>
      <x:c r="B31" s="430"/>
      <x:c r="C31" s="430"/>
      <x:c r="D31" s="430"/>
      <x:c r="E31" s="430"/>
      <x:c r="F31" s="430"/>
      <x:c r="G31" s="430"/>
    </x:row>
    <x:row r="32" ht="57" customHeight="1">
      <x:c r="A32" s="261">
        <x:v>27</x:v>
      </x:c>
      <x:c r="B32" s="261" t="s">
        <x:v>33</x:v>
      </x:c>
      <x:c r="C32" s="261" t="s">
        <x:v>11</x:v>
      </x:c>
      <x:c r="D32" s="261" t="s">
        <x:v>1092</x:v>
      </x:c>
      <x:c r="E32" s="261" t="s">
        <x:v>1321</x:v>
      </x:c>
      <x:c r="F32" s="261" t="s">
        <x:v>1325</x:v>
      </x:c>
      <x:c r="G32" s="261" t="s">
        <x:v>1326</x:v>
      </x:c>
    </x:row>
    <x:row r="33" ht="57" customHeight="1">
      <x:c r="A33" s="263">
        <x:v>28</x:v>
      </x:c>
      <x:c r="B33" s="263" t="s">
        <x:v>33</x:v>
      </x:c>
      <x:c r="C33" s="263" t="s">
        <x:v>1321</x:v>
      </x:c>
      <x:c r="D33" s="263" t="s">
        <x:v>1092</x:v>
      </x:c>
      <x:c r="E33" s="263" t="s">
        <x:v>373</x:v>
      </x:c>
      <x:c r="F33" s="263" t="s">
        <x:v>1327</x:v>
      </x:c>
      <x:c r="G33" s="263" t="s">
        <x:v>1328</x:v>
      </x:c>
    </x:row>
    <x:row r="34" ht="57" customHeight="1">
      <x:c r="A34" s="261">
        <x:v>29</x:v>
      </x:c>
      <x:c r="B34" s="261" t="s">
        <x:v>33</x:v>
      </x:c>
      <x:c r="C34" s="261" t="s">
        <x:v>373</x:v>
      </x:c>
      <x:c r="D34" s="261" t="s">
        <x:v>1092</x:v>
      </x:c>
      <x:c r="E34" s="261" t="s">
        <x:v>1152</x:v>
      </x:c>
      <x:c r="F34" s="261" t="s">
        <x:v>1329</x:v>
      </x:c>
      <x:c r="G34" s="261" t="s">
        <x:v>1330</x:v>
      </x:c>
    </x:row>
    <x:row r="35" ht="57" customHeight="1">
      <x:c r="A35" s="263">
        <x:v>30</x:v>
      </x:c>
      <x:c r="B35" s="263" t="s">
        <x:v>33</x:v>
      </x:c>
      <x:c r="C35" s="263" t="s">
        <x:v>1152</x:v>
      </x:c>
      <x:c r="D35" s="263" t="s">
        <x:v>1092</x:v>
      </x:c>
      <x:c r="E35" s="263" t="s">
        <x:v>908</x:v>
      </x:c>
      <x:c r="F35" s="263" t="s">
        <x:v>1206</x:v>
      </x:c>
      <x:c r="G35" s="263" t="s">
        <x:v>1331</x:v>
      </x:c>
    </x:row>
    <x:row r="36" ht="57" customHeight="1">
      <x:c r="A36" s="261">
        <x:v>31</x:v>
      </x:c>
      <x:c r="B36" s="261" t="s">
        <x:v>33</x:v>
      </x:c>
      <x:c r="C36" s="261" t="s">
        <x:v>908</x:v>
      </x:c>
      <x:c r="D36" s="261" t="s">
        <x:v>1092</x:v>
      </x:c>
      <x:c r="E36" s="261" t="s">
        <x:v>440</x:v>
      </x:c>
      <x:c r="F36" s="261" t="s">
        <x:v>1163</x:v>
      </x:c>
      <x:c r="G36" s="261" t="s">
        <x:v>1332</x:v>
      </x:c>
    </x:row>
    <x:row r="37" ht="57" customHeight="1">
      <x:c r="A37" s="263">
        <x:v>32</x:v>
      </x:c>
      <x:c r="B37" s="263" t="s">
        <x:v>33</x:v>
      </x:c>
      <x:c r="C37" s="263" t="s">
        <x:v>440</x:v>
      </x:c>
      <x:c r="D37" s="263" t="s">
        <x:v>323</x:v>
      </x:c>
      <x:c r="E37" s="263" t="s">
        <x:v>908</x:v>
      </x:c>
      <x:c r="F37" s="263" t="s">
        <x:v>1165</x:v>
      </x:c>
      <x:c r="G37" s="263" t="s">
        <x:v>1333</x:v>
      </x:c>
    </x:row>
    <x:row r="38" ht="57" customHeight="1">
      <x:c r="A38" s="261">
        <x:v>33</x:v>
      </x:c>
      <x:c r="B38" s="261" t="s">
        <x:v>33</x:v>
      </x:c>
      <x:c r="C38" s="261" t="s">
        <x:v>908</x:v>
      </x:c>
      <x:c r="D38" s="261" t="s">
        <x:v>323</x:v>
      </x:c>
      <x:c r="E38" s="261" t="s">
        <x:v>1152</x:v>
      </x:c>
      <x:c r="F38" s="261" t="s">
        <x:v>1167</x:v>
      </x:c>
      <x:c r="G38" s="261" t="s">
        <x:v>1334</x:v>
      </x:c>
    </x:row>
    <x:row r="39" ht="57" customHeight="1">
      <x:c r="A39" s="263">
        <x:v>34</x:v>
      </x:c>
      <x:c r="B39" s="263" t="s">
        <x:v>33</x:v>
      </x:c>
      <x:c r="C39" s="263" t="s">
        <x:v>1152</x:v>
      </x:c>
      <x:c r="D39" s="263" t="s">
        <x:v>1092</x:v>
      </x:c>
      <x:c r="E39" s="263" t="s">
        <x:v>1114</x:v>
      </x:c>
      <x:c r="F39" s="263" t="s">
        <x:v>1335</x:v>
      </x:c>
      <x:c r="G39" s="263" t="s">
        <x:v>1336</x:v>
      </x:c>
    </x:row>
    <x:row r="40" ht="57" customHeight="1">
      <x:c r="A40" s="261">
        <x:v>35</x:v>
      </x:c>
      <x:c r="B40" s="261" t="s">
        <x:v>33</x:v>
      </x:c>
      <x:c r="C40" s="261" t="s">
        <x:v>1114</x:v>
      </x:c>
      <x:c r="D40" s="261" t="s">
        <x:v>1092</x:v>
      </x:c>
      <x:c r="E40" s="261" t="s">
        <x:v>1117</x:v>
      </x:c>
      <x:c r="F40" s="261" t="s">
        <x:v>1337</x:v>
      </x:c>
      <x:c r="G40" s="261" t="s">
        <x:v>1338</x:v>
      </x:c>
    </x:row>
    <x:row r="41" ht="57" customHeight="1">
      <x:c r="A41" s="263">
        <x:v>36</x:v>
      </x:c>
      <x:c r="B41" s="263" t="s">
        <x:v>33</x:v>
      </x:c>
      <x:c r="C41" s="263" t="s">
        <x:v>1117</x:v>
      </x:c>
      <x:c r="D41" s="263" t="s">
        <x:v>323</x:v>
      </x:c>
      <x:c r="E41" s="263" t="s">
        <x:v>1114</x:v>
      </x:c>
      <x:c r="F41" s="263" t="s">
        <x:v>1339</x:v>
      </x:c>
      <x:c r="G41" s="263" t="s">
        <x:v>1340</x:v>
      </x:c>
    </x:row>
    <x:row r="42" ht="57" customHeight="1">
      <x:c r="A42" s="261">
        <x:v>37</x:v>
      </x:c>
      <x:c r="B42" s="261" t="s">
        <x:v>33</x:v>
      </x:c>
      <x:c r="C42" s="261" t="s">
        <x:v>1114</x:v>
      </x:c>
      <x:c r="D42" s="261" t="s">
        <x:v>404</x:v>
      </x:c>
      <x:c r="E42" s="261" t="s">
        <x:v>1114</x:v>
      </x:c>
      <x:c r="F42" s="261" t="s">
        <x:v>1341</x:v>
      </x:c>
      <x:c r="G42" s="261" t="s">
        <x:v>1342</x:v>
      </x:c>
    </x:row>
    <x:row r="43" ht="57" customHeight="1">
      <x:c r="A43" s="263">
        <x:v>38</x:v>
      </x:c>
      <x:c r="B43" s="263" t="s">
        <x:v>33</x:v>
      </x:c>
      <x:c r="C43" s="263" t="s">
        <x:v>1114</x:v>
      </x:c>
      <x:c r="D43" s="263" t="s">
        <x:v>323</x:v>
      </x:c>
      <x:c r="E43" s="263" t="s">
        <x:v>1152</x:v>
      </x:c>
      <x:c r="F43" s="263" t="s">
        <x:v>1343</x:v>
      </x:c>
      <x:c r="G43" s="263" t="s">
        <x:v>1344</x:v>
      </x:c>
    </x:row>
    <x:row r="44" ht="57" customHeight="1">
      <x:c r="A44" s="261">
        <x:v>39</x:v>
      </x:c>
      <x:c r="B44" s="261" t="s">
        <x:v>33</x:v>
      </x:c>
      <x:c r="C44" s="261" t="s">
        <x:v>1152</x:v>
      </x:c>
      <x:c r="D44" s="261" t="s">
        <x:v>1092</x:v>
      </x:c>
      <x:c r="E44" s="261" t="s">
        <x:v>500</x:v>
      </x:c>
      <x:c r="F44" s="261" t="s">
        <x:v>1345</x:v>
      </x:c>
      <x:c r="G44" s="261" t="s">
        <x:v>1346</x:v>
      </x:c>
    </x:row>
    <x:row r="45" ht="57" customHeight="1">
      <x:c r="A45" s="263">
        <x:v>40</x:v>
      </x:c>
      <x:c r="B45" s="263" t="s">
        <x:v>33</x:v>
      </x:c>
      <x:c r="C45" s="263" t="s">
        <x:v>500</x:v>
      </x:c>
      <x:c r="D45" s="263" t="s">
        <x:v>1092</x:v>
      </x:c>
      <x:c r="E45" s="263" t="s">
        <x:v>503</x:v>
      </x:c>
      <x:c r="F45" s="263" t="s">
        <x:v>1347</x:v>
      </x:c>
      <x:c r="G45" s="263" t="s">
        <x:v>1292</x:v>
      </x:c>
    </x:row>
    <x:row r="46" ht="57" customHeight="1">
      <x:c r="A46" s="261">
        <x:v>41</x:v>
      </x:c>
      <x:c r="B46" s="261" t="s">
        <x:v>33</x:v>
      </x:c>
      <x:c r="C46" s="261" t="s">
        <x:v>503</x:v>
      </x:c>
      <x:c r="D46" s="261" t="s">
        <x:v>323</x:v>
      </x:c>
      <x:c r="E46" s="261" t="s">
        <x:v>500</x:v>
      </x:c>
      <x:c r="F46" s="261" t="s">
        <x:v>1293</x:v>
      </x:c>
      <x:c r="G46" s="261" t="s">
        <x:v>1348</x:v>
      </x:c>
    </x:row>
    <x:row r="47" ht="57" customHeight="1">
      <x:c r="A47" s="263">
        <x:v>42</x:v>
      </x:c>
      <x:c r="B47" s="263" t="s">
        <x:v>33</x:v>
      </x:c>
      <x:c r="C47" s="263" t="s">
        <x:v>500</x:v>
      </x:c>
      <x:c r="D47" s="263" t="s">
        <x:v>323</x:v>
      </x:c>
      <x:c r="E47" s="263" t="s">
        <x:v>1152</x:v>
      </x:c>
      <x:c r="F47" s="263" t="s">
        <x:v>1349</x:v>
      </x:c>
      <x:c r="G47" s="263" t="s">
        <x:v>1350</x:v>
      </x:c>
    </x:row>
    <x:row r="48" ht="57" customHeight="1">
      <x:c r="A48" s="261">
        <x:v>43</x:v>
      </x:c>
      <x:c r="B48" s="261" t="s">
        <x:v>33</x:v>
      </x:c>
      <x:c r="C48" s="261" t="s">
        <x:v>1152</x:v>
      </x:c>
      <x:c r="D48" s="261" t="s">
        <x:v>404</x:v>
      </x:c>
      <x:c r="E48" s="261" t="s">
        <x:v>1152</x:v>
      </x:c>
      <x:c r="F48" s="261" t="s">
        <x:v>1351</x:v>
      </x:c>
      <x:c r="G48" s="261" t="s">
        <x:v>1352</x:v>
      </x:c>
    </x:row>
    <x:row r="49" ht="57" customHeight="1">
      <x:c r="A49" s="263">
        <x:v>44</x:v>
      </x:c>
      <x:c r="B49" s="263" t="s">
        <x:v>33</x:v>
      </x:c>
      <x:c r="C49" s="263" t="s">
        <x:v>1152</x:v>
      </x:c>
      <x:c r="D49" s="263" t="s">
        <x:v>1092</x:v>
      </x:c>
      <x:c r="E49" s="263" t="s">
        <x:v>1353</x:v>
      </x:c>
      <x:c r="F49" s="263" t="s">
        <x:v>1354</x:v>
      </x:c>
      <x:c r="G49" s="263" t="s">
        <x:v>1355</x:v>
      </x:c>
    </x:row>
    <x:row r="50" ht="28.799999237060547" customHeight="1">
      <x:c r="A50" s="430" t="s">
        <x:v>1356</x:v>
      </x:c>
      <x:c r="B50" s="430"/>
      <x:c r="C50" s="430"/>
      <x:c r="D50" s="430"/>
      <x:c r="E50" s="430"/>
      <x:c r="F50" s="430"/>
      <x:c r="G50" s="430"/>
    </x:row>
    <x:row r="51" ht="57" customHeight="1">
      <x:c r="A51" s="261">
        <x:v>45</x:v>
      </x:c>
      <x:c r="B51" s="261" t="s">
        <x:v>63</x:v>
      </x:c>
      <x:c r="C51" s="261" t="s">
        <x:v>1353</x:v>
      </x:c>
      <x:c r="D51" s="261" t="s">
        <x:v>1092</x:v>
      </x:c>
      <x:c r="E51" s="261" t="s">
        <x:v>11</x:v>
      </x:c>
      <x:c r="F51" s="261" t="s">
        <x:v>1357</x:v>
      </x:c>
      <x:c r="G51" s="261" t="s">
        <x:v>1358</x:v>
      </x:c>
    </x:row>
    <x:row r="52" ht="57" customHeight="1">
      <x:c r="A52" s="263">
        <x:v>46</x:v>
      </x:c>
      <x:c r="B52" s="263" t="s">
        <x:v>63</x:v>
      </x:c>
      <x:c r="C52" s="263" t="s">
        <x:v>11</x:v>
      </x:c>
      <x:c r="D52" s="263" t="s">
        <x:v>1092</x:v>
      </x:c>
      <x:c r="E52" s="263" t="s">
        <x:v>1353</x:v>
      </x:c>
      <x:c r="F52" s="263" t="s">
        <x:v>1359</x:v>
      </x:c>
      <x:c r="G52" s="263" t="s">
        <x:v>1360</x:v>
      </x:c>
    </x:row>
    <x:row r="53" ht="57" customHeight="1">
      <x:c r="A53" s="261">
        <x:v>47</x:v>
      </x:c>
      <x:c r="B53" s="261" t="s">
        <x:v>63</x:v>
      </x:c>
      <x:c r="C53" s="261" t="s">
        <x:v>11</x:v>
      </x:c>
      <x:c r="D53" s="261" t="s">
        <x:v>1092</x:v>
      </x:c>
      <x:c r="E53" s="261" t="s">
        <x:v>1353</x:v>
      </x:c>
      <x:c r="F53" s="261" t="s">
        <x:v>1361</x:v>
      </x:c>
      <x:c r="G53" s="261" t="s">
        <x:v>1362</x:v>
      </x:c>
    </x:row>
    <x:row r="54" ht="57" customHeight="1">
      <x:c r="A54" s="263">
        <x:v>48</x:v>
      </x:c>
      <x:c r="B54" s="263" t="s">
        <x:v>63</x:v>
      </x:c>
      <x:c r="C54" s="263" t="s">
        <x:v>1353</x:v>
      </x:c>
      <x:c r="D54" s="263" t="s">
        <x:v>1092</x:v>
      </x:c>
      <x:c r="E54" s="263" t="s">
        <x:v>1152</x:v>
      </x:c>
      <x:c r="F54" s="263" t="s">
        <x:v>1363</x:v>
      </x:c>
      <x:c r="G54" s="263" t="s">
        <x:v>1364</x:v>
      </x:c>
    </x:row>
    <x:row r="55" ht="57" customHeight="1">
      <x:c r="A55" s="261">
        <x:v>49</x:v>
      </x:c>
      <x:c r="B55" s="261" t="s">
        <x:v>63</x:v>
      </x:c>
      <x:c r="C55" s="261" t="s">
        <x:v>1152</x:v>
      </x:c>
      <x:c r="D55" s="261" t="s">
        <x:v>1092</x:v>
      </x:c>
      <x:c r="E55" s="261" t="s">
        <x:v>1365</x:v>
      </x:c>
      <x:c r="F55" s="261" t="s">
        <x:v>1366</x:v>
      </x:c>
      <x:c r="G55" s="261" t="s">
        <x:v>1367</x:v>
      </x:c>
    </x:row>
    <x:row r="56" ht="57" customHeight="1">
      <x:c r="A56" s="263">
        <x:v>50</x:v>
      </x:c>
      <x:c r="B56" s="263" t="s">
        <x:v>63</x:v>
      </x:c>
      <x:c r="C56" s="263" t="s">
        <x:v>1365</x:v>
      </x:c>
      <x:c r="D56" s="263" t="s">
        <x:v>1092</x:v>
      </x:c>
      <x:c r="E56" s="263" t="s">
        <x:v>1368</x:v>
      </x:c>
      <x:c r="F56" s="263" t="s">
        <x:v>1369</x:v>
      </x:c>
      <x:c r="G56" s="263" t="str">
        <x:v>Antes del guardado, consulta al controlador dueño del catálogo para comprobar que el tipo tomado de la alerta exista, corresponda a 7 tipos iniciales, más los tipos adicionales ACTIVOS autorizados por RF62 y permanezca ACTIVO para registrar un NUEVO mantenimiento. La consulta a E_TipoMantenimiento queda encapsulada en este método del catálogo. Si se desactivó, se deriva al escenario alternativo, no se guarda silenciosamente. La validación consulta en E_TipoMantenimiento el estado ACTUAL PERSISTIDO; no se basa en el catálogo capturado al abrir el formulario. El servidor revalidará nuevamente bajo la transacción de atención si la situación cambió antes del guardado.</x:v>
      </x:c>
    </x:row>
    <x:row r="57" ht="57" customHeight="1">
      <x:c r="A57" s="261">
        <x:v>51</x:v>
      </x:c>
      <x:c r="B57" s="261" t="s">
        <x:v>63</x:v>
      </x:c>
      <x:c r="C57" s="261" t="s">
        <x:v>1368</x:v>
      </x:c>
      <x:c r="D57" s="261" t="s">
        <x:v>323</x:v>
      </x:c>
      <x:c r="E57" s="261" t="s">
        <x:v>1365</x:v>
      </x:c>
      <x:c r="F57" s="261" t="s">
        <x:v>1370</x:v>
      </x:c>
      <x:c r="G57" s="261" t="s">
        <x:v>1371</x:v>
      </x:c>
    </x:row>
    <x:row r="58" ht="57" customHeight="1">
      <x:c r="A58" s="263">
        <x:v>52</x:v>
      </x:c>
      <x:c r="B58" s="263" t="s">
        <x:v>63</x:v>
      </x:c>
      <x:c r="C58" s="263" t="s">
        <x:v>1365</x:v>
      </x:c>
      <x:c r="D58" s="263" t="s">
        <x:v>323</x:v>
      </x:c>
      <x:c r="E58" s="263" t="s">
        <x:v>1152</x:v>
      </x:c>
      <x:c r="F58" s="263" t="s">
        <x:v>1372</x:v>
      </x:c>
      <x:c r="G58" s="263" t="s">
        <x:v>1373</x:v>
      </x:c>
    </x:row>
    <x:row r="59" ht="57" customHeight="1">
      <x:c r="A59" s="261">
        <x:v>53</x:v>
      </x:c>
      <x:c r="B59" s="261" t="s">
        <x:v>63</x:v>
      </x:c>
      <x:c r="C59" s="261" t="s">
        <x:v>1152</x:v>
      </x:c>
      <x:c r="D59" s="261" t="s">
        <x:v>1092</x:v>
      </x:c>
      <x:c r="E59" s="261" t="s">
        <x:v>908</x:v>
      </x:c>
      <x:c r="F59" s="261" t="s">
        <x:v>1206</x:v>
      </x:c>
      <x:c r="G59" s="261" t="s">
        <x:v>1374</x:v>
      </x:c>
    </x:row>
    <x:row r="60" ht="57" customHeight="1">
      <x:c r="A60" s="263">
        <x:v>54</x:v>
      </x:c>
      <x:c r="B60" s="263" t="s">
        <x:v>63</x:v>
      </x:c>
      <x:c r="C60" s="263" t="s">
        <x:v>908</x:v>
      </x:c>
      <x:c r="D60" s="263" t="s">
        <x:v>1092</x:v>
      </x:c>
      <x:c r="E60" s="263" t="s">
        <x:v>440</x:v>
      </x:c>
      <x:c r="F60" s="263" t="s">
        <x:v>1163</x:v>
      </x:c>
      <x:c r="G60" s="263" t="s">
        <x:v>1332</x:v>
      </x:c>
    </x:row>
    <x:row r="61" ht="57" customHeight="1">
      <x:c r="A61" s="261">
        <x:v>55</x:v>
      </x:c>
      <x:c r="B61" s="261" t="s">
        <x:v>63</x:v>
      </x:c>
      <x:c r="C61" s="261" t="s">
        <x:v>440</x:v>
      </x:c>
      <x:c r="D61" s="261" t="s">
        <x:v>323</x:v>
      </x:c>
      <x:c r="E61" s="261" t="s">
        <x:v>908</x:v>
      </x:c>
      <x:c r="F61" s="261" t="s">
        <x:v>1165</x:v>
      </x:c>
      <x:c r="G61" s="261" t="s">
        <x:v>1375</x:v>
      </x:c>
    </x:row>
    <x:row r="62" ht="57" customHeight="1">
      <x:c r="A62" s="263">
        <x:v>56</x:v>
      </x:c>
      <x:c r="B62" s="263" t="s">
        <x:v>63</x:v>
      </x:c>
      <x:c r="C62" s="263" t="s">
        <x:v>908</x:v>
      </x:c>
      <x:c r="D62" s="263" t="s">
        <x:v>323</x:v>
      </x:c>
      <x:c r="E62" s="263" t="s">
        <x:v>1152</x:v>
      </x:c>
      <x:c r="F62" s="263" t="s">
        <x:v>1167</x:v>
      </x:c>
      <x:c r="G62" s="263" t="s">
        <x:v>1376</x:v>
      </x:c>
    </x:row>
    <x:row r="63" ht="57" customHeight="1">
      <x:c r="A63" s="261">
        <x:v>57</x:v>
      </x:c>
      <x:c r="B63" s="261" t="s">
        <x:v>63</x:v>
      </x:c>
      <x:c r="C63" s="261" t="s">
        <x:v>1152</x:v>
      </x:c>
      <x:c r="D63" s="261" t="s">
        <x:v>1092</x:v>
      </x:c>
      <x:c r="E63" s="261" t="s">
        <x:v>1114</x:v>
      </x:c>
      <x:c r="F63" s="261" t="s">
        <x:v>1377</x:v>
      </x:c>
      <x:c r="G63" s="261" t="s">
        <x:v>1378</x:v>
      </x:c>
    </x:row>
    <x:row r="64" ht="57" customHeight="1">
      <x:c r="A64" s="263">
        <x:v>58</x:v>
      </x:c>
      <x:c r="B64" s="263" t="s">
        <x:v>63</x:v>
      </x:c>
      <x:c r="C64" s="263" t="s">
        <x:v>1114</x:v>
      </x:c>
      <x:c r="D64" s="263" t="s">
        <x:v>1092</x:v>
      </x:c>
      <x:c r="E64" s="263" t="s">
        <x:v>1117</x:v>
      </x:c>
      <x:c r="F64" s="263" t="s">
        <x:v>1379</x:v>
      </x:c>
      <x:c r="G64" s="263" t="s">
        <x:v>1380</x:v>
      </x:c>
    </x:row>
    <x:row r="65" ht="57" customHeight="1">
      <x:c r="A65" s="261">
        <x:v>59</x:v>
      </x:c>
      <x:c r="B65" s="261" t="s">
        <x:v>63</x:v>
      </x:c>
      <x:c r="C65" s="261" t="s">
        <x:v>1117</x:v>
      </x:c>
      <x:c r="D65" s="261" t="s">
        <x:v>323</x:v>
      </x:c>
      <x:c r="E65" s="261" t="s">
        <x:v>1114</x:v>
      </x:c>
      <x:c r="F65" s="261" t="s">
        <x:v>1381</x:v>
      </x:c>
      <x:c r="G65" s="261" t="s">
        <x:v>1382</x:v>
      </x:c>
    </x:row>
    <x:row r="66" ht="57" customHeight="1">
      <x:c r="A66" s="263">
        <x:v>60</x:v>
      </x:c>
      <x:c r="B66" s="263" t="s">
        <x:v>63</x:v>
      </x:c>
      <x:c r="C66" s="263" t="s">
        <x:v>1114</x:v>
      </x:c>
      <x:c r="D66" s="263" t="s">
        <x:v>323</x:v>
      </x:c>
      <x:c r="E66" s="263" t="s">
        <x:v>1152</x:v>
      </x:c>
      <x:c r="F66" s="263" t="s">
        <x:v>1383</x:v>
      </x:c>
      <x:c r="G66" s="263" t="s">
        <x:v>1384</x:v>
      </x:c>
    </x:row>
    <x:row r="67" ht="57" customHeight="1">
      <x:c r="A67" s="261">
        <x:v>61</x:v>
      </x:c>
      <x:c r="B67" s="261" t="s">
        <x:v>63</x:v>
      </x:c>
      <x:c r="C67" s="261" t="s">
        <x:v>1152</x:v>
      </x:c>
      <x:c r="D67" s="261" t="s">
        <x:v>1092</x:v>
      </x:c>
      <x:c r="E67" s="261" t="s">
        <x:v>373</x:v>
      </x:c>
      <x:c r="F67" s="261" t="s">
        <x:v>1385</x:v>
      </x:c>
      <x:c r="G67" s="261" t="s">
        <x:v>1386</x:v>
      </x:c>
    </x:row>
    <x:row r="68" ht="57" customHeight="1">
      <x:c r="A68" s="263">
        <x:v>62</x:v>
      </x:c>
      <x:c r="B68" s="263" t="s">
        <x:v>63</x:v>
      </x:c>
      <x:c r="C68" s="263" t="s">
        <x:v>373</x:v>
      </x:c>
      <x:c r="D68" s="263" t="s">
        <x:v>1092</x:v>
      </x:c>
      <x:c r="E68" s="263" t="s">
        <x:v>791</x:v>
      </x:c>
      <x:c r="F68" s="263" t="s">
        <x:v>1387</x:v>
      </x:c>
      <x:c r="G68" s="263" t="s">
        <x:v>1388</x:v>
      </x:c>
    </x:row>
    <x:row r="69" ht="57" customHeight="1">
      <x:c r="A69" s="261">
        <x:v>63</x:v>
      </x:c>
      <x:c r="B69" s="261" t="s">
        <x:v>63</x:v>
      </x:c>
      <x:c r="C69" s="261" t="s">
        <x:v>791</x:v>
      </x:c>
      <x:c r="D69" s="261" t="s">
        <x:v>323</x:v>
      </x:c>
      <x:c r="E69" s="261" t="s">
        <x:v>373</x:v>
      </x:c>
      <x:c r="F69" s="261" t="s">
        <x:v>1389</x:v>
      </x:c>
      <x:c r="G69" s="261" t="s">
        <x:v>1390</x:v>
      </x:c>
    </x:row>
    <x:row r="70" ht="57" customHeight="1">
      <x:c r="A70" s="263">
        <x:v>64</x:v>
      </x:c>
      <x:c r="B70" s="263" t="s">
        <x:v>63</x:v>
      </x:c>
      <x:c r="C70" s="263" t="s">
        <x:v>373</x:v>
      </x:c>
      <x:c r="D70" s="263" t="s">
        <x:v>1092</x:v>
      </x:c>
      <x:c r="E70" s="263" t="s">
        <x:v>500</x:v>
      </x:c>
      <x:c r="F70" s="263" t="s">
        <x:v>1391</x:v>
      </x:c>
      <x:c r="G70" s="263" t="s">
        <x:v>1392</x:v>
      </x:c>
    </x:row>
    <x:row r="71" ht="57" customHeight="1">
      <x:c r="A71" s="261">
        <x:v>65</x:v>
      </x:c>
      <x:c r="B71" s="261" t="s">
        <x:v>63</x:v>
      </x:c>
      <x:c r="C71" s="261" t="s">
        <x:v>500</x:v>
      </x:c>
      <x:c r="D71" s="261" t="s">
        <x:v>1092</x:v>
      </x:c>
      <x:c r="E71" s="261" t="s">
        <x:v>503</x:v>
      </x:c>
      <x:c r="F71" s="261" t="s">
        <x:v>1347</x:v>
      </x:c>
      <x:c r="G71" s="261" t="s">
        <x:v>1393</x:v>
      </x:c>
    </x:row>
    <x:row r="72" ht="57" customHeight="1">
      <x:c r="A72" s="263">
        <x:v>66</x:v>
      </x:c>
      <x:c r="B72" s="263" t="s">
        <x:v>63</x:v>
      </x:c>
      <x:c r="C72" s="263" t="s">
        <x:v>503</x:v>
      </x:c>
      <x:c r="D72" s="263" t="s">
        <x:v>323</x:v>
      </x:c>
      <x:c r="E72" s="263" t="s">
        <x:v>500</x:v>
      </x:c>
      <x:c r="F72" s="263" t="s">
        <x:v>1394</x:v>
      </x:c>
      <x:c r="G72" s="263" t="s">
        <x:v>1395</x:v>
      </x:c>
    </x:row>
    <x:row r="73" ht="57" customHeight="1">
      <x:c r="A73" s="261">
        <x:v>67</x:v>
      </x:c>
      <x:c r="B73" s="261" t="s">
        <x:v>63</x:v>
      </x:c>
      <x:c r="C73" s="261" t="s">
        <x:v>500</x:v>
      </x:c>
      <x:c r="D73" s="261" t="s">
        <x:v>323</x:v>
      </x:c>
      <x:c r="E73" s="261" t="s">
        <x:v>373</x:v>
      </x:c>
      <x:c r="F73" s="261" t="s">
        <x:v>1394</x:v>
      </x:c>
      <x:c r="G73" s="261" t="s">
        <x:v>1396</x:v>
      </x:c>
    </x:row>
    <x:row r="74" ht="57" customHeight="1">
      <x:c r="A74" s="263">
        <x:v>68</x:v>
      </x:c>
      <x:c r="B74" s="263" t="s">
        <x:v>63</x:v>
      </x:c>
      <x:c r="C74" s="263" t="s">
        <x:v>373</x:v>
      </x:c>
      <x:c r="D74" s="263" t="s">
        <x:v>404</x:v>
      </x:c>
      <x:c r="E74" s="263" t="s">
        <x:v>373</x:v>
      </x:c>
      <x:c r="F74" s="263" t="s">
        <x:v>1397</x:v>
      </x:c>
      <x:c r="G74" s="263" t="s">
        <x:v>1398</x:v>
      </x:c>
    </x:row>
    <x:row r="75" ht="57" customHeight="1">
      <x:c r="A75" s="261">
        <x:v>69</x:v>
      </x:c>
      <x:c r="B75" s="261" t="s">
        <x:v>63</x:v>
      </x:c>
      <x:c r="C75" s="261" t="s">
        <x:v>373</x:v>
      </x:c>
      <x:c r="D75" s="261" t="s">
        <x:v>323</x:v>
      </x:c>
      <x:c r="E75" s="261" t="s">
        <x:v>1152</x:v>
      </x:c>
      <x:c r="F75" s="261" t="s">
        <x:v>1399</x:v>
      </x:c>
      <x:c r="G75" s="261" t="s">
        <x:v>1400</x:v>
      </x:c>
    </x:row>
    <x:row r="76" ht="57" customHeight="1">
      <x:c r="A76" s="263">
        <x:v>70</x:v>
      </x:c>
      <x:c r="B76" s="263" t="s">
        <x:v>63</x:v>
      </x:c>
      <x:c r="C76" s="263" t="s">
        <x:v>1152</x:v>
      </x:c>
      <x:c r="D76" s="263" t="s">
        <x:v>1092</x:v>
      </x:c>
      <x:c r="E76" s="263" t="s">
        <x:v>500</x:v>
      </x:c>
      <x:c r="F76" s="263" t="s">
        <x:v>1401</x:v>
      </x:c>
      <x:c r="G76" s="263" t="s">
        <x:v>1402</x:v>
      </x:c>
    </x:row>
    <x:row r="77" ht="57" customHeight="1">
      <x:c r="A77" s="261">
        <x:v>71</x:v>
      </x:c>
      <x:c r="B77" s="261" t="s">
        <x:v>63</x:v>
      </x:c>
      <x:c r="C77" s="261" t="s">
        <x:v>500</x:v>
      </x:c>
      <x:c r="D77" s="261" t="s">
        <x:v>1092</x:v>
      </x:c>
      <x:c r="E77" s="261" t="s">
        <x:v>503</x:v>
      </x:c>
      <x:c r="F77" s="261" t="s">
        <x:v>1403</x:v>
      </x:c>
      <x:c r="G77" s="261" t="s">
        <x:v>1404</x:v>
      </x:c>
    </x:row>
    <x:row r="78" ht="57" customHeight="1">
      <x:c r="A78" s="263">
        <x:v>72</x:v>
      </x:c>
      <x:c r="B78" s="263" t="s">
        <x:v>63</x:v>
      </x:c>
      <x:c r="C78" s="263" t="s">
        <x:v>503</x:v>
      </x:c>
      <x:c r="D78" s="263" t="s">
        <x:v>323</x:v>
      </x:c>
      <x:c r="E78" s="263" t="s">
        <x:v>500</x:v>
      </x:c>
      <x:c r="F78" s="263" t="s">
        <x:v>1405</x:v>
      </x:c>
      <x:c r="G78" s="263" t="s">
        <x:v>1406</x:v>
      </x:c>
    </x:row>
    <x:row r="79" ht="57" customHeight="1">
      <x:c r="A79" s="261">
        <x:v>73</x:v>
      </x:c>
      <x:c r="B79" s="261" t="s">
        <x:v>63</x:v>
      </x:c>
      <x:c r="C79" s="261" t="s">
        <x:v>500</x:v>
      </x:c>
      <x:c r="D79" s="261" t="s">
        <x:v>323</x:v>
      </x:c>
      <x:c r="E79" s="261" t="s">
        <x:v>1152</x:v>
      </x:c>
      <x:c r="F79" s="261" t="s">
        <x:v>1407</x:v>
      </x:c>
      <x:c r="G79" s="261" t="s">
        <x:v>1408</x:v>
      </x:c>
    </x:row>
    <x:row r="80" ht="57" customHeight="1">
      <x:c r="A80" s="263">
        <x:v>74</x:v>
      </x:c>
      <x:c r="B80" s="263" t="s">
        <x:v>63</x:v>
      </x:c>
      <x:c r="C80" s="263" t="s">
        <x:v>1152</x:v>
      </x:c>
      <x:c r="D80" s="263" t="s">
        <x:v>404</x:v>
      </x:c>
      <x:c r="E80" s="263" t="s">
        <x:v>1152</x:v>
      </x:c>
      <x:c r="F80" s="263" t="s">
        <x:v>1409</x:v>
      </x:c>
      <x:c r="G80" s="263" t="s">
        <x:v>1410</x:v>
      </x:c>
    </x:row>
    <x:row r="81" ht="57" customHeight="1">
      <x:c r="A81" s="261">
        <x:v>75</x:v>
      </x:c>
      <x:c r="B81" s="261" t="s">
        <x:v>63</x:v>
      </x:c>
      <x:c r="C81" s="261" t="s">
        <x:v>1152</x:v>
      </x:c>
      <x:c r="D81" s="261" t="s">
        <x:v>1092</x:v>
      </x:c>
      <x:c r="E81" s="261" t="s">
        <x:v>1099</x:v>
      </x:c>
      <x:c r="F81" s="261" t="s">
        <x:v>1411</x:v>
      </x:c>
      <x:c r="G81" s="261" t="s">
        <x:v>1412</x:v>
      </x:c>
    </x:row>
    <x:row r="82" ht="57" customHeight="1">
      <x:c r="A82" s="263">
        <x:v>76</x:v>
      </x:c>
      <x:c r="B82" s="263" t="s">
        <x:v>63</x:v>
      </x:c>
      <x:c r="C82" s="263" t="s">
        <x:v>1099</x:v>
      </x:c>
      <x:c r="D82" s="263" t="s">
        <x:v>323</x:v>
      </x:c>
      <x:c r="E82" s="263" t="s">
        <x:v>1152</x:v>
      </x:c>
      <x:c r="F82" s="263" t="s">
        <x:v>1413</x:v>
      </x:c>
      <x:c r="G82" s="263" t="s">
        <x:v>1414</x:v>
      </x:c>
    </x:row>
    <x:row r="83" ht="57" customHeight="1">
      <x:c r="A83" s="261">
        <x:v>77</x:v>
      </x:c>
      <x:c r="B83" s="261" t="s">
        <x:v>63</x:v>
      </x:c>
      <x:c r="C83" s="261" t="s">
        <x:v>1152</x:v>
      </x:c>
      <x:c r="D83" s="261" t="s">
        <x:v>323</x:v>
      </x:c>
      <x:c r="E83" s="261" t="s">
        <x:v>373</x:v>
      </x:c>
      <x:c r="F83" s="261" t="s">
        <x:v>1413</x:v>
      </x:c>
      <x:c r="G83" s="261" t="s">
        <x:v>1415</x:v>
      </x:c>
    </x:row>
    <x:row r="84" ht="28.799999237060547" customHeight="1">
      <x:c r="A84" s="6" t="s">
        <x:v>1416</x:v>
      </x:c>
      <x:c r="B84" s="6"/>
      <x:c r="C84" s="6"/>
      <x:c r="D84" s="6"/>
      <x:c r="E84" s="6"/>
      <x:c r="F84" s="6"/>
      <x:c r="G84" s="6"/>
    </x:row>
    <x:row r="85" ht="57" customHeight="1">
      <x:c r="A85" s="263">
        <x:v>78</x:v>
      </x:c>
      <x:c r="B85" s="263" t="s">
        <x:v>81</x:v>
      </x:c>
      <x:c r="C85" s="263" t="s">
        <x:v>373</x:v>
      </x:c>
      <x:c r="D85" s="263" t="s">
        <x:v>1092</x:v>
      </x:c>
      <x:c r="E85" s="263" t="s">
        <x:v>791</x:v>
      </x:c>
      <x:c r="F85" s="263" t="s">
        <x:v>1417</x:v>
      </x:c>
      <x:c r="G85" s="263" t="s">
        <x:v>1418</x:v>
      </x:c>
    </x:row>
    <x:row r="86" ht="57" customHeight="1">
      <x:c r="A86" s="261">
        <x:v>79</x:v>
      </x:c>
      <x:c r="B86" s="261" t="s">
        <x:v>81</x:v>
      </x:c>
      <x:c r="C86" s="261" t="s">
        <x:v>791</x:v>
      </x:c>
      <x:c r="D86" s="261" t="s">
        <x:v>323</x:v>
      </x:c>
      <x:c r="E86" s="261" t="s">
        <x:v>373</x:v>
      </x:c>
      <x:c r="F86" s="261" t="s">
        <x:v>1419</x:v>
      </x:c>
      <x:c r="G86" s="261" t="s">
        <x:v>1420</x:v>
      </x:c>
    </x:row>
    <x:row r="87" ht="57" customHeight="1">
      <x:c r="A87" s="263">
        <x:v>80</x:v>
      </x:c>
      <x:c r="B87" s="263" t="s">
        <x:v>81</x:v>
      </x:c>
      <x:c r="C87" s="263" t="s">
        <x:v>373</x:v>
      </x:c>
      <x:c r="D87" s="263" t="s">
        <x:v>1092</x:v>
      </x:c>
      <x:c r="E87" s="263" t="s">
        <x:v>797</x:v>
      </x:c>
      <x:c r="F87" s="263" t="s">
        <x:v>1421</x:v>
      </x:c>
      <x:c r="G87" s="263" t="s">
        <x:v>1422</x:v>
      </x:c>
    </x:row>
    <x:row r="88" ht="57" customHeight="1">
      <x:c r="A88" s="261">
        <x:v>81</x:v>
      </x:c>
      <x:c r="B88" s="261" t="s">
        <x:v>81</x:v>
      </x:c>
      <x:c r="C88" s="261" t="s">
        <x:v>797</x:v>
      </x:c>
      <x:c r="D88" s="261" t="s">
        <x:v>323</x:v>
      </x:c>
      <x:c r="E88" s="261" t="s">
        <x:v>373</x:v>
      </x:c>
      <x:c r="F88" s="261" t="s">
        <x:v>1423</x:v>
      </x:c>
      <x:c r="G88" s="261" t="s">
        <x:v>1424</x:v>
      </x:c>
    </x:row>
    <x:row r="89" ht="57" customHeight="1">
      <x:c r="A89" s="263">
        <x:v>82</x:v>
      </x:c>
      <x:c r="B89" s="263" t="s">
        <x:v>81</x:v>
      </x:c>
      <x:c r="C89" s="263" t="s">
        <x:v>373</x:v>
      </x:c>
      <x:c r="D89" s="263" t="s">
        <x:v>1092</x:v>
      </x:c>
      <x:c r="E89" s="263" t="s">
        <x:v>380</x:v>
      </x:c>
      <x:c r="F89" s="263" t="s">
        <x:v>1425</x:v>
      </x:c>
      <x:c r="G89" s="263" t="s">
        <x:v>1426</x:v>
      </x:c>
    </x:row>
    <x:row r="90" ht="57" customHeight="1">
      <x:c r="A90" s="261">
        <x:v>83</x:v>
      </x:c>
      <x:c r="B90" s="261" t="s">
        <x:v>81</x:v>
      </x:c>
      <x:c r="C90" s="261" t="s">
        <x:v>380</x:v>
      </x:c>
      <x:c r="D90" s="261" t="s">
        <x:v>1092</x:v>
      </x:c>
      <x:c r="E90" s="261" t="s">
        <x:v>802</x:v>
      </x:c>
      <x:c r="F90" s="261" t="s">
        <x:v>1427</x:v>
      </x:c>
      <x:c r="G90" s="261" t="s">
        <x:v>1428</x:v>
      </x:c>
    </x:row>
    <x:row r="91" ht="57" customHeight="1">
      <x:c r="A91" s="263">
        <x:v>84</x:v>
      </x:c>
      <x:c r="B91" s="263" t="s">
        <x:v>81</x:v>
      </x:c>
      <x:c r="C91" s="263" t="s">
        <x:v>802</x:v>
      </x:c>
      <x:c r="D91" s="263" t="s">
        <x:v>323</x:v>
      </x:c>
      <x:c r="E91" s="263" t="s">
        <x:v>380</x:v>
      </x:c>
      <x:c r="F91" s="263" t="s">
        <x:v>1429</x:v>
      </x:c>
      <x:c r="G91" s="263" t="s">
        <x:v>1430</x:v>
      </x:c>
    </x:row>
    <x:row r="92" ht="57" customHeight="1">
      <x:c r="A92" s="261">
        <x:v>85</x:v>
      </x:c>
      <x:c r="B92" s="261" t="s">
        <x:v>81</x:v>
      </x:c>
      <x:c r="C92" s="261" t="s">
        <x:v>380</x:v>
      </x:c>
      <x:c r="D92" s="261" t="s">
        <x:v>323</x:v>
      </x:c>
      <x:c r="E92" s="261" t="s">
        <x:v>373</x:v>
      </x:c>
      <x:c r="F92" s="261" t="s">
        <x:v>1431</x:v>
      </x:c>
      <x:c r="G92" s="261" t="s">
        <x:v>1432</x:v>
      </x:c>
    </x:row>
    <x:row r="93" ht="57" customHeight="1">
      <x:c r="A93" s="263">
        <x:v>86</x:v>
      </x:c>
      <x:c r="B93" s="263" t="s">
        <x:v>81</x:v>
      </x:c>
      <x:c r="C93" s="263" t="s">
        <x:v>373</x:v>
      </x:c>
      <x:c r="D93" s="263" t="s">
        <x:v>404</x:v>
      </x:c>
      <x:c r="E93" s="263" t="s">
        <x:v>373</x:v>
      </x:c>
      <x:c r="F93" s="263" t="s">
        <x:v>1433</x:v>
      </x:c>
      <x:c r="G93" s="263" t="s">
        <x:v>1434</x:v>
      </x:c>
    </x:row>
    <x:row r="94" ht="28.799999237060547" customHeight="1">
      <x:c r="A94" s="6" t="s">
        <x:v>1435</x:v>
      </x:c>
      <x:c r="B94" s="6"/>
      <x:c r="C94" s="6"/>
      <x:c r="D94" s="6"/>
      <x:c r="E94" s="6"/>
      <x:c r="F94" s="6"/>
      <x:c r="G94" s="6"/>
    </x:row>
    <x:row r="95" ht="57" customHeight="1">
      <x:c r="A95" s="261">
        <x:v>87</x:v>
      </x:c>
      <x:c r="B95" s="261" t="s">
        <x:v>110</x:v>
      </x:c>
      <x:c r="C95" s="261" t="s">
        <x:v>373</x:v>
      </x:c>
      <x:c r="D95" s="261" t="s">
        <x:v>1092</x:v>
      </x:c>
      <x:c r="E95" s="261" t="s">
        <x:v>1321</x:v>
      </x:c>
      <x:c r="F95" s="261" t="s">
        <x:v>1436</x:v>
      </x:c>
      <x:c r="G95" s="261" t="s">
        <x:v>1437</x:v>
      </x:c>
    </x:row>
    <x:row r="96" ht="57" customHeight="1">
      <x:c r="A96" s="263">
        <x:v>88</x:v>
      </x:c>
      <x:c r="B96" s="263" t="s">
        <x:v>110</x:v>
      </x:c>
      <x:c r="C96" s="263" t="s">
        <x:v>1321</x:v>
      </x:c>
      <x:c r="D96" s="263" t="s">
        <x:v>1092</x:v>
      </x:c>
      <x:c r="E96" s="263" t="s">
        <x:v>11</x:v>
      </x:c>
      <x:c r="F96" s="263" t="s">
        <x:v>1438</x:v>
      </x:c>
      <x:c r="G96" s="263" t="s">
        <x:v>1439</x:v>
      </x:c>
    </x:row>
    <x:row r="97">
      <x:c r="A97" s="282"/>
      <x:c r="B97" s="282"/>
      <x:c r="C97" s="282"/>
      <x:c r="D97" s="282"/>
      <x:c r="E97" s="282"/>
      <x:c r="F97" s="282"/>
      <x:c r="G97" s="282"/>
    </x:row>
  </x:sheetData>
  <x:mergeCells>
    <x:mergeCell ref="A84:G84"/>
    <x:mergeCell ref="A94:G94"/>
    <x:mergeCell ref="A1:G1"/>
    <x:mergeCell ref="A2:G2"/>
    <x:mergeCell ref="A4:G4"/>
    <x:mergeCell ref="A31:G31"/>
    <x:mergeCell ref="A50:G50"/>
  </x:mergeCells>
  <x:pageMargins left="0.7" right="0.7" top="0.75" bottom="0.75" header="0.3" footer="0.3"/>
</x:worksheet>
</file>

<file path=xl/worksheets/sheet22.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1440</x:v>
      </x:c>
      <x:c r="B1" s="431"/>
      <x:c r="C1" s="431"/>
      <x:c r="D1" s="431"/>
      <x:c r="E1" s="431"/>
      <x:c r="F1" s="431"/>
      <x:c r="G1" s="431"/>
    </x:row>
    <x:row r="2" ht="49.20000076293945" customHeight="1">
      <x:c r="A2" s="3" t="s">
        <x:v>1441</x:v>
      </x:c>
      <x:c r="B2" s="3"/>
      <x:c r="C2" s="3"/>
      <x:c r="D2" s="3"/>
      <x:c r="E2" s="3"/>
      <x:c r="F2" s="3"/>
      <x:c r="G2" s="3"/>
    </x:row>
    <x:row r="3" ht="31.049999237060547" customHeight="1">
      <x:c r="A3" s="262" t="s">
        <x:v>1267</x:v>
      </x:c>
      <x:c r="B3" s="262" t="s">
        <x:v>3</x:v>
      </x:c>
      <x:c r="C3" s="262" t="s">
        <x:v>1268</x:v>
      </x:c>
      <x:c r="D3" s="262" t="s">
        <x:v>1269</x:v>
      </x:c>
      <x:c r="E3" s="262" t="s">
        <x:v>1270</x:v>
      </x:c>
      <x:c r="F3" s="262" t="s">
        <x:v>7</x:v>
      </x:c>
      <x:c r="G3" s="262" t="s">
        <x:v>1271</x:v>
      </x:c>
      <x:c r="H3" t="str">
        <x:v>CONDICIÓN RF65 (NO MVP)</x:v>
      </x:c>
    </x:row>
    <x:row r="4" ht="28.799999237060547" customHeight="1">
      <x:c r="A4" s="430" t="s">
        <x:v>1442</x:v>
      </x:c>
      <x:c r="B4" s="430"/>
      <x:c r="C4" s="430"/>
      <x:c r="D4" s="430"/>
      <x:c r="E4" s="430"/>
      <x:c r="F4" s="430"/>
      <x:c r="G4" s="430"/>
    </x:row>
    <x:row r="5" ht="57" customHeight="1">
      <x:c r="A5" s="261">
        <x:v>1</x:v>
      </x:c>
      <x:c r="B5" s="261" t="s">
        <x:v>10</x:v>
      </x:c>
      <x:c r="C5" s="261" t="s">
        <x:v>11</x:v>
      </x:c>
      <x:c r="D5" s="261" t="s">
        <x:v>1092</x:v>
      </x:c>
      <x:c r="E5" s="261" t="s">
        <x:v>164</x:v>
      </x:c>
      <x:c r="F5" s="261" t="s">
        <x:v>999</x:v>
      </x:c>
      <x:c r="G5" s="261" t="s">
        <x:v>1000</x:v>
      </x:c>
      <x:c r="H5" s="1071" t="str">
        <x:v>RF65 POST-MVP · CONDICIONADO A APROBACIÓN. Historial unificado: conservar datos referenciados, pero excluir vehículo ELIMINADO del selector normal; decidir acceso histórico excepcional. Sin aprobación no aplicar filtros ni cambios de BD por RF65.</x:v>
      </x:c>
    </x:row>
    <x:row r="6" ht="57" customHeight="1">
      <x:c r="A6" s="263">
        <x:v>2</x:v>
      </x:c>
      <x:c r="B6" s="263" t="s">
        <x:v>10</x:v>
      </x:c>
      <x:c r="C6" s="263" t="s">
        <x:v>164</x:v>
      </x:c>
      <x:c r="D6" s="263" t="s">
        <x:v>1092</x:v>
      </x:c>
      <x:c r="E6" s="263" t="s">
        <x:v>167</x:v>
      </x:c>
      <x:c r="F6" s="263" t="s">
        <x:v>1443</x:v>
      </x:c>
      <x:c r="G6" s="263" t="s">
        <x:v>1444</x:v>
      </x:c>
    </x:row>
    <x:row r="7" ht="57" customHeight="1">
      <x:c r="A7" s="261">
        <x:v>3</x:v>
      </x:c>
      <x:c r="B7" s="261" t="s">
        <x:v>10</x:v>
      </x:c>
      <x:c r="C7" s="261" t="s">
        <x:v>167</x:v>
      </x:c>
      <x:c r="D7" s="261" t="s">
        <x:v>1092</x:v>
      </x:c>
      <x:c r="E7" s="261" t="s">
        <x:v>1003</x:v>
      </x:c>
      <x:c r="F7" s="261" t="s">
        <x:v>1445</x:v>
      </x:c>
      <x:c r="G7" s="261" t="s">
        <x:v>1446</x:v>
      </x:c>
    </x:row>
    <x:row r="8" ht="57" customHeight="1">
      <x:c r="A8" s="263">
        <x:v>4</x:v>
      </x:c>
      <x:c r="B8" s="263" t="s">
        <x:v>10</x:v>
      </x:c>
      <x:c r="C8" s="263" t="s">
        <x:v>1003</x:v>
      </x:c>
      <x:c r="D8" s="263" t="s">
        <x:v>1092</x:v>
      </x:c>
      <x:c r="E8" s="263" t="s">
        <x:v>908</x:v>
      </x:c>
      <x:c r="F8" s="263" t="s">
        <x:v>1447</x:v>
      </x:c>
      <x:c r="G8" s="263" t="s">
        <x:v>1448</x:v>
      </x:c>
    </x:row>
    <x:row r="9" ht="57" customHeight="1">
      <x:c r="A9" s="261">
        <x:v>5</x:v>
      </x:c>
      <x:c r="B9" s="261" t="s">
        <x:v>10</x:v>
      </x:c>
      <x:c r="C9" s="261" t="s">
        <x:v>908</x:v>
      </x:c>
      <x:c r="D9" s="261" t="s">
        <x:v>1092</x:v>
      </x:c>
      <x:c r="E9" s="261" t="s">
        <x:v>440</x:v>
      </x:c>
      <x:c r="F9" s="261" t="s">
        <x:v>1449</x:v>
      </x:c>
      <x:c r="G9" s="261" t="s">
        <x:v>1450</x:v>
      </x:c>
    </x:row>
    <x:row r="10" ht="57" customHeight="1">
      <x:c r="A10" s="263">
        <x:v>6</x:v>
      </x:c>
      <x:c r="B10" s="263" t="s">
        <x:v>10</x:v>
      </x:c>
      <x:c r="C10" s="263" t="s">
        <x:v>440</x:v>
      </x:c>
      <x:c r="D10" s="263" t="s">
        <x:v>53</x:v>
      </x:c>
      <x:c r="E10" s="263" t="s">
        <x:v>908</x:v>
      </x:c>
      <x:c r="F10" s="263" t="s">
        <x:v>1451</x:v>
      </x:c>
      <x:c r="G10" s="263" t="s">
        <x:v>1452</x:v>
      </x:c>
    </x:row>
    <x:row r="11" ht="57" customHeight="1">
      <x:c r="A11" s="261">
        <x:v>7</x:v>
      </x:c>
      <x:c r="B11" s="261" t="s">
        <x:v>10</x:v>
      </x:c>
      <x:c r="C11" s="261" t="s">
        <x:v>908</x:v>
      </x:c>
      <x:c r="D11" s="261" t="s">
        <x:v>53</x:v>
      </x:c>
      <x:c r="E11" s="261" t="s">
        <x:v>1003</x:v>
      </x:c>
      <x:c r="F11" s="261" t="s">
        <x:v>1451</x:v>
      </x:c>
      <x:c r="G11" s="261" t="s">
        <x:v>1453</x:v>
      </x:c>
    </x:row>
    <x:row r="12" ht="57" customHeight="1">
      <x:c r="A12" s="263">
        <x:v>8</x:v>
      </x:c>
      <x:c r="B12" s="263" t="s">
        <x:v>10</x:v>
      </x:c>
      <x:c r="C12" s="263" t="s">
        <x:v>1003</x:v>
      </x:c>
      <x:c r="D12" s="263" t="s">
        <x:v>404</x:v>
      </x:c>
      <x:c r="E12" s="263" t="s">
        <x:v>1003</x:v>
      </x:c>
      <x:c r="F12" s="263" t="s">
        <x:v>1454</x:v>
      </x:c>
      <x:c r="G12" s="263" t="s">
        <x:v>1455</x:v>
      </x:c>
    </x:row>
    <x:row r="13" ht="57" customHeight="1">
      <x:c r="A13" s="261">
        <x:v>9</x:v>
      </x:c>
      <x:c r="B13" s="261" t="s">
        <x:v>10</x:v>
      </x:c>
      <x:c r="C13" s="261" t="s">
        <x:v>1003</x:v>
      </x:c>
      <x:c r="D13" s="261" t="s">
        <x:v>1092</x:v>
      </x:c>
      <x:c r="E13" s="261" t="s">
        <x:v>11</x:v>
      </x:c>
      <x:c r="F13" s="261" t="s">
        <x:v>1456</x:v>
      </x:c>
      <x:c r="G13" s="261" t="s">
        <x:v>1457</x:v>
      </x:c>
    </x:row>
    <x:row r="14" ht="57" customHeight="1">
      <x:c r="A14" s="263">
        <x:v>10</x:v>
      </x:c>
      <x:c r="B14" s="263" t="s">
        <x:v>10</x:v>
      </x:c>
      <x:c r="C14" s="263" t="s">
        <x:v>1003</x:v>
      </x:c>
      <x:c r="D14" s="263" t="s">
        <x:v>1092</x:v>
      </x:c>
      <x:c r="E14" s="263" t="s">
        <x:v>1010</x:v>
      </x:c>
      <x:c r="F14" s="263" t="s">
        <x:v>1458</x:v>
      </x:c>
      <x:c r="G14" s="263" t="s">
        <x:v>1459</x:v>
      </x:c>
    </x:row>
    <x:row r="15" ht="28.799999237060547" customHeight="1">
      <x:c r="A15" s="430" t="s">
        <x:v>1460</x:v>
      </x:c>
      <x:c r="B15" s="430"/>
      <x:c r="C15" s="430"/>
      <x:c r="D15" s="430"/>
      <x:c r="E15" s="430"/>
      <x:c r="F15" s="430"/>
      <x:c r="G15" s="430"/>
    </x:row>
    <x:row r="16" ht="57" customHeight="1">
      <x:c r="A16" s="261">
        <x:v>11</x:v>
      </x:c>
      <x:c r="B16" s="261" t="s">
        <x:v>33</x:v>
      </x:c>
      <x:c r="C16" s="261" t="s">
        <x:v>1010</x:v>
      </x:c>
      <x:c r="D16" s="261" t="s">
        <x:v>1092</x:v>
      </x:c>
      <x:c r="E16" s="261" t="s">
        <x:v>908</x:v>
      </x:c>
      <x:c r="F16" s="261" t="s">
        <x:v>1461</x:v>
      </x:c>
      <x:c r="G16" s="261" t="s">
        <x:v>1462</x:v>
      </x:c>
    </x:row>
    <x:row r="17" ht="57" customHeight="1">
      <x:c r="A17" s="263">
        <x:v>12</x:v>
      </x:c>
      <x:c r="B17" s="263" t="s">
        <x:v>33</x:v>
      </x:c>
      <x:c r="C17" s="263" t="s">
        <x:v>908</x:v>
      </x:c>
      <x:c r="D17" s="263" t="s">
        <x:v>1092</x:v>
      </x:c>
      <x:c r="E17" s="263" t="s">
        <x:v>440</x:v>
      </x:c>
      <x:c r="F17" s="263" t="s">
        <x:v>1108</x:v>
      </x:c>
      <x:c r="G17" s="263" t="s">
        <x:v>1463</x:v>
      </x:c>
    </x:row>
    <x:row r="18" ht="57" customHeight="1">
      <x:c r="A18" s="261">
        <x:v>13</x:v>
      </x:c>
      <x:c r="B18" s="261" t="s">
        <x:v>33</x:v>
      </x:c>
      <x:c r="C18" s="261" t="s">
        <x:v>440</x:v>
      </x:c>
      <x:c r="D18" s="261" t="s">
        <x:v>323</x:v>
      </x:c>
      <x:c r="E18" s="261" t="s">
        <x:v>908</x:v>
      </x:c>
      <x:c r="F18" s="261" t="s">
        <x:v>1165</x:v>
      </x:c>
      <x:c r="G18" s="261" t="s">
        <x:v>1464</x:v>
      </x:c>
    </x:row>
    <x:row r="19" ht="57" customHeight="1">
      <x:c r="A19" s="263">
        <x:v>14</x:v>
      </x:c>
      <x:c r="B19" s="263" t="s">
        <x:v>33</x:v>
      </x:c>
      <x:c r="C19" s="263" t="s">
        <x:v>908</x:v>
      </x:c>
      <x:c r="D19" s="263" t="s">
        <x:v>323</x:v>
      </x:c>
      <x:c r="E19" s="263" t="s">
        <x:v>1010</x:v>
      </x:c>
      <x:c r="F19" s="263" t="s">
        <x:v>1465</x:v>
      </x:c>
      <x:c r="G19" s="263" t="s">
        <x:v>1466</x:v>
      </x:c>
    </x:row>
    <x:row r="20" ht="28.799999237060547" customHeight="1">
      <x:c r="A20" s="430" t="s">
        <x:v>1467</x:v>
      </x:c>
      <x:c r="B20" s="430"/>
      <x:c r="C20" s="430"/>
      <x:c r="D20" s="430"/>
      <x:c r="E20" s="430"/>
      <x:c r="F20" s="430"/>
      <x:c r="G20" s="430"/>
    </x:row>
    <x:row r="21" ht="57" customHeight="1">
      <x:c r="A21" s="261">
        <x:v>15</x:v>
      </x:c>
      <x:c r="B21" s="261" t="s">
        <x:v>63</x:v>
      </x:c>
      <x:c r="C21" s="261" t="s">
        <x:v>1010</x:v>
      </x:c>
      <x:c r="D21" s="261" t="s">
        <x:v>1092</x:v>
      </x:c>
      <x:c r="E21" s="261" t="s">
        <x:v>1099</x:v>
      </x:c>
      <x:c r="F21" s="261" t="s">
        <x:v>1468</x:v>
      </x:c>
      <x:c r="G21" s="261" t="s">
        <x:v>1469</x:v>
      </x:c>
    </x:row>
    <x:row r="22" ht="57" customHeight="1">
      <x:c r="A22" s="263">
        <x:v>16</x:v>
      </x:c>
      <x:c r="B22" s="263" t="s">
        <x:v>63</x:v>
      </x:c>
      <x:c r="C22" s="263" t="s">
        <x:v>1099</x:v>
      </x:c>
      <x:c r="D22" s="263" t="s">
        <x:v>53</x:v>
      </x:c>
      <x:c r="E22" s="263" t="s">
        <x:v>1010</x:v>
      </x:c>
      <x:c r="F22" s="263" t="s">
        <x:v>1470</x:v>
      </x:c>
      <x:c r="G22" s="263" t="s">
        <x:v>1471</x:v>
      </x:c>
    </x:row>
    <x:row r="23" ht="57" customHeight="1">
      <x:c r="A23" s="261">
        <x:v>17</x:v>
      </x:c>
      <x:c r="B23" s="261" t="s">
        <x:v>63</x:v>
      </x:c>
      <x:c r="C23" s="261" t="s">
        <x:v>1010</x:v>
      </x:c>
      <x:c r="D23" s="261" t="s">
        <x:v>1092</x:v>
      </x:c>
      <x:c r="E23" s="261" t="s">
        <x:v>1114</x:v>
      </x:c>
      <x:c r="F23" s="261" t="s">
        <x:v>1472</x:v>
      </x:c>
      <x:c r="G23" s="261" t="s">
        <x:v>1473</x:v>
      </x:c>
    </x:row>
    <x:row r="24" ht="57" customHeight="1">
      <x:c r="A24" s="263">
        <x:v>18</x:v>
      </x:c>
      <x:c r="B24" s="263" t="s">
        <x:v>63</x:v>
      </x:c>
      <x:c r="C24" s="263" t="s">
        <x:v>1114</x:v>
      </x:c>
      <x:c r="D24" s="263" t="s">
        <x:v>1092</x:v>
      </x:c>
      <x:c r="E24" s="263" t="s">
        <x:v>1117</x:v>
      </x:c>
      <x:c r="F24" s="263" t="s">
        <x:v>1255</x:v>
      </x:c>
      <x:c r="G24" s="263" t="s">
        <x:v>1474</x:v>
      </x:c>
    </x:row>
    <x:row r="25" ht="57" customHeight="1">
      <x:c r="A25" s="261">
        <x:v>19</x:v>
      </x:c>
      <x:c r="B25" s="261" t="s">
        <x:v>63</x:v>
      </x:c>
      <x:c r="C25" s="261" t="s">
        <x:v>1117</x:v>
      </x:c>
      <x:c r="D25" s="261" t="s">
        <x:v>53</x:v>
      </x:c>
      <x:c r="E25" s="261" t="s">
        <x:v>1114</x:v>
      </x:c>
      <x:c r="F25" s="261" t="s">
        <x:v>1256</x:v>
      </x:c>
      <x:c r="G25" s="261" t="s">
        <x:v>1475</x:v>
      </x:c>
    </x:row>
    <x:row r="26" ht="57" customHeight="1">
      <x:c r="A26" s="263">
        <x:v>20</x:v>
      </x:c>
      <x:c r="B26" s="263" t="s">
        <x:v>63</x:v>
      </x:c>
      <x:c r="C26" s="263" t="s">
        <x:v>1114</x:v>
      </x:c>
      <x:c r="D26" s="263" t="s">
        <x:v>53</x:v>
      </x:c>
      <x:c r="E26" s="263" t="s">
        <x:v>1010</x:v>
      </x:c>
      <x:c r="F26" s="263" t="s">
        <x:v>1256</x:v>
      </x:c>
      <x:c r="G26" s="263" t="s">
        <x:v>1476</x:v>
      </x:c>
    </x:row>
    <x:row r="27" ht="28.799999237060547" customHeight="1">
      <x:c r="A27" s="430" t="s">
        <x:v>1477</x:v>
      </x:c>
      <x:c r="B27" s="430"/>
      <x:c r="C27" s="430"/>
      <x:c r="D27" s="430"/>
      <x:c r="E27" s="430"/>
      <x:c r="F27" s="430"/>
      <x:c r="G27" s="430"/>
    </x:row>
    <x:row r="28" ht="57" customHeight="1">
      <x:c r="A28" s="261">
        <x:v>21</x:v>
      </x:c>
      <x:c r="B28" s="261" t="s">
        <x:v>81</x:v>
      </x:c>
      <x:c r="C28" s="261" t="s">
        <x:v>1010</x:v>
      </x:c>
      <x:c r="D28" s="261" t="s">
        <x:v>1092</x:v>
      </x:c>
      <x:c r="E28" s="261" t="s">
        <x:v>500</x:v>
      </x:c>
      <x:c r="F28" s="261" t="s">
        <x:v>1478</x:v>
      </x:c>
      <x:c r="G28" s="261" t="s">
        <x:v>1479</x:v>
      </x:c>
    </x:row>
    <x:row r="29" ht="57" customHeight="1">
      <x:c r="A29" s="263">
        <x:v>22</x:v>
      </x:c>
      <x:c r="B29" s="263" t="s">
        <x:v>81</x:v>
      </x:c>
      <x:c r="C29" s="263" t="s">
        <x:v>500</x:v>
      </x:c>
      <x:c r="D29" s="263" t="s">
        <x:v>1092</x:v>
      </x:c>
      <x:c r="E29" s="263" t="s">
        <x:v>503</x:v>
      </x:c>
      <x:c r="F29" s="263" t="s">
        <x:v>1480</x:v>
      </x:c>
      <x:c r="G29" s="263" t="s">
        <x:v>1481</x:v>
      </x:c>
    </x:row>
    <x:row r="30" ht="57" customHeight="1">
      <x:c r="A30" s="261">
        <x:v>23</x:v>
      </x:c>
      <x:c r="B30" s="261" t="s">
        <x:v>81</x:v>
      </x:c>
      <x:c r="C30" s="261" t="s">
        <x:v>503</x:v>
      </x:c>
      <x:c r="D30" s="261" t="s">
        <x:v>53</x:v>
      </x:c>
      <x:c r="E30" s="261" t="s">
        <x:v>500</x:v>
      </x:c>
      <x:c r="F30" s="261" t="s">
        <x:v>1482</x:v>
      </x:c>
      <x:c r="G30" s="261" t="s">
        <x:v>1483</x:v>
      </x:c>
    </x:row>
    <x:row r="31" ht="57" customHeight="1">
      <x:c r="A31" s="263">
        <x:v>24</x:v>
      </x:c>
      <x:c r="B31" s="263" t="s">
        <x:v>81</x:v>
      </x:c>
      <x:c r="C31" s="263" t="s">
        <x:v>500</x:v>
      </x:c>
      <x:c r="D31" s="263" t="s">
        <x:v>1092</x:v>
      </x:c>
      <x:c r="E31" s="263" t="s">
        <x:v>1032</x:v>
      </x:c>
      <x:c r="F31" s="263" t="s">
        <x:v>1484</x:v>
      </x:c>
      <x:c r="G31" s="263" t="s">
        <x:v>1485</x:v>
      </x:c>
    </x:row>
    <x:row r="32" ht="57" customHeight="1">
      <x:c r="A32" s="261">
        <x:v>25</x:v>
      </x:c>
      <x:c r="B32" s="261" t="s">
        <x:v>81</x:v>
      </x:c>
      <x:c r="C32" s="261" t="s">
        <x:v>1032</x:v>
      </x:c>
      <x:c r="D32" s="261" t="s">
        <x:v>53</x:v>
      </x:c>
      <x:c r="E32" s="261" t="s">
        <x:v>500</x:v>
      </x:c>
      <x:c r="F32" s="261" t="s">
        <x:v>1486</x:v>
      </x:c>
      <x:c r="G32" s="261" t="s">
        <x:v>1487</x:v>
      </x:c>
    </x:row>
    <x:row r="33" ht="57" customHeight="1">
      <x:c r="A33" s="263">
        <x:v>26</x:v>
      </x:c>
      <x:c r="B33" s="263" t="s">
        <x:v>81</x:v>
      </x:c>
      <x:c r="C33" s="263" t="s">
        <x:v>500</x:v>
      </x:c>
      <x:c r="D33" s="263" t="s">
        <x:v>19</x:v>
      </x:c>
      <x:c r="E33" s="263" t="s">
        <x:v>500</x:v>
      </x:c>
      <x:c r="F33" s="263" t="s">
        <x:v>1488</x:v>
      </x:c>
      <x:c r="G33" s="263" t="s">
        <x:v>1489</x:v>
      </x:c>
    </x:row>
    <x:row r="34" ht="57" customHeight="1">
      <x:c r="A34" s="261">
        <x:v>27</x:v>
      </x:c>
      <x:c r="B34" s="261" t="s">
        <x:v>81</x:v>
      </x:c>
      <x:c r="C34" s="261" t="s">
        <x:v>500</x:v>
      </x:c>
      <x:c r="D34" s="261" t="s">
        <x:v>53</x:v>
      </x:c>
      <x:c r="E34" s="261" t="s">
        <x:v>1010</x:v>
      </x:c>
      <x:c r="F34" s="261" t="s">
        <x:v>1490</x:v>
      </x:c>
      <x:c r="G34" s="261" t="s">
        <x:v>1491</x:v>
      </x:c>
    </x:row>
    <x:row r="35" ht="28.799999237060547" customHeight="1">
      <x:c r="A35" s="430" t="s">
        <x:v>1492</x:v>
      </x:c>
      <x:c r="B35" s="430"/>
      <x:c r="C35" s="430"/>
      <x:c r="D35" s="430"/>
      <x:c r="E35" s="430"/>
      <x:c r="F35" s="430"/>
      <x:c r="G35" s="430"/>
    </x:row>
    <x:row r="36" ht="57" customHeight="1">
      <x:c r="A36" s="263">
        <x:v>28</x:v>
      </x:c>
      <x:c r="B36" s="263" t="s">
        <x:v>110</x:v>
      </x:c>
      <x:c r="C36" s="263" t="s">
        <x:v>1010</x:v>
      </x:c>
      <x:c r="D36" s="263" t="s">
        <x:v>19</x:v>
      </x:c>
      <x:c r="E36" s="263" t="s">
        <x:v>1010</x:v>
      </x:c>
      <x:c r="F36" s="263" t="s">
        <x:v>1493</x:v>
      </x:c>
      <x:c r="G36" s="263" t="s">
        <x:v>1494</x:v>
      </x:c>
    </x:row>
    <x:row r="37" ht="57" customHeight="1">
      <x:c r="A37" s="261">
        <x:v>29</x:v>
      </x:c>
      <x:c r="B37" s="261" t="s">
        <x:v>110</x:v>
      </x:c>
      <x:c r="C37" s="261" t="s">
        <x:v>1010</x:v>
      </x:c>
      <x:c r="D37" s="261" t="s">
        <x:v>19</x:v>
      </x:c>
      <x:c r="E37" s="261" t="s">
        <x:v>1010</x:v>
      </x:c>
      <x:c r="F37" s="261" t="s">
        <x:v>1495</x:v>
      </x:c>
      <x:c r="G37" s="261" t="s">
        <x:v>1496</x:v>
      </x:c>
    </x:row>
    <x:row r="38" ht="28.799999237060547" customHeight="1">
      <x:c r="A38" s="430" t="s">
        <x:v>1497</x:v>
      </x:c>
      <x:c r="B38" s="430"/>
      <x:c r="C38" s="430"/>
      <x:c r="D38" s="430"/>
      <x:c r="E38" s="430"/>
      <x:c r="F38" s="430"/>
      <x:c r="G38" s="430"/>
    </x:row>
    <x:row r="39" ht="57" customHeight="1">
      <x:c r="A39" s="263">
        <x:v>30</x:v>
      </x:c>
      <x:c r="B39" s="263" t="s">
        <x:v>143</x:v>
      </x:c>
      <x:c r="C39" s="263" t="s">
        <x:v>1010</x:v>
      </x:c>
      <x:c r="D39" s="263" t="s">
        <x:v>1092</x:v>
      </x:c>
      <x:c r="E39" s="263" t="s">
        <x:v>1003</x:v>
      </x:c>
      <x:c r="F39" s="263" t="s">
        <x:v>1498</x:v>
      </x:c>
      <x:c r="G39" s="263" t="s">
        <x:v>1499</x:v>
      </x:c>
    </x:row>
    <x:row r="40" ht="57" customHeight="1">
      <x:c r="A40" s="261">
        <x:v>31</x:v>
      </x:c>
      <x:c r="B40" s="261" t="s">
        <x:v>143</x:v>
      </x:c>
      <x:c r="C40" s="261" t="s">
        <x:v>1003</x:v>
      </x:c>
      <x:c r="D40" s="261" t="s">
        <x:v>1092</x:v>
      </x:c>
      <x:c r="E40" s="261" t="s">
        <x:v>11</x:v>
      </x:c>
      <x:c r="F40" s="261" t="s">
        <x:v>1500</x:v>
      </x:c>
      <x:c r="G40" s="261" t="s">
        <x:v>1501</x:v>
      </x:c>
    </x:row>
    <x:row r="41" ht="28.799999237060547" customHeight="1">
      <x:c r="A41" s="430" t="s">
        <x:v>1502</x:v>
      </x:c>
      <x:c r="B41" s="430"/>
      <x:c r="C41" s="430"/>
      <x:c r="D41" s="430"/>
      <x:c r="E41" s="430"/>
      <x:c r="F41" s="430"/>
      <x:c r="G41" s="430"/>
    </x:row>
    <x:row r="42" ht="57" customHeight="1">
      <x:c r="A42" s="263">
        <x:v>32</x:v>
      </x:c>
      <x:c r="B42" s="263" t="s">
        <x:v>155</x:v>
      </x:c>
      <x:c r="C42" s="263" t="s">
        <x:v>11</x:v>
      </x:c>
      <x:c r="D42" s="263" t="s">
        <x:v>1092</x:v>
      </x:c>
      <x:c r="E42" s="263" t="s">
        <x:v>1003</x:v>
      </x:c>
      <x:c r="F42" s="263" t="s">
        <x:v>1008</x:v>
      </x:c>
      <x:c r="G42" s="263" t="s">
        <x:v>1503</x:v>
      </x:c>
    </x:row>
    <x:row r="43" ht="57" customHeight="1">
      <x:c r="A43" s="261">
        <x:v>33</x:v>
      </x:c>
      <x:c r="B43" s="261" t="s">
        <x:v>155</x:v>
      </x:c>
      <x:c r="C43" s="261" t="s">
        <x:v>1003</x:v>
      </x:c>
      <x:c r="D43" s="261" t="s">
        <x:v>1092</x:v>
      </x:c>
      <x:c r="E43" s="261" t="s">
        <x:v>11</x:v>
      </x:c>
      <x:c r="F43" s="261" t="s">
        <x:v>1504</x:v>
      </x:c>
      <x:c r="G43" s="261" t="s">
        <x:v>1505</x:v>
      </x:c>
    </x:row>
    <x:row r="44" ht="57" customHeight="1">
      <x:c r="A44" s="263">
        <x:v>34</x:v>
      </x:c>
      <x:c r="B44" s="263" t="s">
        <x:v>155</x:v>
      </x:c>
      <x:c r="C44" s="263" t="s">
        <x:v>11</x:v>
      </x:c>
      <x:c r="D44" s="263" t="s">
        <x:v>1092</x:v>
      </x:c>
      <x:c r="E44" s="263" t="s">
        <x:v>1003</x:v>
      </x:c>
      <x:c r="F44" s="263" t="s">
        <x:v>1506</x:v>
      </x:c>
      <x:c r="G44" s="263" t="s">
        <x:v>1507</x:v>
      </x:c>
    </x:row>
    <x:row r="45" ht="57" customHeight="1">
      <x:c r="A45" s="261">
        <x:v>35</x:v>
      </x:c>
      <x:c r="B45" s="261" t="s">
        <x:v>155</x:v>
      </x:c>
      <x:c r="C45" s="261" t="s">
        <x:v>1003</x:v>
      </x:c>
      <x:c r="D45" s="261" t="s">
        <x:v>1092</x:v>
      </x:c>
      <x:c r="E45" s="261" t="s">
        <x:v>1114</x:v>
      </x:c>
      <x:c r="F45" s="261" t="s">
        <x:v>1508</x:v>
      </x:c>
      <x:c r="G45" s="261" t="s">
        <x:v>1509</x:v>
      </x:c>
    </x:row>
    <x:row r="46" ht="57" customHeight="1">
      <x:c r="A46" s="263">
        <x:v>36</x:v>
      </x:c>
      <x:c r="B46" s="263" t="s">
        <x:v>155</x:v>
      </x:c>
      <x:c r="C46" s="263" t="s">
        <x:v>1114</x:v>
      </x:c>
      <x:c r="D46" s="263" t="s">
        <x:v>1092</x:v>
      </x:c>
      <x:c r="E46" s="263" t="s">
        <x:v>1117</x:v>
      </x:c>
      <x:c r="F46" s="263" t="s">
        <x:v>1337</x:v>
      </x:c>
      <x:c r="G46" s="263" t="s">
        <x:v>1510</x:v>
      </x:c>
    </x:row>
    <x:row r="47" ht="57" customHeight="1">
      <x:c r="A47" s="261">
        <x:v>37</x:v>
      </x:c>
      <x:c r="B47" s="261" t="s">
        <x:v>155</x:v>
      </x:c>
      <x:c r="C47" s="261" t="s">
        <x:v>1117</x:v>
      </x:c>
      <x:c r="D47" s="261" t="s">
        <x:v>323</x:v>
      </x:c>
      <x:c r="E47" s="261" t="s">
        <x:v>1114</x:v>
      </x:c>
      <x:c r="F47" s="261" t="s">
        <x:v>1339</x:v>
      </x:c>
      <x:c r="G47" s="261" t="s">
        <x:v>1511</x:v>
      </x:c>
    </x:row>
    <x:row r="48" ht="57" customHeight="1">
      <x:c r="A48" s="263">
        <x:v>38</x:v>
      </x:c>
      <x:c r="B48" s="263" t="s">
        <x:v>155</x:v>
      </x:c>
      <x:c r="C48" s="263" t="s">
        <x:v>1114</x:v>
      </x:c>
      <x:c r="D48" s="263" t="s">
        <x:v>404</x:v>
      </x:c>
      <x:c r="E48" s="263" t="s">
        <x:v>1114</x:v>
      </x:c>
      <x:c r="F48" s="263" t="s">
        <x:v>1341</x:v>
      </x:c>
      <x:c r="G48" s="263" t="s">
        <x:v>1512</x:v>
      </x:c>
    </x:row>
    <x:row r="49" ht="57" customHeight="1">
      <x:c r="A49" s="261">
        <x:v>39</x:v>
      </x:c>
      <x:c r="B49" s="261" t="s">
        <x:v>155</x:v>
      </x:c>
      <x:c r="C49" s="261" t="s">
        <x:v>1114</x:v>
      </x:c>
      <x:c r="D49" s="261" t="s">
        <x:v>1092</x:v>
      </x:c>
      <x:c r="E49" s="261" t="s">
        <x:v>1003</x:v>
      </x:c>
      <x:c r="F49" s="261" t="s">
        <x:v>1513</x:v>
      </x:c>
      <x:c r="G49" s="261" t="s">
        <x:v>1514</x:v>
      </x:c>
    </x:row>
    <x:row r="50" ht="57" customHeight="1">
      <x:c r="A50" s="263">
        <x:v>40</x:v>
      </x:c>
      <x:c r="B50" s="263" t="s">
        <x:v>155</x:v>
      </x:c>
      <x:c r="C50" s="263" t="s">
        <x:v>1003</x:v>
      </x:c>
      <x:c r="D50" s="263" t="s">
        <x:v>1092</x:v>
      </x:c>
      <x:c r="E50" s="263" t="s">
        <x:v>11</x:v>
      </x:c>
      <x:c r="F50" s="263" t="s">
        <x:v>1515</x:v>
      </x:c>
      <x:c r="G50" s="263" t="s">
        <x:v>1516</x:v>
      </x:c>
    </x:row>
  </x:sheetData>
  <x:mergeCells>
    <x:mergeCell ref="A27:G27"/>
    <x:mergeCell ref="A35:G35"/>
    <x:mergeCell ref="A38:G38"/>
    <x:mergeCell ref="A41:G41"/>
    <x:mergeCell ref="A1:G1"/>
    <x:mergeCell ref="A2:G2"/>
    <x:mergeCell ref="A4:G4"/>
    <x:mergeCell ref="A15:G15"/>
    <x:mergeCell ref="A20:G20"/>
  </x:mergeCells>
  <x:pageMargins left="0.7" right="0.7" top="0.75" bottom="0.75" header="0.3" footer="0.3"/>
</x:worksheet>
</file>

<file path=xl/worksheets/sheet23.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1517</x:v>
      </x:c>
      <x:c r="B1" s="431"/>
      <x:c r="C1" s="431"/>
      <x:c r="D1" s="431"/>
      <x:c r="E1" s="431"/>
      <x:c r="F1" s="431"/>
      <x:c r="G1" s="431"/>
    </x:row>
    <x:row r="2" ht="49.20000076293945" customHeight="1">
      <x:c r="A2" s="3" t="s">
        <x:v>1518</x:v>
      </x:c>
      <x:c r="B2" s="3"/>
      <x:c r="C2" s="3"/>
      <x:c r="D2" s="3"/>
      <x:c r="E2" s="3"/>
      <x:c r="F2" s="3"/>
      <x:c r="G2" s="3"/>
    </x:row>
    <x:row r="3" ht="31.049999237060547" customHeight="1">
      <x:c r="A3" s="262" t="s">
        <x:v>1267</x:v>
      </x:c>
      <x:c r="B3" s="262" t="s">
        <x:v>3</x:v>
      </x:c>
      <x:c r="C3" s="262" t="s">
        <x:v>4</x:v>
      </x:c>
      <x:c r="D3" s="262" t="s">
        <x:v>5</x:v>
      </x:c>
      <x:c r="E3" s="262" t="s">
        <x:v>6</x:v>
      </x:c>
      <x:c r="F3" s="262" t="s">
        <x:v>7</x:v>
      </x:c>
      <x:c r="G3" s="262" t="s">
        <x:v>8</x:v>
      </x:c>
      <x:c r="H3" t="str">
        <x:v>CONDICIÓN RF65 (NO MVP)</x:v>
      </x:c>
    </x:row>
    <x:row r="4" ht="28.799999237060547" customHeight="1">
      <x:c r="A4" s="430" t="s">
        <x:v>1519</x:v>
      </x:c>
      <x:c r="B4" s="430"/>
      <x:c r="C4" s="430"/>
      <x:c r="D4" s="430"/>
      <x:c r="E4" s="430"/>
      <x:c r="F4" s="430"/>
      <x:c r="G4" s="430"/>
    </x:row>
    <x:row r="5" ht="57" customHeight="1">
      <x:c r="A5" s="261">
        <x:v>1</x:v>
      </x:c>
      <x:c r="B5" s="261" t="s">
        <x:v>10</x:v>
      </x:c>
      <x:c r="C5" s="261" t="s">
        <x:v>11</x:v>
      </x:c>
      <x:c r="D5" s="261" t="s">
        <x:v>1092</x:v>
      </x:c>
      <x:c r="E5" s="261" t="s">
        <x:v>1054</x:v>
      </x:c>
      <x:c r="F5" s="261" t="s">
        <x:v>1520</x:v>
      </x:c>
      <x:c r="G5" s="261" t="s">
        <x:v>1521</x:v>
      </x:c>
      <x:c r="H5" s="1071" t="str">
        <x:v>RF65 POST-MVP · CONDICIONADO A APROBACIÓN. Filtros de historial: no reintroducir vehículos ELIMINADOS con filtros; aplicar política de retención y acceso histórico aprobada. Sin aprobación no aplicar filtros ni cambios de BD por RF65.</x:v>
      </x:c>
    </x:row>
    <x:row r="6" ht="57" customHeight="1">
      <x:c r="A6" s="263">
        <x:v>2</x:v>
      </x:c>
      <x:c r="B6" s="263" t="s">
        <x:v>10</x:v>
      </x:c>
      <x:c r="C6" s="263" t="s">
        <x:v>1054</x:v>
      </x:c>
      <x:c r="D6" s="263" t="s">
        <x:v>1092</x:v>
      </x:c>
      <x:c r="E6" s="263" t="s">
        <x:v>1010</x:v>
      </x:c>
      <x:c r="F6" s="263" t="s">
        <x:v>1522</x:v>
      </x:c>
      <x:c r="G6" s="263" t="s">
        <x:v>1523</x:v>
      </x:c>
    </x:row>
    <x:row r="7" ht="57" customHeight="1">
      <x:c r="A7" s="261">
        <x:v>3</x:v>
      </x:c>
      <x:c r="B7" s="261" t="s">
        <x:v>10</x:v>
      </x:c>
      <x:c r="C7" s="261" t="s">
        <x:v>1010</x:v>
      </x:c>
      <x:c r="D7" s="261" t="s">
        <x:v>1092</x:v>
      </x:c>
      <x:c r="E7" s="261" t="s">
        <x:v>908</x:v>
      </x:c>
      <x:c r="F7" s="261" t="s">
        <x:v>1461</x:v>
      </x:c>
      <x:c r="G7" s="261" t="s">
        <x:v>1524</x:v>
      </x:c>
    </x:row>
    <x:row r="8" ht="57" customHeight="1">
      <x:c r="A8" s="263">
        <x:v>4</x:v>
      </x:c>
      <x:c r="B8" s="263" t="s">
        <x:v>10</x:v>
      </x:c>
      <x:c r="C8" s="263" t="s">
        <x:v>908</x:v>
      </x:c>
      <x:c r="D8" s="263" t="s">
        <x:v>1092</x:v>
      </x:c>
      <x:c r="E8" s="263" t="s">
        <x:v>440</x:v>
      </x:c>
      <x:c r="F8" s="263" t="s">
        <x:v>1108</x:v>
      </x:c>
      <x:c r="G8" s="263" t="s">
        <x:v>1525</x:v>
      </x:c>
    </x:row>
    <x:row r="9" ht="57" customHeight="1">
      <x:c r="A9" s="261">
        <x:v>5</x:v>
      </x:c>
      <x:c r="B9" s="261" t="s">
        <x:v>10</x:v>
      </x:c>
      <x:c r="C9" s="261" t="s">
        <x:v>440</x:v>
      </x:c>
      <x:c r="D9" s="261" t="s">
        <x:v>323</x:v>
      </x:c>
      <x:c r="E9" s="261" t="s">
        <x:v>908</x:v>
      </x:c>
      <x:c r="F9" s="261" t="s">
        <x:v>1165</x:v>
      </x:c>
      <x:c r="G9" s="261" t="s">
        <x:v>1526</x:v>
      </x:c>
    </x:row>
    <x:row r="10" ht="57" customHeight="1">
      <x:c r="A10" s="263">
        <x:v>6</x:v>
      </x:c>
      <x:c r="B10" s="263" t="s">
        <x:v>10</x:v>
      </x:c>
      <x:c r="C10" s="263" t="s">
        <x:v>908</x:v>
      </x:c>
      <x:c r="D10" s="263" t="s">
        <x:v>323</x:v>
      </x:c>
      <x:c r="E10" s="263" t="s">
        <x:v>1010</x:v>
      </x:c>
      <x:c r="F10" s="263" t="s">
        <x:v>1465</x:v>
      </x:c>
      <x:c r="G10" s="263" t="s">
        <x:v>1527</x:v>
      </x:c>
    </x:row>
    <x:row r="11" ht="57" customHeight="1">
      <x:c r="A11" s="261">
        <x:v>7</x:v>
      </x:c>
      <x:c r="B11" s="261" t="s">
        <x:v>10</x:v>
      </x:c>
      <x:c r="C11" s="261" t="s">
        <x:v>1010</x:v>
      </x:c>
      <x:c r="D11" s="261" t="s">
        <x:v>19</x:v>
      </x:c>
      <x:c r="E11" s="261" t="s">
        <x:v>1010</x:v>
      </x:c>
      <x:c r="F11" s="261" t="s">
        <x:v>1528</x:v>
      </x:c>
      <x:c r="G11" s="261" t="s">
        <x:v>1529</x:v>
      </x:c>
    </x:row>
    <x:row r="12" ht="28.799999237060547" customHeight="1">
      <x:c r="A12" s="430" t="s">
        <x:v>1530</x:v>
      </x:c>
      <x:c r="B12" s="430"/>
      <x:c r="C12" s="430"/>
      <x:c r="D12" s="430"/>
      <x:c r="E12" s="430"/>
      <x:c r="F12" s="430"/>
      <x:c r="G12" s="430"/>
    </x:row>
    <x:row r="13" ht="57" customHeight="1">
      <x:c r="A13" s="263">
        <x:v>8</x:v>
      </x:c>
      <x:c r="B13" s="263" t="s">
        <x:v>33</x:v>
      </x:c>
      <x:c r="C13" s="263" t="s">
        <x:v>1010</x:v>
      </x:c>
      <x:c r="D13" s="263" t="s">
        <x:v>1092</x:v>
      </x:c>
      <x:c r="E13" s="263" t="s">
        <x:v>1368</x:v>
      </x:c>
      <x:c r="F13" s="263" t="s">
        <x:v>1531</x:v>
      </x:c>
      <x:c r="G13" s="263" t="s">
        <x:v>1532</x:v>
      </x:c>
    </x:row>
    <x:row r="14" ht="57" customHeight="1">
      <x:c r="A14" s="261">
        <x:v>9</x:v>
      </x:c>
      <x:c r="B14" s="261" t="s">
        <x:v>33</x:v>
      </x:c>
      <x:c r="C14" s="261" t="s">
        <x:v>1368</x:v>
      </x:c>
      <x:c r="D14" s="261" t="s">
        <x:v>1092</x:v>
      </x:c>
      <x:c r="E14" s="261" t="s">
        <x:v>1533</x:v>
      </x:c>
      <x:c r="F14" s="261" t="s">
        <x:v>1534</x:v>
      </x:c>
      <x:c r="G14" s="261" t="s">
        <x:v>1535</x:v>
      </x:c>
    </x:row>
    <x:row r="15" ht="57" customHeight="1">
      <x:c r="A15" s="263">
        <x:v>10</x:v>
      </x:c>
      <x:c r="B15" s="263" t="s">
        <x:v>33</x:v>
      </x:c>
      <x:c r="C15" s="263" t="s">
        <x:v>1533</x:v>
      </x:c>
      <x:c r="D15" s="263" t="s">
        <x:v>323</x:v>
      </x:c>
      <x:c r="E15" s="263" t="s">
        <x:v>1368</x:v>
      </x:c>
      <x:c r="F15" s="263" t="s">
        <x:v>1536</x:v>
      </x:c>
      <x:c r="G15" s="263" t="s">
        <x:v>1537</x:v>
      </x:c>
    </x:row>
    <x:row r="16" ht="57" customHeight="1">
      <x:c r="A16" s="261">
        <x:v>11</x:v>
      </x:c>
      <x:c r="B16" s="261" t="s">
        <x:v>33</x:v>
      </x:c>
      <x:c r="C16" s="261" t="s">
        <x:v>1368</x:v>
      </x:c>
      <x:c r="D16" s="261" t="s">
        <x:v>323</x:v>
      </x:c>
      <x:c r="E16" s="261" t="s">
        <x:v>1010</x:v>
      </x:c>
      <x:c r="F16" s="261" t="s">
        <x:v>1536</x:v>
      </x:c>
      <x:c r="G16" s="261" t="s">
        <x:v>1538</x:v>
      </x:c>
    </x:row>
    <x:row r="17" ht="57" customHeight="1">
      <x:c r="A17" s="263">
        <x:v>12</x:v>
      </x:c>
      <x:c r="B17" s="263" t="s">
        <x:v>33</x:v>
      </x:c>
      <x:c r="C17" s="263" t="s">
        <x:v>1010</x:v>
      </x:c>
      <x:c r="D17" s="263" t="s">
        <x:v>1092</x:v>
      </x:c>
      <x:c r="E17" s="263" t="s">
        <x:v>1054</x:v>
      </x:c>
      <x:c r="F17" s="263" t="s">
        <x:v>1539</x:v>
      </x:c>
      <x:c r="G17" s="263" t="s">
        <x:v>1540</x:v>
      </x:c>
    </x:row>
    <x:row r="18" ht="57" customHeight="1">
      <x:c r="A18" s="261">
        <x:v>13</x:v>
      </x:c>
      <x:c r="B18" s="261" t="s">
        <x:v>33</x:v>
      </x:c>
      <x:c r="C18" s="261" t="s">
        <x:v>1054</x:v>
      </x:c>
      <x:c r="D18" s="261" t="s">
        <x:v>1092</x:v>
      </x:c>
      <x:c r="E18" s="261" t="s">
        <x:v>11</x:v>
      </x:c>
      <x:c r="F18" s="261" t="s">
        <x:v>1541</x:v>
      </x:c>
      <x:c r="G18" s="261" t="s">
        <x:v>1542</x:v>
      </x:c>
    </x:row>
    <x:row r="19" ht="57" customHeight="1">
      <x:c r="A19" s="263">
        <x:v>14</x:v>
      </x:c>
      <x:c r="B19" s="263" t="s">
        <x:v>33</x:v>
      </x:c>
      <x:c r="C19" s="263" t="s">
        <x:v>11</x:v>
      </x:c>
      <x:c r="D19" s="263" t="s">
        <x:v>1092</x:v>
      </x:c>
      <x:c r="E19" s="263" t="s">
        <x:v>1054</x:v>
      </x:c>
      <x:c r="F19" s="263" t="s">
        <x:v>1543</x:v>
      </x:c>
      <x:c r="G19" s="263" t="s">
        <x:v>1544</x:v>
      </x:c>
    </x:row>
    <x:row r="20" ht="57" customHeight="1">
      <x:c r="A20" s="261">
        <x:v>15</x:v>
      </x:c>
      <x:c r="B20" s="261" t="s">
        <x:v>33</x:v>
      </x:c>
      <x:c r="C20" s="261" t="s">
        <x:v>1054</x:v>
      </x:c>
      <x:c r="D20" s="261" t="s">
        <x:v>1092</x:v>
      </x:c>
      <x:c r="E20" s="261" t="s">
        <x:v>1010</x:v>
      </x:c>
      <x:c r="F20" s="261" t="s">
        <x:v>1545</x:v>
      </x:c>
      <x:c r="G20" s="261" t="s">
        <x:v>1546</x:v>
      </x:c>
    </x:row>
    <x:row r="21" ht="57" customHeight="1">
      <x:c r="A21" s="263">
        <x:v>16</x:v>
      </x:c>
      <x:c r="B21" s="263" t="s">
        <x:v>33</x:v>
      </x:c>
      <x:c r="C21" s="263" t="s">
        <x:v>1010</x:v>
      </x:c>
      <x:c r="D21" s="263" t="s">
        <x:v>19</x:v>
      </x:c>
      <x:c r="E21" s="263" t="s">
        <x:v>1010</x:v>
      </x:c>
      <x:c r="F21" s="263" t="s">
        <x:v>1547</x:v>
      </x:c>
      <x:c r="G21" s="263" t="s">
        <x:v>1548</x:v>
      </x:c>
    </x:row>
    <x:row r="22" ht="28.799999237060547" customHeight="1">
      <x:c r="A22" s="430" t="s">
        <x:v>1549</x:v>
      </x:c>
      <x:c r="B22" s="430"/>
      <x:c r="C22" s="430"/>
      <x:c r="D22" s="430"/>
      <x:c r="E22" s="430"/>
      <x:c r="F22" s="430"/>
      <x:c r="G22" s="430"/>
    </x:row>
    <x:row r="23" ht="57" customHeight="1">
      <x:c r="A23" s="261">
        <x:v>17</x:v>
      </x:c>
      <x:c r="B23" s="261" t="s">
        <x:v>63</x:v>
      </x:c>
      <x:c r="C23" s="261" t="s">
        <x:v>1010</x:v>
      </x:c>
      <x:c r="D23" s="261" t="s">
        <x:v>1092</x:v>
      </x:c>
      <x:c r="E23" s="261" t="s">
        <x:v>1099</x:v>
      </x:c>
      <x:c r="F23" s="261" t="s">
        <x:v>1550</x:v>
      </x:c>
      <x:c r="G23" s="261" t="s">
        <x:v>1551</x:v>
      </x:c>
    </x:row>
    <x:row r="24" ht="57" customHeight="1">
      <x:c r="A24" s="263">
        <x:v>18</x:v>
      </x:c>
      <x:c r="B24" s="263" t="s">
        <x:v>63</x:v>
      </x:c>
      <x:c r="C24" s="263" t="s">
        <x:v>1099</x:v>
      </x:c>
      <x:c r="D24" s="263" t="s">
        <x:v>323</x:v>
      </x:c>
      <x:c r="E24" s="263" t="s">
        <x:v>1010</x:v>
      </x:c>
      <x:c r="F24" s="263" t="s">
        <x:v>1552</x:v>
      </x:c>
      <x:c r="G24" s="263" t="s">
        <x:v>1553</x:v>
      </x:c>
    </x:row>
    <x:row r="25" ht="57" customHeight="1">
      <x:c r="A25" s="261">
        <x:v>19</x:v>
      </x:c>
      <x:c r="B25" s="261" t="s">
        <x:v>63</x:v>
      </x:c>
      <x:c r="C25" s="261" t="s">
        <x:v>1010</x:v>
      </x:c>
      <x:c r="D25" s="261" t="s">
        <x:v>1092</x:v>
      </x:c>
      <x:c r="E25" s="261" t="s">
        <x:v>1114</x:v>
      </x:c>
      <x:c r="F25" s="261" t="s">
        <x:v>1472</x:v>
      </x:c>
      <x:c r="G25" s="261" t="s">
        <x:v>1554</x:v>
      </x:c>
    </x:row>
    <x:row r="26" ht="57" customHeight="1">
      <x:c r="A26" s="263">
        <x:v>20</x:v>
      </x:c>
      <x:c r="B26" s="263" t="s">
        <x:v>63</x:v>
      </x:c>
      <x:c r="C26" s="263" t="s">
        <x:v>1114</x:v>
      </x:c>
      <x:c r="D26" s="263" t="s">
        <x:v>1092</x:v>
      </x:c>
      <x:c r="E26" s="263" t="s">
        <x:v>1117</x:v>
      </x:c>
      <x:c r="F26" s="263" t="s">
        <x:v>1255</x:v>
      </x:c>
      <x:c r="G26" s="263" t="s">
        <x:v>1555</x:v>
      </x:c>
    </x:row>
    <x:row r="27" ht="57" customHeight="1">
      <x:c r="A27" s="261">
        <x:v>21</x:v>
      </x:c>
      <x:c r="B27" s="261" t="s">
        <x:v>63</x:v>
      </x:c>
      <x:c r="C27" s="261" t="s">
        <x:v>1117</x:v>
      </x:c>
      <x:c r="D27" s="261" t="s">
        <x:v>323</x:v>
      </x:c>
      <x:c r="E27" s="261" t="s">
        <x:v>1114</x:v>
      </x:c>
      <x:c r="F27" s="261" t="s">
        <x:v>1256</x:v>
      </x:c>
      <x:c r="G27" s="261" t="s">
        <x:v>1556</x:v>
      </x:c>
    </x:row>
    <x:row r="28" ht="57" customHeight="1">
      <x:c r="A28" s="263">
        <x:v>22</x:v>
      </x:c>
      <x:c r="B28" s="263" t="s">
        <x:v>63</x:v>
      </x:c>
      <x:c r="C28" s="263" t="s">
        <x:v>1114</x:v>
      </x:c>
      <x:c r="D28" s="263" t="s">
        <x:v>323</x:v>
      </x:c>
      <x:c r="E28" s="263" t="s">
        <x:v>1010</x:v>
      </x:c>
      <x:c r="F28" s="263" t="s">
        <x:v>1256</x:v>
      </x:c>
      <x:c r="G28" s="263" t="s">
        <x:v>1557</x:v>
      </x:c>
    </x:row>
    <x:row r="29" ht="57" customHeight="1">
      <x:c r="A29" s="261">
        <x:v>23</x:v>
      </x:c>
      <x:c r="B29" s="261" t="s">
        <x:v>63</x:v>
      </x:c>
      <x:c r="C29" s="261" t="s">
        <x:v>1010</x:v>
      </x:c>
      <x:c r="D29" s="261" t="s">
        <x:v>19</x:v>
      </x:c>
      <x:c r="E29" s="261" t="s">
        <x:v>1010</x:v>
      </x:c>
      <x:c r="F29" s="261" t="s">
        <x:v>1558</x:v>
      </x:c>
      <x:c r="G29" s="261" t="s">
        <x:v>1559</x:v>
      </x:c>
    </x:row>
    <x:row r="30" ht="57" customHeight="1">
      <x:c r="A30" s="263">
        <x:v>24</x:v>
      </x:c>
      <x:c r="B30" s="263" t="s">
        <x:v>63</x:v>
      </x:c>
      <x:c r="C30" s="263" t="s">
        <x:v>1010</x:v>
      </x:c>
      <x:c r="D30" s="263" t="s">
        <x:v>1092</x:v>
      </x:c>
      <x:c r="E30" s="263" t="s">
        <x:v>1003</x:v>
      </x:c>
      <x:c r="F30" s="263" t="s">
        <x:v>1560</x:v>
      </x:c>
      <x:c r="G30" s="263" t="s">
        <x:v>1561</x:v>
      </x:c>
    </x:row>
    <x:row r="31" ht="57" customHeight="1">
      <x:c r="A31" s="261">
        <x:v>25</x:v>
      </x:c>
      <x:c r="B31" s="261" t="s">
        <x:v>63</x:v>
      </x:c>
      <x:c r="C31" s="261" t="s">
        <x:v>1003</x:v>
      </x:c>
      <x:c r="D31" s="261" t="s">
        <x:v>1092</x:v>
      </x:c>
      <x:c r="E31" s="261" t="s">
        <x:v>11</x:v>
      </x:c>
      <x:c r="F31" s="261" t="s">
        <x:v>1562</x:v>
      </x:c>
      <x:c r="G31" s="261" t="s">
        <x:v>1563</x:v>
      </x:c>
    </x:row>
    <x:row r="32" ht="28.799999237060547" customHeight="1">
      <x:c r="A32" s="430" t="s">
        <x:v>1564</x:v>
      </x:c>
      <x:c r="B32" s="430"/>
      <x:c r="C32" s="430"/>
      <x:c r="D32" s="430"/>
      <x:c r="E32" s="430"/>
      <x:c r="F32" s="430"/>
      <x:c r="G32" s="430"/>
    </x:row>
    <x:row r="33" ht="57" customHeight="1">
      <x:c r="A33" s="263">
        <x:v>26</x:v>
      </x:c>
      <x:c r="B33" s="263" t="s">
        <x:v>81</x:v>
      </x:c>
      <x:c r="C33" s="263" t="s">
        <x:v>1010</x:v>
      </x:c>
      <x:c r="D33" s="263" t="s">
        <x:v>1092</x:v>
      </x:c>
      <x:c r="E33" s="263" t="s">
        <x:v>1054</x:v>
      </x:c>
      <x:c r="F33" s="263" t="s">
        <x:v>1565</x:v>
      </x:c>
      <x:c r="G33" s="263" t="s">
        <x:v>1566</x:v>
      </x:c>
    </x:row>
    <x:row r="34" ht="57" customHeight="1">
      <x:c r="A34" s="261">
        <x:v>27</x:v>
      </x:c>
      <x:c r="B34" s="261" t="s">
        <x:v>81</x:v>
      </x:c>
      <x:c r="C34" s="261" t="s">
        <x:v>1054</x:v>
      </x:c>
      <x:c r="D34" s="261" t="s">
        <x:v>1092</x:v>
      </x:c>
      <x:c r="E34" s="261" t="s">
        <x:v>11</x:v>
      </x:c>
      <x:c r="F34" s="261" t="s">
        <x:v>1567</x:v>
      </x:c>
      <x:c r="G34" s="261" t="s">
        <x:v>1568</x:v>
      </x:c>
    </x:row>
    <x:row r="35" ht="57" customHeight="1">
      <x:c r="A35" s="263">
        <x:v>28</x:v>
      </x:c>
      <x:c r="B35" s="263" t="s">
        <x:v>81</x:v>
      </x:c>
      <x:c r="C35" s="263" t="s">
        <x:v>11</x:v>
      </x:c>
      <x:c r="D35" s="263" t="s">
        <x:v>1092</x:v>
      </x:c>
      <x:c r="E35" s="263" t="s">
        <x:v>1054</x:v>
      </x:c>
      <x:c r="F35" s="263" t="s">
        <x:v>1569</x:v>
      </x:c>
      <x:c r="G35" s="263" t="s">
        <x:v>1570</x:v>
      </x:c>
    </x:row>
    <x:row r="36" ht="57" customHeight="1">
      <x:c r="A36" s="261">
        <x:v>29</x:v>
      </x:c>
      <x:c r="B36" s="261" t="s">
        <x:v>81</x:v>
      </x:c>
      <x:c r="C36" s="261" t="s">
        <x:v>1054</x:v>
      </x:c>
      <x:c r="D36" s="261" t="s">
        <x:v>1092</x:v>
      </x:c>
      <x:c r="E36" s="261" t="s">
        <x:v>1010</x:v>
      </x:c>
      <x:c r="F36" s="261" t="s">
        <x:v>1571</x:v>
      </x:c>
      <x:c r="G36" s="261" t="s">
        <x:v>1572</x:v>
      </x:c>
    </x:row>
    <x:row r="37" ht="57" customHeight="1">
      <x:c r="A37" s="263">
        <x:v>30</x:v>
      </x:c>
      <x:c r="B37" s="263" t="s">
        <x:v>81</x:v>
      </x:c>
      <x:c r="C37" s="263" t="s">
        <x:v>1010</x:v>
      </x:c>
      <x:c r="D37" s="263" t="s">
        <x:v>19</x:v>
      </x:c>
      <x:c r="E37" s="263" t="s">
        <x:v>1010</x:v>
      </x:c>
      <x:c r="F37" s="263" t="s">
        <x:v>1573</x:v>
      </x:c>
      <x:c r="G37" s="263" t="s">
        <x:v>1574</x:v>
      </x:c>
    </x:row>
    <x:row r="38" ht="28.799999237060547" customHeight="1">
      <x:c r="A38" s="430" t="s">
        <x:v>1575</x:v>
      </x:c>
      <x:c r="B38" s="430"/>
      <x:c r="C38" s="430"/>
      <x:c r="D38" s="430"/>
      <x:c r="E38" s="430"/>
      <x:c r="F38" s="430"/>
      <x:c r="G38" s="430"/>
    </x:row>
    <x:row r="39" ht="57" customHeight="1">
      <x:c r="A39" s="261">
        <x:v>31</x:v>
      </x:c>
      <x:c r="B39" s="261" t="s">
        <x:v>110</x:v>
      </x:c>
      <x:c r="C39" s="261" t="s">
        <x:v>1010</x:v>
      </x:c>
      <x:c r="D39" s="261" t="s">
        <x:v>1092</x:v>
      </x:c>
      <x:c r="E39" s="261" t="s">
        <x:v>500</x:v>
      </x:c>
      <x:c r="F39" s="261" t="s">
        <x:v>1576</x:v>
      </x:c>
      <x:c r="G39" s="261" t="s">
        <x:v>1577</x:v>
      </x:c>
    </x:row>
    <x:row r="40" ht="57" customHeight="1">
      <x:c r="A40" s="263">
        <x:v>32</x:v>
      </x:c>
      <x:c r="B40" s="263" t="s">
        <x:v>110</x:v>
      </x:c>
      <x:c r="C40" s="263" t="s">
        <x:v>500</x:v>
      </x:c>
      <x:c r="D40" s="263" t="s">
        <x:v>1092</x:v>
      </x:c>
      <x:c r="E40" s="263" t="s">
        <x:v>503</x:v>
      </x:c>
      <x:c r="F40" s="263" t="s">
        <x:v>1480</x:v>
      </x:c>
      <x:c r="G40" s="263" t="s">
        <x:v>1578</x:v>
      </x:c>
    </x:row>
    <x:row r="41" ht="57" customHeight="1">
      <x:c r="A41" s="261">
        <x:v>33</x:v>
      </x:c>
      <x:c r="B41" s="261" t="s">
        <x:v>110</x:v>
      </x:c>
      <x:c r="C41" s="261" t="s">
        <x:v>503</x:v>
      </x:c>
      <x:c r="D41" s="261" t="s">
        <x:v>323</x:v>
      </x:c>
      <x:c r="E41" s="261" t="s">
        <x:v>500</x:v>
      </x:c>
      <x:c r="F41" s="261" t="s">
        <x:v>1482</x:v>
      </x:c>
      <x:c r="G41" s="261" t="s">
        <x:v>1579</x:v>
      </x:c>
    </x:row>
    <x:row r="42" ht="57" customHeight="1">
      <x:c r="A42" s="263">
        <x:v>34</x:v>
      </x:c>
      <x:c r="B42" s="263" t="s">
        <x:v>110</x:v>
      </x:c>
      <x:c r="C42" s="263" t="s">
        <x:v>500</x:v>
      </x:c>
      <x:c r="D42" s="263" t="s">
        <x:v>1092</x:v>
      </x:c>
      <x:c r="E42" s="263" t="s">
        <x:v>1032</x:v>
      </x:c>
      <x:c r="F42" s="263" t="s">
        <x:v>1484</x:v>
      </x:c>
      <x:c r="G42" s="263" t="s">
        <x:v>1580</x:v>
      </x:c>
    </x:row>
    <x:row r="43" ht="57" customHeight="1">
      <x:c r="A43" s="261">
        <x:v>35</x:v>
      </x:c>
      <x:c r="B43" s="261" t="s">
        <x:v>110</x:v>
      </x:c>
      <x:c r="C43" s="261" t="s">
        <x:v>1032</x:v>
      </x:c>
      <x:c r="D43" s="261" t="s">
        <x:v>323</x:v>
      </x:c>
      <x:c r="E43" s="261" t="s">
        <x:v>500</x:v>
      </x:c>
      <x:c r="F43" s="261" t="s">
        <x:v>1486</x:v>
      </x:c>
      <x:c r="G43" s="261" t="s">
        <x:v>1581</x:v>
      </x:c>
    </x:row>
    <x:row r="44" ht="57" customHeight="1">
      <x:c r="A44" s="263">
        <x:v>36</x:v>
      </x:c>
      <x:c r="B44" s="263" t="s">
        <x:v>110</x:v>
      </x:c>
      <x:c r="C44" s="263" t="s">
        <x:v>500</x:v>
      </x:c>
      <x:c r="D44" s="263" t="s">
        <x:v>19</x:v>
      </x:c>
      <x:c r="E44" s="263" t="s">
        <x:v>500</x:v>
      </x:c>
      <x:c r="F44" s="263" t="s">
        <x:v>1582</x:v>
      </x:c>
      <x:c r="G44" s="263" t="s">
        <x:v>1583</x:v>
      </x:c>
    </x:row>
    <x:row r="45" ht="57" customHeight="1">
      <x:c r="A45" s="261">
        <x:v>37</x:v>
      </x:c>
      <x:c r="B45" s="261" t="s">
        <x:v>110</x:v>
      </x:c>
      <x:c r="C45" s="261" t="s">
        <x:v>500</x:v>
      </x:c>
      <x:c r="D45" s="261" t="s">
        <x:v>323</x:v>
      </x:c>
      <x:c r="E45" s="261" t="s">
        <x:v>1010</x:v>
      </x:c>
      <x:c r="F45" s="261" t="s">
        <x:v>1584</x:v>
      </x:c>
      <x:c r="G45" s="261" t="s">
        <x:v>1585</x:v>
      </x:c>
    </x:row>
    <x:row r="46" ht="57" customHeight="1">
      <x:c r="A46" s="263">
        <x:v>38</x:v>
      </x:c>
      <x:c r="B46" s="263" t="s">
        <x:v>110</x:v>
      </x:c>
      <x:c r="C46" s="263" t="s">
        <x:v>1010</x:v>
      </x:c>
      <x:c r="D46" s="263" t="s">
        <x:v>1092</x:v>
      </x:c>
      <x:c r="E46" s="263" t="s">
        <x:v>1003</x:v>
      </x:c>
      <x:c r="F46" s="263" t="s">
        <x:v>1586</x:v>
      </x:c>
      <x:c r="G46" s="263" t="s">
        <x:v>1587</x:v>
      </x:c>
    </x:row>
    <x:row r="47" ht="57" customHeight="1">
      <x:c r="A47" s="261">
        <x:v>39</x:v>
      </x:c>
      <x:c r="B47" s="261" t="s">
        <x:v>110</x:v>
      </x:c>
      <x:c r="C47" s="261" t="s">
        <x:v>1003</x:v>
      </x:c>
      <x:c r="D47" s="261" t="s">
        <x:v>1092</x:v>
      </x:c>
      <x:c r="E47" s="261" t="s">
        <x:v>11</x:v>
      </x:c>
      <x:c r="F47" s="261" t="s">
        <x:v>1588</x:v>
      </x:c>
      <x:c r="G47" s="261" t="s">
        <x:v>1589</x:v>
      </x:c>
    </x:row>
  </x:sheetData>
  <x:mergeCells>
    <x:mergeCell ref="A32:G32"/>
    <x:mergeCell ref="A38:G38"/>
    <x:mergeCell ref="A1:G1"/>
    <x:mergeCell ref="A2:G2"/>
    <x:mergeCell ref="A4:G4"/>
    <x:mergeCell ref="A12:G12"/>
    <x:mergeCell ref="A22:G22"/>
  </x:mergeCells>
  <x:pageMargins left="0.7" right="0.7" top="0.75" bottom="0.75" header="0.3" footer="0.3"/>
</x:worksheet>
</file>

<file path=xl/worksheets/sheet24.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 customWidth="1"/>
    <x:col min="2" max="2" width="11" customWidth="1"/>
    <x:col min="3" max="3" width="25" customWidth="1"/>
    <x:col min="4" max="4" width="22" customWidth="1"/>
    <x:col min="5" max="5" width="25" customWidth="1"/>
    <x:col min="6" max="6" width="53" customWidth="1"/>
    <x:col min="7" max="7" width="86" customWidth="1"/>
    <x:col min="8" max="8" width="58" hidden="0" customWidth="1"/>
  </x:cols>
  <x:sheetData>
    <x:row r="1" ht="39" customHeight="1">
      <x:c r="A1" s="431" t="s">
        <x:v>1590</x:v>
      </x:c>
      <x:c r="B1" s="431"/>
      <x:c r="C1" s="431"/>
      <x:c r="D1" s="431"/>
      <x:c r="E1" s="431"/>
      <x:c r="F1" s="431"/>
      <x:c r="G1" s="431"/>
    </x:row>
    <x:row r="2" ht="49.20000076293945" customHeight="1">
      <x:c r="A2" s="3" t="s">
        <x:v>1591</x:v>
      </x:c>
      <x:c r="B2" s="3"/>
      <x:c r="C2" s="3"/>
      <x:c r="D2" s="3"/>
      <x:c r="E2" s="3"/>
      <x:c r="F2" s="3"/>
      <x:c r="G2" s="3"/>
    </x:row>
    <x:row r="3" ht="31.049999237060547" customHeight="1">
      <x:c r="A3" s="262" t="s">
        <x:v>1267</x:v>
      </x:c>
      <x:c r="B3" s="262" t="s">
        <x:v>3</x:v>
      </x:c>
      <x:c r="C3" s="262" t="s">
        <x:v>4</x:v>
      </x:c>
      <x:c r="D3" s="262" t="s">
        <x:v>5</x:v>
      </x:c>
      <x:c r="E3" s="262" t="s">
        <x:v>6</x:v>
      </x:c>
      <x:c r="F3" s="262" t="s">
        <x:v>7</x:v>
      </x:c>
      <x:c r="G3" s="262" t="s">
        <x:v>8</x:v>
      </x:c>
      <x:c r="H3" t="str">
        <x:v>CONDICIÓN RF65 (NO MVP)</x:v>
      </x:c>
    </x:row>
    <x:row r="4" ht="28.799999237060547" customHeight="1">
      <x:c r="A4" s="430" t="s">
        <x:v>1592</x:v>
      </x:c>
      <x:c r="B4" s="430"/>
      <x:c r="C4" s="430"/>
      <x:c r="D4" s="430"/>
      <x:c r="E4" s="430"/>
      <x:c r="F4" s="430"/>
      <x:c r="G4" s="430"/>
    </x:row>
    <x:row r="5" ht="57" customHeight="1">
      <x:c r="A5" s="261">
        <x:v>1</x:v>
      </x:c>
      <x:c r="B5" s="261" t="s">
        <x:v>10</x:v>
      </x:c>
      <x:c r="C5" s="261" t="s">
        <x:v>11</x:v>
      </x:c>
      <x:c r="D5" s="261" t="s">
        <x:v>1092</x:v>
      </x:c>
      <x:c r="E5" s="261" t="s">
        <x:v>1003</x:v>
      </x:c>
      <x:c r="F5" s="261" t="s">
        <x:v>1593</x:v>
      </x:c>
      <x:c r="G5" s="261" t="s">
        <x:v>1594</x:v>
      </x:c>
      <x:c r="H5" s="1071" t="str">
        <x:v>RF65 POST-MVP · CONDICIONADO A APROBACIÓN. Exportación histórica: no exponer por selector normal los datos de vehículo eliminado; acceso o recuperación extraordinaria depende de política explícita. Sin aprobación no aplicar filtros ni cambios de BD por RF65.</x:v>
      </x:c>
    </x:row>
    <x:row r="6" ht="57" customHeight="1">
      <x:c r="A6" s="263">
        <x:v>2</x:v>
      </x:c>
      <x:c r="B6" s="263" t="s">
        <x:v>10</x:v>
      </x:c>
      <x:c r="C6" s="263" t="s">
        <x:v>1003</x:v>
      </x:c>
      <x:c r="D6" s="263" t="s">
        <x:v>1092</x:v>
      </x:c>
      <x:c r="E6" s="263" t="s">
        <x:v>1595</x:v>
      </x:c>
      <x:c r="F6" s="263" t="s">
        <x:v>1596</x:v>
      </x:c>
      <x:c r="G6" s="263" t="s">
        <x:v>1597</x:v>
      </x:c>
    </x:row>
    <x:row r="7" ht="57" customHeight="1">
      <x:c r="A7" s="261">
        <x:v>3</x:v>
      </x:c>
      <x:c r="B7" s="261" t="s">
        <x:v>10</x:v>
      </x:c>
      <x:c r="C7" s="261" t="s">
        <x:v>1595</x:v>
      </x:c>
      <x:c r="D7" s="261" t="s">
        <x:v>1092</x:v>
      </x:c>
      <x:c r="E7" s="261" t="s">
        <x:v>751</x:v>
      </x:c>
      <x:c r="F7" s="261" t="s">
        <x:v>1598</x:v>
      </x:c>
      <x:c r="G7" s="261" t="s">
        <x:v>1599</x:v>
      </x:c>
    </x:row>
    <x:row r="8" ht="57" customHeight="1">
      <x:c r="A8" s="263">
        <x:v>4</x:v>
      </x:c>
      <x:c r="B8" s="263" t="s">
        <x:v>10</x:v>
      </x:c>
      <x:c r="C8" s="263" t="s">
        <x:v>751</x:v>
      </x:c>
      <x:c r="D8" s="263" t="s">
        <x:v>1092</x:v>
      </x:c>
      <x:c r="E8" s="263" t="s">
        <x:v>754</x:v>
      </x:c>
      <x:c r="F8" s="263" t="s">
        <x:v>1600</x:v>
      </x:c>
      <x:c r="G8" s="263" t="s">
        <x:v>1601</x:v>
      </x:c>
    </x:row>
    <x:row r="9" ht="57" customHeight="1">
      <x:c r="A9" s="261">
        <x:v>5</x:v>
      </x:c>
      <x:c r="B9" s="261" t="s">
        <x:v>10</x:v>
      </x:c>
      <x:c r="C9" s="261" t="s">
        <x:v>754</x:v>
      </x:c>
      <x:c r="D9" s="261" t="s">
        <x:v>323</x:v>
      </x:c>
      <x:c r="E9" s="261" t="s">
        <x:v>751</x:v>
      </x:c>
      <x:c r="F9" s="261" t="s">
        <x:v>1602</x:v>
      </x:c>
      <x:c r="G9" s="261" t="s">
        <x:v>1603</x:v>
      </x:c>
    </x:row>
    <x:row r="10" ht="57" customHeight="1">
      <x:c r="A10" s="263">
        <x:v>6</x:v>
      </x:c>
      <x:c r="B10" s="263" t="s">
        <x:v>10</x:v>
      </x:c>
      <x:c r="C10" s="263" t="s">
        <x:v>751</x:v>
      </x:c>
      <x:c r="D10" s="263" t="s">
        <x:v>323</x:v>
      </x:c>
      <x:c r="E10" s="263" t="s">
        <x:v>1595</x:v>
      </x:c>
      <x:c r="F10" s="263" t="s">
        <x:v>1604</x:v>
      </x:c>
      <x:c r="G10" s="263" t="s">
        <x:v>1605</x:v>
      </x:c>
    </x:row>
    <x:row r="11" ht="57" customHeight="1">
      <x:c r="A11" s="261">
        <x:v>7</x:v>
      </x:c>
      <x:c r="B11" s="261" t="s">
        <x:v>10</x:v>
      </x:c>
      <x:c r="C11" s="261" t="s">
        <x:v>1595</x:v>
      </x:c>
      <x:c r="D11" s="261" t="s">
        <x:v>1092</x:v>
      </x:c>
      <x:c r="E11" s="261" t="s">
        <x:v>908</x:v>
      </x:c>
      <x:c r="F11" s="261" t="s">
        <x:v>1461</x:v>
      </x:c>
      <x:c r="G11" s="261" t="s">
        <x:v>1606</x:v>
      </x:c>
    </x:row>
    <x:row r="12" ht="57" customHeight="1">
      <x:c r="A12" s="263">
        <x:v>8</x:v>
      </x:c>
      <x:c r="B12" s="263" t="s">
        <x:v>10</x:v>
      </x:c>
      <x:c r="C12" s="263" t="s">
        <x:v>908</x:v>
      </x:c>
      <x:c r="D12" s="263" t="s">
        <x:v>1092</x:v>
      </x:c>
      <x:c r="E12" s="263" t="s">
        <x:v>440</x:v>
      </x:c>
      <x:c r="F12" s="263" t="s">
        <x:v>1108</x:v>
      </x:c>
      <x:c r="G12" s="263" t="s">
        <x:v>1607</x:v>
      </x:c>
    </x:row>
    <x:row r="13" ht="57" customHeight="1">
      <x:c r="A13" s="261">
        <x:v>9</x:v>
      </x:c>
      <x:c r="B13" s="261" t="s">
        <x:v>10</x:v>
      </x:c>
      <x:c r="C13" s="261" t="s">
        <x:v>440</x:v>
      </x:c>
      <x:c r="D13" s="261" t="s">
        <x:v>323</x:v>
      </x:c>
      <x:c r="E13" s="261" t="s">
        <x:v>908</x:v>
      </x:c>
      <x:c r="F13" s="261" t="s">
        <x:v>1165</x:v>
      </x:c>
      <x:c r="G13" s="261" t="s">
        <x:v>1608</x:v>
      </x:c>
    </x:row>
    <x:row r="14" ht="57" customHeight="1">
      <x:c r="A14" s="263">
        <x:v>10</x:v>
      </x:c>
      <x:c r="B14" s="263" t="s">
        <x:v>10</x:v>
      </x:c>
      <x:c r="C14" s="263" t="s">
        <x:v>908</x:v>
      </x:c>
      <x:c r="D14" s="263" t="s">
        <x:v>323</x:v>
      </x:c>
      <x:c r="E14" s="263" t="s">
        <x:v>1595</x:v>
      </x:c>
      <x:c r="F14" s="263" t="s">
        <x:v>1609</x:v>
      </x:c>
      <x:c r="G14" s="263" t="s">
        <x:v>1610</x:v>
      </x:c>
    </x:row>
    <x:row r="15" ht="28.799999237060547" customHeight="1">
      <x:c r="A15" s="430" t="s">
        <x:v>1611</x:v>
      </x:c>
      <x:c r="B15" s="430"/>
      <x:c r="C15" s="430"/>
      <x:c r="D15" s="430"/>
      <x:c r="E15" s="430"/>
      <x:c r="F15" s="430"/>
      <x:c r="G15" s="430"/>
    </x:row>
    <x:row r="16" ht="57" customHeight="1">
      <x:c r="A16" s="261">
        <x:v>11</x:v>
      </x:c>
      <x:c r="B16" s="261" t="s">
        <x:v>33</x:v>
      </x:c>
      <x:c r="C16" s="261" t="s">
        <x:v>1595</x:v>
      </x:c>
      <x:c r="D16" s="261" t="s">
        <x:v>1092</x:v>
      </x:c>
      <x:c r="E16" s="261" t="s">
        <x:v>1368</x:v>
      </x:c>
      <x:c r="F16" s="261" t="s">
        <x:v>1612</x:v>
      </x:c>
      <x:c r="G16" s="261" t="s">
        <x:v>1613</x:v>
      </x:c>
    </x:row>
    <x:row r="17" ht="57" customHeight="1">
      <x:c r="A17" s="263">
        <x:v>12</x:v>
      </x:c>
      <x:c r="B17" s="263" t="s">
        <x:v>33</x:v>
      </x:c>
      <x:c r="C17" s="263" t="s">
        <x:v>1368</x:v>
      </x:c>
      <x:c r="D17" s="263" t="s">
        <x:v>1092</x:v>
      </x:c>
      <x:c r="E17" s="263" t="s">
        <x:v>1533</x:v>
      </x:c>
      <x:c r="F17" s="263" t="s">
        <x:v>1534</x:v>
      </x:c>
      <x:c r="G17" s="263" t="s">
        <x:v>1614</x:v>
      </x:c>
    </x:row>
    <x:row r="18" ht="57" customHeight="1">
      <x:c r="A18" s="261">
        <x:v>13</x:v>
      </x:c>
      <x:c r="B18" s="261" t="s">
        <x:v>33</x:v>
      </x:c>
      <x:c r="C18" s="261" t="s">
        <x:v>1533</x:v>
      </x:c>
      <x:c r="D18" s="261" t="s">
        <x:v>323</x:v>
      </x:c>
      <x:c r="E18" s="261" t="s">
        <x:v>1368</x:v>
      </x:c>
      <x:c r="F18" s="261" t="s">
        <x:v>1615</x:v>
      </x:c>
      <x:c r="G18" s="261" t="s">
        <x:v>1616</x:v>
      </x:c>
    </x:row>
    <x:row r="19" ht="57" customHeight="1">
      <x:c r="A19" s="263">
        <x:v>14</x:v>
      </x:c>
      <x:c r="B19" s="263" t="s">
        <x:v>33</x:v>
      </x:c>
      <x:c r="C19" s="263" t="s">
        <x:v>1368</x:v>
      </x:c>
      <x:c r="D19" s="263" t="s">
        <x:v>323</x:v>
      </x:c>
      <x:c r="E19" s="263" t="s">
        <x:v>1595</x:v>
      </x:c>
      <x:c r="F19" s="263" t="s">
        <x:v>1615</x:v>
      </x:c>
      <x:c r="G19" s="263" t="s">
        <x:v>1617</x:v>
      </x:c>
    </x:row>
    <x:row r="20" ht="57" customHeight="1">
      <x:c r="A20" s="261">
        <x:v>15</x:v>
      </x:c>
      <x:c r="B20" s="261" t="s">
        <x:v>33</x:v>
      </x:c>
      <x:c r="C20" s="261" t="s">
        <x:v>1595</x:v>
      </x:c>
      <x:c r="D20" s="261" t="s">
        <x:v>1092</x:v>
      </x:c>
      <x:c r="E20" s="261" t="s">
        <x:v>1618</x:v>
      </x:c>
      <x:c r="F20" s="261" t="s">
        <x:v>1619</x:v>
      </x:c>
      <x:c r="G20" s="261" t="s">
        <x:v>1620</x:v>
      </x:c>
    </x:row>
    <x:row r="21" ht="57" customHeight="1">
      <x:c r="A21" s="263">
        <x:v>16</x:v>
      </x:c>
      <x:c r="B21" s="263" t="s">
        <x:v>33</x:v>
      </x:c>
      <x:c r="C21" s="263" t="s">
        <x:v>1618</x:v>
      </x:c>
      <x:c r="D21" s="263" t="s">
        <x:v>1092</x:v>
      </x:c>
      <x:c r="E21" s="263" t="s">
        <x:v>11</x:v>
      </x:c>
      <x:c r="F21" s="263" t="s">
        <x:v>1621</x:v>
      </x:c>
      <x:c r="G21" s="263" t="s">
        <x:v>1622</x:v>
      </x:c>
    </x:row>
    <x:row r="22" ht="57" customHeight="1">
      <x:c r="A22" s="261">
        <x:v>17</x:v>
      </x:c>
      <x:c r="B22" s="261" t="s">
        <x:v>33</x:v>
      </x:c>
      <x:c r="C22" s="261" t="s">
        <x:v>11</x:v>
      </x:c>
      <x:c r="D22" s="261" t="s">
        <x:v>1092</x:v>
      </x:c>
      <x:c r="E22" s="261" t="s">
        <x:v>1618</x:v>
      </x:c>
      <x:c r="F22" s="261" t="s">
        <x:v>1623</x:v>
      </x:c>
      <x:c r="G22" s="261" t="s">
        <x:v>1624</x:v>
      </x:c>
    </x:row>
    <x:row r="23" ht="57" customHeight="1">
      <x:c r="A23" s="263">
        <x:v>18</x:v>
      </x:c>
      <x:c r="B23" s="263" t="s">
        <x:v>33</x:v>
      </x:c>
      <x:c r="C23" s="263" t="s">
        <x:v>1618</x:v>
      </x:c>
      <x:c r="D23" s="263" t="s">
        <x:v>1092</x:v>
      </x:c>
      <x:c r="E23" s="263" t="s">
        <x:v>1595</x:v>
      </x:c>
      <x:c r="F23" s="263" t="s">
        <x:v>1625</x:v>
      </x:c>
      <x:c r="G23" s="263" t="s">
        <x:v>1626</x:v>
      </x:c>
    </x:row>
    <x:row r="24" ht="57" customHeight="1">
      <x:c r="A24" s="261">
        <x:v>19</x:v>
      </x:c>
      <x:c r="B24" s="261" t="s">
        <x:v>33</x:v>
      </x:c>
      <x:c r="C24" s="261" t="s">
        <x:v>1595</x:v>
      </x:c>
      <x:c r="D24" s="261" t="s">
        <x:v>404</x:v>
      </x:c>
      <x:c r="E24" s="261" t="s">
        <x:v>1595</x:v>
      </x:c>
      <x:c r="F24" s="261" t="s">
        <x:v>1627</x:v>
      </x:c>
      <x:c r="G24" s="261" t="s">
        <x:v>1628</x:v>
      </x:c>
    </x:row>
    <x:row r="25" ht="28.799999237060547" customHeight="1">
      <x:c r="A25" s="430" t="s">
        <x:v>1629</x:v>
      </x:c>
      <x:c r="B25" s="430"/>
      <x:c r="C25" s="430"/>
      <x:c r="D25" s="430"/>
      <x:c r="E25" s="430"/>
      <x:c r="F25" s="430"/>
      <x:c r="G25" s="430"/>
    </x:row>
    <x:row r="26" ht="57" customHeight="1">
      <x:c r="A26" s="263">
        <x:v>20</x:v>
      </x:c>
      <x:c r="B26" s="263" t="s">
        <x:v>63</x:v>
      </x:c>
      <x:c r="C26" s="263" t="s">
        <x:v>1595</x:v>
      </x:c>
      <x:c r="D26" s="263" t="s">
        <x:v>1092</x:v>
      </x:c>
      <x:c r="E26" s="263" t="s">
        <x:v>751</x:v>
      </x:c>
      <x:c r="F26" s="263" t="s">
        <x:v>1630</x:v>
      </x:c>
      <x:c r="G26" s="263" t="s">
        <x:v>1631</x:v>
      </x:c>
    </x:row>
    <x:row r="27" ht="57" customHeight="1">
      <x:c r="A27" s="261">
        <x:v>21</x:v>
      </x:c>
      <x:c r="B27" s="261" t="s">
        <x:v>63</x:v>
      </x:c>
      <x:c r="C27" s="261" t="s">
        <x:v>751</x:v>
      </x:c>
      <x:c r="D27" s="261" t="s">
        <x:v>1092</x:v>
      </x:c>
      <x:c r="E27" s="261" t="s">
        <x:v>754</x:v>
      </x:c>
      <x:c r="F27" s="261" t="s">
        <x:v>1600</x:v>
      </x:c>
      <x:c r="G27" s="261" t="s">
        <x:v>1632</x:v>
      </x:c>
    </x:row>
    <x:row r="28" ht="57" customHeight="1">
      <x:c r="A28" s="263">
        <x:v>22</x:v>
      </x:c>
      <x:c r="B28" s="263" t="s">
        <x:v>63</x:v>
      </x:c>
      <x:c r="C28" s="263" t="s">
        <x:v>754</x:v>
      </x:c>
      <x:c r="D28" s="263" t="s">
        <x:v>323</x:v>
      </x:c>
      <x:c r="E28" s="263" t="s">
        <x:v>751</x:v>
      </x:c>
      <x:c r="F28" s="263" t="s">
        <x:v>1633</x:v>
      </x:c>
      <x:c r="G28" s="263" t="s">
        <x:v>1634</x:v>
      </x:c>
    </x:row>
    <x:row r="29" ht="57" customHeight="1">
      <x:c r="A29" s="261">
        <x:v>23</x:v>
      </x:c>
      <x:c r="B29" s="261" t="s">
        <x:v>63</x:v>
      </x:c>
      <x:c r="C29" s="261" t="s">
        <x:v>751</x:v>
      </x:c>
      <x:c r="D29" s="261" t="s">
        <x:v>323</x:v>
      </x:c>
      <x:c r="E29" s="261" t="s">
        <x:v>1595</x:v>
      </x:c>
      <x:c r="F29" s="261" t="s">
        <x:v>1635</x:v>
      </x:c>
      <x:c r="G29" s="261" t="s">
        <x:v>1636</x:v>
      </x:c>
    </x:row>
    <x:row r="30" ht="57" customHeight="1">
      <x:c r="A30" s="263">
        <x:v>24</x:v>
      </x:c>
      <x:c r="B30" s="263" t="s">
        <x:v>63</x:v>
      </x:c>
      <x:c r="C30" s="263" t="s">
        <x:v>1595</x:v>
      </x:c>
      <x:c r="D30" s="263" t="s">
        <x:v>1092</x:v>
      </x:c>
      <x:c r="E30" s="263" t="s">
        <x:v>1010</x:v>
      </x:c>
      <x:c r="F30" s="263" t="s">
        <x:v>1637</x:v>
      </x:c>
      <x:c r="G30" s="263" t="s">
        <x:v>1638</x:v>
      </x:c>
    </x:row>
    <x:row r="31" ht="57" customHeight="1">
      <x:c r="A31" s="261">
        <x:v>25</x:v>
      </x:c>
      <x:c r="B31" s="261" t="s">
        <x:v>63</x:v>
      </x:c>
      <x:c r="C31" s="261" t="s">
        <x:v>1010</x:v>
      </x:c>
      <x:c r="D31" s="261" t="s">
        <x:v>1092</x:v>
      </x:c>
      <x:c r="E31" s="261" t="s">
        <x:v>908</x:v>
      </x:c>
      <x:c r="F31" s="261" t="s">
        <x:v>1461</x:v>
      </x:c>
      <x:c r="G31" s="261" t="s">
        <x:v>1639</x:v>
      </x:c>
    </x:row>
    <x:row r="32" ht="57" customHeight="1">
      <x:c r="A32" s="263">
        <x:v>26</x:v>
      </x:c>
      <x:c r="B32" s="263" t="s">
        <x:v>63</x:v>
      </x:c>
      <x:c r="C32" s="263" t="s">
        <x:v>908</x:v>
      </x:c>
      <x:c r="D32" s="263" t="s">
        <x:v>1092</x:v>
      </x:c>
      <x:c r="E32" s="263" t="s">
        <x:v>440</x:v>
      </x:c>
      <x:c r="F32" s="263" t="s">
        <x:v>1108</x:v>
      </x:c>
      <x:c r="G32" s="263" t="s">
        <x:v>1640</x:v>
      </x:c>
    </x:row>
    <x:row r="33" ht="57" customHeight="1">
      <x:c r="A33" s="261">
        <x:v>27</x:v>
      </x:c>
      <x:c r="B33" s="261" t="s">
        <x:v>63</x:v>
      </x:c>
      <x:c r="C33" s="261" t="s">
        <x:v>440</x:v>
      </x:c>
      <x:c r="D33" s="261" t="s">
        <x:v>323</x:v>
      </x:c>
      <x:c r="E33" s="261" t="s">
        <x:v>908</x:v>
      </x:c>
      <x:c r="F33" s="261" t="s">
        <x:v>1165</x:v>
      </x:c>
      <x:c r="G33" s="261" t="s">
        <x:v>1641</x:v>
      </x:c>
    </x:row>
    <x:row r="34" ht="57" customHeight="1">
      <x:c r="A34" s="263">
        <x:v>28</x:v>
      </x:c>
      <x:c r="B34" s="263" t="s">
        <x:v>63</x:v>
      </x:c>
      <x:c r="C34" s="263" t="s">
        <x:v>908</x:v>
      </x:c>
      <x:c r="D34" s="263" t="s">
        <x:v>323</x:v>
      </x:c>
      <x:c r="E34" s="263" t="s">
        <x:v>1010</x:v>
      </x:c>
      <x:c r="F34" s="263" t="s">
        <x:v>1465</x:v>
      </x:c>
      <x:c r="G34" s="263" t="s">
        <x:v>1642</x:v>
      </x:c>
    </x:row>
    <x:row r="35" ht="57" customHeight="1">
      <x:c r="A35" s="261">
        <x:v>29</x:v>
      </x:c>
      <x:c r="B35" s="261" t="s">
        <x:v>63</x:v>
      </x:c>
      <x:c r="C35" s="261" t="s">
        <x:v>1010</x:v>
      </x:c>
      <x:c r="D35" s="261" t="s">
        <x:v>1092</x:v>
      </x:c>
      <x:c r="E35" s="261" t="s">
        <x:v>500</x:v>
      </x:c>
      <x:c r="F35" s="261" t="s">
        <x:v>1643</x:v>
      </x:c>
      <x:c r="G35" s="261" t="s">
        <x:v>1644</x:v>
      </x:c>
    </x:row>
    <x:row r="36" ht="57" customHeight="1">
      <x:c r="A36" s="263">
        <x:v>30</x:v>
      </x:c>
      <x:c r="B36" s="263" t="s">
        <x:v>63</x:v>
      </x:c>
      <x:c r="C36" s="263" t="s">
        <x:v>500</x:v>
      </x:c>
      <x:c r="D36" s="263" t="s">
        <x:v>1092</x:v>
      </x:c>
      <x:c r="E36" s="263" t="s">
        <x:v>503</x:v>
      </x:c>
      <x:c r="F36" s="263" t="s">
        <x:v>1645</x:v>
      </x:c>
      <x:c r="G36" s="263" t="s">
        <x:v>1646</x:v>
      </x:c>
    </x:row>
    <x:row r="37" ht="57" customHeight="1">
      <x:c r="A37" s="261">
        <x:v>31</x:v>
      </x:c>
      <x:c r="B37" s="261" t="s">
        <x:v>63</x:v>
      </x:c>
      <x:c r="C37" s="261" t="s">
        <x:v>503</x:v>
      </x:c>
      <x:c r="D37" s="261" t="s">
        <x:v>323</x:v>
      </x:c>
      <x:c r="E37" s="261" t="s">
        <x:v>500</x:v>
      </x:c>
      <x:c r="F37" s="261" t="s">
        <x:v>1647</x:v>
      </x:c>
      <x:c r="G37" s="261" t="s">
        <x:v>1648</x:v>
      </x:c>
    </x:row>
    <x:row r="38" ht="57" customHeight="1">
      <x:c r="A38" s="263">
        <x:v>32</x:v>
      </x:c>
      <x:c r="B38" s="263" t="s">
        <x:v>63</x:v>
      </x:c>
      <x:c r="C38" s="263" t="s">
        <x:v>500</x:v>
      </x:c>
      <x:c r="D38" s="263" t="s">
        <x:v>323</x:v>
      </x:c>
      <x:c r="E38" s="263" t="s">
        <x:v>1010</x:v>
      </x:c>
      <x:c r="F38" s="263" t="s">
        <x:v>1647</x:v>
      </x:c>
      <x:c r="G38" s="263" t="s">
        <x:v>1649</x:v>
      </x:c>
    </x:row>
    <x:row r="39" ht="57" customHeight="1">
      <x:c r="A39" s="261">
        <x:v>33</x:v>
      </x:c>
      <x:c r="B39" s="261" t="s">
        <x:v>63</x:v>
      </x:c>
      <x:c r="C39" s="261" t="s">
        <x:v>1010</x:v>
      </x:c>
      <x:c r="D39" s="261" t="s">
        <x:v>1092</x:v>
      </x:c>
      <x:c r="E39" s="261" t="s">
        <x:v>1099</x:v>
      </x:c>
      <x:c r="F39" s="261" t="s">
        <x:v>1650</x:v>
      </x:c>
      <x:c r="G39" s="261" t="s">
        <x:v>1651</x:v>
      </x:c>
    </x:row>
    <x:row r="40" ht="57" customHeight="1">
      <x:c r="A40" s="263">
        <x:v>34</x:v>
      </x:c>
      <x:c r="B40" s="263" t="s">
        <x:v>63</x:v>
      </x:c>
      <x:c r="C40" s="263" t="s">
        <x:v>1099</x:v>
      </x:c>
      <x:c r="D40" s="263" t="s">
        <x:v>323</x:v>
      </x:c>
      <x:c r="E40" s="263" t="s">
        <x:v>1010</x:v>
      </x:c>
      <x:c r="F40" s="263" t="s">
        <x:v>1652</x:v>
      </x:c>
      <x:c r="G40" s="263" t="s">
        <x:v>1653</x:v>
      </x:c>
    </x:row>
    <x:row r="41" ht="57" customHeight="1">
      <x:c r="A41" s="261">
        <x:v>35</x:v>
      </x:c>
      <x:c r="B41" s="261" t="s">
        <x:v>63</x:v>
      </x:c>
      <x:c r="C41" s="261" t="s">
        <x:v>1010</x:v>
      </x:c>
      <x:c r="D41" s="261" t="s">
        <x:v>1092</x:v>
      </x:c>
      <x:c r="E41" s="261" t="s">
        <x:v>1114</x:v>
      </x:c>
      <x:c r="F41" s="261" t="s">
        <x:v>1472</x:v>
      </x:c>
      <x:c r="G41" s="261" t="s">
        <x:v>1654</x:v>
      </x:c>
    </x:row>
    <x:row r="42" ht="57" customHeight="1">
      <x:c r="A42" s="263">
        <x:v>36</x:v>
      </x:c>
      <x:c r="B42" s="263" t="s">
        <x:v>63</x:v>
      </x:c>
      <x:c r="C42" s="263" t="s">
        <x:v>1114</x:v>
      </x:c>
      <x:c r="D42" s="263" t="s">
        <x:v>1092</x:v>
      </x:c>
      <x:c r="E42" s="263" t="s">
        <x:v>1117</x:v>
      </x:c>
      <x:c r="F42" s="263" t="s">
        <x:v>1255</x:v>
      </x:c>
      <x:c r="G42" s="263" t="s">
        <x:v>1655</x:v>
      </x:c>
    </x:row>
    <x:row r="43" ht="57" customHeight="1">
      <x:c r="A43" s="261">
        <x:v>37</x:v>
      </x:c>
      <x:c r="B43" s="261" t="s">
        <x:v>63</x:v>
      </x:c>
      <x:c r="C43" s="261" t="s">
        <x:v>1117</x:v>
      </x:c>
      <x:c r="D43" s="261" t="s">
        <x:v>323</x:v>
      </x:c>
      <x:c r="E43" s="261" t="s">
        <x:v>1114</x:v>
      </x:c>
      <x:c r="F43" s="261" t="s">
        <x:v>1256</x:v>
      </x:c>
      <x:c r="G43" s="261" t="s">
        <x:v>1656</x:v>
      </x:c>
    </x:row>
    <x:row r="44" ht="57" customHeight="1">
      <x:c r="A44" s="263">
        <x:v>38</x:v>
      </x:c>
      <x:c r="B44" s="263" t="s">
        <x:v>63</x:v>
      </x:c>
      <x:c r="C44" s="263" t="s">
        <x:v>1114</x:v>
      </x:c>
      <x:c r="D44" s="263" t="s">
        <x:v>323</x:v>
      </x:c>
      <x:c r="E44" s="263" t="s">
        <x:v>1010</x:v>
      </x:c>
      <x:c r="F44" s="263" t="s">
        <x:v>1256</x:v>
      </x:c>
      <x:c r="G44" s="263" t="s">
        <x:v>1657</x:v>
      </x:c>
    </x:row>
    <x:row r="45" ht="57" customHeight="1">
      <x:c r="A45" s="261">
        <x:v>39</x:v>
      </x:c>
      <x:c r="B45" s="261" t="s">
        <x:v>63</x:v>
      </x:c>
      <x:c r="C45" s="261" t="s">
        <x:v>1010</x:v>
      </x:c>
      <x:c r="D45" s="261" t="s">
        <x:v>1092</x:v>
      </x:c>
      <x:c r="E45" s="261" t="s">
        <x:v>1125</x:v>
      </x:c>
      <x:c r="F45" s="261" t="s">
        <x:v>1658</x:v>
      </x:c>
      <x:c r="G45" s="261" t="s">
        <x:v>1659</x:v>
      </x:c>
    </x:row>
    <x:row r="46" ht="57" customHeight="1">
      <x:c r="A46" s="263">
        <x:v>40</x:v>
      </x:c>
      <x:c r="B46" s="263" t="s">
        <x:v>63</x:v>
      </x:c>
      <x:c r="C46" s="263" t="s">
        <x:v>1125</x:v>
      </x:c>
      <x:c r="D46" s="263" t="s">
        <x:v>1092</x:v>
      </x:c>
      <x:c r="E46" s="263" t="s">
        <x:v>1128</x:v>
      </x:c>
      <x:c r="F46" s="263" t="s">
        <x:v>1660</x:v>
      </x:c>
      <x:c r="G46" s="263" t="s">
        <x:v>1661</x:v>
      </x:c>
    </x:row>
    <x:row r="47" ht="57" customHeight="1">
      <x:c r="A47" s="261">
        <x:v>41</x:v>
      </x:c>
      <x:c r="B47" s="261" t="s">
        <x:v>63</x:v>
      </x:c>
      <x:c r="C47" s="261" t="s">
        <x:v>1128</x:v>
      </x:c>
      <x:c r="D47" s="261" t="s">
        <x:v>323</x:v>
      </x:c>
      <x:c r="E47" s="261" t="s">
        <x:v>1125</x:v>
      </x:c>
      <x:c r="F47" s="261" t="s">
        <x:v>1131</x:v>
      </x:c>
      <x:c r="G47" s="261" t="str">
        <x:v>Operación [opt]: devuelve relaciones id_mantenimiento, id_repuesto, nombre_snapshot histórico, cantidad y precio_unitario cuando exista. El PDF usará nombre_snapshot como nombre del repuesto en el servicio; una lista vacía es válida. Sin relaciones, se omiten únicamente los mensajes 42–43.</x:v>
      </x:c>
    </x:row>
    <x:row r="48" ht="57" customHeight="1">
      <x:c r="A48" s="263">
        <x:v>42</x:v>
      </x:c>
      <x:c r="B48" s="263" t="s">
        <x:v>63</x:v>
      </x:c>
      <x:c r="C48" s="263" t="s">
        <x:v>1125</x:v>
      </x:c>
      <x:c r="D48" s="263" t="s">
        <x:v>1092</x:v>
      </x:c>
      <x:c r="E48" s="263" t="s">
        <x:v>1132</x:v>
      </x:c>
      <x:c r="F48" s="263" t="s">
        <x:v>1133</x:v>
      </x:c>
      <x:c r="G48" s="263" t="s">
        <x:v>1662</x:v>
      </x:c>
    </x:row>
    <x:row r="49" ht="57" customHeight="1">
      <x:c r="A49" s="261">
        <x:v>43</x:v>
      </x:c>
      <x:c r="B49" s="261" t="s">
        <x:v>63</x:v>
      </x:c>
      <x:c r="C49" s="261" t="s">
        <x:v>1132</x:v>
      </x:c>
      <x:c r="D49" s="261" t="s">
        <x:v>323</x:v>
      </x:c>
      <x:c r="E49" s="261" t="s">
        <x:v>1125</x:v>
      </x:c>
      <x:c r="F49" s="261" t="s">
        <x:v>1135</x:v>
      </x:c>
      <x:c r="G49" s="261" t="str">
        <x:v>Operación [opt]: E_Repuesto devuelve la ficha y marca actual de los repuestos vinculados. Su nombre actual, si se consulta, NO reemplaza el nombre_snapshot histórico de E_MantenimientoRepuesto en el PDF. Cantidad y precio_unitario histórico opcional provienen de la asociación; no se inventan valores ausentes.</x:v>
      </x:c>
    </x:row>
    <x:row r="50" ht="57" customHeight="1">
      <x:c r="A50" s="263">
        <x:v>44</x:v>
      </x:c>
      <x:c r="B50" s="263" t="s">
        <x:v>63</x:v>
      </x:c>
      <x:c r="C50" s="263" t="s">
        <x:v>1125</x:v>
      </x:c>
      <x:c r="D50" s="263" t="s">
        <x:v>323</x:v>
      </x:c>
      <x:c r="E50" s="263" t="s">
        <x:v>1010</x:v>
      </x:c>
      <x:c r="F50" s="263" t="s">
        <x:v>1663</x:v>
      </x:c>
      <x:c r="G50" s="263" t="s">
        <x:v>1664</x:v>
      </x:c>
    </x:row>
    <x:row r="51" ht="57" customHeight="1">
      <x:c r="A51" s="261">
        <x:v>45</x:v>
      </x:c>
      <x:c r="B51" s="261" t="s">
        <x:v>63</x:v>
      </x:c>
      <x:c r="C51" s="261" t="s">
        <x:v>1010</x:v>
      </x:c>
      <x:c r="D51" s="261" t="s">
        <x:v>404</x:v>
      </x:c>
      <x:c r="E51" s="261" t="s">
        <x:v>1010</x:v>
      </x:c>
      <x:c r="F51" s="261" t="s">
        <x:v>1665</x:v>
      </x:c>
      <x:c r="G51" s="261" t="s">
        <x:v>1666</x:v>
      </x:c>
    </x:row>
    <x:row r="52" ht="57" customHeight="1">
      <x:c r="A52" s="263">
        <x:v>46</x:v>
      </x:c>
      <x:c r="B52" s="263" t="s">
        <x:v>63</x:v>
      </x:c>
      <x:c r="C52" s="263" t="s">
        <x:v>1010</x:v>
      </x:c>
      <x:c r="D52" s="263" t="s">
        <x:v>323</x:v>
      </x:c>
      <x:c r="E52" s="263" t="s">
        <x:v>1595</x:v>
      </x:c>
      <x:c r="F52" s="263" t="s">
        <x:v>1667</x:v>
      </x:c>
      <x:c r="G52" s="263" t="s">
        <x:v>1668</x:v>
      </x:c>
    </x:row>
    <x:row r="53" ht="28.799999237060547" customHeight="1">
      <x:c r="A53" s="430" t="s">
        <x:v>1669</x:v>
      </x:c>
      <x:c r="B53" s="430"/>
      <x:c r="C53" s="430"/>
      <x:c r="D53" s="430"/>
      <x:c r="E53" s="430"/>
      <x:c r="F53" s="430"/>
      <x:c r="G53" s="430"/>
    </x:row>
    <x:row r="54" ht="57" customHeight="1">
      <x:c r="A54" s="261">
        <x:v>47</x:v>
      </x:c>
      <x:c r="B54" s="261" t="s">
        <x:v>81</x:v>
      </x:c>
      <x:c r="C54" s="261" t="s">
        <x:v>1595</x:v>
      </x:c>
      <x:c r="D54" s="261" t="s">
        <x:v>1092</x:v>
      </x:c>
      <x:c r="E54" s="261" t="s">
        <x:v>1670</x:v>
      </x:c>
      <x:c r="F54" s="261" t="s">
        <x:v>1671</x:v>
      </x:c>
      <x:c r="G54" s="261" t="s">
        <x:v>1672</x:v>
      </x:c>
    </x:row>
    <x:row r="55" ht="57" customHeight="1">
      <x:c r="A55" s="263">
        <x:v>48</x:v>
      </x:c>
      <x:c r="B55" s="263" t="s">
        <x:v>81</x:v>
      </x:c>
      <x:c r="C55" s="263" t="s">
        <x:v>1670</x:v>
      </x:c>
      <x:c r="D55" s="263" t="s">
        <x:v>404</x:v>
      </x:c>
      <x:c r="E55" s="263" t="s">
        <x:v>1670</x:v>
      </x:c>
      <x:c r="F55" s="263" t="s">
        <x:v>1673</x:v>
      </x:c>
      <x:c r="G55" s="263" t="s">
        <x:v>1674</x:v>
      </x:c>
    </x:row>
    <x:row r="56" ht="57" customHeight="1">
      <x:c r="A56" s="261">
        <x:v>49</x:v>
      </x:c>
      <x:c r="B56" s="261" t="s">
        <x:v>81</x:v>
      </x:c>
      <x:c r="C56" s="261" t="s">
        <x:v>1670</x:v>
      </x:c>
      <x:c r="D56" s="261" t="s">
        <x:v>323</x:v>
      </x:c>
      <x:c r="E56" s="261" t="s">
        <x:v>1595</x:v>
      </x:c>
      <x:c r="F56" s="261" t="s">
        <x:v>1675</x:v>
      </x:c>
      <x:c r="G56" s="261" t="s">
        <x:v>1676</x:v>
      </x:c>
    </x:row>
    <x:row r="57" ht="28.799999237060547" customHeight="1">
      <x:c r="A57" s="430" t="s">
        <x:v>1677</x:v>
      </x:c>
      <x:c r="B57" s="430"/>
      <x:c r="C57" s="430"/>
      <x:c r="D57" s="430"/>
      <x:c r="E57" s="430"/>
      <x:c r="F57" s="430"/>
      <x:c r="G57" s="430"/>
    </x:row>
    <x:row r="58" ht="57" customHeight="1">
      <x:c r="A58" s="263">
        <x:v>50</x:v>
      </x:c>
      <x:c r="B58" s="263" t="s">
        <x:v>110</x:v>
      </x:c>
      <x:c r="C58" s="263" t="s">
        <x:v>1595</x:v>
      </x:c>
      <x:c r="D58" s="263" t="s">
        <x:v>404</x:v>
      </x:c>
      <x:c r="E58" s="263" t="s">
        <x:v>1595</x:v>
      </x:c>
      <x:c r="F58" s="263" t="s">
        <x:v>1678</x:v>
      </x:c>
      <x:c r="G58" s="263" t="s">
        <x:v>1679</x:v>
      </x:c>
    </x:row>
    <x:row r="59" ht="57" customHeight="1">
      <x:c r="A59" s="261">
        <x:v>51</x:v>
      </x:c>
      <x:c r="B59" s="261" t="s">
        <x:v>110</x:v>
      </x:c>
      <x:c r="C59" s="261" t="s">
        <x:v>1595</x:v>
      </x:c>
      <x:c r="D59" s="261" t="s">
        <x:v>1092</x:v>
      </x:c>
      <x:c r="E59" s="261" t="s">
        <x:v>1618</x:v>
      </x:c>
      <x:c r="F59" s="261" t="s">
        <x:v>1680</x:v>
      </x:c>
      <x:c r="G59" s="261" t="s">
        <x:v>1681</x:v>
      </x:c>
    </x:row>
    <x:row r="60" ht="57" customHeight="1">
      <x:c r="A60" s="263">
        <x:v>52</x:v>
      </x:c>
      <x:c r="B60" s="263" t="s">
        <x:v>110</x:v>
      </x:c>
      <x:c r="C60" s="263" t="s">
        <x:v>1618</x:v>
      </x:c>
      <x:c r="D60" s="263" t="s">
        <x:v>1092</x:v>
      </x:c>
      <x:c r="E60" s="263" t="s">
        <x:v>11</x:v>
      </x:c>
      <x:c r="F60" s="263" t="s">
        <x:v>1682</x:v>
      </x:c>
      <x:c r="G60" s="263" t="s">
        <x:v>1683</x:v>
      </x:c>
    </x:row>
    <x:row r="61" ht="28.799999237060547" customHeight="1">
      <x:c r="A61" s="430" t="s">
        <x:v>1684</x:v>
      </x:c>
      <x:c r="B61" s="430"/>
      <x:c r="C61" s="430"/>
      <x:c r="D61" s="430"/>
      <x:c r="E61" s="430"/>
      <x:c r="F61" s="430"/>
      <x:c r="G61" s="430"/>
    </x:row>
    <x:row r="62" ht="57" customHeight="1">
      <x:c r="A62" s="261">
        <x:v>53</x:v>
      </x:c>
      <x:c r="B62" s="261" t="s">
        <x:v>143</x:v>
      </x:c>
      <x:c r="C62" s="261" t="s">
        <x:v>11</x:v>
      </x:c>
      <x:c r="D62" s="261" t="s">
        <x:v>1092</x:v>
      </x:c>
      <x:c r="E62" s="261" t="s">
        <x:v>1618</x:v>
      </x:c>
      <x:c r="F62" s="261" t="s">
        <x:v>1685</x:v>
      </x:c>
      <x:c r="G62" s="261" t="s">
        <x:v>1686</x:v>
      </x:c>
    </x:row>
    <x:row r="63" ht="57" customHeight="1">
      <x:c r="A63" s="263">
        <x:v>54</x:v>
      </x:c>
      <x:c r="B63" s="263" t="s">
        <x:v>143</x:v>
      </x:c>
      <x:c r="C63" s="263" t="s">
        <x:v>1618</x:v>
      </x:c>
      <x:c r="D63" s="263" t="s">
        <x:v>1092</x:v>
      </x:c>
      <x:c r="E63" s="263" t="s">
        <x:v>1595</x:v>
      </x:c>
      <x:c r="F63" s="263" t="s">
        <x:v>1687</x:v>
      </x:c>
      <x:c r="G63" s="263" t="s">
        <x:v>1688</x:v>
      </x:c>
    </x:row>
    <x:row r="64" ht="57" customHeight="1">
      <x:c r="A64" s="261">
        <x:v>55</x:v>
      </x:c>
      <x:c r="B64" s="261" t="s">
        <x:v>143</x:v>
      </x:c>
      <x:c r="C64" s="261" t="s">
        <x:v>1595</x:v>
      </x:c>
      <x:c r="D64" s="261" t="s">
        <x:v>1092</x:v>
      </x:c>
      <x:c r="E64" s="261" t="s">
        <x:v>1689</x:v>
      </x:c>
      <x:c r="F64" s="261" t="s">
        <x:v>1690</x:v>
      </x:c>
      <x:c r="G64" s="261" t="s">
        <x:v>1691</x:v>
      </x:c>
    </x:row>
    <x:row r="65" ht="57" customHeight="1">
      <x:c r="A65" s="263">
        <x:v>56</x:v>
      </x:c>
      <x:c r="B65" s="263" t="s">
        <x:v>143</x:v>
      </x:c>
      <x:c r="C65" s="263" t="s">
        <x:v>1689</x:v>
      </x:c>
      <x:c r="D65" s="263" t="s">
        <x:v>323</x:v>
      </x:c>
      <x:c r="E65" s="263" t="s">
        <x:v>1595</x:v>
      </x:c>
      <x:c r="F65" s="263" t="s">
        <x:v>1692</x:v>
      </x:c>
      <x:c r="G65" s="263" t="s">
        <x:v>1693</x:v>
      </x:c>
    </x:row>
  </x:sheetData>
  <x:mergeCells>
    <x:mergeCell ref="A53:G53"/>
    <x:mergeCell ref="A57:G57"/>
    <x:mergeCell ref="A61:G61"/>
    <x:mergeCell ref="A1:G1"/>
    <x:mergeCell ref="A2:G2"/>
    <x:mergeCell ref="A4:G4"/>
    <x:mergeCell ref="A15:G15"/>
    <x:mergeCell ref="A25:G25"/>
  </x:mergeCells>
  <x:pageMargins left="0.7" right="0.7" top="0.75" bottom="0.75" header="0.3" footer="0.3"/>
</x:worksheet>
</file>

<file path=xl/worksheets/sheet25.xml><?xml version="1.0" encoding="utf-8"?>
<x:worksheet xmlns:x="http://schemas.openxmlformats.org/spreadsheetml/2006/main">
  <x:sheetFormatPr baseColWidth="10" defaultColWidth="9.109375" defaultRowHeight="14.399999618530273"/>
  <x:cols>
    <x:col min="1" max="2" width="9.109375" style="36" customWidth="1"/>
    <x:col min="3" max="3" width="18" style="36" customWidth="1"/>
    <x:col min="4" max="4" width="16" style="36" customWidth="1"/>
    <x:col min="5" max="5" width="13.44140625" style="36" customWidth="1"/>
    <x:col min="6" max="6" width="30.5546875" style="36" customWidth="1"/>
    <x:col min="7" max="7" width="61.6640625" style="36" customWidth="1"/>
    <x:col min="8" max="8" width="9.109375" style="36" customWidth="1"/>
    <x:col min="9" max="16384" width="9.109375" style="36" customWidth="0"/>
  </x:cols>
  <x:sheetData>
    <x:row r="1">
      <x:c r="A1" s="432" t="s">
        <x:v>1694</x:v>
      </x:c>
      <x:c r="B1" s="433"/>
      <x:c r="C1" s="433"/>
      <x:c r="D1" s="433"/>
      <x:c r="E1" s="433"/>
      <x:c r="F1" s="433"/>
      <x:c r="G1" s="433"/>
    </x:row>
    <x:row r="2">
      <x:c r="A2" s="434" t="s">
        <x:v>1695</x:v>
      </x:c>
      <x:c r="B2" s="433"/>
      <x:c r="C2" s="433"/>
      <x:c r="D2" s="433"/>
      <x:c r="E2" s="433"/>
      <x:c r="F2" s="433"/>
      <x:c r="G2" s="433"/>
    </x:row>
    <x:row r="3">
      <x:c r="A3" s="37" t="s">
        <x:v>2</x:v>
      </x:c>
      <x:c r="B3" s="38" t="s">
        <x:v>3</x:v>
      </x:c>
      <x:c r="C3" s="38" t="s">
        <x:v>4</x:v>
      </x:c>
      <x:c r="D3" s="38" t="s">
        <x:v>5</x:v>
      </x:c>
      <x:c r="E3" s="38" t="s">
        <x:v>6</x:v>
      </x:c>
      <x:c r="F3" s="38" t="s">
        <x:v>7</x:v>
      </x:c>
      <x:c r="G3" s="38" t="s">
        <x:v>8</x:v>
      </x:c>
    </x:row>
    <x:row r="4">
      <x:c r="A4" s="438" t="s">
        <x:v>1696</x:v>
      </x:c>
      <x:c r="B4" s="566"/>
      <x:c r="C4" s="566"/>
      <x:c r="D4" s="566"/>
      <x:c r="E4" s="566"/>
      <x:c r="F4" s="566"/>
      <x:c r="G4" s="567"/>
    </x:row>
    <x:row r="5">
      <x:c r="A5" s="103">
        <x:v>1</x:v>
      </x:c>
      <x:c r="B5" s="103" t="s">
        <x:v>10</x:v>
      </x:c>
      <x:c r="C5" s="62" t="s">
        <x:v>11</x:v>
      </x:c>
      <x:c r="D5" s="568" t="s">
        <x:v>12</x:v>
      </x:c>
      <x:c r="E5" s="62" t="s">
        <x:v>164</x:v>
      </x:c>
      <x:c r="F5" s="64" t="s">
        <x:v>165</x:v>
      </x:c>
      <x:c r="G5" s="65" t="s">
        <x:v>166</x:v>
      </x:c>
    </x:row>
    <x:row r="6">
      <x:c r="A6" s="103">
        <x:v>2</x:v>
      </x:c>
      <x:c r="B6" s="103" t="s">
        <x:v>10</x:v>
      </x:c>
      <x:c r="C6" s="62" t="str">
        <x:f t="shared" ref="C6:C12" si="0">E5</x:f>
        <x:v>I_Inicio</x:v>
      </x:c>
      <x:c r="D6" s="568" t="s">
        <x:v>12</x:v>
      </x:c>
      <x:c r="E6" s="62" t="s">
        <x:v>167</x:v>
      </x:c>
      <x:c r="F6" s="64" t="s">
        <x:v>168</x:v>
      </x:c>
      <x:c r="G6" s="65" t="s">
        <x:v>169</x:v>
      </x:c>
    </x:row>
    <x:row r="7" ht="22.799999237060547">
      <x:c r="A7" s="103">
        <x:v>3</x:v>
      </x:c>
      <x:c r="B7" s="103" t="s">
        <x:v>10</x:v>
      </x:c>
      <x:c r="C7" s="62" t="str">
        <x:f t="shared" si="0"/>
        <x:v>C_Navegacion</x:v>
      </x:c>
      <x:c r="D7" s="568" t="s">
        <x:v>12</x:v>
      </x:c>
      <x:c r="E7" s="62" t="s">
        <x:v>170</x:v>
      </x:c>
      <x:c r="F7" s="64" t="s">
        <x:v>171</x:v>
      </x:c>
      <x:c r="G7" s="65" t="s">
        <x:v>172</x:v>
      </x:c>
    </x:row>
    <x:row r="8" ht="22.799999237060547">
      <x:c r="A8" s="103">
        <x:v>4</x:v>
      </x:c>
      <x:c r="B8" s="103" t="s">
        <x:v>10</x:v>
      </x:c>
      <x:c r="C8" s="62" t="str">
        <x:f t="shared" si="0"/>
        <x:v>C_PerfilUsuario</x:v>
      </x:c>
      <x:c r="D8" s="568" t="s">
        <x:v>12</x:v>
      </x:c>
      <x:c r="E8" s="62" t="s">
        <x:v>50</x:v>
      </x:c>
      <x:c r="F8" s="64" t="s">
        <x:v>173</x:v>
      </x:c>
      <x:c r="G8" s="65" t="s">
        <x:v>174</x:v>
      </x:c>
    </x:row>
    <x:row r="9" ht="22.799999237060547">
      <x:c r="A9" s="103">
        <x:v>5</x:v>
      </x:c>
      <x:c r="B9" s="103" t="s">
        <x:v>10</x:v>
      </x:c>
      <x:c r="C9" s="62" t="str">
        <x:f t="shared" si="0"/>
        <x:v>E_Usuario</x:v>
      </x:c>
      <x:c r="D9" s="568" t="s">
        <x:v>53</x:v>
      </x:c>
      <x:c r="E9" s="62" t="s">
        <x:v>170</x:v>
      </x:c>
      <x:c r="F9" s="64" t="s">
        <x:v>175</x:v>
      </x:c>
      <x:c r="G9" s="65" t="s">
        <x:v>176</x:v>
      </x:c>
    </x:row>
    <x:row r="10" ht="22.799999237060547">
      <x:c r="A10" s="103">
        <x:v>6</x:v>
      </x:c>
      <x:c r="B10" s="103" t="s">
        <x:v>10</x:v>
      </x:c>
      <x:c r="C10" s="62" t="str">
        <x:f t="shared" si="0"/>
        <x:v>C_PerfilUsuario</x:v>
      </x:c>
      <x:c r="D10" s="568" t="s">
        <x:v>19</x:v>
      </x:c>
      <x:c r="E10" s="62" t="s">
        <x:v>170</x:v>
      </x:c>
      <x:c r="F10" s="64" t="s">
        <x:v>177</x:v>
      </x:c>
      <x:c r="G10" s="65" t="s">
        <x:v>178</x:v>
      </x:c>
    </x:row>
    <x:row r="11" ht="22.799999237060547">
      <x:c r="A11" s="103">
        <x:v>7</x:v>
      </x:c>
      <x:c r="B11" s="103" t="s">
        <x:v>10</x:v>
      </x:c>
      <x:c r="C11" s="62" t="str">
        <x:f t="shared" si="0"/>
        <x:v>C_PerfilUsuario</x:v>
      </x:c>
      <x:c r="D11" s="568" t="s">
        <x:v>12</x:v>
      </x:c>
      <x:c r="E11" s="62" t="s">
        <x:v>179</x:v>
      </x:c>
      <x:c r="F11" s="64" t="s">
        <x:v>180</x:v>
      </x:c>
      <x:c r="G11" s="65" t="s">
        <x:v>181</x:v>
      </x:c>
    </x:row>
    <x:row r="12" ht="40.79999923706055">
      <x:c r="A12" s="103">
        <x:v>8</x:v>
      </x:c>
      <x:c r="B12" s="103" t="s">
        <x:v>10</x:v>
      </x:c>
      <x:c r="C12" s="62" t="str">
        <x:f t="shared" si="0"/>
        <x:v>I_Perfil</x:v>
      </x:c>
      <x:c r="D12" s="568" t="s">
        <x:v>12</x:v>
      </x:c>
      <x:c r="E12" s="62" t="s">
        <x:v>11</x:v>
      </x:c>
      <x:c r="F12" s="64" t="s">
        <x:v>182</x:v>
      </x:c>
      <x:c r="G12" s="65" t="s">
        <x:v>183</x:v>
      </x:c>
    </x:row>
    <x:row r="13" ht="26.399999618530273">
      <x:c r="A13" s="103">
        <x:v>9</x:v>
      </x:c>
      <x:c r="B13" s="103" t="s">
        <x:v>10</x:v>
      </x:c>
      <x:c r="C13" s="66" t="s">
        <x:v>11</x:v>
      </x:c>
      <x:c r="D13" s="67" t="s">
        <x:v>12</x:v>
      </x:c>
      <x:c r="E13" s="66" t="s">
        <x:v>179</x:v>
      </x:c>
      <x:c r="F13" s="66" t="s">
        <x:v>1697</x:v>
      </x:c>
      <x:c r="G13" s="66" t="s">
        <x:v>1698</x:v>
      </x:c>
    </x:row>
    <x:row r="14">
      <x:c r="A14" s="103">
        <x:v>10</x:v>
      </x:c>
      <x:c r="B14" s="103" t="s">
        <x:v>10</x:v>
      </x:c>
      <x:c r="C14" s="68" t="s">
        <x:v>179</x:v>
      </x:c>
      <x:c r="D14" s="67" t="s">
        <x:v>12</x:v>
      </x:c>
      <x:c r="E14" s="68" t="s">
        <x:v>167</x:v>
      </x:c>
      <x:c r="F14" s="68" t="s">
        <x:v>1699</x:v>
      </x:c>
      <x:c r="G14" s="68" t="s">
        <x:v>1700</x:v>
      </x:c>
    </x:row>
    <x:row r="15">
      <x:c r="A15" s="435" t="s">
        <x:v>1701</x:v>
      </x:c>
      <x:c r="B15" s="569"/>
      <x:c r="C15" s="569"/>
      <x:c r="D15" s="569"/>
      <x:c r="E15" s="569"/>
      <x:c r="F15" s="569"/>
      <x:c r="G15" s="570"/>
    </x:row>
    <x:row r="16">
      <x:c r="A16" s="103">
        <x:v>11</x:v>
      </x:c>
      <x:c r="B16" s="103" t="s">
        <x:v>33</x:v>
      </x:c>
      <x:c r="C16" s="41" t="s">
        <x:v>167</x:v>
      </x:c>
      <x:c r="D16" s="42" t="s">
        <x:v>12</x:v>
      </x:c>
      <x:c r="E16" s="41" t="s">
        <x:v>1702</x:v>
      </x:c>
      <x:c r="F16" s="43" t="s">
        <x:v>1703</x:v>
      </x:c>
      <x:c r="G16" s="43" t="s">
        <x:v>1704</x:v>
      </x:c>
    </x:row>
    <x:row r="17" ht="26.399999618530273">
      <x:c r="A17" s="103">
        <x:v>12</x:v>
      </x:c>
      <x:c r="B17" s="103" t="s">
        <x:v>33</x:v>
      </x:c>
      <x:c r="C17" s="44" t="s">
        <x:v>1702</x:v>
      </x:c>
      <x:c r="D17" s="42" t="s">
        <x:v>12</x:v>
      </x:c>
      <x:c r="E17" s="44" t="s">
        <x:v>751</x:v>
      </x:c>
      <x:c r="F17" s="45" t="s">
        <x:v>1705</x:v>
      </x:c>
      <x:c r="G17" s="45" t="s">
        <x:v>1706</x:v>
      </x:c>
    </x:row>
    <x:row r="18" ht="26.399999618530273">
      <x:c r="A18" s="103">
        <x:v>13</x:v>
      </x:c>
      <x:c r="B18" s="103" t="s">
        <x:v>33</x:v>
      </x:c>
      <x:c r="C18" s="46" t="s">
        <x:v>751</x:v>
      </x:c>
      <x:c r="D18" s="42" t="s">
        <x:v>12</x:v>
      </x:c>
      <x:c r="E18" s="46" t="s">
        <x:v>754</x:v>
      </x:c>
      <x:c r="F18" s="47" t="s">
        <x:v>1707</x:v>
      </x:c>
      <x:c r="G18" s="47" t="s">
        <x:v>1708</x:v>
      </x:c>
    </x:row>
    <x:row r="19" ht="39.599998474121094">
      <x:c r="A19" s="103">
        <x:v>14</x:v>
      </x:c>
      <x:c r="B19" s="103" t="s">
        <x:v>33</x:v>
      </x:c>
      <x:c r="C19" s="44" t="s">
        <x:v>754</x:v>
      </x:c>
      <x:c r="D19" s="42" t="s">
        <x:v>53</x:v>
      </x:c>
      <x:c r="E19" s="44" t="s">
        <x:v>751</x:v>
      </x:c>
      <x:c r="F19" s="45" t="s">
        <x:v>1709</x:v>
      </x:c>
      <x:c r="G19" s="45" t="str">
        <x:v>La entidad entrega precio, periodicidad, beneficios y límites configurados en PLAN; el cupo Premium se consulta desde la configuración vigente, sin cifra fija en los RF. El precio y la política comercial también provienen de configuración, no de valores codificados.</x:v>
      </x:c>
    </x:row>
    <x:row r="20" ht="26.399999618530273">
      <x:c r="A20" s="103">
        <x:v>15</x:v>
      </x:c>
      <x:c r="B20" s="103" t="s">
        <x:v>33</x:v>
      </x:c>
      <x:c r="C20" s="46" t="s">
        <x:v>751</x:v>
      </x:c>
      <x:c r="D20" s="42" t="s">
        <x:v>12</x:v>
      </x:c>
      <x:c r="E20" s="46" t="s">
        <x:v>754</x:v>
      </x:c>
      <x:c r="F20" s="47" t="s">
        <x:v>1710</x:v>
      </x:c>
      <x:c r="G20" s="47" t="s">
        <x:v>1711</x:v>
      </x:c>
    </x:row>
    <x:row r="21" ht="26.399999618530273">
      <x:c r="A21" s="103">
        <x:v>16</x:v>
      </x:c>
      <x:c r="B21" s="103" t="s">
        <x:v>33</x:v>
      </x:c>
      <x:c r="C21" s="44" t="s">
        <x:v>754</x:v>
      </x:c>
      <x:c r="D21" s="42" t="s">
        <x:v>53</x:v>
      </x:c>
      <x:c r="E21" s="44" t="s">
        <x:v>751</x:v>
      </x:c>
      <x:c r="F21" s="45" t="s">
        <x:v>1712</x:v>
      </x:c>
      <x:c r="G21" s="45" t="s">
        <x:v>1713</x:v>
      </x:c>
    </x:row>
    <x:row r="22" ht="52.79999923706055">
      <x:c r="A22" s="103">
        <x:v>17</x:v>
      </x:c>
      <x:c r="B22" s="103" t="s">
        <x:v>33</x:v>
      </x:c>
      <x:c r="C22" s="46" t="s">
        <x:v>751</x:v>
      </x:c>
      <x:c r="D22" s="42" t="s">
        <x:v>19</x:v>
      </x:c>
      <x:c r="E22" s="46" t="s">
        <x:v>751</x:v>
      </x:c>
      <x:c r="F22" s="47" t="s">
        <x:v>1714</x:v>
      </x:c>
      <x:c r="G22" s="212" t="str">
        <x:v>Comparativa: FREE permite una alta normal si no hay vehículos registrados y hasta un activo; conserva inactivos heredados de Premium. PREMIUM permite varios vehículos registrados y activos hasta cupo configurado (o sin límite si así consta). El derecho Premium incluye exclusivamente una gracia confirmada por el proveedor, si existe.</x:v>
      </x:c>
    </x:row>
    <x:row r="23" ht="26.399999618530273">
      <x:c r="A23" s="103">
        <x:v>18</x:v>
      </x:c>
      <x:c r="B23" s="103" t="s">
        <x:v>33</x:v>
      </x:c>
      <x:c r="C23" s="44" t="s">
        <x:v>751</x:v>
      </x:c>
      <x:c r="D23" s="42" t="s">
        <x:v>12</x:v>
      </x:c>
      <x:c r="E23" s="44" t="s">
        <x:v>1702</x:v>
      </x:c>
      <x:c r="F23" s="45" t="s">
        <x:v>1715</x:v>
      </x:c>
      <x:c r="G23" s="45" t="s">
        <x:v>1716</x:v>
      </x:c>
    </x:row>
    <x:row r="24" ht="26.399999618530273">
      <x:c r="A24" s="103">
        <x:v>19</x:v>
      </x:c>
      <x:c r="B24" s="103" t="s">
        <x:v>33</x:v>
      </x:c>
      <x:c r="C24" s="46" t="s">
        <x:v>1702</x:v>
      </x:c>
      <x:c r="D24" s="42" t="s">
        <x:v>12</x:v>
      </x:c>
      <x:c r="E24" s="46" t="s">
        <x:v>11</x:v>
      </x:c>
      <x:c r="F24" s="47" t="s">
        <x:v>1717</x:v>
      </x:c>
      <x:c r="G24" s="47" t="s">
        <x:v>1718</x:v>
      </x:c>
    </x:row>
  </x:sheetData>
  <x:mergeCells>
    <x:mergeCell ref="A1:G1"/>
    <x:mergeCell ref="A2:G2"/>
    <x:mergeCell ref="A15:G15"/>
    <x:mergeCell ref="A4:G4"/>
  </x:mergeCells>
  <x:dataValidations count="1">
    <x:dataValidation type="list" allowBlank="1" showInputMessage="1" showErrorMessage="1" sqref="D5:D12">
      <x:formula1>"───►  (llamada),↩  (auto-msg),◄ ─ ─  (return)"</x:formula1>
    </x:dataValidation>
  </x:dataValidations>
  <x:pageMargins left="0.7" right="0.7" top="0.75" bottom="0.75" header="0.3" footer="0.3"/>
</x:worksheet>
</file>

<file path=xl/worksheets/sheet26.xml><?xml version="1.0" encoding="utf-8"?>
<x:worksheet xmlns:x="http://schemas.openxmlformats.org/spreadsheetml/2006/main">
  <x:sheetFormatPr baseColWidth="10" defaultColWidth="9.109375" defaultRowHeight="14.399999618530273"/>
  <x:cols>
    <x:col min="1" max="2" width="9.109375" style="52" customWidth="1"/>
    <x:col min="3" max="3" width="19.109375" style="52" customWidth="1"/>
    <x:col min="4" max="4" width="18.44140625" style="52" customWidth="1"/>
    <x:col min="5" max="5" width="17.88671875" style="52" customWidth="1"/>
    <x:col min="6" max="6" width="46" style="52" customWidth="1"/>
    <x:col min="7" max="7" width="73.33203125" style="52" customWidth="1"/>
    <x:col min="8" max="8" width="9.109375" style="52" customWidth="1"/>
    <x:col min="9" max="16384" width="9.109375" style="52" customWidth="0"/>
  </x:cols>
  <x:sheetData>
    <x:row r="1" ht="4.5" customHeight="1">
      <x:c r="A1" s="432" t="s">
        <x:v>1719</x:v>
      </x:c>
      <x:c r="B1" s="447"/>
      <x:c r="C1" s="447"/>
      <x:c r="D1" s="447"/>
      <x:c r="E1" s="447"/>
      <x:c r="F1" s="447"/>
      <x:c r="G1" s="447"/>
    </x:row>
    <x:row r="2" ht="4.050000190734863" customHeight="1">
      <x:c r="A2" s="434" t="s">
        <x:v>1720</x:v>
      </x:c>
      <x:c r="B2" s="447"/>
      <x:c r="C2" s="447"/>
      <x:c r="D2" s="447"/>
      <x:c r="E2" s="447"/>
      <x:c r="F2" s="447"/>
      <x:c r="G2" s="447"/>
    </x:row>
    <x:row r="3">
      <x:c r="A3" s="37" t="s">
        <x:v>2</x:v>
      </x:c>
      <x:c r="B3" s="38" t="s">
        <x:v>3</x:v>
      </x:c>
      <x:c r="C3" s="38" t="s">
        <x:v>4</x:v>
      </x:c>
      <x:c r="D3" s="38" t="s">
        <x:v>5</x:v>
      </x:c>
      <x:c r="E3" s="38" t="s">
        <x:v>6</x:v>
      </x:c>
      <x:c r="F3" s="38" t="s">
        <x:v>7</x:v>
      </x:c>
      <x:c r="G3" s="38" t="s">
        <x:v>8</x:v>
      </x:c>
    </x:row>
    <x:row r="4">
      <x:c r="A4" s="448" t="s">
        <x:v>1696</x:v>
      </x:c>
      <x:c r="B4" s="449"/>
      <x:c r="C4" s="449"/>
      <x:c r="D4" s="449"/>
      <x:c r="E4" s="449"/>
      <x:c r="F4" s="449"/>
      <x:c r="G4" s="450"/>
    </x:row>
    <x:row r="5">
      <x:c r="A5" s="103">
        <x:v>1</x:v>
      </x:c>
      <x:c r="B5" s="103" t="s">
        <x:v>10</x:v>
      </x:c>
      <x:c r="C5" s="62" t="s">
        <x:v>11</x:v>
      </x:c>
      <x:c r="D5" s="63" t="s">
        <x:v>12</x:v>
      </x:c>
      <x:c r="E5" s="62" t="s">
        <x:v>164</x:v>
      </x:c>
      <x:c r="F5" s="64" t="s">
        <x:v>165</x:v>
      </x:c>
      <x:c r="G5" s="65" t="s">
        <x:v>166</x:v>
      </x:c>
      <x:c r="H5" s="36"/>
    </x:row>
    <x:row r="6">
      <x:c r="A6" s="103">
        <x:v>2</x:v>
      </x:c>
      <x:c r="B6" s="103" t="s">
        <x:v>10</x:v>
      </x:c>
      <x:c r="C6" s="62" t="str">
        <x:f t="shared" ref="C6:C12" si="0">E5</x:f>
        <x:v>I_Inicio</x:v>
      </x:c>
      <x:c r="D6" s="63" t="s">
        <x:v>12</x:v>
      </x:c>
      <x:c r="E6" s="62" t="s">
        <x:v>167</x:v>
      </x:c>
      <x:c r="F6" s="64" t="s">
        <x:v>168</x:v>
      </x:c>
      <x:c r="G6" s="65" t="s">
        <x:v>169</x:v>
      </x:c>
      <x:c r="H6" s="36"/>
    </x:row>
    <x:row r="7" ht="5.400000095367432" customHeight="1">
      <x:c r="A7" s="103">
        <x:v>3</x:v>
      </x:c>
      <x:c r="B7" s="103" t="s">
        <x:v>10</x:v>
      </x:c>
      <x:c r="C7" s="62" t="str">
        <x:f t="shared" si="0"/>
        <x:v>C_Navegacion</x:v>
      </x:c>
      <x:c r="D7" s="63" t="s">
        <x:v>12</x:v>
      </x:c>
      <x:c r="E7" s="62" t="s">
        <x:v>170</x:v>
      </x:c>
      <x:c r="F7" s="64" t="s">
        <x:v>171</x:v>
      </x:c>
      <x:c r="G7" s="65" t="s">
        <x:v>172</x:v>
      </x:c>
      <x:c r="H7" s="36"/>
    </x:row>
    <x:row r="8">
      <x:c r="A8" s="103">
        <x:v>4</x:v>
      </x:c>
      <x:c r="B8" s="103" t="s">
        <x:v>10</x:v>
      </x:c>
      <x:c r="C8" s="62" t="str">
        <x:f t="shared" si="0"/>
        <x:v>C_PerfilUsuario</x:v>
      </x:c>
      <x:c r="D8" s="63" t="s">
        <x:v>12</x:v>
      </x:c>
      <x:c r="E8" s="62" t="s">
        <x:v>50</x:v>
      </x:c>
      <x:c r="F8" s="64" t="s">
        <x:v>173</x:v>
      </x:c>
      <x:c r="G8" s="65" t="s">
        <x:v>174</x:v>
      </x:c>
      <x:c r="H8" s="36"/>
    </x:row>
    <x:row r="9">
      <x:c r="A9" s="103">
        <x:v>5</x:v>
      </x:c>
      <x:c r="B9" s="103" t="s">
        <x:v>10</x:v>
      </x:c>
      <x:c r="C9" s="62" t="str">
        <x:f t="shared" si="0"/>
        <x:v>E_Usuario</x:v>
      </x:c>
      <x:c r="D9" s="63" t="s">
        <x:v>53</x:v>
      </x:c>
      <x:c r="E9" s="62" t="s">
        <x:v>170</x:v>
      </x:c>
      <x:c r="F9" s="64" t="s">
        <x:v>175</x:v>
      </x:c>
      <x:c r="G9" s="65" t="s">
        <x:v>176</x:v>
      </x:c>
      <x:c r="H9" s="36"/>
    </x:row>
    <x:row r="10" ht="5.400000095367432" customHeight="1">
      <x:c r="A10" s="103">
        <x:v>6</x:v>
      </x:c>
      <x:c r="B10" s="103" t="s">
        <x:v>10</x:v>
      </x:c>
      <x:c r="C10" s="62" t="str">
        <x:f t="shared" si="0"/>
        <x:v>C_PerfilUsuario</x:v>
      </x:c>
      <x:c r="D10" s="63" t="s">
        <x:v>19</x:v>
      </x:c>
      <x:c r="E10" s="62" t="s">
        <x:v>170</x:v>
      </x:c>
      <x:c r="F10" s="64" t="s">
        <x:v>177</x:v>
      </x:c>
      <x:c r="G10" s="65" t="s">
        <x:v>178</x:v>
      </x:c>
      <x:c r="H10" s="36"/>
    </x:row>
    <x:row r="11" ht="5.400000095367432" customHeight="1">
      <x:c r="A11" s="103">
        <x:v>7</x:v>
      </x:c>
      <x:c r="B11" s="103" t="s">
        <x:v>10</x:v>
      </x:c>
      <x:c r="C11" s="62" t="str">
        <x:f t="shared" si="0"/>
        <x:v>C_PerfilUsuario</x:v>
      </x:c>
      <x:c r="D11" s="63" t="s">
        <x:v>12</x:v>
      </x:c>
      <x:c r="E11" s="62" t="s">
        <x:v>179</x:v>
      </x:c>
      <x:c r="F11" s="64" t="s">
        <x:v>180</x:v>
      </x:c>
      <x:c r="G11" s="65" t="s">
        <x:v>181</x:v>
      </x:c>
      <x:c r="H11" s="36"/>
    </x:row>
    <x:row r="12" ht="7.949999809265137" customHeight="1">
      <x:c r="A12" s="103">
        <x:v>8</x:v>
      </x:c>
      <x:c r="B12" s="103" t="s">
        <x:v>10</x:v>
      </x:c>
      <x:c r="C12" s="62" t="str">
        <x:f t="shared" si="0"/>
        <x:v>I_Perfil</x:v>
      </x:c>
      <x:c r="D12" s="63" t="s">
        <x:v>12</x:v>
      </x:c>
      <x:c r="E12" s="62" t="s">
        <x:v>11</x:v>
      </x:c>
      <x:c r="F12" s="64" t="s">
        <x:v>182</x:v>
      </x:c>
      <x:c r="G12" s="65" t="s">
        <x:v>183</x:v>
      </x:c>
      <x:c r="H12" s="36"/>
    </x:row>
    <x:row r="13">
      <x:c r="A13" s="103">
        <x:v>9</x:v>
      </x:c>
      <x:c r="B13" s="103" t="s">
        <x:v>10</x:v>
      </x:c>
      <x:c r="C13" s="66" t="s">
        <x:v>11</x:v>
      </x:c>
      <x:c r="D13" s="67" t="s">
        <x:v>12</x:v>
      </x:c>
      <x:c r="E13" s="66" t="s">
        <x:v>179</x:v>
      </x:c>
      <x:c r="F13" s="66" t="s">
        <x:v>1697</x:v>
      </x:c>
      <x:c r="G13" s="66" t="s">
        <x:v>1698</x:v>
      </x:c>
      <x:c r="H13" s="36"/>
    </x:row>
    <x:row r="14">
      <x:c r="A14" s="103">
        <x:v>10</x:v>
      </x:c>
      <x:c r="B14" s="103" t="s">
        <x:v>10</x:v>
      </x:c>
      <x:c r="C14" s="68" t="s">
        <x:v>179</x:v>
      </x:c>
      <x:c r="D14" s="67" t="s">
        <x:v>12</x:v>
      </x:c>
      <x:c r="E14" s="68" t="s">
        <x:v>167</x:v>
      </x:c>
      <x:c r="F14" s="68" t="s">
        <x:v>1699</x:v>
      </x:c>
      <x:c r="G14" s="68" t="s">
        <x:v>1700</x:v>
      </x:c>
      <x:c r="H14" s="36"/>
    </x:row>
    <x:row r="15">
      <x:c r="A15" s="448" t="s">
        <x:v>1701</x:v>
      </x:c>
      <x:c r="B15" s="449"/>
      <x:c r="C15" s="449"/>
      <x:c r="D15" s="449"/>
      <x:c r="E15" s="449"/>
      <x:c r="F15" s="449"/>
      <x:c r="G15" s="450"/>
    </x:row>
    <x:row r="16">
      <x:c r="A16" s="103">
        <x:v>11</x:v>
      </x:c>
      <x:c r="B16" s="103" t="s">
        <x:v>33</x:v>
      </x:c>
      <x:c r="C16" s="41" t="s">
        <x:v>167</x:v>
      </x:c>
      <x:c r="D16" s="42" t="s">
        <x:v>12</x:v>
      </x:c>
      <x:c r="E16" s="41" t="s">
        <x:v>1702</x:v>
      </x:c>
      <x:c r="F16" s="43" t="s">
        <x:v>1703</x:v>
      </x:c>
      <x:c r="G16" s="43" t="s">
        <x:v>1704</x:v>
      </x:c>
    </x:row>
    <x:row r="17" ht="6.900000095367432" customHeight="1">
      <x:c r="A17" s="103">
        <x:v>12</x:v>
      </x:c>
      <x:c r="B17" s="103" t="s">
        <x:v>33</x:v>
      </x:c>
      <x:c r="C17" s="44" t="s">
        <x:v>1702</x:v>
      </x:c>
      <x:c r="D17" s="42" t="s">
        <x:v>12</x:v>
      </x:c>
      <x:c r="E17" s="44" t="s">
        <x:v>751</x:v>
      </x:c>
      <x:c r="F17" s="45" t="s">
        <x:v>1705</x:v>
      </x:c>
      <x:c r="G17" s="45" t="s">
        <x:v>1721</x:v>
      </x:c>
    </x:row>
    <x:row r="18" ht="6.900000095367432" customHeight="1">
      <x:c r="A18" s="103">
        <x:v>13</x:v>
      </x:c>
      <x:c r="B18" s="103" t="s">
        <x:v>33</x:v>
      </x:c>
      <x:c r="C18" s="46" t="s">
        <x:v>751</x:v>
      </x:c>
      <x:c r="D18" s="42" t="s">
        <x:v>12</x:v>
      </x:c>
      <x:c r="E18" s="46" t="s">
        <x:v>754</x:v>
      </x:c>
      <x:c r="F18" s="47" t="s">
        <x:v>1707</x:v>
      </x:c>
      <x:c r="G18" s="47" t="s">
        <x:v>1708</x:v>
      </x:c>
    </x:row>
    <x:row r="19" ht="6.900000095367432" customHeight="1">
      <x:c r="A19" s="103">
        <x:v>14</x:v>
      </x:c>
      <x:c r="B19" s="103" t="s">
        <x:v>33</x:v>
      </x:c>
      <x:c r="C19" s="44" t="s">
        <x:v>754</x:v>
      </x:c>
      <x:c r="D19" s="42" t="s">
        <x:v>53</x:v>
      </x:c>
      <x:c r="E19" s="44" t="s">
        <x:v>751</x:v>
      </x:c>
      <x:c r="F19" s="45" t="s">
        <x:v>1709</x:v>
      </x:c>
      <x:c r="G19" s="45" t="str">
        <x:v>La entidad devuelve precio, periodicidad, beneficios, cupoVehiculos y politicaGracia configurados por plan. Premium no tiene límite numérico fijo en RF; la gracia solo concede beneficio si el proveedor verifica expresamente derecho vigente.</x:v>
      </x:c>
    </x:row>
    <x:row r="20" ht="6.900000095367432" customHeight="1">
      <x:c r="A20" s="103">
        <x:v>15</x:v>
      </x:c>
      <x:c r="B20" s="103" t="s">
        <x:v>33</x:v>
      </x:c>
      <x:c r="C20" s="46" t="s">
        <x:v>751</x:v>
      </x:c>
      <x:c r="D20" s="42" t="s">
        <x:v>12</x:v>
      </x:c>
      <x:c r="E20" s="46" t="s">
        <x:v>754</x:v>
      </x:c>
      <x:c r="F20" s="47" t="s">
        <x:v>1710</x:v>
      </x:c>
      <x:c r="G20" s="47" t="s">
        <x:v>1711</x:v>
      </x:c>
    </x:row>
    <x:row r="21" ht="6.900000095367432" customHeight="1">
      <x:c r="A21" s="103">
        <x:v>16</x:v>
      </x:c>
      <x:c r="B21" s="103" t="s">
        <x:v>33</x:v>
      </x:c>
      <x:c r="C21" s="44" t="s">
        <x:v>754</x:v>
      </x:c>
      <x:c r="D21" s="42" t="s">
        <x:v>53</x:v>
      </x:c>
      <x:c r="E21" s="44" t="s">
        <x:v>751</x:v>
      </x:c>
      <x:c r="F21" s="45" t="s">
        <x:v>1712</x:v>
      </x:c>
      <x:c r="G21" s="45" t="s">
        <x:v>1713</x:v>
      </x:c>
    </x:row>
    <x:row r="22" ht="6.900000095367432" customHeight="1">
      <x:c r="A22" s="103">
        <x:v>17</x:v>
      </x:c>
      <x:c r="B22" s="103" t="s">
        <x:v>33</x:v>
      </x:c>
      <x:c r="C22" s="46" t="s">
        <x:v>751</x:v>
      </x:c>
      <x:c r="D22" s="42" t="s">
        <x:v>19</x:v>
      </x:c>
      <x:c r="E22" s="46" t="s">
        <x:v>751</x:v>
      </x:c>
      <x:c r="F22" s="47" t="s">
        <x:v>1714</x:v>
      </x:c>
      <x:c r="G22" s="47" t="str">
        <x:v>FREE: un registro normal y un activo; conserva inactivos heredados de Premium y no permite exportar historial. PREMIUM: múltiples registros/activos según cupo configurado y exportación habilitada mientras exista derecho vigente o gracia confirmada oficialmente.</x:v>
      </x:c>
    </x:row>
    <x:row r="23" ht="6.900000095367432" customHeight="1">
      <x:c r="A23" s="103">
        <x:v>18</x:v>
      </x:c>
      <x:c r="B23" s="103" t="s">
        <x:v>33</x:v>
      </x:c>
      <x:c r="C23" s="44" t="s">
        <x:v>751</x:v>
      </x:c>
      <x:c r="D23" s="42" t="s">
        <x:v>12</x:v>
      </x:c>
      <x:c r="E23" s="44" t="s">
        <x:v>1702</x:v>
      </x:c>
      <x:c r="F23" s="45" t="s">
        <x:v>1715</x:v>
      </x:c>
      <x:c r="G23" s="45" t="s">
        <x:v>1722</x:v>
      </x:c>
    </x:row>
    <x:row r="24">
      <x:c r="A24" s="103">
        <x:v>19</x:v>
      </x:c>
      <x:c r="B24" s="103" t="s">
        <x:v>33</x:v>
      </x:c>
      <x:c r="C24" s="46" t="s">
        <x:v>1702</x:v>
      </x:c>
      <x:c r="D24" s="42" t="s">
        <x:v>12</x:v>
      </x:c>
      <x:c r="E24" s="46" t="s">
        <x:v>11</x:v>
      </x:c>
      <x:c r="F24" s="47" t="s">
        <x:v>1717</x:v>
      </x:c>
      <x:c r="G24" s="47" t="s">
        <x:v>1723</x:v>
      </x:c>
    </x:row>
    <x:row r="25">
      <x:c r="A25" s="448" t="s">
        <x:v>1724</x:v>
      </x:c>
      <x:c r="B25" s="449"/>
      <x:c r="C25" s="449"/>
      <x:c r="D25" s="449"/>
      <x:c r="E25" s="449"/>
      <x:c r="F25" s="449"/>
      <x:c r="G25" s="450"/>
    </x:row>
    <x:row r="26">
      <x:c r="A26" s="103">
        <x:v>20</x:v>
      </x:c>
      <x:c r="B26" s="103" t="s">
        <x:v>63</x:v>
      </x:c>
      <x:c r="C26" s="41" t="s">
        <x:v>11</x:v>
      </x:c>
      <x:c r="D26" s="42" t="s">
        <x:v>12</x:v>
      </x:c>
      <x:c r="E26" s="41" t="s">
        <x:v>1702</x:v>
      </x:c>
      <x:c r="F26" s="43" t="s">
        <x:v>1725</x:v>
      </x:c>
      <x:c r="G26" s="43" t="s">
        <x:v>1726</x:v>
      </x:c>
    </x:row>
    <x:row r="27" ht="6.900000095367432" customHeight="1">
      <x:c r="A27" s="103">
        <x:v>21</x:v>
      </x:c>
      <x:c r="B27" s="103" t="s">
        <x:v>63</x:v>
      </x:c>
      <x:c r="C27" s="44" t="s">
        <x:v>1702</x:v>
      </x:c>
      <x:c r="D27" s="42" t="s">
        <x:v>12</x:v>
      </x:c>
      <x:c r="E27" s="44" t="s">
        <x:v>751</x:v>
      </x:c>
      <x:c r="F27" s="45" t="s">
        <x:v>1727</x:v>
      </x:c>
      <x:c r="G27" s="45" t="s">
        <x:v>1728</x:v>
      </x:c>
    </x:row>
    <x:row r="28" ht="6.900000095367432" customHeight="1">
      <x:c r="A28" s="103">
        <x:v>22</x:v>
      </x:c>
      <x:c r="B28" s="103" t="s">
        <x:v>63</x:v>
      </x:c>
      <x:c r="C28" s="46" t="s">
        <x:v>751</x:v>
      </x:c>
      <x:c r="D28" s="42" t="s">
        <x:v>12</x:v>
      </x:c>
      <x:c r="E28" s="46" t="s">
        <x:v>754</x:v>
      </x:c>
      <x:c r="F28" s="47" t="s">
        <x:v>1729</x:v>
      </x:c>
      <x:c r="G28" s="47" t="s">
        <x:v>1730</x:v>
      </x:c>
    </x:row>
    <x:row r="29" ht="6.900000095367432" customHeight="1">
      <x:c r="A29" s="103">
        <x:v>23</x:v>
      </x:c>
      <x:c r="B29" s="103" t="s">
        <x:v>63</x:v>
      </x:c>
      <x:c r="C29" s="44" t="s">
        <x:v>754</x:v>
      </x:c>
      <x:c r="D29" s="42" t="s">
        <x:v>53</x:v>
      </x:c>
      <x:c r="E29" s="44" t="s">
        <x:v>751</x:v>
      </x:c>
      <x:c r="F29" s="45" t="s">
        <x:v>1731</x:v>
      </x:c>
      <x:c r="G29" s="45" t="s">
        <x:v>1732</x:v>
      </x:c>
    </x:row>
    <x:row r="30" ht="6.900000095367432" customHeight="1">
      <x:c r="A30" s="103">
        <x:v>24</x:v>
      </x:c>
      <x:c r="B30" s="103" t="s">
        <x:v>63</x:v>
      </x:c>
      <x:c r="C30" s="46" t="s">
        <x:v>751</x:v>
      </x:c>
      <x:c r="D30" s="42" t="s">
        <x:v>12</x:v>
      </x:c>
      <x:c r="E30" s="46" t="s">
        <x:v>754</x:v>
      </x:c>
      <x:c r="F30" s="47" t="s">
        <x:v>1733</x:v>
      </x:c>
      <x:c r="G30" s="47" t="s">
        <x:v>1734</x:v>
      </x:c>
    </x:row>
    <x:row r="31" ht="6.900000095367432" customHeight="1">
      <x:c r="A31" s="103">
        <x:v>25</x:v>
      </x:c>
      <x:c r="B31" s="103" t="s">
        <x:v>63</x:v>
      </x:c>
      <x:c r="C31" s="44" t="s">
        <x:v>754</x:v>
      </x:c>
      <x:c r="D31" s="42" t="s">
        <x:v>53</x:v>
      </x:c>
      <x:c r="E31" s="44" t="s">
        <x:v>751</x:v>
      </x:c>
      <x:c r="F31" s="45" t="s">
        <x:v>1735</x:v>
      </x:c>
      <x:c r="G31" s="45" t="s">
        <x:v>1736</x:v>
      </x:c>
    </x:row>
    <x:row r="32" ht="6.900000095367432" customHeight="1">
      <x:c r="A32" s="103">
        <x:v>26</x:v>
      </x:c>
      <x:c r="B32" s="103" t="s">
        <x:v>63</x:v>
      </x:c>
      <x:c r="C32" s="46" t="s">
        <x:v>751</x:v>
      </x:c>
      <x:c r="D32" s="42" t="s">
        <x:v>19</x:v>
      </x:c>
      <x:c r="E32" s="46" t="s">
        <x:v>751</x:v>
      </x:c>
      <x:c r="F32" s="47" t="s">
        <x:v>1737</x:v>
      </x:c>
      <x:c r="G32" s="47" t="s">
        <x:v>1738</x:v>
      </x:c>
    </x:row>
    <x:row r="33" ht="6.900000095367432" customHeight="1">
      <x:c r="A33" s="103">
        <x:v>27</x:v>
      </x:c>
      <x:c r="B33" s="103" t="s">
        <x:v>63</x:v>
      </x:c>
      <x:c r="C33" s="44" t="s">
        <x:v>751</x:v>
      </x:c>
      <x:c r="D33" s="42" t="s">
        <x:v>12</x:v>
      </x:c>
      <x:c r="E33" s="44" t="s">
        <x:v>1739</x:v>
      </x:c>
      <x:c r="F33" s="45" t="s">
        <x:v>1740</x:v>
      </x:c>
      <x:c r="G33" s="45" t="s">
        <x:v>1741</x:v>
      </x:c>
    </x:row>
    <x:row r="34">
      <x:c r="A34" s="103">
        <x:v>28</x:v>
      </x:c>
      <x:c r="B34" s="103" t="s">
        <x:v>63</x:v>
      </x:c>
      <x:c r="C34" s="46" t="s">
        <x:v>1739</x:v>
      </x:c>
      <x:c r="D34" s="42" t="s">
        <x:v>12</x:v>
      </x:c>
      <x:c r="E34" s="46" t="s">
        <x:v>11</x:v>
      </x:c>
      <x:c r="F34" s="47" t="s">
        <x:v>1742</x:v>
      </x:c>
      <x:c r="G34" s="47" t="s">
        <x:v>1743</x:v>
      </x:c>
    </x:row>
    <x:row r="35" ht="15.300000190734863" customHeight="1">
      <x:c r="A35" s="439" t="s">
        <x:v>1744</x:v>
      </x:c>
      <x:c r="B35" s="440"/>
      <x:c r="C35" s="440"/>
      <x:c r="D35" s="440"/>
      <x:c r="E35" s="440"/>
      <x:c r="F35" s="440"/>
      <x:c r="G35" s="441"/>
    </x:row>
    <x:row r="36" ht="35.099998474121094" customHeight="1">
      <x:c r="A36" s="311">
        <x:v>29</x:v>
      </x:c>
      <x:c r="B36" s="311" t="s">
        <x:v>81</x:v>
      </x:c>
      <x:c r="C36" s="312" t="s">
        <x:v>11</x:v>
      </x:c>
      <x:c r="D36" s="313" t="s">
        <x:v>12</x:v>
      </x:c>
      <x:c r="E36" s="312" t="s">
        <x:v>1739</x:v>
      </x:c>
      <x:c r="F36" s="314" t="s">
        <x:v>1745</x:v>
      </x:c>
      <x:c r="G36" s="314" t="s">
        <x:v>1746</x:v>
      </x:c>
    </x:row>
    <x:row r="37" ht="35.099998474121094" customHeight="1">
      <x:c r="A37" s="315">
        <x:v>30</x:v>
      </x:c>
      <x:c r="B37" s="315" t="s">
        <x:v>81</x:v>
      </x:c>
      <x:c r="C37" s="316" t="s">
        <x:v>1739</x:v>
      </x:c>
      <x:c r="D37" s="317" t="s">
        <x:v>12</x:v>
      </x:c>
      <x:c r="E37" s="316" t="s">
        <x:v>1747</x:v>
      </x:c>
      <x:c r="F37" s="318" t="s">
        <x:v>1748</x:v>
      </x:c>
      <x:c r="G37" s="318" t="s">
        <x:v>1749</x:v>
      </x:c>
    </x:row>
    <x:row r="38" ht="35.099998474121094" customHeight="1">
      <x:c r="A38" s="311">
        <x:v>31</x:v>
      </x:c>
      <x:c r="B38" s="311" t="s">
        <x:v>81</x:v>
      </x:c>
      <x:c r="C38" s="319" t="s">
        <x:v>1747</x:v>
      </x:c>
      <x:c r="D38" s="313" t="s">
        <x:v>12</x:v>
      </x:c>
      <x:c r="E38" s="319" t="s">
        <x:v>1750</x:v>
      </x:c>
      <x:c r="F38" s="320" t="s">
        <x:v>1751</x:v>
      </x:c>
      <x:c r="G38" s="320" t="str">
        <x:v>Google Play Billing SDK se inicia exclusivamente desde la aplicación Android (capa cliente); la compra no se ejecuta desde un servidor. Este controlador coordina la capa móvil antes de transferir el purchaseToken al backend seguro. Google muestra su interfaz de pago.</x:v>
      </x:c>
    </x:row>
    <x:row r="39" ht="41.70000076293945" customHeight="1">
      <x:c r="A39" s="315">
        <x:v>32</x:v>
      </x:c>
      <x:c r="B39" s="315" t="s">
        <x:v>81</x:v>
      </x:c>
      <x:c r="C39" s="316" t="s">
        <x:v>1750</x:v>
      </x:c>
      <x:c r="D39" s="317" t="s">
        <x:v>1752</x:v>
      </x:c>
      <x:c r="E39" s="316" t="s">
        <x:v>1747</x:v>
      </x:c>
      <x:c r="F39" s="318" t="s">
        <x:v>1753</x:v>
      </x:c>
      <x:c r="G39" s="318" t="s">
        <x:v>1754</x:v>
      </x:c>
    </x:row>
    <x:row r="40" ht="41.70000076293945" customHeight="1">
      <x:c r="A40" s="311">
        <x:v>33</x:v>
      </x:c>
      <x:c r="B40" s="311" t="s">
        <x:v>81</x:v>
      </x:c>
      <x:c r="C40" s="319" t="s">
        <x:v>1747</x:v>
      </x:c>
      <x:c r="D40" s="313" t="s">
        <x:v>12</x:v>
      </x:c>
      <x:c r="E40" s="319" t="s">
        <x:v>1755</x:v>
      </x:c>
      <x:c r="F40" s="320" t="s">
        <x:v>1756</x:v>
      </x:c>
      <x:c r="G40" s="320" t="str">
        <x:v>La validación de purchaseToken/producto/paquete/titularidad pertenece EXCLUSIVAMENTE al backend, con credenciales servidor y acceso a la API oficial de Google Play. Nunca confiar en APROBADA recibida del cliente para activar Premium; coordinar contrato API cliente-servidor al implementar.</x:v>
      </x:c>
    </x:row>
    <x:row r="41" ht="41.70000076293945" customHeight="1">
      <x:c r="A41" s="315">
        <x:v>34</x:v>
      </x:c>
      <x:c r="B41" s="315" t="s">
        <x:v>81</x:v>
      </x:c>
      <x:c r="C41" s="316" t="s">
        <x:v>1755</x:v>
      </x:c>
      <x:c r="D41" s="317" t="s">
        <x:v>1752</x:v>
      </x:c>
      <x:c r="E41" s="316" t="s">
        <x:v>1747</x:v>
      </x:c>
      <x:c r="F41" s="318" t="s">
        <x:v>1757</x:v>
      </x:c>
      <x:c r="G41" s="318" t="s">
        <x:v>1758</x:v>
      </x:c>
    </x:row>
    <x:row r="42" ht="41.70000076293945" customHeight="1">
      <x:c r="A42" s="331">
        <x:v>35</x:v>
      </x:c>
      <x:c r="B42" s="332" t="s">
        <x:v>81</x:v>
      </x:c>
      <x:c r="C42" s="332" t="s">
        <x:v>1747</x:v>
      </x:c>
      <x:c r="D42" s="332" t="s">
        <x:v>12</x:v>
      </x:c>
      <x:c r="E42" s="332" t="s">
        <x:v>1747</x:v>
      </x:c>
      <x:c r="F42" s="332" t="s">
        <x:v>1759</x:v>
      </x:c>
      <x:c r="G42" s="333" t="s">
        <x:v>1760</x:v>
      </x:c>
    </x:row>
    <x:row r="43" ht="41.70000076293945" customHeight="1">
      <x:c r="A43" s="315">
        <x:v>36</x:v>
      </x:c>
      <x:c r="B43" s="315" t="s">
        <x:v>81</x:v>
      </x:c>
      <x:c r="C43" s="321" t="s">
        <x:v>1747</x:v>
      </x:c>
      <x:c r="D43" s="317" t="s">
        <x:v>12</x:v>
      </x:c>
      <x:c r="E43" s="321" t="s">
        <x:v>1761</x:v>
      </x:c>
      <x:c r="F43" s="322" t="s">
        <x:v>1762</x:v>
      </x:c>
      <x:c r="G43" s="322" t="s">
        <x:v>1763</x:v>
      </x:c>
    </x:row>
    <x:row r="44" ht="35.099998474121094" customHeight="1">
      <x:c r="A44" s="311">
        <x:v>37</x:v>
      </x:c>
      <x:c r="B44" s="311" t="s">
        <x:v>81</x:v>
      </x:c>
      <x:c r="C44" s="319" t="s">
        <x:v>1761</x:v>
      </x:c>
      <x:c r="D44" s="313" t="s">
        <x:v>1752</x:v>
      </x:c>
      <x:c r="E44" s="319" t="s">
        <x:v>1747</x:v>
      </x:c>
      <x:c r="F44" s="320" t="s">
        <x:v>1764</x:v>
      </x:c>
      <x:c r="G44" s="320" t="s">
        <x:v>1765</x:v>
      </x:c>
    </x:row>
    <x:row r="45" ht="35.099998474121094" customHeight="1">
      <x:c r="A45" s="315">
        <x:v>38</x:v>
      </x:c>
      <x:c r="B45" s="315" t="s">
        <x:v>81</x:v>
      </x:c>
      <x:c r="C45" s="316" t="s">
        <x:v>1747</x:v>
      </x:c>
      <x:c r="D45" s="317" t="s">
        <x:v>12</x:v>
      </x:c>
      <x:c r="E45" s="316" t="s">
        <x:v>751</x:v>
      </x:c>
      <x:c r="F45" s="318" t="s">
        <x:v>1766</x:v>
      </x:c>
      <x:c r="G45" s="318" t="s">
        <x:v>1767</x:v>
      </x:c>
    </x:row>
    <x:row r="46" ht="15.300000190734863" customHeight="1">
      <x:c r="A46" s="442" t="s">
        <x:v>1768</x:v>
      </x:c>
      <x:c r="B46" s="442"/>
      <x:c r="C46" s="443"/>
      <x:c r="D46" s="444"/>
      <x:c r="E46" s="443"/>
      <x:c r="F46" s="445"/>
      <x:c r="G46" s="445"/>
    </x:row>
    <x:row r="47" ht="41.70000076293945" customHeight="1">
      <x:c r="A47" s="323">
        <x:v>39</x:v>
      </x:c>
      <x:c r="B47" s="324" t="s">
        <x:v>110</x:v>
      </x:c>
      <x:c r="C47" s="324" t="s">
        <x:v>751</x:v>
      </x:c>
      <x:c r="D47" s="324" t="s">
        <x:v>12</x:v>
      </x:c>
      <x:c r="E47" s="324" t="s">
        <x:v>754</x:v>
      </x:c>
      <x:c r="F47" s="324" t="s">
        <x:v>1769</x:v>
      </x:c>
      <x:c r="G47" s="325" t="str">
        <x:v>Activa PREMIUM solamente con derecho verificado servidor-servidor, con token único e idempotente. El registro de pago y la concesión de derecho deben hacerse en la misma transacción SQL o mediante proceso recuperable de conciliación; si el proveedor ya cobró pero falla la BD, no duplicar cargo ni declarar que la operación terminó y conservar reintento de activación.</x:v>
      </x:c>
    </x:row>
    <x:row r="48" ht="35.099998474121094" customHeight="1">
      <x:c r="A48" s="311">
        <x:v>40</x:v>
      </x:c>
      <x:c r="B48" s="311" t="s">
        <x:v>110</x:v>
      </x:c>
      <x:c r="C48" s="312" t="s">
        <x:v>754</x:v>
      </x:c>
      <x:c r="D48" s="313" t="s">
        <x:v>1752</x:v>
      </x:c>
      <x:c r="E48" s="312" t="s">
        <x:v>751</x:v>
      </x:c>
      <x:c r="F48" s="314" t="s">
        <x:v>1770</x:v>
      </x:c>
      <x:c r="G48" s="314" t="s">
        <x:v>1771</x:v>
      </x:c>
    </x:row>
    <x:row r="49" ht="35.099998474121094" customHeight="1">
      <x:c r="A49" s="315">
        <x:v>41</x:v>
      </x:c>
      <x:c r="B49" s="315" t="s">
        <x:v>110</x:v>
      </x:c>
      <x:c r="C49" s="316" t="s">
        <x:v>751</x:v>
      </x:c>
      <x:c r="D49" s="317" t="s">
        <x:v>1752</x:v>
      </x:c>
      <x:c r="E49" s="316" t="s">
        <x:v>1747</x:v>
      </x:c>
      <x:c r="F49" s="318" t="s">
        <x:v>1772</x:v>
      </x:c>
      <x:c r="G49" s="318" t="s">
        <x:v>1773</x:v>
      </x:c>
    </x:row>
    <x:row r="50" ht="15.300000190734863" customHeight="1">
      <x:c r="A50" s="446" t="s">
        <x:v>1774</x:v>
      </x:c>
      <x:c r="B50" s="446"/>
      <x:c r="C50" s="446"/>
      <x:c r="D50" s="446"/>
      <x:c r="E50" s="446"/>
      <x:c r="F50" s="446"/>
      <x:c r="G50" s="446"/>
    </x:row>
    <x:row r="51" ht="38.400001525878906" customHeight="1">
      <x:c r="A51" s="334">
        <x:v>42</x:v>
      </x:c>
      <x:c r="B51" s="334" t="s">
        <x:v>143</x:v>
      </x:c>
      <x:c r="C51" s="334" t="s">
        <x:v>1747</x:v>
      </x:c>
      <x:c r="D51" s="334" t="s">
        <x:v>12</x:v>
      </x:c>
      <x:c r="E51" s="334" t="s">
        <x:v>156</x:v>
      </x:c>
      <x:c r="F51" s="334" t="s">
        <x:v>1775</x:v>
      </x:c>
      <x:c r="G51" s="334" t="s">
        <x:v>1776</x:v>
      </x:c>
    </x:row>
    <x:row r="52" ht="38.400001525878906" customHeight="1">
      <x:c r="A52" s="335">
        <x:v>43</x:v>
      </x:c>
      <x:c r="B52" s="335" t="s">
        <x:v>143</x:v>
      </x:c>
      <x:c r="C52" s="335" t="s">
        <x:v>156</x:v>
      </x:c>
      <x:c r="D52" s="335" t="s">
        <x:v>12</x:v>
      </x:c>
      <x:c r="E52" s="335" t="s">
        <x:v>11</x:v>
      </x:c>
      <x:c r="F52" s="335" t="s">
        <x:v>1777</x:v>
      </x:c>
      <x:c r="G52" s="335" t="s">
        <x:v>1778</x:v>
      </x:c>
    </x:row>
  </x:sheetData>
  <x:mergeCells>
    <x:mergeCell ref="A35:G35"/>
    <x:mergeCell ref="A46:G46"/>
    <x:mergeCell ref="A50:G50"/>
    <x:mergeCell ref="A1:G1"/>
    <x:mergeCell ref="A4:G4"/>
    <x:mergeCell ref="A2:G2"/>
    <x:mergeCell ref="A15:G15"/>
    <x:mergeCell ref="A25:G25"/>
  </x:mergeCells>
  <x:dataValidations count="1">
    <x:dataValidation type="list" allowBlank="1" showInputMessage="1" showErrorMessage="1" sqref="D5:D12">
      <x:formula1>"───►  (llamada),↩  (auto-msg),◄ ─ ─  (return)"</x:formula1>
    </x:dataValidation>
  </x:dataValidations>
  <x:pageMargins left="0.7" right="0.7" top="0.75" bottom="0.75" header="0.3" footer="0.3"/>
</x:worksheet>
</file>

<file path=xl/worksheets/sheet27.xml><?xml version="1.0" encoding="utf-8"?>
<x:worksheet xmlns:x="http://schemas.openxmlformats.org/spreadsheetml/2006/main">
  <x:sheetFormatPr baseColWidth="10" defaultColWidth="8.88671875" defaultRowHeight="14.399999618530273"/>
  <x:cols>
    <x:col min="3" max="3" width="18.44140625" customWidth="1"/>
    <x:col min="4" max="4" width="15.109375" customWidth="1"/>
    <x:col min="5" max="5" width="17.109375" customWidth="1"/>
    <x:col min="6" max="6" width="46.109375" customWidth="1"/>
    <x:col min="7" max="7" width="76.109375" customWidth="1"/>
    <x:col min="8" max="8" width="58" hidden="0" customWidth="1"/>
  </x:cols>
  <x:sheetData>
    <x:row r="1" ht="4.5" customHeight="1">
      <x:c r="A1" s="432" t="s">
        <x:v>1779</x:v>
      </x:c>
      <x:c r="B1" s="423"/>
      <x:c r="C1" s="423"/>
      <x:c r="D1" s="423"/>
      <x:c r="E1" s="423"/>
      <x:c r="F1" s="423"/>
      <x:c r="G1" s="423"/>
    </x:row>
    <x:row r="2" ht="4.050000190734863" customHeight="1">
      <x:c r="A2" s="434" t="s">
        <x:v>1780</x:v>
      </x:c>
      <x:c r="B2" s="423"/>
      <x:c r="C2" s="423"/>
      <x:c r="D2" s="423"/>
      <x:c r="E2" s="423"/>
      <x:c r="F2" s="423"/>
      <x:c r="G2" s="423"/>
    </x:row>
    <x:row r="3">
      <x:c r="A3" s="37" t="s">
        <x:v>2</x:v>
      </x:c>
      <x:c r="B3" s="38" t="s">
        <x:v>3</x:v>
      </x:c>
      <x:c r="C3" s="38" t="s">
        <x:v>4</x:v>
      </x:c>
      <x:c r="D3" s="38" t="s">
        <x:v>5</x:v>
      </x:c>
      <x:c r="E3" s="38" t="s">
        <x:v>6</x:v>
      </x:c>
      <x:c r="F3" s="38" t="s">
        <x:v>7</x:v>
      </x:c>
      <x:c r="G3" s="38" t="s">
        <x:v>8</x:v>
      </x:c>
      <x:c r="H3" t="str">
        <x:v>CONDICIÓN RF65 (NO MVP)</x:v>
      </x:c>
    </x:row>
    <x:row r="4">
      <x:c r="A4" s="448" t="s">
        <x:v>1781</x:v>
      </x:c>
      <x:c r="B4" s="449"/>
      <x:c r="C4" s="449"/>
      <x:c r="D4" s="449"/>
      <x:c r="E4" s="449"/>
      <x:c r="F4" s="449"/>
      <x:c r="G4" s="450"/>
    </x:row>
    <x:row r="5">
      <x:c r="A5" s="103">
        <x:v>1</x:v>
      </x:c>
      <x:c r="B5" s="103" t="s">
        <x:v>10</x:v>
      </x:c>
      <x:c r="C5" s="41" t="s">
        <x:v>11</x:v>
      </x:c>
      <x:c r="D5" s="42" t="s">
        <x:v>12</x:v>
      </x:c>
      <x:c r="E5" s="41" t="s">
        <x:v>164</x:v>
      </x:c>
      <x:c r="F5" s="43" t="s">
        <x:v>165</x:v>
      </x:c>
      <x:c r="G5" s="43" t="s">
        <x:v>1782</x:v>
      </x:c>
      <x:c r="H5" s="1071" t="str">
        <x:v>RF65 POST-MVP · CONDICIONADO A APROBACIÓN. Conciliación de fin de Premium: solo vehículos VIGENTES; no reactivar ELIMINADOS ni reasignarlos como principal. Serializar con RF65 si se implementa. Sin aprobación no aplicar filtros ni cambios de BD por RF65.</x:v>
      </x:c>
    </x:row>
    <x:row r="6">
      <x:c r="A6" s="103">
        <x:v>2</x:v>
      </x:c>
      <x:c r="B6" s="103" t="s">
        <x:v>10</x:v>
      </x:c>
      <x:c r="C6" s="44" t="s">
        <x:v>164</x:v>
      </x:c>
      <x:c r="D6" s="42" t="s">
        <x:v>12</x:v>
      </x:c>
      <x:c r="E6" s="44" t="s">
        <x:v>167</x:v>
      </x:c>
      <x:c r="F6" s="45" t="s">
        <x:v>168</x:v>
      </x:c>
      <x:c r="G6" s="45" t="s">
        <x:v>1783</x:v>
      </x:c>
    </x:row>
    <x:row r="7">
      <x:c r="A7" s="103">
        <x:v>3</x:v>
      </x:c>
      <x:c r="B7" s="103" t="s">
        <x:v>10</x:v>
      </x:c>
      <x:c r="C7" s="46" t="s">
        <x:v>167</x:v>
      </x:c>
      <x:c r="D7" s="42" t="s">
        <x:v>12</x:v>
      </x:c>
      <x:c r="E7" s="46" t="s">
        <x:v>179</x:v>
      </x:c>
      <x:c r="F7" s="47" t="s">
        <x:v>1784</x:v>
      </x:c>
      <x:c r="G7" s="47" t="s">
        <x:v>1785</x:v>
      </x:c>
    </x:row>
    <x:row r="8">
      <x:c r="A8" s="103">
        <x:v>4</x:v>
      </x:c>
      <x:c r="B8" s="103" t="s">
        <x:v>10</x:v>
      </x:c>
      <x:c r="C8" s="44" t="s">
        <x:v>179</x:v>
      </x:c>
      <x:c r="D8" s="42" t="s">
        <x:v>12</x:v>
      </x:c>
      <x:c r="E8" s="44" t="s">
        <x:v>11</x:v>
      </x:c>
      <x:c r="F8" s="45" t="s">
        <x:v>182</x:v>
      </x:c>
      <x:c r="G8" s="45" t="s">
        <x:v>1786</x:v>
      </x:c>
    </x:row>
    <x:row r="9">
      <x:c r="A9" s="103">
        <x:v>5</x:v>
      </x:c>
      <x:c r="B9" s="103" t="s">
        <x:v>10</x:v>
      </x:c>
      <x:c r="C9" s="46" t="s">
        <x:v>11</x:v>
      </x:c>
      <x:c r="D9" s="42" t="s">
        <x:v>12</x:v>
      </x:c>
      <x:c r="E9" s="46" t="s">
        <x:v>179</x:v>
      </x:c>
      <x:c r="F9" s="47" t="s">
        <x:v>1697</x:v>
      </x:c>
      <x:c r="G9" s="47" t="s">
        <x:v>1698</x:v>
      </x:c>
    </x:row>
    <x:row r="10">
      <x:c r="A10" s="103">
        <x:v>6</x:v>
      </x:c>
      <x:c r="B10" s="103" t="s">
        <x:v>10</x:v>
      </x:c>
      <x:c r="C10" s="44" t="s">
        <x:v>179</x:v>
      </x:c>
      <x:c r="D10" s="42" t="s">
        <x:v>12</x:v>
      </x:c>
      <x:c r="E10" s="44" t="s">
        <x:v>167</x:v>
      </x:c>
      <x:c r="F10" s="45" t="s">
        <x:v>1699</x:v>
      </x:c>
      <x:c r="G10" s="45" t="s">
        <x:v>1700</x:v>
      </x:c>
    </x:row>
    <x:row r="11">
      <x:c r="A11" s="448" t="s">
        <x:v>1787</x:v>
      </x:c>
      <x:c r="B11" s="449"/>
      <x:c r="C11" s="449"/>
      <x:c r="D11" s="449"/>
      <x:c r="E11" s="449"/>
      <x:c r="F11" s="449"/>
      <x:c r="G11" s="450"/>
    </x:row>
    <x:row r="12">
      <x:c r="A12" s="103">
        <x:v>7</x:v>
      </x:c>
      <x:c r="B12" s="103" t="s">
        <x:v>33</x:v>
      </x:c>
      <x:c r="C12" s="41" t="s">
        <x:v>167</x:v>
      </x:c>
      <x:c r="D12" s="42" t="s">
        <x:v>12</x:v>
      </x:c>
      <x:c r="E12" s="41" t="s">
        <x:v>1702</x:v>
      </x:c>
      <x:c r="F12" s="43" t="s">
        <x:v>1703</x:v>
      </x:c>
      <x:c r="G12" s="43" t="s">
        <x:v>1704</x:v>
      </x:c>
    </x:row>
    <x:row r="13" ht="6.900000095367432" customHeight="1">
      <x:c r="A13" s="103">
        <x:v>8</x:v>
      </x:c>
      <x:c r="B13" s="103" t="s">
        <x:v>33</x:v>
      </x:c>
      <x:c r="C13" s="44" t="s">
        <x:v>1702</x:v>
      </x:c>
      <x:c r="D13" s="42" t="s">
        <x:v>12</x:v>
      </x:c>
      <x:c r="E13" s="44" t="s">
        <x:v>751</x:v>
      </x:c>
      <x:c r="F13" s="45" t="s">
        <x:v>1788</x:v>
      </x:c>
      <x:c r="G13" s="45" t="s">
        <x:v>1789</x:v>
      </x:c>
    </x:row>
    <x:row r="14" ht="6.900000095367432" customHeight="1">
      <x:c r="A14" s="103">
        <x:v>9</x:v>
      </x:c>
      <x:c r="B14" s="103" t="s">
        <x:v>33</x:v>
      </x:c>
      <x:c r="C14" s="46" t="s">
        <x:v>751</x:v>
      </x:c>
      <x:c r="D14" s="42" t="s">
        <x:v>12</x:v>
      </x:c>
      <x:c r="E14" s="46" t="s">
        <x:v>754</x:v>
      </x:c>
      <x:c r="F14" s="47" t="s">
        <x:v>1790</x:v>
      </x:c>
      <x:c r="G14" s="212" t="s">
        <x:v>1791</x:v>
      </x:c>
    </x:row>
    <x:row r="15" ht="6.900000095367432" customHeight="1">
      <x:c r="A15" s="103">
        <x:v>10</x:v>
      </x:c>
      <x:c r="B15" s="103" t="s">
        <x:v>33</x:v>
      </x:c>
      <x:c r="C15" s="44" t="s">
        <x:v>754</x:v>
      </x:c>
      <x:c r="D15" s="42" t="s">
        <x:v>53</x:v>
      </x:c>
      <x:c r="E15" s="44" t="s">
        <x:v>751</x:v>
      </x:c>
      <x:c r="F15" s="45" t="s">
        <x:v>1792</x:v>
      </x:c>
      <x:c r="G15" s="212" t="s">
        <x:v>1793</x:v>
      </x:c>
    </x:row>
    <x:row r="16" ht="6.900000095367432" customHeight="1">
      <x:c r="A16" s="103">
        <x:v>11</x:v>
      </x:c>
      <x:c r="B16" s="103" t="s">
        <x:v>33</x:v>
      </x:c>
      <x:c r="C16" s="46" t="s">
        <x:v>751</x:v>
      </x:c>
      <x:c r="D16" s="42" t="s">
        <x:v>12</x:v>
      </x:c>
      <x:c r="E16" s="46" t="s">
        <x:v>1747</x:v>
      </x:c>
      <x:c r="F16" s="47" t="s">
        <x:v>1794</x:v>
      </x:c>
      <x:c r="G16" s="47" t="s">
        <x:v>1795</x:v>
      </x:c>
    </x:row>
    <x:row r="17">
      <x:c r="A17" s="103">
        <x:v>12</x:v>
      </x:c>
      <x:c r="B17" s="103" t="s">
        <x:v>33</x:v>
      </x:c>
      <x:c r="C17" s="44" t="s">
        <x:v>1747</x:v>
      </x:c>
      <x:c r="D17" s="42" t="s">
        <x:v>12</x:v>
      </x:c>
      <x:c r="E17" s="44" t="s">
        <x:v>1761</x:v>
      </x:c>
      <x:c r="F17" s="45" t="s">
        <x:v>1796</x:v>
      </x:c>
      <x:c r="G17" s="45" t="s">
        <x:v>1797</x:v>
      </x:c>
    </x:row>
    <x:row r="18">
      <x:c r="A18" s="103">
        <x:v>13</x:v>
      </x:c>
      <x:c r="B18" s="103" t="s">
        <x:v>33</x:v>
      </x:c>
      <x:c r="C18" s="46" t="s">
        <x:v>1761</x:v>
      </x:c>
      <x:c r="D18" s="42" t="s">
        <x:v>53</x:v>
      </x:c>
      <x:c r="E18" s="46" t="s">
        <x:v>1747</x:v>
      </x:c>
      <x:c r="F18" s="47" t="s">
        <x:v>1798</x:v>
      </x:c>
      <x:c r="G18" s="47" t="s">
        <x:v>1799</x:v>
      </x:c>
    </x:row>
    <x:row r="19" ht="6.900000095367432" customHeight="1">
      <x:c r="A19" s="103">
        <x:v>14</x:v>
      </x:c>
      <x:c r="B19" s="103" t="s">
        <x:v>33</x:v>
      </x:c>
      <x:c r="C19" s="44" t="s">
        <x:v>1747</x:v>
      </x:c>
      <x:c r="D19" s="42" t="s">
        <x:v>53</x:v>
      </x:c>
      <x:c r="E19" s="44" t="s">
        <x:v>751</x:v>
      </x:c>
      <x:c r="F19" s="45" t="s">
        <x:v>1798</x:v>
      </x:c>
      <x:c r="G19" s="45" t="s">
        <x:v>1800</x:v>
      </x:c>
    </x:row>
    <x:row r="20" ht="10.350000381469727" customHeight="1">
      <x:c r="A20" s="103">
        <x:v>15</x:v>
      </x:c>
      <x:c r="B20" s="103" t="s">
        <x:v>33</x:v>
      </x:c>
      <x:c r="C20" s="46" t="s">
        <x:v>751</x:v>
      </x:c>
      <x:c r="D20" s="42" t="s">
        <x:v>19</x:v>
      </x:c>
      <x:c r="E20" s="46" t="s">
        <x:v>751</x:v>
      </x:c>
      <x:c r="F20" s="212" t="s">
        <x:v>1801</x:v>
      </x:c>
      <x:c r="G20" s="212" t="str">
        <x:v>PREMIUM solo si el backend confirmó un derecho vigente o un período de gracia con beneficio confirmado por Google Play; duración y reglas de gracia no se inventan ni fijan en RF. Si el proveedor no responde, no degradar por ese fallo. Cuando se acredita fin definitivo del derecho, RF030_ALT_FIN_PREMIUM reconcilia a FREE y mantiene solo el principal activo.</x:v>
      </x:c>
    </x:row>
    <x:row r="21" ht="10.350000381469727" customHeight="1">
      <x:c r="A21" s="103">
        <x:v>16</x:v>
      </x:c>
      <x:c r="B21" s="103" t="s">
        <x:v>33</x:v>
      </x:c>
      <x:c r="C21" s="44" t="s">
        <x:v>751</x:v>
      </x:c>
      <x:c r="D21" s="42" t="s">
        <x:v>12</x:v>
      </x:c>
      <x:c r="E21" s="44" t="s">
        <x:v>1802</x:v>
      </x:c>
      <x:c r="F21" s="45" t="s">
        <x:v>1803</x:v>
      </x:c>
      <x:c r="G21" s="45" t="s">
        <x:v>1804</x:v>
      </x:c>
    </x:row>
    <x:row r="22">
      <x:c r="A22" s="103">
        <x:v>17</x:v>
      </x:c>
      <x:c r="B22" s="103" t="s">
        <x:v>33</x:v>
      </x:c>
      <x:c r="C22" s="46" t="s">
        <x:v>1802</x:v>
      </x:c>
      <x:c r="D22" s="42" t="s">
        <x:v>12</x:v>
      </x:c>
      <x:c r="E22" s="46" t="s">
        <x:v>11</x:v>
      </x:c>
      <x:c r="F22" s="47" t="s">
        <x:v>1805</x:v>
      </x:c>
      <x:c r="G22" s="47" t="s">
        <x:v>1806</x:v>
      </x:c>
    </x:row>
  </x:sheetData>
  <x:mergeCells>
    <x:mergeCell ref="A2:G2"/>
    <x:mergeCell ref="A11:G11"/>
    <x:mergeCell ref="A1:G1"/>
    <x:mergeCell ref="A4:G4"/>
  </x:mergeCells>
  <x:pageMargins left="0.7" right="0.7" top="0.75" bottom="0.75" header="0.3" footer="0.3"/>
</x:worksheet>
</file>

<file path=xl/worksheets/sheet28.xml><?xml version="1.0" encoding="utf-8"?>
<x:worksheet xmlns:x="http://schemas.openxmlformats.org/spreadsheetml/2006/main">
  <x:sheetFormatPr baseColWidth="10" defaultColWidth="8.88671875" defaultRowHeight="14.399999618530273"/>
  <x:cols>
    <x:col min="3" max="3" width="13.109375" customWidth="1"/>
    <x:col min="4" max="4" width="15" customWidth="1"/>
    <x:col min="5" max="5" width="16.109375" customWidth="1"/>
    <x:col min="6" max="6" width="69.44140625" customWidth="1"/>
    <x:col min="7" max="7" width="47.88671875" customWidth="1"/>
    <x:col min="8" max="8" width="58" hidden="0" customWidth="1"/>
  </x:cols>
  <x:sheetData>
    <x:row r="1" ht="4.050000190734863" customHeight="1">
      <x:c r="A1" s="452" t="s">
        <x:v>1807</x:v>
      </x:c>
      <x:c r="B1" s="451"/>
      <x:c r="C1" s="451"/>
      <x:c r="D1" s="451"/>
      <x:c r="E1" s="451"/>
      <x:c r="F1" s="451"/>
      <x:c r="G1" s="451"/>
    </x:row>
    <x:row r="2" ht="3.9000000953674316" customHeight="1">
      <x:c r="A2" s="453" t="s">
        <x:v>1808</x:v>
      </x:c>
      <x:c r="B2" s="451"/>
      <x:c r="C2" s="451"/>
      <x:c r="D2" s="451"/>
      <x:c r="E2" s="451"/>
      <x:c r="F2" s="451"/>
      <x:c r="G2" s="451"/>
    </x:row>
    <x:row r="3" ht="3.9000000953674316" customHeight="1">
      <x:c r="A3" s="37" t="s">
        <x:v>2</x:v>
      </x:c>
      <x:c r="B3" s="38" t="s">
        <x:v>3</x:v>
      </x:c>
      <x:c r="C3" s="38" t="s">
        <x:v>4</x:v>
      </x:c>
      <x:c r="D3" s="38" t="s">
        <x:v>5</x:v>
      </x:c>
      <x:c r="E3" s="48" t="s">
        <x:v>6</x:v>
      </x:c>
      <x:c r="F3" s="38" t="s">
        <x:v>7</x:v>
      </x:c>
      <x:c r="G3" s="38" t="s">
        <x:v>8</x:v>
      </x:c>
      <x:c r="H3" t="str">
        <x:v>CONDICIÓN RF65 (NO MVP)</x:v>
      </x:c>
    </x:row>
    <x:row r="4" ht="3.9000000953674316" customHeight="1">
      <x:c r="A4" s="448" t="s">
        <x:v>1809</x:v>
      </x:c>
      <x:c r="B4" s="454"/>
      <x:c r="C4" s="454"/>
      <x:c r="D4" s="454"/>
      <x:c r="E4" s="454"/>
      <x:c r="F4" s="454"/>
      <x:c r="G4" s="455"/>
    </x:row>
    <x:row r="5" ht="3.9000000953674316" customHeight="1">
      <x:c r="A5" s="118">
        <x:v>1</x:v>
      </x:c>
      <x:c r="B5" s="119" t="s">
        <x:v>10</x:v>
      </x:c>
      <x:c r="C5" s="41" t="s">
        <x:v>11</x:v>
      </x:c>
      <x:c r="D5" s="42" t="s">
        <x:v>12</x:v>
      </x:c>
      <x:c r="E5" s="49" t="s">
        <x:v>164</x:v>
      </x:c>
      <x:c r="F5" s="43" t="s">
        <x:v>419</x:v>
      </x:c>
      <x:c r="G5" s="43" t="s">
        <x:v>420</x:v>
      </x:c>
      <x:c r="H5" s="1071" t="str">
        <x:v>RF65 POST-MVP · CONDICIONADO A APROBACIÓN. SOAT: conservar póliza y referencias de vehículo eliminado sin nuevos avisos ni operaciones normales. Sin aprobación no aplicar filtros ni cambios de BD por RF65.</x:v>
      </x:c>
    </x:row>
    <x:row r="6" ht="3.9000000953674316" customHeight="1">
      <x:c r="A6" s="118">
        <x:v>2</x:v>
      </x:c>
      <x:c r="B6" s="119" t="s">
        <x:v>10</x:v>
      </x:c>
      <x:c r="C6" s="44" t="s">
        <x:v>164</x:v>
      </x:c>
      <x:c r="D6" s="42" t="s">
        <x:v>12</x:v>
      </x:c>
      <x:c r="E6" s="50" t="s">
        <x:v>167</x:v>
      </x:c>
      <x:c r="F6" s="45" t="s">
        <x:v>422</x:v>
      </x:c>
      <x:c r="G6" s="45" t="s">
        <x:v>1810</x:v>
      </x:c>
    </x:row>
    <x:row r="7" ht="3.9000000953674316" customHeight="1">
      <x:c r="A7" s="118">
        <x:v>3</x:v>
      </x:c>
      <x:c r="B7" s="119" t="s">
        <x:v>10</x:v>
      </x:c>
      <x:c r="C7" s="46" t="s">
        <x:v>167</x:v>
      </x:c>
      <x:c r="D7" s="42" t="s">
        <x:v>12</x:v>
      </x:c>
      <x:c r="E7" s="51" t="s">
        <x:v>424</x:v>
      </x:c>
      <x:c r="F7" s="47" t="s">
        <x:v>425</x:v>
      </x:c>
      <x:c r="G7" s="47" t="s">
        <x:v>1811</x:v>
      </x:c>
    </x:row>
    <x:row r="8" ht="3.9000000953674316" customHeight="1">
      <x:c r="A8" s="118">
        <x:v>4</x:v>
      </x:c>
      <x:c r="B8" s="119" t="s">
        <x:v>10</x:v>
      </x:c>
      <x:c r="C8" s="44" t="s">
        <x:v>424</x:v>
      </x:c>
      <x:c r="D8" s="42" t="s">
        <x:v>12</x:v>
      </x:c>
      <x:c r="E8" s="50" t="s">
        <x:v>11</x:v>
      </x:c>
      <x:c r="F8" s="45" t="s">
        <x:v>427</x:v>
      </x:c>
      <x:c r="G8" s="45" t="s">
        <x:v>1812</x:v>
      </x:c>
    </x:row>
    <x:row r="9" ht="3.9000000953674316" customHeight="1">
      <x:c r="A9" s="118">
        <x:v>5</x:v>
      </x:c>
      <x:c r="B9" s="119" t="s">
        <x:v>10</x:v>
      </x:c>
      <x:c r="C9" s="46" t="s">
        <x:v>11</x:v>
      </x:c>
      <x:c r="D9" s="42" t="s">
        <x:v>12</x:v>
      </x:c>
      <x:c r="E9" s="51" t="s">
        <x:v>424</x:v>
      </x:c>
      <x:c r="F9" s="47" t="s">
        <x:v>1813</x:v>
      </x:c>
      <x:c r="G9" s="47" t="s">
        <x:v>1814</x:v>
      </x:c>
    </x:row>
    <x:row r="10" ht="3.9000000953674316" customHeight="1">
      <x:c r="A10" s="118">
        <x:v>6</x:v>
      </x:c>
      <x:c r="B10" s="119" t="s">
        <x:v>10</x:v>
      </x:c>
      <x:c r="C10" s="44" t="s">
        <x:v>424</x:v>
      </x:c>
      <x:c r="D10" s="42" t="s">
        <x:v>12</x:v>
      </x:c>
      <x:c r="E10" s="50" t="s">
        <x:v>908</x:v>
      </x:c>
      <x:c r="F10" s="45" t="s">
        <x:v>1815</x:v>
      </x:c>
      <x:c r="G10" s="45" t="s">
        <x:v>1816</x:v>
      </x:c>
    </x:row>
    <x:row r="11" ht="6.300000190734863" customHeight="1">
      <x:c r="A11" s="118">
        <x:v>7</x:v>
      </x:c>
      <x:c r="B11" s="119" t="s">
        <x:v>10</x:v>
      </x:c>
      <x:c r="C11" s="46" t="s">
        <x:v>908</x:v>
      </x:c>
      <x:c r="D11" s="42" t="s">
        <x:v>12</x:v>
      </x:c>
      <x:c r="E11" s="51" t="s">
        <x:v>440</x:v>
      </x:c>
      <x:c r="F11" s="47" t="s">
        <x:v>1817</x:v>
      </x:c>
      <x:c r="G11" s="47" t="s">
        <x:v>1818</x:v>
      </x:c>
    </x:row>
    <x:row r="12" ht="3.9000000953674316" customHeight="1">
      <x:c r="A12" s="118">
        <x:v>8</x:v>
      </x:c>
      <x:c r="B12" s="119" t="s">
        <x:v>10</x:v>
      </x:c>
      <x:c r="C12" s="44" t="s">
        <x:v>440</x:v>
      </x:c>
      <x:c r="D12" s="42" t="s">
        <x:v>53</x:v>
      </x:c>
      <x:c r="E12" s="50" t="s">
        <x:v>908</x:v>
      </x:c>
      <x:c r="F12" s="45" t="s">
        <x:v>632</x:v>
      </x:c>
      <x:c r="G12" s="45" t="s">
        <x:v>1285</x:v>
      </x:c>
    </x:row>
    <x:row r="13" ht="6.300000190734863" customHeight="1">
      <x:c r="A13" s="118">
        <x:v>9</x:v>
      </x:c>
      <x:c r="B13" s="119" t="s">
        <x:v>10</x:v>
      </x:c>
      <x:c r="C13" s="46" t="s">
        <x:v>908</x:v>
      </x:c>
      <x:c r="D13" s="42" t="s">
        <x:v>12</x:v>
      </x:c>
      <x:c r="E13" s="51" t="s">
        <x:v>674</x:v>
      </x:c>
      <x:c r="F13" s="47" t="s">
        <x:v>1819</x:v>
      </x:c>
      <x:c r="G13" s="47" t="s">
        <x:v>1820</x:v>
      </x:c>
    </x:row>
    <x:row r="14" ht="6.300000190734863" customHeight="1">
      <x:c r="A14" s="118">
        <x:v>10</x:v>
      </x:c>
      <x:c r="B14" s="119" t="s">
        <x:v>10</x:v>
      </x:c>
      <x:c r="C14" s="44" t="s">
        <x:v>674</x:v>
      </x:c>
      <x:c r="D14" s="42" t="s">
        <x:v>12</x:v>
      </x:c>
      <x:c r="E14" s="50" t="s">
        <x:v>11</x:v>
      </x:c>
      <x:c r="F14" s="45" t="s">
        <x:v>1821</x:v>
      </x:c>
      <x:c r="G14" s="45" t="s">
        <x:v>1822</x:v>
      </x:c>
    </x:row>
    <x:row r="15" ht="3.9000000953674316" customHeight="1">
      <x:c r="A15" s="118">
        <x:v>11</x:v>
      </x:c>
      <x:c r="B15" s="119" t="s">
        <x:v>10</x:v>
      </x:c>
      <x:c r="C15" s="46" t="s">
        <x:v>11</x:v>
      </x:c>
      <x:c r="D15" s="42" t="s">
        <x:v>12</x:v>
      </x:c>
      <x:c r="E15" s="51" t="s">
        <x:v>674</x:v>
      </x:c>
      <x:c r="F15" s="47" t="s">
        <x:v>1823</x:v>
      </x:c>
      <x:c r="G15" s="47" t="s">
        <x:v>1824</x:v>
      </x:c>
    </x:row>
    <x:row r="16" ht="6.300000190734863" customHeight="1">
      <x:c r="A16" s="118">
        <x:v>12</x:v>
      </x:c>
      <x:c r="B16" s="119" t="s">
        <x:v>10</x:v>
      </x:c>
      <x:c r="C16" s="44" t="s">
        <x:v>674</x:v>
      </x:c>
      <x:c r="D16" s="42" t="s">
        <x:v>12</x:v>
      </x:c>
      <x:c r="E16" s="50" t="s">
        <x:v>560</x:v>
      </x:c>
      <x:c r="F16" s="45" t="s">
        <x:v>1825</x:v>
      </x:c>
      <x:c r="G16" s="45" t="s">
        <x:v>1826</x:v>
      </x:c>
    </x:row>
    <x:row r="17" ht="6.300000190734863" customHeight="1">
      <x:c r="A17" s="118">
        <x:v>13</x:v>
      </x:c>
      <x:c r="B17" s="119" t="s">
        <x:v>10</x:v>
      </x:c>
      <x:c r="C17" s="46" t="s">
        <x:v>560</x:v>
      </x:c>
      <x:c r="D17" s="42" t="s">
        <x:v>12</x:v>
      </x:c>
      <x:c r="E17" s="51" t="s">
        <x:v>908</x:v>
      </x:c>
      <x:c r="F17" s="47" t="s">
        <x:v>1827</x:v>
      </x:c>
      <x:c r="G17" s="47" t="s">
        <x:v>1828</x:v>
      </x:c>
    </x:row>
    <x:row r="18" ht="6.300000190734863" customHeight="1">
      <x:c r="A18" s="118">
        <x:v>14</x:v>
      </x:c>
      <x:c r="B18" s="119" t="s">
        <x:v>10</x:v>
      </x:c>
      <x:c r="C18" s="44" t="s">
        <x:v>908</x:v>
      </x:c>
      <x:c r="D18" s="42" t="s">
        <x:v>12</x:v>
      </x:c>
      <x:c r="E18" s="50" t="s">
        <x:v>440</x:v>
      </x:c>
      <x:c r="F18" s="45" t="s">
        <x:v>630</x:v>
      </x:c>
      <x:c r="G18" s="45" t="s">
        <x:v>1829</x:v>
      </x:c>
    </x:row>
    <x:row r="19" ht="3.9000000953674316" customHeight="1">
      <x:c r="A19" s="118">
        <x:v>15</x:v>
      </x:c>
      <x:c r="B19" s="119" t="s">
        <x:v>10</x:v>
      </x:c>
      <x:c r="C19" s="46" t="s">
        <x:v>440</x:v>
      </x:c>
      <x:c r="D19" s="42" t="s">
        <x:v>53</x:v>
      </x:c>
      <x:c r="E19" s="51" t="s">
        <x:v>908</x:v>
      </x:c>
      <x:c r="F19" s="47" t="s">
        <x:v>1830</x:v>
      </x:c>
      <x:c r="G19" s="47" t="s">
        <x:v>1831</x:v>
      </x:c>
    </x:row>
    <x:row r="20" ht="9.300000190734863" customHeight="1">
      <x:c r="A20" s="118">
        <x:v>16</x:v>
      </x:c>
      <x:c r="B20" s="119" t="s">
        <x:v>10</x:v>
      </x:c>
      <x:c r="C20" s="44" t="s">
        <x:v>908</x:v>
      </x:c>
      <x:c r="D20" s="42" t="s">
        <x:v>53</x:v>
      </x:c>
      <x:c r="E20" s="50" t="s">
        <x:v>560</x:v>
      </x:c>
      <x:c r="F20" s="45" t="s">
        <x:v>1832</x:v>
      </x:c>
      <x:c r="G20" s="45" t="s">
        <x:v>1833</x:v>
      </x:c>
    </x:row>
    <x:row r="21" ht="6.300000190734863" customHeight="1">
      <x:c r="A21" s="118">
        <x:v>17</x:v>
      </x:c>
      <x:c r="B21" s="119" t="s">
        <x:v>10</x:v>
      </x:c>
      <x:c r="C21" s="46" t="s">
        <x:v>560</x:v>
      </x:c>
      <x:c r="D21" s="42" t="s">
        <x:v>12</x:v>
      </x:c>
      <x:c r="E21" s="51" t="s">
        <x:v>563</x:v>
      </x:c>
      <x:c r="F21" s="47" t="str">
        <x:v>consultarSOATActualRegistrado(idVehiculo)</x:v>
      </x:c>
      <x:c r="G21" s="47" t="str">
        <x:v>Comprueba que no exista SOAT marcado como ACTUAL para este idVehiculo. ACTUAL designa documento seleccionado más reciente, no garantiza cobertura VIGENTE según sus fechas.</x:v>
      </x:c>
    </x:row>
    <x:row r="22" ht="6.300000190734863" customHeight="1">
      <x:c r="A22" s="118">
        <x:v>18</x:v>
      </x:c>
      <x:c r="B22" s="119" t="s">
        <x:v>10</x:v>
      </x:c>
      <x:c r="C22" s="44" t="s">
        <x:v>563</x:v>
      </x:c>
      <x:c r="D22" s="42" t="s">
        <x:v>53</x:v>
      </x:c>
      <x:c r="E22" s="50" t="s">
        <x:v>560</x:v>
      </x:c>
      <x:c r="F22" s="45" t="str">
        <x:v>retornarSOATActualRegistrado(existe=false)</x:v>
      </x:c>
      <x:c r="G22" s="45" t="str">
        <x:v>En el EF inicial no existe SOAT ACTUAL. Si hay documentos históricos anteriores, no se destruyen; el alta asigna un único ACTUAL en transacción.</x:v>
      </x:c>
    </x:row>
    <x:row r="23" ht="3.9000000953674316" customHeight="1">
      <x:c r="A23" s="118">
        <x:v>19</x:v>
      </x:c>
      <x:c r="B23" s="119" t="s">
        <x:v>10</x:v>
      </x:c>
      <x:c r="C23" s="46" t="s">
        <x:v>560</x:v>
      </x:c>
      <x:c r="D23" s="42" t="s">
        <x:v>12</x:v>
      </x:c>
      <x:c r="E23" s="51" t="s">
        <x:v>1834</x:v>
      </x:c>
      <x:c r="F23" s="47" t="s">
        <x:v>1835</x:v>
      </x:c>
      <x:c r="G23" s="47" t="s">
        <x:v>1836</x:v>
      </x:c>
    </x:row>
    <x:row r="24" ht="3.9000000953674316" customHeight="1">
      <x:c r="A24" s="37">
        <x:v>20</x:v>
      </x:c>
      <x:c r="B24" s="116" t="s">
        <x:v>10</x:v>
      </x:c>
      <x:c r="C24" s="116" t="s">
        <x:v>1834</x:v>
      </x:c>
      <x:c r="D24" s="116" t="s">
        <x:v>12</x:v>
      </x:c>
      <x:c r="E24" s="116" t="s">
        <x:v>11</x:v>
      </x:c>
      <x:c r="F24" s="116" t="s">
        <x:v>1837</x:v>
      </x:c>
      <x:c r="G24" s="117" t="s">
        <x:v>1838</x:v>
      </x:c>
    </x:row>
    <x:row r="25" ht="3.9000000953674316" customHeight="1">
      <x:c r="A25" s="456" t="s">
        <x:v>1839</x:v>
      </x:c>
      <x:c r="B25" s="457"/>
      <x:c r="C25" s="458"/>
      <x:c r="D25" s="459"/>
      <x:c r="E25" s="460"/>
      <x:c r="F25" s="461"/>
      <x:c r="G25" s="461"/>
    </x:row>
    <x:row r="26" ht="9.300000190734863" customHeight="1">
      <x:c r="A26" s="118">
        <x:v>21</x:v>
      </x:c>
      <x:c r="B26" s="119" t="s">
        <x:v>33</x:v>
      </x:c>
      <x:c r="C26" s="44" t="s">
        <x:v>11</x:v>
      </x:c>
      <x:c r="D26" s="42" t="s">
        <x:v>12</x:v>
      </x:c>
      <x:c r="E26" s="50" t="s">
        <x:v>1834</x:v>
      </x:c>
      <x:c r="F26" s="45" t="s">
        <x:v>1840</x:v>
      </x:c>
      <x:c r="G26" s="45" t="s">
        <x:v>1841</x:v>
      </x:c>
    </x:row>
    <x:row r="27" ht="6.300000190734863" customHeight="1">
      <x:c r="A27" s="118">
        <x:v>22</x:v>
      </x:c>
      <x:c r="B27" s="119" t="s">
        <x:v>33</x:v>
      </x:c>
      <x:c r="C27" s="46" t="s">
        <x:v>1834</x:v>
      </x:c>
      <x:c r="D27" s="42" t="s">
        <x:v>12</x:v>
      </x:c>
      <x:c r="E27" s="51" t="s">
        <x:v>11</x:v>
      </x:c>
      <x:c r="F27" s="47" t="s">
        <x:v>1842</x:v>
      </x:c>
      <x:c r="G27" s="47" t="s">
        <x:v>1843</x:v>
      </x:c>
    </x:row>
    <x:row r="28" ht="3.9000000953674316" customHeight="1">
      <x:c r="A28" s="118">
        <x:v>23</x:v>
      </x:c>
      <x:c r="B28" s="119" t="s">
        <x:v>33</x:v>
      </x:c>
      <x:c r="C28" s="44" t="s">
        <x:v>11</x:v>
      </x:c>
      <x:c r="D28" s="42" t="s">
        <x:v>12</x:v>
      </x:c>
      <x:c r="E28" s="50" t="s">
        <x:v>1834</x:v>
      </x:c>
      <x:c r="F28" s="45" t="s">
        <x:v>1823</x:v>
      </x:c>
      <x:c r="G28" s="45" t="s">
        <x:v>1844</x:v>
      </x:c>
    </x:row>
    <x:row r="29" ht="3.9000000953674316" customHeight="1">
      <x:c r="A29" s="118">
        <x:v>24</x:v>
      </x:c>
      <x:c r="B29" s="119" t="s">
        <x:v>33</x:v>
      </x:c>
      <x:c r="C29" s="46" t="s">
        <x:v>1834</x:v>
      </x:c>
      <x:c r="D29" s="42" t="s">
        <x:v>12</x:v>
      </x:c>
      <x:c r="E29" s="51" t="s">
        <x:v>560</x:v>
      </x:c>
      <x:c r="F29" s="47" t="s">
        <x:v>1845</x:v>
      </x:c>
      <x:c r="G29" s="47" t="s">
        <x:v>1846</x:v>
      </x:c>
    </x:row>
    <x:row r="30" ht="6.300000190734863" customHeight="1">
      <x:c r="A30" s="118">
        <x:v>25</x:v>
      </x:c>
      <x:c r="B30" s="119" t="s">
        <x:v>33</x:v>
      </x:c>
      <x:c r="C30" s="44" t="s">
        <x:v>560</x:v>
      </x:c>
      <x:c r="D30" s="42" t="s">
        <x:v>19</x:v>
      </x:c>
      <x:c r="E30" s="50" t="s">
        <x:v>560</x:v>
      </x:c>
      <x:c r="F30" s="45" t="s">
        <x:v>1847</x:v>
      </x:c>
      <x:c r="G30" s="45" t="s">
        <x:v>1848</x:v>
      </x:c>
    </x:row>
    <x:row r="31" ht="6.300000190734863" customHeight="1">
      <x:c r="A31" s="118">
        <x:v>26</x:v>
      </x:c>
      <x:c r="B31" s="119" t="s">
        <x:v>33</x:v>
      </x:c>
      <x:c r="C31" s="46" t="s">
        <x:v>560</x:v>
      </x:c>
      <x:c r="D31" s="42" t="s">
        <x:v>19</x:v>
      </x:c>
      <x:c r="E31" s="51" t="s">
        <x:v>560</x:v>
      </x:c>
      <x:c r="F31" s="47" t="s">
        <x:v>1849</x:v>
      </x:c>
      <x:c r="G31" s="47" t="s">
        <x:v>1850</x:v>
      </x:c>
    </x:row>
    <x:row r="32" ht="6.300000190734863" customHeight="1">
      <x:c r="A32" s="118">
        <x:v>27</x:v>
      </x:c>
      <x:c r="B32" s="119" t="s">
        <x:v>33</x:v>
      </x:c>
      <x:c r="C32" s="44" t="s">
        <x:v>560</x:v>
      </x:c>
      <x:c r="D32" s="42" t="s">
        <x:v>19</x:v>
      </x:c>
      <x:c r="E32" s="50" t="s">
        <x:v>560</x:v>
      </x:c>
      <x:c r="F32" s="45" t="s">
        <x:v>1851</x:v>
      </x:c>
      <x:c r="G32" s="45" t="s">
        <x:v>1852</x:v>
      </x:c>
    </x:row>
    <x:row r="33" ht="6.900000095367432" customHeight="1">
      <x:c r="A33" s="37">
        <x:v>28</x:v>
      </x:c>
      <x:c r="B33" s="116" t="s">
        <x:v>33</x:v>
      </x:c>
      <x:c r="C33" s="116" t="s">
        <x:v>560</x:v>
      </x:c>
      <x:c r="D33" s="116" t="s">
        <x:v>12</x:v>
      </x:c>
      <x:c r="E33" s="116" t="s">
        <x:v>563</x:v>
      </x:c>
      <x:c r="F33" s="116" t="s">
        <x:v>1853</x:v>
      </x:c>
      <x:c r="G33" s="117" t="str">
        <x:v>Inserta SOAT con esActual=true y recordatorioActivo=false en transacción con control de unicidad por idVehiculo; este EF inicial no encuentra documento ACTUAL. Su estado de cobertura VIGENTE/VENCIDO se calcula según fechas, independiente de esActual.</x:v>
      </x:c>
    </x:row>
    <x:row r="34" ht="3.9000000953674316" customHeight="1">
      <x:c r="A34" s="119">
        <x:v>29</x:v>
      </x:c>
      <x:c r="B34" s="119" t="s">
        <x:v>33</x:v>
      </x:c>
      <x:c r="C34" s="41" t="s">
        <x:v>563</x:v>
      </x:c>
      <x:c r="D34" s="42" t="s">
        <x:v>53</x:v>
      </x:c>
      <x:c r="E34" s="49" t="s">
        <x:v>560</x:v>
      </x:c>
      <x:c r="F34" s="43" t="s">
        <x:v>1854</x:v>
      </x:c>
      <x:c r="G34" s="43" t="s">
        <x:v>1855</x:v>
      </x:c>
    </x:row>
    <x:row r="35" ht="3.9000000953674316" customHeight="1">
      <x:c r="A35" s="457" t="s">
        <x:v>1856</x:v>
      </x:c>
      <x:c r="B35" s="457"/>
      <x:c r="C35" s="462"/>
      <x:c r="D35" s="459"/>
      <x:c r="E35" s="463"/>
      <x:c r="F35" s="464"/>
      <x:c r="G35" s="464"/>
    </x:row>
    <x:row r="36" ht="6.300000190734863" customHeight="1">
      <x:c r="A36" s="119">
        <x:v>30</x:v>
      </x:c>
      <x:c r="B36" s="119" t="s">
        <x:v>63</x:v>
      </x:c>
      <x:c r="C36" s="46" t="s">
        <x:v>560</x:v>
      </x:c>
      <x:c r="D36" s="42" t="s">
        <x:v>12</x:v>
      </x:c>
      <x:c r="E36" s="51" t="s">
        <x:v>1857</x:v>
      </x:c>
      <x:c r="F36" s="47" t="s">
        <x:v>1858</x:v>
      </x:c>
      <x:c r="G36" s="47" t="s">
        <x:v>1859</x:v>
      </x:c>
    </x:row>
    <x:row r="37" ht="3.9000000953674316" customHeight="1">
      <x:c r="A37" s="119">
        <x:v>31</x:v>
      </x:c>
      <x:c r="B37" s="119" t="s">
        <x:v>63</x:v>
      </x:c>
      <x:c r="C37" s="44" t="s">
        <x:v>1857</x:v>
      </x:c>
      <x:c r="D37" s="42" t="s">
        <x:v>12</x:v>
      </x:c>
      <x:c r="E37" s="50" t="s">
        <x:v>11</x:v>
      </x:c>
      <x:c r="F37" s="45" t="s">
        <x:v>1860</x:v>
      </x:c>
      <x:c r="G37" s="45" t="s">
        <x:v>1861</x:v>
      </x:c>
    </x:row>
    <x:row r="38" ht="3.9000000953674316" customHeight="1">
      <x:c r="A38" s="119">
        <x:v>32</x:v>
      </x:c>
      <x:c r="B38" s="119" t="s">
        <x:v>63</x:v>
      </x:c>
      <x:c r="C38" s="46" t="s">
        <x:v>11</x:v>
      </x:c>
      <x:c r="D38" s="42" t="s">
        <x:v>12</x:v>
      </x:c>
      <x:c r="E38" s="51" t="s">
        <x:v>1857</x:v>
      </x:c>
      <x:c r="F38" s="47" t="s">
        <x:v>1862</x:v>
      </x:c>
      <x:c r="G38" s="47" t="s">
        <x:v>1863</x:v>
      </x:c>
    </x:row>
    <x:row r="39" ht="6.300000190734863" customHeight="1">
      <x:c r="A39" s="119">
        <x:v>33</x:v>
      </x:c>
      <x:c r="B39" s="119" t="s">
        <x:v>63</x:v>
      </x:c>
      <x:c r="C39" s="44" t="s">
        <x:v>1857</x:v>
      </x:c>
      <x:c r="D39" s="42" t="s">
        <x:v>12</x:v>
      </x:c>
      <x:c r="E39" s="50" t="s">
        <x:v>560</x:v>
      </x:c>
      <x:c r="F39" s="45" t="s">
        <x:v>1864</x:v>
      </x:c>
      <x:c r="G39" s="45" t="s">
        <x:v>1865</x:v>
      </x:c>
    </x:row>
    <x:row r="40" ht="6.300000190734863" customHeight="1">
      <x:c r="A40" s="119">
        <x:v>34</x:v>
      </x:c>
      <x:c r="B40" s="119" t="s">
        <x:v>63</x:v>
      </x:c>
      <x:c r="C40" s="46" t="s">
        <x:v>560</x:v>
      </x:c>
      <x:c r="D40" s="42" t="s">
        <x:v>12</x:v>
      </x:c>
      <x:c r="E40" s="51" t="s">
        <x:v>373</x:v>
      </x:c>
      <x:c r="F40" s="47" t="s">
        <x:v>1866</x:v>
      </x:c>
      <x:c r="G40" s="47" t="s">
        <x:v>1867</x:v>
      </x:c>
    </x:row>
    <x:row r="41" ht="6.900000095367432" customHeight="1">
      <x:c r="A41" s="37">
        <x:v>35</x:v>
      </x:c>
      <x:c r="B41" s="116" t="s">
        <x:v>63</x:v>
      </x:c>
      <x:c r="C41" s="116" t="s">
        <x:v>373</x:v>
      </x:c>
      <x:c r="D41" s="116" t="s">
        <x:v>19</x:v>
      </x:c>
      <x:c r="E41" s="116" t="s">
        <x:v>373</x:v>
      </x:c>
      <x:c r="F41" s="116" t="s">
        <x:v>1868</x:v>
      </x:c>
      <x:c r="G41" s="117" t="s">
        <x:v>1869</x:v>
      </x:c>
    </x:row>
    <x:row r="42" ht="9.300000190734863" customHeight="1">
      <x:c r="A42" s="119">
        <x:v>36</x:v>
      </x:c>
      <x:c r="B42" s="119" t="s">
        <x:v>63</x:v>
      </x:c>
      <x:c r="C42" s="41" t="s">
        <x:v>373</x:v>
      </x:c>
      <x:c r="D42" s="42" t="s">
        <x:v>12</x:v>
      </x:c>
      <x:c r="E42" s="49" t="s">
        <x:v>791</x:v>
      </x:c>
      <x:c r="F42" s="43" t="s">
        <x:v>1870</x:v>
      </x:c>
      <x:c r="G42" s="43" t="s">
        <x:v>1871</x:v>
      </x:c>
    </x:row>
    <x:row r="43" ht="3.9000000953674316" customHeight="1">
      <x:c r="A43" s="119">
        <x:v>37</x:v>
      </x:c>
      <x:c r="B43" s="119" t="s">
        <x:v>63</x:v>
      </x:c>
      <x:c r="C43" s="44" t="s">
        <x:v>791</x:v>
      </x:c>
      <x:c r="D43" s="42" t="s">
        <x:v>53</x:v>
      </x:c>
      <x:c r="E43" s="50" t="s">
        <x:v>373</x:v>
      </x:c>
      <x:c r="F43" s="45" t="s">
        <x:v>1872</x:v>
      </x:c>
      <x:c r="G43" s="45" t="s">
        <x:v>1873</x:v>
      </x:c>
    </x:row>
    <x:row r="44" ht="6.300000190734863" customHeight="1">
      <x:c r="A44" s="119">
        <x:v>38</x:v>
      </x:c>
      <x:c r="B44" s="119" t="s">
        <x:v>63</x:v>
      </x:c>
      <x:c r="C44" s="46" t="s">
        <x:v>373</x:v>
      </x:c>
      <x:c r="D44" s="42" t="s">
        <x:v>12</x:v>
      </x:c>
      <x:c r="E44" s="51" t="s">
        <x:v>797</x:v>
      </x:c>
      <x:c r="F44" s="47" t="s">
        <x:v>1874</x:v>
      </x:c>
      <x:c r="G44" s="47" t="s">
        <x:v>1875</x:v>
      </x:c>
    </x:row>
    <x:row r="45" ht="9.300000190734863" customHeight="1">
      <x:c r="A45" s="119">
        <x:v>39</x:v>
      </x:c>
      <x:c r="B45" s="119" t="s">
        <x:v>63</x:v>
      </x:c>
      <x:c r="C45" s="44" t="s">
        <x:v>797</x:v>
      </x:c>
      <x:c r="D45" s="42" t="s">
        <x:v>53</x:v>
      </x:c>
      <x:c r="E45" s="50" t="s">
        <x:v>373</x:v>
      </x:c>
      <x:c r="F45" s="45" t="s">
        <x:v>799</x:v>
      </x:c>
      <x:c r="G45" s="45" t="s">
        <x:v>1876</x:v>
      </x:c>
    </x:row>
    <x:row r="46" ht="6.900000095367432" customHeight="1">
      <x:c r="A46" s="8">
        <x:v>40</x:v>
      </x:c>
      <x:c r="B46" s="8" t="s">
        <x:v>63</x:v>
      </x:c>
      <x:c r="C46" s="8" t="s">
        <x:v>373</x:v>
      </x:c>
      <x:c r="D46" s="8" t="s">
        <x:v>12</x:v>
      </x:c>
      <x:c r="E46" s="8" t="s">
        <x:v>380</x:v>
      </x:c>
      <x:c r="F46" s="8" t="s">
        <x:v>1877</x:v>
      </x:c>
      <x:c r="G46" s="8" t="s">
        <x:v>1878</x:v>
      </x:c>
    </x:row>
    <x:row r="47" ht="6.900000095367432" customHeight="1">
      <x:c r="A47" s="8">
        <x:v>41</x:v>
      </x:c>
      <x:c r="B47" s="8" t="s">
        <x:v>63</x:v>
      </x:c>
      <x:c r="C47" s="8" t="s">
        <x:v>380</x:v>
      </x:c>
      <x:c r="D47" s="8" t="s">
        <x:v>12</x:v>
      </x:c>
      <x:c r="E47" s="8" t="s">
        <x:v>802</x:v>
      </x:c>
      <x:c r="F47" s="8" t="s">
        <x:v>1879</x:v>
      </x:c>
      <x:c r="G47" s="8" t="s">
        <x:v>1880</x:v>
      </x:c>
    </x:row>
    <x:row r="48" ht="6.900000095367432" customHeight="1">
      <x:c r="A48" s="8">
        <x:v>42</x:v>
      </x:c>
      <x:c r="B48" s="8" t="s">
        <x:v>63</x:v>
      </x:c>
      <x:c r="C48" s="8" t="s">
        <x:v>802</x:v>
      </x:c>
      <x:c r="D48" s="8" t="s">
        <x:v>53</x:v>
      </x:c>
      <x:c r="E48" s="8" t="s">
        <x:v>380</x:v>
      </x:c>
      <x:c r="F48" s="8" t="s">
        <x:v>1881</x:v>
      </x:c>
      <x:c r="G48" s="8" t="s">
        <x:v>1882</x:v>
      </x:c>
    </x:row>
    <x:row r="49" ht="3.9000000953674316" customHeight="1">
      <x:c r="A49" s="8">
        <x:v>43</x:v>
      </x:c>
      <x:c r="B49" s="8" t="s">
        <x:v>63</x:v>
      </x:c>
      <x:c r="C49" s="8" t="s">
        <x:v>380</x:v>
      </x:c>
      <x:c r="D49" s="8" t="s">
        <x:v>53</x:v>
      </x:c>
      <x:c r="E49" s="8" t="s">
        <x:v>373</x:v>
      </x:c>
      <x:c r="F49" s="8" t="s">
        <x:v>1881</x:v>
      </x:c>
      <x:c r="G49" s="8" t="s">
        <x:v>1883</x:v>
      </x:c>
    </x:row>
    <x:row r="50" ht="6.900000095367432" customHeight="1">
      <x:c r="A50" s="8">
        <x:v>44</x:v>
      </x:c>
      <x:c r="B50" s="8" t="s">
        <x:v>63</x:v>
      </x:c>
      <x:c r="C50" s="8" t="s">
        <x:v>373</x:v>
      </x:c>
      <x:c r="D50" s="8" t="s">
        <x:v>53</x:v>
      </x:c>
      <x:c r="E50" s="8" t="s">
        <x:v>560</x:v>
      </x:c>
      <x:c r="F50" s="8" t="s">
        <x:v>1884</x:v>
      </x:c>
      <x:c r="G50" s="8" t="s">
        <x:v>1885</x:v>
      </x:c>
    </x:row>
    <x:row r="51" ht="3.9000000953674316" customHeight="1">
      <x:c r="A51" s="451" t="s">
        <x:v>1886</x:v>
      </x:c>
      <x:c r="B51" s="451"/>
      <x:c r="C51" s="451"/>
      <x:c r="D51" s="451"/>
      <x:c r="E51" s="451"/>
      <x:c r="F51" s="451"/>
      <x:c r="G51" s="451"/>
    </x:row>
    <x:row r="52" ht="6.900000095367432" customHeight="1">
      <x:c r="A52" s="8">
        <x:v>45</x:v>
      </x:c>
      <x:c r="B52" s="8" t="s">
        <x:v>81</x:v>
      </x:c>
      <x:c r="C52" s="8" t="s">
        <x:v>560</x:v>
      </x:c>
      <x:c r="D52" s="8" t="s">
        <x:v>12</x:v>
      </x:c>
      <x:c r="E52" s="8" t="s">
        <x:v>563</x:v>
      </x:c>
      <x:c r="F52" s="8" t="s">
        <x:v>1887</x:v>
      </x:c>
      <x:c r="G52" s="8" t="s">
        <x:v>1888</x:v>
      </x:c>
    </x:row>
    <x:row r="53" ht="6.900000095367432" customHeight="1">
      <x:c r="A53" s="8">
        <x:v>46</x:v>
      </x:c>
      <x:c r="B53" s="8" t="s">
        <x:v>81</x:v>
      </x:c>
      <x:c r="C53" s="8" t="s">
        <x:v>563</x:v>
      </x:c>
      <x:c r="D53" s="8" t="s">
        <x:v>53</x:v>
      </x:c>
      <x:c r="E53" s="8" t="s">
        <x:v>560</x:v>
      </x:c>
      <x:c r="F53" s="8" t="s">
        <x:v>1889</x:v>
      </x:c>
      <x:c r="G53" s="8" t="s">
        <x:v>1890</x:v>
      </x:c>
    </x:row>
    <x:row r="54">
      <x:c r="A54">
        <x:v>47</x:v>
      </x:c>
      <x:c r="B54" t="s">
        <x:v>81</x:v>
      </x:c>
      <x:c r="C54" t="s">
        <x:v>560</x:v>
      </x:c>
      <x:c r="D54" t="s">
        <x:v>12</x:v>
      </x:c>
      <x:c r="E54" t="s">
        <x:v>156</x:v>
      </x:c>
      <x:c r="F54" t="s">
        <x:v>1891</x:v>
      </x:c>
      <x:c r="G54" t="s">
        <x:v>1892</x:v>
      </x:c>
    </x:row>
    <x:row r="55">
      <x:c r="A55">
        <x:v>48</x:v>
      </x:c>
      <x:c r="B55" t="s">
        <x:v>81</x:v>
      </x:c>
      <x:c r="C55" t="s">
        <x:v>156</x:v>
      </x:c>
      <x:c r="D55" t="s">
        <x:v>12</x:v>
      </x:c>
      <x:c r="E55" t="s">
        <x:v>11</x:v>
      </x:c>
      <x:c r="F55" t="s">
        <x:v>1893</x:v>
      </x:c>
      <x:c r="G55" t="s">
        <x:v>1894</x:v>
      </x:c>
    </x:row>
  </x:sheetData>
  <x:mergeCells>
    <x:mergeCell ref="A51:G51"/>
    <x:mergeCell ref="A1:G1"/>
    <x:mergeCell ref="A2:G2"/>
    <x:mergeCell ref="A4:G4"/>
    <x:mergeCell ref="A25:G25"/>
    <x:mergeCell ref="A35:G35"/>
  </x:mergeCells>
  <x:pageMargins left="0.7" right="0.7" top="0.75" bottom="0.75" header="0.3" footer="0.3"/>
</x:worksheet>
</file>

<file path=xl/worksheets/sheet29.xml><?xml version="1.0" encoding="utf-8"?>
<x:worksheet xmlns:x="http://schemas.openxmlformats.org/spreadsheetml/2006/main">
  <x:sheetFormatPr baseColWidth="10" defaultColWidth="9.109375" defaultRowHeight="14.399999618530273"/>
  <x:cols>
    <x:col min="1" max="1" width="7" style="36" customWidth="1"/>
    <x:col min="2" max="2" width="8" style="36" customWidth="1"/>
    <x:col min="3" max="3" width="27" style="36" customWidth="1"/>
    <x:col min="4" max="4" width="18" style="36" customWidth="1"/>
    <x:col min="5" max="5" width="30" style="36" customWidth="1"/>
    <x:col min="6" max="6" width="48" style="36" customWidth="1"/>
    <x:col min="7" max="7" width="92" style="36" customWidth="1"/>
    <x:col min="8" max="8" width="58" style="36" hidden="0" customWidth="1"/>
    <x:col min="9" max="16384" width="9.109375" style="36" customWidth="0"/>
  </x:cols>
  <x:sheetData>
    <x:row r="1" ht="3.9000000953674316" customHeight="1">
      <x:c r="A1" s="470" t="s">
        <x:v>1895</x:v>
      </x:c>
      <x:c r="B1" s="447"/>
      <x:c r="C1" s="447"/>
      <x:c r="D1" s="447"/>
      <x:c r="E1" s="447"/>
      <x:c r="F1" s="447"/>
      <x:c r="G1" s="447"/>
    </x:row>
    <x:row r="2" ht="3.9000000953674316" customHeight="1">
      <x:c r="A2" s="471" t="s">
        <x:v>1896</x:v>
      </x:c>
      <x:c r="B2" s="447"/>
      <x:c r="C2" s="447"/>
      <x:c r="D2" s="447"/>
      <x:c r="E2" s="447"/>
      <x:c r="F2" s="447"/>
      <x:c r="G2" s="447"/>
    </x:row>
    <x:row r="3" ht="3.9000000953674316" customHeight="1">
      <x:c r="A3" s="120" t="s">
        <x:v>2</x:v>
      </x:c>
      <x:c r="B3" s="120" t="s">
        <x:v>3</x:v>
      </x:c>
      <x:c r="C3" s="120" t="s">
        <x:v>4</x:v>
      </x:c>
      <x:c r="D3" s="120" t="s">
        <x:v>5</x:v>
      </x:c>
      <x:c r="E3" s="120" t="s">
        <x:v>6</x:v>
      </x:c>
      <x:c r="F3" s="120" t="s">
        <x:v>7</x:v>
      </x:c>
      <x:c r="G3" s="121" t="s">
        <x:v>8</x:v>
      </x:c>
      <x:c r="H3" t="str">
        <x:v>CONDICIÓN RF65 (NO MVP)</x:v>
      </x:c>
    </x:row>
    <x:row r="4" ht="3.9000000953674316" customHeight="1">
      <x:c r="A4" s="472" t="s">
        <x:v>1897</x:v>
      </x:c>
      <x:c r="B4" s="454"/>
      <x:c r="C4" s="454"/>
      <x:c r="D4" s="454"/>
      <x:c r="E4" s="454"/>
      <x:c r="F4" s="454"/>
      <x:c r="G4" s="454"/>
    </x:row>
    <x:row r="5" ht="3.9000000953674316" customHeight="1">
      <x:c r="A5" s="123">
        <x:v>1</x:v>
      </x:c>
      <x:c r="B5" s="123" t="s">
        <x:v>10</x:v>
      </x:c>
      <x:c r="C5" s="124" t="s">
        <x:v>11</x:v>
      </x:c>
      <x:c r="D5" s="110" t="s">
        <x:v>12</x:v>
      </x:c>
      <x:c r="E5" s="124" t="s">
        <x:v>164</x:v>
      </x:c>
      <x:c r="F5" s="125" t="s">
        <x:v>419</x:v>
      </x:c>
      <x:c r="G5" s="126" t="s">
        <x:v>1898</x:v>
      </x:c>
      <x:c r="H5" s="1071" t="str">
        <x:v>RF65 POST-MVP · CONDICIONADO A APROBACIÓN. SOAT: impedir operación administrativa sobre ELIMINADOS; conservar registros históricos y FK de idVehiculo. Sin aprobación no aplicar filtros ni cambios de BD por RF65.</x:v>
      </x:c>
    </x:row>
    <x:row r="6" ht="3.9000000953674316" customHeight="1">
      <x:c r="A6" s="123">
        <x:v>2</x:v>
      </x:c>
      <x:c r="B6" s="123" t="s">
        <x:v>10</x:v>
      </x:c>
      <x:c r="C6" s="127" t="s">
        <x:v>164</x:v>
      </x:c>
      <x:c r="D6" s="111" t="s">
        <x:v>12</x:v>
      </x:c>
      <x:c r="E6" s="127" t="s">
        <x:v>167</x:v>
      </x:c>
      <x:c r="F6" s="128" t="s">
        <x:v>422</x:v>
      </x:c>
      <x:c r="G6" s="129" t="s">
        <x:v>1899</x:v>
      </x:c>
    </x:row>
    <x:row r="7" ht="3.9000000953674316" customHeight="1">
      <x:c r="A7" s="123">
        <x:v>3</x:v>
      </x:c>
      <x:c r="B7" s="123" t="s">
        <x:v>10</x:v>
      </x:c>
      <x:c r="C7" s="127" t="s">
        <x:v>167</x:v>
      </x:c>
      <x:c r="D7" s="112" t="s">
        <x:v>12</x:v>
      </x:c>
      <x:c r="E7" s="127" t="s">
        <x:v>424</x:v>
      </x:c>
      <x:c r="F7" s="128" t="s">
        <x:v>425</x:v>
      </x:c>
      <x:c r="G7" s="129" t="s">
        <x:v>1811</x:v>
      </x:c>
    </x:row>
    <x:row r="8" ht="3.9000000953674316" customHeight="1">
      <x:c r="A8" s="123">
        <x:v>4</x:v>
      </x:c>
      <x:c r="B8" s="123" t="s">
        <x:v>10</x:v>
      </x:c>
      <x:c r="C8" s="127" t="s">
        <x:v>424</x:v>
      </x:c>
      <x:c r="D8" s="111" t="s">
        <x:v>12</x:v>
      </x:c>
      <x:c r="E8" s="127" t="s">
        <x:v>11</x:v>
      </x:c>
      <x:c r="F8" s="128" t="s">
        <x:v>427</x:v>
      </x:c>
      <x:c r="G8" s="129" t="s">
        <x:v>1812</x:v>
      </x:c>
    </x:row>
    <x:row r="9" ht="3.9000000953674316" customHeight="1">
      <x:c r="A9" s="123">
        <x:v>5</x:v>
      </x:c>
      <x:c r="B9" s="123" t="s">
        <x:v>10</x:v>
      </x:c>
      <x:c r="C9" s="127" t="s">
        <x:v>11</x:v>
      </x:c>
      <x:c r="D9" s="110" t="s">
        <x:v>12</x:v>
      </x:c>
      <x:c r="E9" s="127" t="s">
        <x:v>424</x:v>
      </x:c>
      <x:c r="F9" s="128" t="s">
        <x:v>1813</x:v>
      </x:c>
      <x:c r="G9" s="129" t="s">
        <x:v>1814</x:v>
      </x:c>
    </x:row>
    <x:row r="10" ht="3.9000000953674316" customHeight="1">
      <x:c r="A10" s="123">
        <x:v>6</x:v>
      </x:c>
      <x:c r="B10" s="123" t="s">
        <x:v>10</x:v>
      </x:c>
      <x:c r="C10" s="127" t="s">
        <x:v>424</x:v>
      </x:c>
      <x:c r="D10" s="111" t="s">
        <x:v>12</x:v>
      </x:c>
      <x:c r="E10" s="127" t="s">
        <x:v>908</x:v>
      </x:c>
      <x:c r="F10" s="128" t="s">
        <x:v>1815</x:v>
      </x:c>
      <x:c r="G10" s="129" t="s">
        <x:v>1816</x:v>
      </x:c>
    </x:row>
    <x:row r="11" ht="3.9000000953674316" customHeight="1">
      <x:c r="A11" s="123">
        <x:v>7</x:v>
      </x:c>
      <x:c r="B11" s="123" t="s">
        <x:v>10</x:v>
      </x:c>
      <x:c r="C11" s="127" t="s">
        <x:v>908</x:v>
      </x:c>
      <x:c r="D11" s="112" t="s">
        <x:v>12</x:v>
      </x:c>
      <x:c r="E11" s="127" t="s">
        <x:v>440</x:v>
      </x:c>
      <x:c r="F11" s="128" t="s">
        <x:v>1817</x:v>
      </x:c>
      <x:c r="G11" s="129" t="s">
        <x:v>1818</x:v>
      </x:c>
    </x:row>
    <x:row r="12" ht="3.9000000953674316" customHeight="1">
      <x:c r="A12" s="123">
        <x:v>8</x:v>
      </x:c>
      <x:c r="B12" s="123" t="s">
        <x:v>10</x:v>
      </x:c>
      <x:c r="C12" s="127" t="s">
        <x:v>440</x:v>
      </x:c>
      <x:c r="D12" s="114" t="s">
        <x:v>53</x:v>
      </x:c>
      <x:c r="E12" s="127" t="s">
        <x:v>908</x:v>
      </x:c>
      <x:c r="F12" s="128" t="s">
        <x:v>632</x:v>
      </x:c>
      <x:c r="G12" s="129" t="s">
        <x:v>1285</x:v>
      </x:c>
    </x:row>
    <x:row r="13" ht="3.9000000953674316" customHeight="1">
      <x:c r="A13" s="123">
        <x:v>9</x:v>
      </x:c>
      <x:c r="B13" s="123" t="s">
        <x:v>10</x:v>
      </x:c>
      <x:c r="C13" s="127" t="s">
        <x:v>908</x:v>
      </x:c>
      <x:c r="D13" s="112" t="s">
        <x:v>12</x:v>
      </x:c>
      <x:c r="E13" s="127" t="s">
        <x:v>674</x:v>
      </x:c>
      <x:c r="F13" s="128" t="s">
        <x:v>1819</x:v>
      </x:c>
      <x:c r="G13" s="129" t="s">
        <x:v>1820</x:v>
      </x:c>
    </x:row>
    <x:row r="14" ht="3.9000000953674316" customHeight="1">
      <x:c r="A14" s="123">
        <x:v>10</x:v>
      </x:c>
      <x:c r="B14" s="123" t="s">
        <x:v>10</x:v>
      </x:c>
      <x:c r="C14" s="127" t="s">
        <x:v>674</x:v>
      </x:c>
      <x:c r="D14" s="111" t="s">
        <x:v>12</x:v>
      </x:c>
      <x:c r="E14" s="127" t="s">
        <x:v>11</x:v>
      </x:c>
      <x:c r="F14" s="128" t="s">
        <x:v>1821</x:v>
      </x:c>
      <x:c r="G14" s="129" t="s">
        <x:v>1900</x:v>
      </x:c>
    </x:row>
    <x:row r="15" ht="3.9000000953674316" customHeight="1">
      <x:c r="A15" s="123">
        <x:v>11</x:v>
      </x:c>
      <x:c r="B15" s="123" t="s">
        <x:v>10</x:v>
      </x:c>
      <x:c r="C15" s="127" t="s">
        <x:v>11</x:v>
      </x:c>
      <x:c r="D15" s="110" t="s">
        <x:v>12</x:v>
      </x:c>
      <x:c r="E15" s="127" t="s">
        <x:v>674</x:v>
      </x:c>
      <x:c r="F15" s="128" t="s">
        <x:v>1901</x:v>
      </x:c>
      <x:c r="G15" s="129" t="s">
        <x:v>1902</x:v>
      </x:c>
    </x:row>
    <x:row r="16" ht="3.9000000953674316" customHeight="1">
      <x:c r="A16" s="123">
        <x:v>12</x:v>
      </x:c>
      <x:c r="B16" s="123" t="s">
        <x:v>10</x:v>
      </x:c>
      <x:c r="C16" s="127" t="s">
        <x:v>674</x:v>
      </x:c>
      <x:c r="D16" s="111" t="s">
        <x:v>12</x:v>
      </x:c>
      <x:c r="E16" s="127" t="s">
        <x:v>560</x:v>
      </x:c>
      <x:c r="F16" s="128" t="s">
        <x:v>1903</x:v>
      </x:c>
      <x:c r="G16" s="129" t="s">
        <x:v>1904</x:v>
      </x:c>
    </x:row>
    <x:row r="17" ht="6.300000190734863" customHeight="1">
      <x:c r="A17" s="123">
        <x:v>13</x:v>
      </x:c>
      <x:c r="B17" s="123" t="s">
        <x:v>10</x:v>
      </x:c>
      <x:c r="C17" s="127" t="s">
        <x:v>560</x:v>
      </x:c>
      <x:c r="D17" s="112" t="s">
        <x:v>12</x:v>
      </x:c>
      <x:c r="E17" s="127" t="s">
        <x:v>908</x:v>
      </x:c>
      <x:c r="F17" s="128" t="s">
        <x:v>1827</x:v>
      </x:c>
      <x:c r="G17" s="129" t="s">
        <x:v>1905</x:v>
      </x:c>
    </x:row>
    <x:row r="18" ht="3.9000000953674316" customHeight="1">
      <x:c r="A18" s="123">
        <x:v>14</x:v>
      </x:c>
      <x:c r="B18" s="123" t="s">
        <x:v>10</x:v>
      </x:c>
      <x:c r="C18" s="127" t="s">
        <x:v>908</x:v>
      </x:c>
      <x:c r="D18" s="114" t="s">
        <x:v>12</x:v>
      </x:c>
      <x:c r="E18" s="127" t="s">
        <x:v>440</x:v>
      </x:c>
      <x:c r="F18" s="128" t="s">
        <x:v>630</x:v>
      </x:c>
      <x:c r="G18" s="129" t="s">
        <x:v>1906</x:v>
      </x:c>
    </x:row>
    <x:row r="19" ht="3.9000000953674316" customHeight="1">
      <x:c r="A19" s="123">
        <x:v>15</x:v>
      </x:c>
      <x:c r="B19" s="123" t="s">
        <x:v>10</x:v>
      </x:c>
      <x:c r="C19" s="127" t="s">
        <x:v>440</x:v>
      </x:c>
      <x:c r="D19" s="112" t="s">
        <x:v>53</x:v>
      </x:c>
      <x:c r="E19" s="127" t="s">
        <x:v>908</x:v>
      </x:c>
      <x:c r="F19" s="128" t="s">
        <x:v>1830</x:v>
      </x:c>
      <x:c r="G19" s="129" t="s">
        <x:v>1907</x:v>
      </x:c>
    </x:row>
    <x:row r="20" ht="6.300000190734863" customHeight="1">
      <x:c r="A20" s="123">
        <x:v>16</x:v>
      </x:c>
      <x:c r="B20" s="123" t="s">
        <x:v>10</x:v>
      </x:c>
      <x:c r="C20" s="127" t="s">
        <x:v>908</x:v>
      </x:c>
      <x:c r="D20" s="114" t="s">
        <x:v>53</x:v>
      </x:c>
      <x:c r="E20" s="127" t="s">
        <x:v>560</x:v>
      </x:c>
      <x:c r="F20" s="128" t="s">
        <x:v>1832</x:v>
      </x:c>
      <x:c r="G20" s="129" t="s">
        <x:v>1908</x:v>
      </x:c>
    </x:row>
    <x:row r="21" ht="3.9000000953674316" customHeight="1">
      <x:c r="A21" s="123">
        <x:v>17</x:v>
      </x:c>
      <x:c r="B21" s="123" t="s">
        <x:v>10</x:v>
      </x:c>
      <x:c r="C21" s="127" t="s">
        <x:v>560</x:v>
      </x:c>
      <x:c r="D21" s="112" t="s">
        <x:v>12</x:v>
      </x:c>
      <x:c r="E21" s="127" t="s">
        <x:v>563</x:v>
      </x:c>
      <x:c r="F21" s="128" t="s">
        <x:v>1909</x:v>
      </x:c>
      <x:c r="G21" s="129" t="str">
        <x:v>Consulta SOAT esActual=true del vehículo. Este es el documento actual registrado; su cobertura puede encontrarse VIGENTE, VENCIDA o futura según fechas, sin confundirse con esActual.</x:v>
      </x:c>
    </x:row>
    <x:row r="22" ht="6.300000190734863" customHeight="1">
      <x:c r="A22" s="123">
        <x:v>18</x:v>
      </x:c>
      <x:c r="B22" s="123" t="s">
        <x:v>10</x:v>
      </x:c>
      <x:c r="C22" s="127" t="s">
        <x:v>563</x:v>
      </x:c>
      <x:c r="D22" s="111" t="s">
        <x:v>53</x:v>
      </x:c>
      <x:c r="E22" s="127" t="s">
        <x:v>560</x:v>
      </x:c>
      <x:c r="F22" s="128" t="s">
        <x:v>1910</x:v>
      </x:c>
      <x:c r="G22" s="129" t="s">
        <x:v>1911</x:v>
      </x:c>
    </x:row>
    <x:row r="23" ht="3.9000000953674316" customHeight="1">
      <x:c r="A23" s="122">
        <x:v>19</x:v>
      </x:c>
      <x:c r="B23" s="116" t="s">
        <x:v>10</x:v>
      </x:c>
      <x:c r="C23" s="116" t="s">
        <x:v>560</x:v>
      </x:c>
      <x:c r="D23" s="116" t="s">
        <x:v>12</x:v>
      </x:c>
      <x:c r="E23" s="116" t="s">
        <x:v>1912</x:v>
      </x:c>
      <x:c r="F23" s="116" t="s">
        <x:v>1913</x:v>
      </x:c>
      <x:c r="G23" s="116" t="s">
        <x:v>1820</x:v>
      </x:c>
    </x:row>
    <x:row r="24" ht="3.9000000953674316" customHeight="1">
      <x:c r="A24" s="123">
        <x:v>20</x:v>
      </x:c>
      <x:c r="B24" s="123" t="s">
        <x:v>10</x:v>
      </x:c>
      <x:c r="C24" s="124" t="s">
        <x:v>1912</x:v>
      </x:c>
      <x:c r="D24" s="110" t="s">
        <x:v>12</x:v>
      </x:c>
      <x:c r="E24" s="124" t="s">
        <x:v>11</x:v>
      </x:c>
      <x:c r="F24" s="125" t="s">
        <x:v>1914</x:v>
      </x:c>
      <x:c r="G24" s="126" t="s">
        <x:v>1915</x:v>
      </x:c>
    </x:row>
    <x:row r="25" ht="3.9000000953674316" customHeight="1">
      <x:c r="A25" s="465" t="s">
        <x:v>1916</x:v>
      </x:c>
      <x:c r="B25" s="465"/>
      <x:c r="C25" s="466"/>
      <x:c r="D25" s="473"/>
      <x:c r="E25" s="466"/>
      <x:c r="F25" s="468"/>
      <x:c r="G25" s="469"/>
    </x:row>
    <x:row r="26" ht="3.9000000953674316" customHeight="1">
      <x:c r="A26" s="123">
        <x:v>21</x:v>
      </x:c>
      <x:c r="B26" s="123" t="s">
        <x:v>33</x:v>
      </x:c>
      <x:c r="C26" s="127" t="s">
        <x:v>11</x:v>
      </x:c>
      <x:c r="D26" s="112" t="s">
        <x:v>12</x:v>
      </x:c>
      <x:c r="E26" s="127" t="s">
        <x:v>1912</x:v>
      </x:c>
      <x:c r="F26" s="128" t="s">
        <x:v>1917</x:v>
      </x:c>
      <x:c r="G26" s="129" t="s">
        <x:v>1918</x:v>
      </x:c>
    </x:row>
    <x:row r="27" ht="3.9000000953674316" customHeight="1">
      <x:c r="A27" s="123">
        <x:v>22</x:v>
      </x:c>
      <x:c r="B27" s="123" t="s">
        <x:v>33</x:v>
      </x:c>
      <x:c r="C27" s="127" t="s">
        <x:v>1912</x:v>
      </x:c>
      <x:c r="D27" s="111" t="s">
        <x:v>12</x:v>
      </x:c>
      <x:c r="E27" s="127" t="s">
        <x:v>560</x:v>
      </x:c>
      <x:c r="F27" s="128" t="s">
        <x:v>1919</x:v>
      </x:c>
      <x:c r="G27" s="129" t="s">
        <x:v>1920</x:v>
      </x:c>
    </x:row>
    <x:row r="28" ht="3.9000000953674316" customHeight="1">
      <x:c r="A28" s="123">
        <x:v>23</x:v>
      </x:c>
      <x:c r="B28" s="123" t="s">
        <x:v>33</x:v>
      </x:c>
      <x:c r="C28" s="127" t="s">
        <x:v>560</x:v>
      </x:c>
      <x:c r="D28" s="110" t="s">
        <x:v>12</x:v>
      </x:c>
      <x:c r="E28" s="127" t="s">
        <x:v>1834</x:v>
      </x:c>
      <x:c r="F28" s="128" t="s">
        <x:v>1921</x:v>
      </x:c>
      <x:c r="G28" s="129" t="s">
        <x:v>1922</x:v>
      </x:c>
    </x:row>
    <x:row r="29" ht="3.9000000953674316" customHeight="1">
      <x:c r="A29" s="123">
        <x:v>24</x:v>
      </x:c>
      <x:c r="B29" s="123" t="s">
        <x:v>33</x:v>
      </x:c>
      <x:c r="C29" s="127" t="s">
        <x:v>1834</x:v>
      </x:c>
      <x:c r="D29" s="111" t="s">
        <x:v>12</x:v>
      </x:c>
      <x:c r="E29" s="127" t="s">
        <x:v>11</x:v>
      </x:c>
      <x:c r="F29" s="128" t="s">
        <x:v>1923</x:v>
      </x:c>
      <x:c r="G29" s="129" t="s">
        <x:v>1924</x:v>
      </x:c>
    </x:row>
    <x:row r="30" ht="3.9000000953674316" customHeight="1">
      <x:c r="A30" s="122">
        <x:v>25</x:v>
      </x:c>
      <x:c r="B30" s="116" t="s">
        <x:v>33</x:v>
      </x:c>
      <x:c r="C30" s="116" t="s">
        <x:v>11</x:v>
      </x:c>
      <x:c r="D30" s="116" t="s">
        <x:v>12</x:v>
      </x:c>
      <x:c r="E30" s="116" t="s">
        <x:v>1834</x:v>
      </x:c>
      <x:c r="F30" s="116" t="s">
        <x:v>1925</x:v>
      </x:c>
      <x:c r="G30" s="116" t="s">
        <x:v>1926</x:v>
      </x:c>
    </x:row>
    <x:row r="31" ht="3.9000000953674316" customHeight="1">
      <x:c r="A31" s="123">
        <x:v>26</x:v>
      </x:c>
      <x:c r="B31" s="123" t="s">
        <x:v>33</x:v>
      </x:c>
      <x:c r="C31" s="124" t="s">
        <x:v>1834</x:v>
      </x:c>
      <x:c r="D31" s="112" t="s">
        <x:v>12</x:v>
      </x:c>
      <x:c r="E31" s="124" t="s">
        <x:v>560</x:v>
      </x:c>
      <x:c r="F31" s="125" t="s">
        <x:v>1927</x:v>
      </x:c>
      <x:c r="G31" s="126" t="s">
        <x:v>1928</x:v>
      </x:c>
    </x:row>
    <x:row r="32" ht="3.9000000953674316" customHeight="1">
      <x:c r="A32" s="465" t="s">
        <x:v>1929</x:v>
      </x:c>
      <x:c r="B32" s="465"/>
      <x:c r="C32" s="466"/>
      <x:c r="D32" s="473"/>
      <x:c r="E32" s="466"/>
      <x:c r="F32" s="468"/>
      <x:c r="G32" s="469"/>
    </x:row>
    <x:row r="33" ht="3.9000000953674316" customHeight="1">
      <x:c r="A33" s="123">
        <x:v>27</x:v>
      </x:c>
      <x:c r="B33" s="123" t="s">
        <x:v>63</x:v>
      </x:c>
      <x:c r="C33" s="127" t="s">
        <x:v>560</x:v>
      </x:c>
      <x:c r="D33" s="110" t="s">
        <x:v>12</x:v>
      </x:c>
      <x:c r="E33" s="127" t="s">
        <x:v>1834</x:v>
      </x:c>
      <x:c r="F33" s="128" t="s">
        <x:v>1930</x:v>
      </x:c>
      <x:c r="G33" s="129" t="s">
        <x:v>1931</x:v>
      </x:c>
    </x:row>
    <x:row r="34" ht="3.9000000953674316" customHeight="1">
      <x:c r="A34" s="123">
        <x:v>28</x:v>
      </x:c>
      <x:c r="B34" s="123" t="s">
        <x:v>63</x:v>
      </x:c>
      <x:c r="C34" s="127" t="s">
        <x:v>1834</x:v>
      </x:c>
      <x:c r="D34" s="111" t="s">
        <x:v>12</x:v>
      </x:c>
      <x:c r="E34" s="127" t="s">
        <x:v>11</x:v>
      </x:c>
      <x:c r="F34" s="128" t="s">
        <x:v>1186</x:v>
      </x:c>
      <x:c r="G34" s="129" t="s">
        <x:v>1932</x:v>
      </x:c>
    </x:row>
    <x:row r="35" ht="9.300000190734863" customHeight="1">
      <x:c r="A35" s="123">
        <x:v>29</x:v>
      </x:c>
      <x:c r="B35" s="123" t="s">
        <x:v>63</x:v>
      </x:c>
      <x:c r="C35" s="127" t="s">
        <x:v>11</x:v>
      </x:c>
      <x:c r="D35" s="110" t="s">
        <x:v>12</x:v>
      </x:c>
      <x:c r="E35" s="127" t="s">
        <x:v>1834</x:v>
      </x:c>
      <x:c r="F35" s="128" t="s">
        <x:v>1933</x:v>
      </x:c>
      <x:c r="G35" s="129" t="s">
        <x:v>1934</x:v>
      </x:c>
    </x:row>
    <x:row r="36" ht="3.9000000953674316" customHeight="1">
      <x:c r="A36" s="123">
        <x:v>30</x:v>
      </x:c>
      <x:c r="B36" s="123" t="s">
        <x:v>63</x:v>
      </x:c>
      <x:c r="C36" s="127" t="s">
        <x:v>1834</x:v>
      </x:c>
      <x:c r="D36" s="111" t="s">
        <x:v>12</x:v>
      </x:c>
      <x:c r="E36" s="127" t="s">
        <x:v>11</x:v>
      </x:c>
      <x:c r="F36" s="128" t="s">
        <x:v>1935</x:v>
      </x:c>
      <x:c r="G36" s="129" t="s">
        <x:v>1936</x:v>
      </x:c>
    </x:row>
    <x:row r="37" ht="3.9000000953674316" customHeight="1">
      <x:c r="A37" s="123">
        <x:v>31</x:v>
      </x:c>
      <x:c r="B37" s="123" t="s">
        <x:v>63</x:v>
      </x:c>
      <x:c r="C37" s="127" t="s">
        <x:v>11</x:v>
      </x:c>
      <x:c r="D37" s="112" t="s">
        <x:v>12</x:v>
      </x:c>
      <x:c r="E37" s="127" t="s">
        <x:v>1834</x:v>
      </x:c>
      <x:c r="F37" s="128" t="s">
        <x:v>1937</x:v>
      </x:c>
      <x:c r="G37" s="129" t="s">
        <x:v>1938</x:v>
      </x:c>
    </x:row>
    <x:row r="38" ht="9.300000190734863" customHeight="1">
      <x:c r="A38" s="123">
        <x:v>32</x:v>
      </x:c>
      <x:c r="B38" s="123" t="s">
        <x:v>63</x:v>
      </x:c>
      <x:c r="C38" s="127" t="s">
        <x:v>1834</x:v>
      </x:c>
      <x:c r="D38" s="112" t="s">
        <x:v>12</x:v>
      </x:c>
      <x:c r="E38" s="127" t="s">
        <x:v>560</x:v>
      </x:c>
      <x:c r="F38" s="128" t="s">
        <x:v>1939</x:v>
      </x:c>
      <x:c r="G38" s="129" t="s">
        <x:v>1940</x:v>
      </x:c>
    </x:row>
    <x:row r="39" ht="6.300000190734863" customHeight="1">
      <x:c r="A39" s="123">
        <x:v>33</x:v>
      </x:c>
      <x:c r="B39" s="123" t="s">
        <x:v>63</x:v>
      </x:c>
      <x:c r="C39" s="127" t="s">
        <x:v>560</x:v>
      </x:c>
      <x:c r="D39" s="114" t="s">
        <x:v>19</x:v>
      </x:c>
      <x:c r="E39" s="127" t="s">
        <x:v>560</x:v>
      </x:c>
      <x:c r="F39" s="128" t="s">
        <x:v>1941</x:v>
      </x:c>
      <x:c r="G39" s="129" t="s">
        <x:v>1942</x:v>
      </x:c>
    </x:row>
    <x:row r="40" ht="6.300000190734863" customHeight="1">
      <x:c r="A40" s="123">
        <x:v>34</x:v>
      </x:c>
      <x:c r="B40" s="123" t="s">
        <x:v>63</x:v>
      </x:c>
      <x:c r="C40" s="127" t="s">
        <x:v>560</x:v>
      </x:c>
      <x:c r="D40" s="112" t="s">
        <x:v>19</x:v>
      </x:c>
      <x:c r="E40" s="127" t="s">
        <x:v>560</x:v>
      </x:c>
      <x:c r="F40" s="128" t="s">
        <x:v>1851</x:v>
      </x:c>
      <x:c r="G40" s="129" t="s">
        <x:v>1943</x:v>
      </x:c>
    </x:row>
    <x:row r="41" ht="9.300000190734863" customHeight="1">
      <x:c r="A41" s="123">
        <x:v>35</x:v>
      </x:c>
      <x:c r="B41" s="123" t="s">
        <x:v>63</x:v>
      </x:c>
      <x:c r="C41" s="127" t="s">
        <x:v>560</x:v>
      </x:c>
      <x:c r="D41" s="112" t="s">
        <x:v>12</x:v>
      </x:c>
      <x:c r="E41" s="127" t="s">
        <x:v>563</x:v>
      </x:c>
      <x:c r="F41" s="128" t="s">
        <x:v>1944</x:v>
      </x:c>
      <x:c r="G41" s="129" t="str">
        <x:v>Actualiza los datos del SOAT ACTUAL identificado por idSOAT, sin insertar otra versión ni tocar los históricos. Mantiene esActual=true y reevalúa cobertura y recordatorios por fechas.</x:v>
      </x:c>
    </x:row>
    <x:row r="42" ht="3.9000000953674316" customHeight="1">
      <x:c r="A42" s="123">
        <x:v>36</x:v>
      </x:c>
      <x:c r="B42" s="123" t="s">
        <x:v>63</x:v>
      </x:c>
      <x:c r="C42" s="127" t="s">
        <x:v>563</x:v>
      </x:c>
      <x:c r="D42" s="114" t="s">
        <x:v>53</x:v>
      </x:c>
      <x:c r="E42" s="127" t="s">
        <x:v>560</x:v>
      </x:c>
      <x:c r="F42" s="128" t="s">
        <x:v>1945</x:v>
      </x:c>
      <x:c r="G42" s="129" t="s">
        <x:v>1946</x:v>
      </x:c>
    </x:row>
    <x:row r="43" ht="6.300000190734863" customHeight="1">
      <x:c r="A43" s="123">
        <x:v>37</x:v>
      </x:c>
      <x:c r="B43" s="123" t="s">
        <x:v>63</x:v>
      </x:c>
      <x:c r="C43" s="127" t="s">
        <x:v>560</x:v>
      </x:c>
      <x:c r="D43" s="112" t="s">
        <x:v>12</x:v>
      </x:c>
      <x:c r="E43" s="127" t="s">
        <x:v>373</x:v>
      </x:c>
      <x:c r="F43" s="128" t="s">
        <x:v>1947</x:v>
      </x:c>
      <x:c r="G43" s="129" t="s">
        <x:v>1948</x:v>
      </x:c>
    </x:row>
    <x:row r="44" ht="9.300000190734863" customHeight="1">
      <x:c r="A44" s="123">
        <x:v>38</x:v>
      </x:c>
      <x:c r="B44" s="123" t="s">
        <x:v>63</x:v>
      </x:c>
      <x:c r="C44" s="127" t="s">
        <x:v>373</x:v>
      </x:c>
      <x:c r="D44" s="112" t="s">
        <x:v>12</x:v>
      </x:c>
      <x:c r="E44" s="127" t="s">
        <x:v>791</x:v>
      </x:c>
      <x:c r="F44" s="128" t="s">
        <x:v>1949</x:v>
      </x:c>
      <x:c r="G44" s="129" t="s">
        <x:v>1950</x:v>
      </x:c>
    </x:row>
    <x:row r="45" ht="6.300000190734863" customHeight="1">
      <x:c r="A45" s="123">
        <x:v>39</x:v>
      </x:c>
      <x:c r="B45" s="123" t="s">
        <x:v>63</x:v>
      </x:c>
      <x:c r="C45" s="127" t="s">
        <x:v>791</x:v>
      </x:c>
      <x:c r="D45" s="114" t="s">
        <x:v>53</x:v>
      </x:c>
      <x:c r="E45" s="127" t="s">
        <x:v>373</x:v>
      </x:c>
      <x:c r="F45" s="128" t="s">
        <x:v>1951</x:v>
      </x:c>
      <x:c r="G45" s="129" t="s">
        <x:v>1952</x:v>
      </x:c>
    </x:row>
    <x:row r="46" ht="6.300000190734863" customHeight="1">
      <x:c r="A46" s="123">
        <x:v>40</x:v>
      </x:c>
      <x:c r="B46" s="123" t="s">
        <x:v>63</x:v>
      </x:c>
      <x:c r="C46" s="130" t="s">
        <x:v>373</x:v>
      </x:c>
      <x:c r="D46" s="131" t="s">
        <x:v>12</x:v>
      </x:c>
      <x:c r="E46" s="130" t="s">
        <x:v>797</x:v>
      </x:c>
      <x:c r="F46" s="130" t="s">
        <x:v>1953</x:v>
      </x:c>
      <x:c r="G46" s="130" t="s">
        <x:v>1954</x:v>
      </x:c>
    </x:row>
    <x:row r="47" ht="6.300000190734863" customHeight="1">
      <x:c r="A47" s="123">
        <x:v>41</x:v>
      </x:c>
      <x:c r="B47" s="123" t="s">
        <x:v>63</x:v>
      </x:c>
      <x:c r="C47" s="124" t="s">
        <x:v>797</x:v>
      </x:c>
      <x:c r="D47" s="112" t="s">
        <x:v>53</x:v>
      </x:c>
      <x:c r="E47" s="124" t="s">
        <x:v>373</x:v>
      </x:c>
      <x:c r="F47" s="125" t="s">
        <x:v>1955</x:v>
      </x:c>
      <x:c r="G47" s="126" t="s">
        <x:v>1956</x:v>
      </x:c>
    </x:row>
    <x:row r="48" ht="3.9000000953674316" customHeight="1">
      <x:c r="A48" s="123">
        <x:v>42</x:v>
      </x:c>
      <x:c r="B48" s="123" t="s">
        <x:v>63</x:v>
      </x:c>
      <x:c r="C48" s="127" t="s">
        <x:v>373</x:v>
      </x:c>
      <x:c r="D48" s="112" t="s">
        <x:v>12</x:v>
      </x:c>
      <x:c r="E48" s="127" t="s">
        <x:v>380</x:v>
      </x:c>
      <x:c r="F48" s="128" t="s">
        <x:v>1957</x:v>
      </x:c>
      <x:c r="G48" s="129" t="s">
        <x:v>1958</x:v>
      </x:c>
    </x:row>
    <x:row r="49" ht="3.9000000953674316" customHeight="1">
      <x:c r="A49" s="123">
        <x:v>43</x:v>
      </x:c>
      <x:c r="B49" s="123" t="s">
        <x:v>63</x:v>
      </x:c>
      <x:c r="C49" s="127" t="s">
        <x:v>380</x:v>
      </x:c>
      <x:c r="D49" s="111" t="s">
        <x:v>12</x:v>
      </x:c>
      <x:c r="E49" s="127" t="s">
        <x:v>802</x:v>
      </x:c>
      <x:c r="F49" s="128" t="s">
        <x:v>1959</x:v>
      </x:c>
      <x:c r="G49" s="129" t="s">
        <x:v>1960</x:v>
      </x:c>
    </x:row>
    <x:row r="50" ht="6.900000095367432" customHeight="1">
      <x:c r="A50" s="132">
        <x:v>44</x:v>
      </x:c>
      <x:c r="B50" s="133" t="s">
        <x:v>63</x:v>
      </x:c>
      <x:c r="C50" s="133" t="s">
        <x:v>802</x:v>
      </x:c>
      <x:c r="D50" s="133" t="s">
        <x:v>53</x:v>
      </x:c>
      <x:c r="E50" s="133" t="s">
        <x:v>380</x:v>
      </x:c>
      <x:c r="F50" s="133" t="s">
        <x:v>1881</x:v>
      </x:c>
      <x:c r="G50" s="134" t="s">
        <x:v>1961</x:v>
      </x:c>
    </x:row>
    <x:row r="51" ht="6.300000190734863" customHeight="1">
      <x:c r="A51" s="123">
        <x:v>45</x:v>
      </x:c>
      <x:c r="B51" s="123" t="s">
        <x:v>63</x:v>
      </x:c>
      <x:c r="C51" s="127" t="s">
        <x:v>380</x:v>
      </x:c>
      <x:c r="D51" s="112" t="s">
        <x:v>53</x:v>
      </x:c>
      <x:c r="E51" s="127" t="s">
        <x:v>373</x:v>
      </x:c>
      <x:c r="F51" s="128" t="s">
        <x:v>1881</x:v>
      </x:c>
      <x:c r="G51" s="129" t="s">
        <x:v>1962</x:v>
      </x:c>
    </x:row>
    <x:row r="52" ht="3.9000000953674316" customHeight="1">
      <x:c r="A52" s="123">
        <x:v>46</x:v>
      </x:c>
      <x:c r="B52" s="123" t="s">
        <x:v>63</x:v>
      </x:c>
      <x:c r="C52" s="127" t="s">
        <x:v>373</x:v>
      </x:c>
      <x:c r="D52" s="111" t="s">
        <x:v>53</x:v>
      </x:c>
      <x:c r="E52" s="127" t="s">
        <x:v>560</x:v>
      </x:c>
      <x:c r="F52" s="128" t="s">
        <x:v>1963</x:v>
      </x:c>
      <x:c r="G52" s="129" t="s">
        <x:v>1964</x:v>
      </x:c>
    </x:row>
    <x:row r="53" ht="3.9000000953674316" customHeight="1">
      <x:c r="A53" s="123">
        <x:v>47</x:v>
      </x:c>
      <x:c r="B53" s="123" t="s">
        <x:v>63</x:v>
      </x:c>
      <x:c r="C53" s="127" t="s">
        <x:v>560</x:v>
      </x:c>
      <x:c r="D53" s="110" t="s">
        <x:v>12</x:v>
      </x:c>
      <x:c r="E53" s="127" t="s">
        <x:v>1912</x:v>
      </x:c>
      <x:c r="F53" s="128" t="s">
        <x:v>1965</x:v>
      </x:c>
      <x:c r="G53" s="129" t="s">
        <x:v>1966</x:v>
      </x:c>
    </x:row>
    <x:row r="54" ht="3.9000000953674316" customHeight="1">
      <x:c r="A54" s="123">
        <x:v>48</x:v>
      </x:c>
      <x:c r="B54" s="123" t="s">
        <x:v>63</x:v>
      </x:c>
      <x:c r="C54" s="127" t="s">
        <x:v>1912</x:v>
      </x:c>
      <x:c r="D54" s="111" t="s">
        <x:v>12</x:v>
      </x:c>
      <x:c r="E54" s="127" t="s">
        <x:v>11</x:v>
      </x:c>
      <x:c r="F54" s="128" t="s">
        <x:v>1967</x:v>
      </x:c>
      <x:c r="G54" s="129" t="s">
        <x:v>1968</x:v>
      </x:c>
    </x:row>
    <x:row r="55" ht="3.9000000953674316" customHeight="1">
      <x:c r="A55" s="465" t="s">
        <x:v>1969</x:v>
      </x:c>
      <x:c r="B55" s="465"/>
      <x:c r="C55" s="466"/>
      <x:c r="D55" s="467"/>
      <x:c r="E55" s="466"/>
      <x:c r="F55" s="468"/>
      <x:c r="G55" s="469"/>
    </x:row>
    <x:row r="56" ht="6.300000190734863" customHeight="1">
      <x:c r="A56" s="123">
        <x:v>49</x:v>
      </x:c>
      <x:c r="B56" s="123" t="s">
        <x:v>81</x:v>
      </x:c>
      <x:c r="C56" s="127" t="s">
        <x:v>560</x:v>
      </x:c>
      <x:c r="D56" s="111" t="s">
        <x:v>12</x:v>
      </x:c>
      <x:c r="E56" s="127" t="s">
        <x:v>1834</x:v>
      </x:c>
      <x:c r="F56" s="128" t="s">
        <x:v>1970</x:v>
      </x:c>
      <x:c r="G56" s="129" t="s">
        <x:v>1971</x:v>
      </x:c>
    </x:row>
    <x:row r="57" ht="3.9000000953674316" customHeight="1">
      <x:c r="A57" s="123">
        <x:v>50</x:v>
      </x:c>
      <x:c r="B57" s="123" t="s">
        <x:v>81</x:v>
      </x:c>
      <x:c r="C57" s="127" t="s">
        <x:v>1834</x:v>
      </x:c>
      <x:c r="D57" s="112" t="s">
        <x:v>12</x:v>
      </x:c>
      <x:c r="E57" s="127" t="s">
        <x:v>11</x:v>
      </x:c>
      <x:c r="F57" s="128" t="s">
        <x:v>1972</x:v>
      </x:c>
      <x:c r="G57" s="129" t="s">
        <x:v>1973</x:v>
      </x:c>
    </x:row>
    <x:row r="58" ht="3.9000000953674316" customHeight="1">
      <x:c r="A58" s="123">
        <x:v>51</x:v>
      </x:c>
      <x:c r="B58" s="123" t="s">
        <x:v>81</x:v>
      </x:c>
      <x:c r="C58" s="127" t="s">
        <x:v>11</x:v>
      </x:c>
      <x:c r="D58" s="112" t="s">
        <x:v>12</x:v>
      </x:c>
      <x:c r="E58" s="127" t="s">
        <x:v>1834</x:v>
      </x:c>
      <x:c r="F58" s="128" t="s">
        <x:v>1974</x:v>
      </x:c>
      <x:c r="G58" s="129" t="s">
        <x:v>1975</x:v>
      </x:c>
    </x:row>
    <x:row r="59" ht="3.9000000953674316" customHeight="1">
      <x:c r="A59" s="123">
        <x:v>52</x:v>
      </x:c>
      <x:c r="B59" s="123" t="s">
        <x:v>81</x:v>
      </x:c>
      <x:c r="C59" s="127" t="s">
        <x:v>1834</x:v>
      </x:c>
      <x:c r="D59" s="114" t="s">
        <x:v>12</x:v>
      </x:c>
      <x:c r="E59" s="127" t="s">
        <x:v>11</x:v>
      </x:c>
      <x:c r="F59" s="128" t="s">
        <x:v>1976</x:v>
      </x:c>
      <x:c r="G59" s="129" t="s">
        <x:v>1977</x:v>
      </x:c>
    </x:row>
    <x:row r="60" ht="6.300000190734863" customHeight="1">
      <x:c r="A60" s="123">
        <x:v>53</x:v>
      </x:c>
      <x:c r="B60" s="123" t="s">
        <x:v>81</x:v>
      </x:c>
      <x:c r="C60" s="127" t="s">
        <x:v>11</x:v>
      </x:c>
      <x:c r="D60" s="112" t="s">
        <x:v>12</x:v>
      </x:c>
      <x:c r="E60" s="127" t="s">
        <x:v>1834</x:v>
      </x:c>
      <x:c r="F60" s="128" t="s">
        <x:v>1978</x:v>
      </x:c>
      <x:c r="G60" s="129" t="s">
        <x:v>1979</x:v>
      </x:c>
    </x:row>
    <x:row r="61" ht="6.300000190734863" customHeight="1">
      <x:c r="A61" s="123">
        <x:v>54</x:v>
      </x:c>
      <x:c r="B61" s="123" t="s">
        <x:v>81</x:v>
      </x:c>
      <x:c r="C61" s="127" t="s">
        <x:v>1834</x:v>
      </x:c>
      <x:c r="D61" s="112" t="s">
        <x:v>12</x:v>
      </x:c>
      <x:c r="E61" s="127" t="s">
        <x:v>560</x:v>
      </x:c>
      <x:c r="F61" s="128" t="s">
        <x:v>1980</x:v>
      </x:c>
      <x:c r="G61" s="129" t="s">
        <x:v>1981</x:v>
      </x:c>
    </x:row>
    <x:row r="62" ht="3.9000000953674316" customHeight="1">
      <x:c r="A62" s="123">
        <x:v>55</x:v>
      </x:c>
      <x:c r="B62" s="123" t="s">
        <x:v>81</x:v>
      </x:c>
      <x:c r="C62" s="127" t="s">
        <x:v>560</x:v>
      </x:c>
      <x:c r="D62" s="114" t="s">
        <x:v>19</x:v>
      </x:c>
      <x:c r="E62" s="127" t="s">
        <x:v>560</x:v>
      </x:c>
      <x:c r="F62" s="128" t="s">
        <x:v>1982</x:v>
      </x:c>
      <x:c r="G62" s="129" t="s">
        <x:v>1983</x:v>
      </x:c>
    </x:row>
    <x:row r="63" ht="6.300000190734863" customHeight="1">
      <x:c r="A63" s="123">
        <x:v>56</x:v>
      </x:c>
      <x:c r="B63" s="123" t="s">
        <x:v>81</x:v>
      </x:c>
      <x:c r="C63" s="127" t="s">
        <x:v>560</x:v>
      </x:c>
      <x:c r="D63" s="112" t="s">
        <x:v>12</x:v>
      </x:c>
      <x:c r="E63" s="127" t="s">
        <x:v>563</x:v>
      </x:c>
      <x:c r="F63" s="128" t="str">
        <x:v>registrarRenovacionSOATAtomica(idVehiculo,idSOATAnterior,datosRenovacion,recordatorioActivo)</x:v>
      </x:c>
      <x:c r="G63" s="129" t="str">
        <x:v>En UNA transacción bloquear el conjunto de SOAT del vehículo, marcar esActual=false para idSOATAnterior y conservarlo HISTÓRICO; insertar idSOATNuevo con esActual=true y datos de renovación. Nunca dos ACTUALES ni borrado de vigencias antiguas. Si la nueva fechaInicio es futura, cobertura efectiva a fecha actual se calcula por periodos y no por esActual.</x:v>
      </x:c>
    </x:row>
    <x:row r="64" ht="9.300000190734863" customHeight="1">
      <x:c r="A64" s="123">
        <x:v>57</x:v>
      </x:c>
      <x:c r="B64" s="123" t="s">
        <x:v>81</x:v>
      </x:c>
      <x:c r="C64" s="127" t="s">
        <x:v>563</x:v>
      </x:c>
      <x:c r="D64" s="112" t="s">
        <x:v>53</x:v>
      </x:c>
      <x:c r="E64" s="127" t="s">
        <x:v>560</x:v>
      </x:c>
      <x:c r="F64" s="128" t="s">
        <x:v>1984</x:v>
      </x:c>
      <x:c r="G64" s="129" t="str">
        <x:v>Confirma idSOATNuevo como ÚNICO ACTUAL y idSOATAnterior conservado HISTÓRICO; transición documental atómica antes de sincronizar seguimiento y notificaciones.</x:v>
      </x:c>
    </x:row>
    <x:row r="65" ht="6.300000190734863" customHeight="1">
      <x:c r="A65" s="123">
        <x:v>58</x:v>
      </x:c>
      <x:c r="B65" s="123" t="s">
        <x:v>81</x:v>
      </x:c>
      <x:c r="C65" s="127" t="s">
        <x:v>560</x:v>
      </x:c>
      <x:c r="D65" s="114" t="s">
        <x:v>12</x:v>
      </x:c>
      <x:c r="E65" s="127" t="s">
        <x:v>373</x:v>
      </x:c>
      <x:c r="F65" s="128" t="s">
        <x:v>1985</x:v>
      </x:c>
      <x:c r="G65" s="129" t="s">
        <x:v>1986</x:v>
      </x:c>
    </x:row>
    <x:row r="66" ht="9.300000190734863" customHeight="1">
      <x:c r="A66" s="123">
        <x:v>59</x:v>
      </x:c>
      <x:c r="B66" s="123" t="s">
        <x:v>81</x:v>
      </x:c>
      <x:c r="C66" s="130" t="s">
        <x:v>373</x:v>
      </x:c>
      <x:c r="D66" s="131" t="s">
        <x:v>12</x:v>
      </x:c>
      <x:c r="E66" s="130" t="s">
        <x:v>791</x:v>
      </x:c>
      <x:c r="F66" s="130" t="s">
        <x:v>1987</x:v>
      </x:c>
      <x:c r="G66" s="130" t="s">
        <x:v>1988</x:v>
      </x:c>
    </x:row>
    <x:row r="67" ht="9.300000190734863" customHeight="1">
      <x:c r="A67" s="123">
        <x:v>60</x:v>
      </x:c>
      <x:c r="B67" s="123" t="s">
        <x:v>81</x:v>
      </x:c>
      <x:c r="C67" s="124" t="s">
        <x:v>791</x:v>
      </x:c>
      <x:c r="D67" s="112" t="s">
        <x:v>53</x:v>
      </x:c>
      <x:c r="E67" s="124" t="s">
        <x:v>373</x:v>
      </x:c>
      <x:c r="F67" s="125" t="s">
        <x:v>1989</x:v>
      </x:c>
      <x:c r="G67" s="126" t="s">
        <x:v>1990</x:v>
      </x:c>
    </x:row>
    <x:row r="68" ht="3.9000000953674316" customHeight="1">
      <x:c r="A68" s="123">
        <x:v>61</x:v>
      </x:c>
      <x:c r="B68" s="123" t="s">
        <x:v>81</x:v>
      </x:c>
      <x:c r="C68" s="127" t="s">
        <x:v>373</x:v>
      </x:c>
      <x:c r="D68" s="114" t="s">
        <x:v>12</x:v>
      </x:c>
      <x:c r="E68" s="127" t="s">
        <x:v>797</x:v>
      </x:c>
      <x:c r="F68" s="128" t="s">
        <x:v>1991</x:v>
      </x:c>
      <x:c r="G68" s="129" t="s">
        <x:v>1992</x:v>
      </x:c>
    </x:row>
    <x:row r="69" ht="3.9000000953674316" customHeight="1">
      <x:c r="A69" s="123">
        <x:v>62</x:v>
      </x:c>
      <x:c r="B69" s="123" t="s">
        <x:v>81</x:v>
      </x:c>
      <x:c r="C69" s="113" t="s">
        <x:v>797</x:v>
      </x:c>
      <x:c r="D69" s="112" t="s">
        <x:v>53</x:v>
      </x:c>
      <x:c r="E69" s="113" t="s">
        <x:v>373</x:v>
      </x:c>
      <x:c r="F69" s="113" t="s">
        <x:v>1993</x:v>
      </x:c>
      <x:c r="G69" s="113" t="s">
        <x:v>1994</x:v>
      </x:c>
    </x:row>
    <x:row r="70" ht="6.300000190734863" customHeight="1">
      <x:c r="A70" s="123">
        <x:v>63</x:v>
      </x:c>
      <x:c r="B70" s="123" t="s">
        <x:v>81</x:v>
      </x:c>
      <x:c r="C70" s="113" t="s">
        <x:v>373</x:v>
      </x:c>
      <x:c r="D70" s="112" t="s">
        <x:v>12</x:v>
      </x:c>
      <x:c r="E70" s="113" t="s">
        <x:v>380</x:v>
      </x:c>
      <x:c r="F70" s="113" t="s">
        <x:v>1995</x:v>
      </x:c>
      <x:c r="G70" s="113" t="s">
        <x:v>1996</x:v>
      </x:c>
    </x:row>
    <x:row r="71" ht="6.300000190734863" customHeight="1">
      <x:c r="A71" s="123">
        <x:v>64</x:v>
      </x:c>
      <x:c r="B71" s="123" t="s">
        <x:v>81</x:v>
      </x:c>
      <x:c r="C71" s="113" t="s">
        <x:v>380</x:v>
      </x:c>
      <x:c r="D71" s="114" t="s">
        <x:v>12</x:v>
      </x:c>
      <x:c r="E71" s="113" t="s">
        <x:v>802</x:v>
      </x:c>
      <x:c r="F71" s="113" t="s">
        <x:v>1997</x:v>
      </x:c>
      <x:c r="G71" s="113" t="s">
        <x:v>1998</x:v>
      </x:c>
    </x:row>
    <x:row r="72" ht="6.300000190734863" customHeight="1">
      <x:c r="A72" s="123">
        <x:v>65</x:v>
      </x:c>
      <x:c r="B72" s="123" t="s">
        <x:v>81</x:v>
      </x:c>
      <x:c r="C72" s="113" t="s">
        <x:v>802</x:v>
      </x:c>
      <x:c r="D72" s="112" t="s">
        <x:v>53</x:v>
      </x:c>
      <x:c r="E72" s="113" t="s">
        <x:v>380</x:v>
      </x:c>
      <x:c r="F72" s="113" t="s">
        <x:v>1999</x:v>
      </x:c>
      <x:c r="G72" s="113" t="s">
        <x:v>2000</x:v>
      </x:c>
    </x:row>
    <x:row r="73" ht="9.300000190734863" customHeight="1">
      <x:c r="A73" s="123">
        <x:v>66</x:v>
      </x:c>
      <x:c r="B73" s="123" t="s">
        <x:v>81</x:v>
      </x:c>
      <x:c r="C73" s="113" t="s">
        <x:v>380</x:v>
      </x:c>
      <x:c r="D73" s="112" t="s">
        <x:v>53</x:v>
      </x:c>
      <x:c r="E73" s="113" t="s">
        <x:v>373</x:v>
      </x:c>
      <x:c r="F73" s="113" t="s">
        <x:v>2001</x:v>
      </x:c>
      <x:c r="G73" s="113" t="s">
        <x:v>2002</x:v>
      </x:c>
    </x:row>
    <x:row r="74" ht="3.9000000953674316" customHeight="1">
      <x:c r="A74" s="115">
        <x:v>67</x:v>
      </x:c>
      <x:c r="B74" s="52" t="s">
        <x:v>81</x:v>
      </x:c>
      <x:c r="C74" s="52" t="s">
        <x:v>373</x:v>
      </x:c>
      <x:c r="D74" s="52" t="s">
        <x:v>12</x:v>
      </x:c>
      <x:c r="E74" s="52" t="s">
        <x:v>791</x:v>
      </x:c>
      <x:c r="F74" s="52" t="s">
        <x:v>2003</x:v>
      </x:c>
      <x:c r="G74" s="52" t="s">
        <x:v>2004</x:v>
      </x:c>
    </x:row>
    <x:row r="75" ht="3.9000000953674316" customHeight="1">
      <x:c r="A75" s="110">
        <x:v>68</x:v>
      </x:c>
      <x:c r="B75" s="110" t="s">
        <x:v>81</x:v>
      </x:c>
      <x:c r="C75" s="113" t="s">
        <x:v>791</x:v>
      </x:c>
      <x:c r="D75" s="112" t="s">
        <x:v>53</x:v>
      </x:c>
      <x:c r="E75" s="113" t="s">
        <x:v>373</x:v>
      </x:c>
      <x:c r="F75" s="113" t="s">
        <x:v>2005</x:v>
      </x:c>
      <x:c r="G75" s="113" t="s">
        <x:v>2006</x:v>
      </x:c>
    </x:row>
    <x:row r="76" ht="3.9000000953674316" customHeight="1">
      <x:c r="A76" s="110">
        <x:v>69</x:v>
      </x:c>
      <x:c r="B76" s="110" t="s">
        <x:v>81</x:v>
      </x:c>
      <x:c r="C76" s="113" t="s">
        <x:v>373</x:v>
      </x:c>
      <x:c r="D76" s="111" t="s">
        <x:v>12</x:v>
      </x:c>
      <x:c r="E76" s="113" t="s">
        <x:v>797</x:v>
      </x:c>
      <x:c r="F76" s="113" t="s">
        <x:v>2007</x:v>
      </x:c>
      <x:c r="G76" s="113" t="s">
        <x:v>2008</x:v>
      </x:c>
    </x:row>
    <x:row r="77" ht="3.9000000953674316" customHeight="1">
      <x:c r="A77" s="8">
        <x:v>70</x:v>
      </x:c>
      <x:c r="B77" s="8" t="s">
        <x:v>81</x:v>
      </x:c>
      <x:c r="C77" s="8" t="s">
        <x:v>797</x:v>
      </x:c>
      <x:c r="D77" s="8" t="s">
        <x:v>53</x:v>
      </x:c>
      <x:c r="E77" s="8" t="s">
        <x:v>373</x:v>
      </x:c>
      <x:c r="F77" s="8" t="s">
        <x:v>2009</x:v>
      </x:c>
      <x:c r="G77" s="8" t="s">
        <x:v>2010</x:v>
      </x:c>
    </x:row>
    <x:row r="78" ht="3.9000000953674316" customHeight="1">
      <x:c r="A78" s="8">
        <x:v>71</x:v>
      </x:c>
      <x:c r="B78" s="8" t="s">
        <x:v>81</x:v>
      </x:c>
      <x:c r="C78" s="8" t="s">
        <x:v>373</x:v>
      </x:c>
      <x:c r="D78" s="8" t="s">
        <x:v>12</x:v>
      </x:c>
      <x:c r="E78" s="8" t="s">
        <x:v>380</x:v>
      </x:c>
      <x:c r="F78" s="8" t="s">
        <x:v>2011</x:v>
      </x:c>
      <x:c r="G78" s="8" t="s">
        <x:v>2012</x:v>
      </x:c>
    </x:row>
    <x:row r="79" ht="3.9000000953674316" customHeight="1">
      <x:c r="A79" s="8">
        <x:v>72</x:v>
      </x:c>
      <x:c r="B79" s="8" t="s">
        <x:v>81</x:v>
      </x:c>
      <x:c r="C79" s="8" t="s">
        <x:v>380</x:v>
      </x:c>
      <x:c r="D79" s="8" t="s">
        <x:v>12</x:v>
      </x:c>
      <x:c r="E79" s="8" t="s">
        <x:v>802</x:v>
      </x:c>
      <x:c r="F79" s="8" t="s">
        <x:v>2013</x:v>
      </x:c>
      <x:c r="G79" s="8" t="s">
        <x:v>2014</x:v>
      </x:c>
    </x:row>
    <x:row r="80">
      <x:c r="A80">
        <x:v>73</x:v>
      </x:c>
      <x:c r="B80" t="s">
        <x:v>81</x:v>
      </x:c>
      <x:c r="C80" t="s">
        <x:v>802</x:v>
      </x:c>
      <x:c r="D80" t="s">
        <x:v>53</x:v>
      </x:c>
      <x:c r="E80" t="s">
        <x:v>380</x:v>
      </x:c>
      <x:c r="F80" t="s">
        <x:v>2015</x:v>
      </x:c>
      <x:c r="G80" t="s">
        <x:v>2016</x:v>
      </x:c>
    </x:row>
    <x:row r="81">
      <x:c r="A81">
        <x:v>74</x:v>
      </x:c>
      <x:c r="B81" t="s">
        <x:v>81</x:v>
      </x:c>
      <x:c r="C81" t="s">
        <x:v>380</x:v>
      </x:c>
      <x:c r="D81" t="s">
        <x:v>53</x:v>
      </x:c>
      <x:c r="E81" t="s">
        <x:v>373</x:v>
      </x:c>
      <x:c r="F81" t="s">
        <x:v>2015</x:v>
      </x:c>
      <x:c r="G81" t="s">
        <x:v>1962</x:v>
      </x:c>
    </x:row>
    <x:row r="82">
      <x:c r="A82">
        <x:v>75</x:v>
      </x:c>
      <x:c r="B82" t="s">
        <x:v>81</x:v>
      </x:c>
      <x:c r="C82" t="s">
        <x:v>373</x:v>
      </x:c>
      <x:c r="D82" t="s">
        <x:v>53</x:v>
      </x:c>
      <x:c r="E82" t="s">
        <x:v>560</x:v>
      </x:c>
      <x:c r="F82" t="s">
        <x:v>2017</x:v>
      </x:c>
      <x:c r="G82" t="s">
        <x:v>2018</x:v>
      </x:c>
    </x:row>
    <x:row r="83">
      <x:c r="A83" s="423" t="s">
        <x:v>2019</x:v>
      </x:c>
      <x:c r="B83" s="423"/>
      <x:c r="C83" s="423"/>
      <x:c r="D83" s="423"/>
      <x:c r="E83" s="423"/>
      <x:c r="F83" s="423"/>
      <x:c r="G83" s="423"/>
    </x:row>
    <x:row r="84">
      <x:c r="A84">
        <x:v>76</x:v>
      </x:c>
      <x:c r="B84" t="s">
        <x:v>110</x:v>
      </x:c>
      <x:c r="C84" t="s">
        <x:v>560</x:v>
      </x:c>
      <x:c r="D84" t="s">
        <x:v>12</x:v>
      </x:c>
      <x:c r="E84" t="s">
        <x:v>156</x:v>
      </x:c>
      <x:c r="F84" t="s">
        <x:v>2020</x:v>
      </x:c>
      <x:c r="G84" t="s">
        <x:v>2021</x:v>
      </x:c>
    </x:row>
    <x:row r="85">
      <x:c r="A85">
        <x:v>77</x:v>
      </x:c>
      <x:c r="B85" t="s">
        <x:v>110</x:v>
      </x:c>
      <x:c r="C85" t="s">
        <x:v>156</x:v>
      </x:c>
      <x:c r="D85" t="s">
        <x:v>12</x:v>
      </x:c>
      <x:c r="E85" t="s">
        <x:v>11</x:v>
      </x:c>
      <x:c r="F85" t="s">
        <x:v>2022</x:v>
      </x:c>
      <x:c r="G85" t="s">
        <x:v>2023</x:v>
      </x:c>
    </x:row>
  </x:sheetData>
  <x:mergeCells>
    <x:mergeCell ref="A55:G55"/>
    <x:mergeCell ref="A83:G83"/>
    <x:mergeCell ref="A1:G1"/>
    <x:mergeCell ref="A2:G2"/>
    <x:mergeCell ref="A4:G4"/>
    <x:mergeCell ref="A25:G25"/>
    <x:mergeCell ref="A32:G32"/>
  </x:mergeCells>
  <x:pageMargins left="0.7" right="0.7" top="0.75" bottom="0.75" header="0.3" footer="0.3"/>
</x:worksheet>
</file>

<file path=xl/worksheets/sheet30.xml><?xml version="1.0" encoding="utf-8"?>
<x:worksheet xmlns:x="http://schemas.openxmlformats.org/spreadsheetml/2006/main">
  <x:sheetFormatPr baseColWidth="10" defaultColWidth="9.109375" defaultRowHeight="14.399999618530273"/>
  <x:cols>
    <x:col min="1" max="1" width="7" customWidth="1"/>
    <x:col min="2" max="2" width="8" customWidth="1"/>
    <x:col min="3" max="3" width="27" style="52" customWidth="1"/>
    <x:col min="4" max="4" width="18" style="52" customWidth="1"/>
    <x:col min="5" max="5" width="30" style="52" customWidth="1"/>
    <x:col min="6" max="6" width="48" style="52" customWidth="1"/>
    <x:col min="7" max="7" width="92" style="52" customWidth="1"/>
    <x:col min="8" max="8" width="58" style="52" hidden="0" customWidth="1"/>
    <x:col min="9" max="16384" width="9.109375" style="52" customWidth="0"/>
  </x:cols>
  <x:sheetData>
    <x:row r="1" ht="3.9000000953674316" customHeight="1">
      <x:c r="A1" s="470" t="s">
        <x:v>2024</x:v>
      </x:c>
      <x:c r="B1" s="451"/>
      <x:c r="C1" s="447"/>
      <x:c r="D1" s="447"/>
      <x:c r="E1" s="447"/>
      <x:c r="F1" s="447"/>
      <x:c r="G1" s="447"/>
    </x:row>
    <x:row r="2" ht="3.9000000953674316" customHeight="1">
      <x:c r="A2" s="471" t="s">
        <x:v>2025</x:v>
      </x:c>
      <x:c r="B2" s="451"/>
      <x:c r="C2" s="447"/>
      <x:c r="D2" s="447"/>
      <x:c r="E2" s="447"/>
      <x:c r="F2" s="447"/>
      <x:c r="G2" s="447"/>
    </x:row>
    <x:row r="3" ht="3.9000000953674316" customHeight="1">
      <x:c r="A3" s="120" t="s">
        <x:v>2</x:v>
      </x:c>
      <x:c r="B3" s="120" t="s">
        <x:v>3</x:v>
      </x:c>
      <x:c r="C3" s="120" t="s">
        <x:v>4</x:v>
      </x:c>
      <x:c r="D3" s="120" t="s">
        <x:v>5</x:v>
      </x:c>
      <x:c r="E3" s="120" t="s">
        <x:v>6</x:v>
      </x:c>
      <x:c r="F3" s="120" t="s">
        <x:v>7</x:v>
      </x:c>
      <x:c r="G3" s="121" t="s">
        <x:v>8</x:v>
      </x:c>
      <x:c r="H3" t="str">
        <x:v>CONDICIÓN RF65 (NO MVP)</x:v>
      </x:c>
    </x:row>
    <x:row r="4" ht="3.9000000953674316" customHeight="1">
      <x:c r="A4" s="472" t="s">
        <x:v>2026</x:v>
      </x:c>
      <x:c r="B4" s="454"/>
      <x:c r="C4" s="454"/>
      <x:c r="D4" s="454"/>
      <x:c r="E4" s="454"/>
      <x:c r="F4" s="454"/>
      <x:c r="G4" s="454"/>
    </x:row>
    <x:row r="5" ht="3.9000000953674316" customHeight="1">
      <x:c r="A5" s="123">
        <x:v>1</x:v>
      </x:c>
      <x:c r="B5" s="123" t="s">
        <x:v>10</x:v>
      </x:c>
      <x:c r="C5" s="124" t="s">
        <x:v>11</x:v>
      </x:c>
      <x:c r="D5" s="110" t="s">
        <x:v>12</x:v>
      </x:c>
      <x:c r="E5" s="124" t="s">
        <x:v>164</x:v>
      </x:c>
      <x:c r="F5" s="125" t="s">
        <x:v>419</x:v>
      </x:c>
      <x:c r="G5" s="126" t="s">
        <x:v>1898</x:v>
      </x:c>
      <x:c r="H5" s="1071" t="str">
        <x:v>RF65 POST-MVP · CONDICIONADO A APROBACIÓN. SOAT: excluir ELIMINADOS de consultas/alertas normales; no borrar su historial por cascada. Sin aprobación no aplicar filtros ni cambios de BD por RF65.</x:v>
      </x:c>
    </x:row>
    <x:row r="6" ht="3.9000000953674316" customHeight="1">
      <x:c r="A6" s="123">
        <x:v>2</x:v>
      </x:c>
      <x:c r="B6" s="123" t="s">
        <x:v>10</x:v>
      </x:c>
      <x:c r="C6" s="127" t="s">
        <x:v>164</x:v>
      </x:c>
      <x:c r="D6" s="111" t="s">
        <x:v>12</x:v>
      </x:c>
      <x:c r="E6" s="127" t="s">
        <x:v>167</x:v>
      </x:c>
      <x:c r="F6" s="128" t="s">
        <x:v>422</x:v>
      </x:c>
      <x:c r="G6" s="129" t="s">
        <x:v>1899</x:v>
      </x:c>
    </x:row>
    <x:row r="7" ht="3.9000000953674316" customHeight="1">
      <x:c r="A7" s="123">
        <x:v>3</x:v>
      </x:c>
      <x:c r="B7" s="123" t="s">
        <x:v>10</x:v>
      </x:c>
      <x:c r="C7" s="127" t="s">
        <x:v>167</x:v>
      </x:c>
      <x:c r="D7" s="112" t="s">
        <x:v>12</x:v>
      </x:c>
      <x:c r="E7" s="127" t="s">
        <x:v>424</x:v>
      </x:c>
      <x:c r="F7" s="128" t="s">
        <x:v>425</x:v>
      </x:c>
      <x:c r="G7" s="129" t="s">
        <x:v>1811</x:v>
      </x:c>
    </x:row>
    <x:row r="8" ht="3.9000000953674316" customHeight="1">
      <x:c r="A8" s="123">
        <x:v>4</x:v>
      </x:c>
      <x:c r="B8" s="123" t="s">
        <x:v>10</x:v>
      </x:c>
      <x:c r="C8" s="127" t="s">
        <x:v>424</x:v>
      </x:c>
      <x:c r="D8" s="111" t="s">
        <x:v>12</x:v>
      </x:c>
      <x:c r="E8" s="127" t="s">
        <x:v>11</x:v>
      </x:c>
      <x:c r="F8" s="128" t="s">
        <x:v>427</x:v>
      </x:c>
      <x:c r="G8" s="129" t="s">
        <x:v>1812</x:v>
      </x:c>
    </x:row>
    <x:row r="9" ht="3.9000000953674316" customHeight="1">
      <x:c r="A9" s="123">
        <x:v>5</x:v>
      </x:c>
      <x:c r="B9" s="123" t="s">
        <x:v>10</x:v>
      </x:c>
      <x:c r="C9" s="127" t="s">
        <x:v>11</x:v>
      </x:c>
      <x:c r="D9" s="110" t="s">
        <x:v>12</x:v>
      </x:c>
      <x:c r="E9" s="127" t="s">
        <x:v>424</x:v>
      </x:c>
      <x:c r="F9" s="128" t="s">
        <x:v>1813</x:v>
      </x:c>
      <x:c r="G9" s="129" t="s">
        <x:v>1814</x:v>
      </x:c>
    </x:row>
    <x:row r="10" ht="3.9000000953674316" customHeight="1">
      <x:c r="A10" s="123">
        <x:v>6</x:v>
      </x:c>
      <x:c r="B10" s="123" t="s">
        <x:v>10</x:v>
      </x:c>
      <x:c r="C10" s="127" t="s">
        <x:v>424</x:v>
      </x:c>
      <x:c r="D10" s="111" t="s">
        <x:v>12</x:v>
      </x:c>
      <x:c r="E10" s="127" t="s">
        <x:v>908</x:v>
      </x:c>
      <x:c r="F10" s="128" t="s">
        <x:v>1815</x:v>
      </x:c>
      <x:c r="G10" s="129" t="s">
        <x:v>1816</x:v>
      </x:c>
    </x:row>
    <x:row r="11" ht="3.9000000953674316" customHeight="1">
      <x:c r="A11" s="123">
        <x:v>7</x:v>
      </x:c>
      <x:c r="B11" s="123" t="s">
        <x:v>10</x:v>
      </x:c>
      <x:c r="C11" s="127" t="s">
        <x:v>908</x:v>
      </x:c>
      <x:c r="D11" s="112" t="s">
        <x:v>12</x:v>
      </x:c>
      <x:c r="E11" s="127" t="s">
        <x:v>440</x:v>
      </x:c>
      <x:c r="F11" s="128" t="s">
        <x:v>1817</x:v>
      </x:c>
      <x:c r="G11" s="129" t="s">
        <x:v>1818</x:v>
      </x:c>
    </x:row>
    <x:row r="12" ht="3.9000000953674316" customHeight="1">
      <x:c r="A12" s="123">
        <x:v>8</x:v>
      </x:c>
      <x:c r="B12" s="123" t="s">
        <x:v>10</x:v>
      </x:c>
      <x:c r="C12" s="127" t="s">
        <x:v>440</x:v>
      </x:c>
      <x:c r="D12" s="114" t="s">
        <x:v>53</x:v>
      </x:c>
      <x:c r="E12" s="127" t="s">
        <x:v>908</x:v>
      </x:c>
      <x:c r="F12" s="128" t="s">
        <x:v>632</x:v>
      </x:c>
      <x:c r="G12" s="129" t="s">
        <x:v>1285</x:v>
      </x:c>
    </x:row>
    <x:row r="13" ht="3.9000000953674316" customHeight="1">
      <x:c r="A13" s="123">
        <x:v>9</x:v>
      </x:c>
      <x:c r="B13" s="123" t="s">
        <x:v>10</x:v>
      </x:c>
      <x:c r="C13" s="127" t="s">
        <x:v>908</x:v>
      </x:c>
      <x:c r="D13" s="112" t="s">
        <x:v>12</x:v>
      </x:c>
      <x:c r="E13" s="127" t="s">
        <x:v>674</x:v>
      </x:c>
      <x:c r="F13" s="128" t="s">
        <x:v>1819</x:v>
      </x:c>
      <x:c r="G13" s="129" t="s">
        <x:v>1820</x:v>
      </x:c>
    </x:row>
    <x:row r="14" ht="3.9000000953674316" customHeight="1">
      <x:c r="A14" s="123">
        <x:v>10</x:v>
      </x:c>
      <x:c r="B14" s="123" t="s">
        <x:v>10</x:v>
      </x:c>
      <x:c r="C14" s="127" t="s">
        <x:v>674</x:v>
      </x:c>
      <x:c r="D14" s="111" t="s">
        <x:v>12</x:v>
      </x:c>
      <x:c r="E14" s="127" t="s">
        <x:v>11</x:v>
      </x:c>
      <x:c r="F14" s="128" t="s">
        <x:v>1821</x:v>
      </x:c>
      <x:c r="G14" s="129" t="s">
        <x:v>1900</x:v>
      </x:c>
    </x:row>
    <x:row r="15" ht="3.9000000953674316" customHeight="1">
      <x:c r="A15" s="123">
        <x:v>11</x:v>
      </x:c>
      <x:c r="B15" s="123" t="s">
        <x:v>10</x:v>
      </x:c>
      <x:c r="C15" s="127" t="s">
        <x:v>11</x:v>
      </x:c>
      <x:c r="D15" s="110" t="s">
        <x:v>12</x:v>
      </x:c>
      <x:c r="E15" s="127" t="s">
        <x:v>674</x:v>
      </x:c>
      <x:c r="F15" s="128" t="s">
        <x:v>1901</x:v>
      </x:c>
      <x:c r="G15" s="129" t="s">
        <x:v>2027</x:v>
      </x:c>
    </x:row>
    <x:row r="16" ht="3.9000000953674316" customHeight="1">
      <x:c r="A16" s="123">
        <x:v>12</x:v>
      </x:c>
      <x:c r="B16" s="123" t="s">
        <x:v>10</x:v>
      </x:c>
      <x:c r="C16" s="127" t="s">
        <x:v>674</x:v>
      </x:c>
      <x:c r="D16" s="111" t="s">
        <x:v>12</x:v>
      </x:c>
      <x:c r="E16" s="127" t="s">
        <x:v>560</x:v>
      </x:c>
      <x:c r="F16" s="128" t="s">
        <x:v>1903</x:v>
      </x:c>
      <x:c r="G16" s="129" t="s">
        <x:v>1904</x:v>
      </x:c>
    </x:row>
    <x:row r="17" ht="3.9000000953674316" customHeight="1">
      <x:c r="A17" s="123">
        <x:v>13</x:v>
      </x:c>
      <x:c r="B17" s="123" t="s">
        <x:v>10</x:v>
      </x:c>
      <x:c r="C17" s="127" t="s">
        <x:v>560</x:v>
      </x:c>
      <x:c r="D17" s="112" t="s">
        <x:v>12</x:v>
      </x:c>
      <x:c r="E17" s="127" t="s">
        <x:v>908</x:v>
      </x:c>
      <x:c r="F17" s="128" t="s">
        <x:v>2028</x:v>
      </x:c>
      <x:c r="G17" s="129" t="s">
        <x:v>2029</x:v>
      </x:c>
    </x:row>
    <x:row r="18" ht="3.9000000953674316" customHeight="1">
      <x:c r="A18" s="123">
        <x:v>14</x:v>
      </x:c>
      <x:c r="B18" s="123" t="s">
        <x:v>10</x:v>
      </x:c>
      <x:c r="C18" s="127" t="s">
        <x:v>908</x:v>
      </x:c>
      <x:c r="D18" s="114" t="s">
        <x:v>12</x:v>
      </x:c>
      <x:c r="E18" s="127" t="s">
        <x:v>440</x:v>
      </x:c>
      <x:c r="F18" s="128" t="s">
        <x:v>630</x:v>
      </x:c>
      <x:c r="G18" s="129" t="s">
        <x:v>2030</x:v>
      </x:c>
    </x:row>
    <x:row r="19" ht="3.9000000953674316" customHeight="1">
      <x:c r="A19" s="123">
        <x:v>15</x:v>
      </x:c>
      <x:c r="B19" s="123" t="s">
        <x:v>10</x:v>
      </x:c>
      <x:c r="C19" s="127" t="s">
        <x:v>440</x:v>
      </x:c>
      <x:c r="D19" s="112" t="s">
        <x:v>53</x:v>
      </x:c>
      <x:c r="E19" s="127" t="s">
        <x:v>908</x:v>
      </x:c>
      <x:c r="F19" s="128" t="s">
        <x:v>632</x:v>
      </x:c>
      <x:c r="G19" s="129" t="s">
        <x:v>2031</x:v>
      </x:c>
    </x:row>
    <x:row r="20" ht="3.9000000953674316" customHeight="1">
      <x:c r="A20" s="123">
        <x:v>16</x:v>
      </x:c>
      <x:c r="B20" s="123" t="s">
        <x:v>10</x:v>
      </x:c>
      <x:c r="C20" s="127" t="s">
        <x:v>908</x:v>
      </x:c>
      <x:c r="D20" s="114" t="s">
        <x:v>19</x:v>
      </x:c>
      <x:c r="E20" s="127" t="s">
        <x:v>908</x:v>
      </x:c>
      <x:c r="F20" s="128" t="s">
        <x:v>2032</x:v>
      </x:c>
      <x:c r="G20" s="129" t="s">
        <x:v>2033</x:v>
      </x:c>
    </x:row>
    <x:row r="21" ht="3.9000000953674316" customHeight="1">
      <x:c r="A21" s="123">
        <x:v>17</x:v>
      </x:c>
      <x:c r="B21" s="123" t="s">
        <x:v>10</x:v>
      </x:c>
      <x:c r="C21" s="127" t="s">
        <x:v>908</x:v>
      </x:c>
      <x:c r="D21" s="112" t="s">
        <x:v>53</x:v>
      </x:c>
      <x:c r="E21" s="127" t="s">
        <x:v>560</x:v>
      </x:c>
      <x:c r="F21" s="128" t="s">
        <x:v>912</x:v>
      </x:c>
      <x:c r="G21" s="129" t="s">
        <x:v>2034</x:v>
      </x:c>
    </x:row>
    <x:row r="22" ht="3.9000000953674316" customHeight="1">
      <x:c r="A22" s="123">
        <x:v>18</x:v>
      </x:c>
      <x:c r="B22" s="123" t="s">
        <x:v>10</x:v>
      </x:c>
      <x:c r="C22" s="127" t="s">
        <x:v>560</x:v>
      </x:c>
      <x:c r="D22" s="111" t="s">
        <x:v>12</x:v>
      </x:c>
      <x:c r="E22" s="127" t="s">
        <x:v>563</x:v>
      </x:c>
      <x:c r="F22" s="128" t="s">
        <x:v>2035</x:v>
      </x:c>
      <x:c r="G22" s="129" t="str">
        <x:v>Busca el SOAT marcado esActual=true para idVehiculo; estado de cobertura VIGENTE/VENCIDO se calcula por fechas. Los SOAT HISTÓRICOS son solo consulta.</x:v>
      </x:c>
    </x:row>
    <x:row r="23" ht="6.900000095367432" customHeight="1">
      <x:c r="A23" s="122">
        <x:v>19</x:v>
      </x:c>
      <x:c r="B23" s="116" t="s">
        <x:v>10</x:v>
      </x:c>
      <x:c r="C23" s="116" t="s">
        <x:v>563</x:v>
      </x:c>
      <x:c r="D23" s="116" t="s">
        <x:v>53</x:v>
      </x:c>
      <x:c r="E23" s="116" t="s">
        <x:v>560</x:v>
      </x:c>
      <x:c r="F23" s="116" t="s">
        <x:v>2036</x:v>
      </x:c>
      <x:c r="G23" s="116" t="s">
        <x:v>2037</x:v>
      </x:c>
    </x:row>
    <x:row r="24" ht="3.9000000953674316" customHeight="1">
      <x:c r="A24" s="123">
        <x:v>20</x:v>
      </x:c>
      <x:c r="B24" s="123" t="s">
        <x:v>10</x:v>
      </x:c>
      <x:c r="C24" s="124" t="s">
        <x:v>560</x:v>
      </x:c>
      <x:c r="D24" s="110" t="s">
        <x:v>12</x:v>
      </x:c>
      <x:c r="E24" s="124" t="s">
        <x:v>1912</x:v>
      </x:c>
      <x:c r="F24" s="125" t="s">
        <x:v>1913</x:v>
      </x:c>
      <x:c r="G24" s="126" t="s">
        <x:v>1820</x:v>
      </x:c>
    </x:row>
    <x:row r="25" ht="3.9000000953674316" customHeight="1">
      <x:c r="A25" s="123">
        <x:v>21</x:v>
      </x:c>
      <x:c r="B25" s="123" t="s">
        <x:v>10</x:v>
      </x:c>
      <x:c r="C25" s="127" t="s">
        <x:v>1912</x:v>
      </x:c>
      <x:c r="D25" s="111" t="s">
        <x:v>12</x:v>
      </x:c>
      <x:c r="E25" s="127" t="s">
        <x:v>11</x:v>
      </x:c>
      <x:c r="F25" s="128" t="s">
        <x:v>1914</x:v>
      </x:c>
      <x:c r="G25" s="129" t="s">
        <x:v>2038</x:v>
      </x:c>
    </x:row>
    <x:row r="26" ht="3.9000000953674316" customHeight="1">
      <x:c r="A26" s="465" t="s">
        <x:v>2039</x:v>
      </x:c>
      <x:c r="B26" s="465"/>
      <x:c r="C26" s="466"/>
      <x:c r="D26" s="476"/>
      <x:c r="E26" s="466"/>
      <x:c r="F26" s="468"/>
      <x:c r="G26" s="469"/>
    </x:row>
    <x:row r="27" ht="3.9000000953674316" customHeight="1">
      <x:c r="A27" s="123">
        <x:v>22</x:v>
      </x:c>
      <x:c r="B27" s="123" t="s">
        <x:v>33</x:v>
      </x:c>
      <x:c r="C27" s="127" t="s">
        <x:v>11</x:v>
      </x:c>
      <x:c r="D27" s="112" t="s">
        <x:v>12</x:v>
      </x:c>
      <x:c r="E27" s="127" t="s">
        <x:v>1912</x:v>
      </x:c>
      <x:c r="F27" s="128" t="s">
        <x:v>2040</x:v>
      </x:c>
      <x:c r="G27" s="129" t="s">
        <x:v>2041</x:v>
      </x:c>
    </x:row>
    <x:row r="28" ht="3.9000000953674316" customHeight="1">
      <x:c r="A28" s="123">
        <x:v>23</x:v>
      </x:c>
      <x:c r="B28" s="123" t="s">
        <x:v>33</x:v>
      </x:c>
      <x:c r="C28" s="127" t="s">
        <x:v>1912</x:v>
      </x:c>
      <x:c r="D28" s="114" t="s">
        <x:v>12</x:v>
      </x:c>
      <x:c r="E28" s="127" t="s">
        <x:v>560</x:v>
      </x:c>
      <x:c r="F28" s="128" t="s">
        <x:v>2042</x:v>
      </x:c>
      <x:c r="G28" s="129" t="s">
        <x:v>2043</x:v>
      </x:c>
    </x:row>
    <x:row r="29" ht="3.9000000953674316" customHeight="1">
      <x:c r="A29" s="123">
        <x:v>24</x:v>
      </x:c>
      <x:c r="B29" s="123" t="s">
        <x:v>33</x:v>
      </x:c>
      <x:c r="C29" s="127" t="s">
        <x:v>560</x:v>
      </x:c>
      <x:c r="D29" s="112" t="s">
        <x:v>12</x:v>
      </x:c>
      <x:c r="E29" s="127" t="s">
        <x:v>373</x:v>
      </x:c>
      <x:c r="F29" s="128" t="s">
        <x:v>2044</x:v>
      </x:c>
      <x:c r="G29" s="129" t="s">
        <x:v>2045</x:v>
      </x:c>
    </x:row>
    <x:row r="30" ht="3.9000000953674316" customHeight="1">
      <x:c r="A30" s="123">
        <x:v>25</x:v>
      </x:c>
      <x:c r="B30" s="123" t="s">
        <x:v>33</x:v>
      </x:c>
      <x:c r="C30" s="127" t="s">
        <x:v>373</x:v>
      </x:c>
      <x:c r="D30" s="112" t="s">
        <x:v>12</x:v>
      </x:c>
      <x:c r="E30" s="127" t="s">
        <x:v>791</x:v>
      </x:c>
      <x:c r="F30" s="128" t="s">
        <x:v>2046</x:v>
      </x:c>
      <x:c r="G30" s="129" t="s">
        <x:v>2047</x:v>
      </x:c>
    </x:row>
    <x:row r="31" ht="3.9000000953674316" customHeight="1">
      <x:c r="A31" s="123">
        <x:v>26</x:v>
      </x:c>
      <x:c r="B31" s="123" t="s">
        <x:v>33</x:v>
      </x:c>
      <x:c r="C31" s="127" t="s">
        <x:v>791</x:v>
      </x:c>
      <x:c r="D31" s="111" t="s">
        <x:v>53</x:v>
      </x:c>
      <x:c r="E31" s="127" t="s">
        <x:v>373</x:v>
      </x:c>
      <x:c r="F31" s="128" t="s">
        <x:v>2048</x:v>
      </x:c>
      <x:c r="G31" s="129" t="s">
        <x:v>2049</x:v>
      </x:c>
    </x:row>
    <x:row r="32" ht="3.9000000953674316" customHeight="1">
      <x:c r="A32" s="122">
        <x:v>27</x:v>
      </x:c>
      <x:c r="B32" s="116" t="s">
        <x:v>33</x:v>
      </x:c>
      <x:c r="C32" s="116" t="s">
        <x:v>373</x:v>
      </x:c>
      <x:c r="D32" s="116" t="s">
        <x:v>53</x:v>
      </x:c>
      <x:c r="E32" s="116" t="s">
        <x:v>560</x:v>
      </x:c>
      <x:c r="F32" s="116" t="s">
        <x:v>2050</x:v>
      </x:c>
      <x:c r="G32" s="116" t="s">
        <x:v>2051</x:v>
      </x:c>
    </x:row>
    <x:row r="33" ht="6.300000190734863" customHeight="1">
      <x:c r="A33" s="123">
        <x:v>28</x:v>
      </x:c>
      <x:c r="B33" s="123" t="s">
        <x:v>33</x:v>
      </x:c>
      <x:c r="C33" s="124" t="s">
        <x:v>560</x:v>
      </x:c>
      <x:c r="D33" s="110" t="s">
        <x:v>12</x:v>
      </x:c>
      <x:c r="E33" s="124" t="s">
        <x:v>1857</x:v>
      </x:c>
      <x:c r="F33" s="125" t="s">
        <x:v>2052</x:v>
      </x:c>
      <x:c r="G33" s="126" t="s">
        <x:v>2053</x:v>
      </x:c>
    </x:row>
    <x:row r="34" ht="3.9000000953674316" customHeight="1">
      <x:c r="A34" s="123">
        <x:v>29</x:v>
      </x:c>
      <x:c r="B34" s="123" t="s">
        <x:v>33</x:v>
      </x:c>
      <x:c r="C34" s="127" t="s">
        <x:v>1857</x:v>
      </x:c>
      <x:c r="D34" s="111" t="s">
        <x:v>12</x:v>
      </x:c>
      <x:c r="E34" s="127" t="s">
        <x:v>11</x:v>
      </x:c>
      <x:c r="F34" s="128" t="s">
        <x:v>2054</x:v>
      </x:c>
      <x:c r="G34" s="129" t="s">
        <x:v>2055</x:v>
      </x:c>
    </x:row>
    <x:row r="35" ht="3.9000000953674316" customHeight="1">
      <x:c r="A35" s="465" t="s">
        <x:v>2056</x:v>
      </x:c>
      <x:c r="B35" s="465"/>
      <x:c r="C35" s="466"/>
      <x:c r="D35" s="476"/>
      <x:c r="E35" s="466"/>
      <x:c r="F35" s="468"/>
      <x:c r="G35" s="469"/>
    </x:row>
    <x:row r="36" ht="6.900000095367432" customHeight="1">
      <x:c r="A36" s="122">
        <x:v>30</x:v>
      </x:c>
      <x:c r="B36" s="116" t="s">
        <x:v>63</x:v>
      </x:c>
      <x:c r="C36" s="116" t="s">
        <x:v>11</x:v>
      </x:c>
      <x:c r="D36" s="116" t="s">
        <x:v>12</x:v>
      </x:c>
      <x:c r="E36" s="116" t="s">
        <x:v>1857</x:v>
      </x:c>
      <x:c r="F36" s="116" t="s">
        <x:v>2057</x:v>
      </x:c>
      <x:c r="G36" s="116" t="s">
        <x:v>2058</x:v>
      </x:c>
    </x:row>
    <x:row r="37" ht="3.9000000953674316" customHeight="1">
      <x:c r="A37" s="123">
        <x:v>31</x:v>
      </x:c>
      <x:c r="B37" s="123" t="s">
        <x:v>63</x:v>
      </x:c>
      <x:c r="C37" s="124" t="s">
        <x:v>1857</x:v>
      </x:c>
      <x:c r="D37" s="112" t="s">
        <x:v>12</x:v>
      </x:c>
      <x:c r="E37" s="124" t="s">
        <x:v>560</x:v>
      </x:c>
      <x:c r="F37" s="125" t="s">
        <x:v>2059</x:v>
      </x:c>
      <x:c r="G37" s="126" t="s">
        <x:v>2060</x:v>
      </x:c>
    </x:row>
    <x:row r="38" ht="6.300000190734863" customHeight="1">
      <x:c r="A38" s="123">
        <x:v>32</x:v>
      </x:c>
      <x:c r="B38" s="123" t="s">
        <x:v>63</x:v>
      </x:c>
      <x:c r="C38" s="127" t="s">
        <x:v>560</x:v>
      </x:c>
      <x:c r="D38" s="112" t="s">
        <x:v>12</x:v>
      </x:c>
      <x:c r="E38" s="127" t="s">
        <x:v>373</x:v>
      </x:c>
      <x:c r="F38" s="128" t="s">
        <x:v>2061</x:v>
      </x:c>
      <x:c r="G38" s="129" t="s">
        <x:v>2062</x:v>
      </x:c>
    </x:row>
    <x:row r="39" ht="3.9000000953674316" customHeight="1">
      <x:c r="A39" s="465" t="s">
        <x:v>2063</x:v>
      </x:c>
      <x:c r="B39" s="465"/>
      <x:c r="C39" s="466"/>
      <x:c r="D39" s="474"/>
      <x:c r="E39" s="466"/>
      <x:c r="F39" s="468"/>
      <x:c r="G39" s="469"/>
    </x:row>
    <x:row r="40" ht="6.300000190734863" customHeight="1">
      <x:c r="A40" s="123">
        <x:v>33</x:v>
      </x:c>
      <x:c r="B40" s="123" t="s">
        <x:v>81</x:v>
      </x:c>
      <x:c r="C40" s="127" t="s">
        <x:v>373</x:v>
      </x:c>
      <x:c r="D40" s="112" t="s">
        <x:v>19</x:v>
      </x:c>
      <x:c r="E40" s="127" t="s">
        <x:v>373</x:v>
      </x:c>
      <x:c r="F40" s="128" t="s">
        <x:v>1868</x:v>
      </x:c>
      <x:c r="G40" s="129" t="s">
        <x:v>2064</x:v>
      </x:c>
    </x:row>
    <x:row r="41" ht="9.300000190734863" customHeight="1">
      <x:c r="A41" s="123">
        <x:v>34</x:v>
      </x:c>
      <x:c r="B41" s="123" t="s">
        <x:v>81</x:v>
      </x:c>
      <x:c r="C41" s="127" t="s">
        <x:v>373</x:v>
      </x:c>
      <x:c r="D41" s="112" t="s">
        <x:v>12</x:v>
      </x:c>
      <x:c r="E41" s="127" t="s">
        <x:v>791</x:v>
      </x:c>
      <x:c r="F41" s="128" t="s">
        <x:v>2065</x:v>
      </x:c>
      <x:c r="G41" s="129" t="s">
        <x:v>2066</x:v>
      </x:c>
    </x:row>
    <x:row r="42" ht="3.9000000953674316" customHeight="1">
      <x:c r="A42" s="123">
        <x:v>35</x:v>
      </x:c>
      <x:c r="B42" s="123" t="s">
        <x:v>81</x:v>
      </x:c>
      <x:c r="C42" s="127" t="s">
        <x:v>791</x:v>
      </x:c>
      <x:c r="D42" s="114" t="s">
        <x:v>53</x:v>
      </x:c>
      <x:c r="E42" s="127" t="s">
        <x:v>373</x:v>
      </x:c>
      <x:c r="F42" s="128" t="s">
        <x:v>1872</x:v>
      </x:c>
      <x:c r="G42" s="129" t="s">
        <x:v>2067</x:v>
      </x:c>
    </x:row>
    <x:row r="43" ht="6.300000190734863" customHeight="1">
      <x:c r="A43" s="123">
        <x:v>36</x:v>
      </x:c>
      <x:c r="B43" s="123" t="s">
        <x:v>81</x:v>
      </x:c>
      <x:c r="C43" s="130" t="s">
        <x:v>373</x:v>
      </x:c>
      <x:c r="D43" s="131" t="s">
        <x:v>12</x:v>
      </x:c>
      <x:c r="E43" s="130" t="s">
        <x:v>797</x:v>
      </x:c>
      <x:c r="F43" s="130" t="s">
        <x:v>1874</x:v>
      </x:c>
      <x:c r="G43" s="130" t="s">
        <x:v>2068</x:v>
      </x:c>
    </x:row>
    <x:row r="44" ht="9.300000190734863" customHeight="1">
      <x:c r="A44" s="123">
        <x:v>37</x:v>
      </x:c>
      <x:c r="B44" s="123" t="s">
        <x:v>81</x:v>
      </x:c>
      <x:c r="C44" s="124" t="s">
        <x:v>797</x:v>
      </x:c>
      <x:c r="D44" s="112" t="s">
        <x:v>53</x:v>
      </x:c>
      <x:c r="E44" s="124" t="s">
        <x:v>373</x:v>
      </x:c>
      <x:c r="F44" s="125" t="s">
        <x:v>799</x:v>
      </x:c>
      <x:c r="G44" s="126" t="s">
        <x:v>1876</x:v>
      </x:c>
    </x:row>
    <x:row r="45" ht="3.9000000953674316" customHeight="1">
      <x:c r="A45" s="123">
        <x:v>38</x:v>
      </x:c>
      <x:c r="B45" s="123" t="s">
        <x:v>81</x:v>
      </x:c>
      <x:c r="C45" s="127" t="s">
        <x:v>373</x:v>
      </x:c>
      <x:c r="D45" s="112" t="s">
        <x:v>12</x:v>
      </x:c>
      <x:c r="E45" s="127" t="s">
        <x:v>380</x:v>
      </x:c>
      <x:c r="F45" s="128" t="s">
        <x:v>2069</x:v>
      </x:c>
      <x:c r="G45" s="129" t="s">
        <x:v>2070</x:v>
      </x:c>
    </x:row>
    <x:row r="46" ht="3.9000000953674316" customHeight="1">
      <x:c r="A46" s="123">
        <x:v>39</x:v>
      </x:c>
      <x:c r="B46" s="123" t="s">
        <x:v>81</x:v>
      </x:c>
      <x:c r="C46" s="127" t="s">
        <x:v>380</x:v>
      </x:c>
      <x:c r="D46" s="114" t="s">
        <x:v>12</x:v>
      </x:c>
      <x:c r="E46" s="127" t="s">
        <x:v>802</x:v>
      </x:c>
      <x:c r="F46" s="128" t="s">
        <x:v>1879</x:v>
      </x:c>
      <x:c r="G46" s="129" t="s">
        <x:v>2071</x:v>
      </x:c>
    </x:row>
    <x:row r="47" ht="3.9000000953674316" customHeight="1">
      <x:c r="A47" s="132">
        <x:v>40</x:v>
      </x:c>
      <x:c r="B47" s="133" t="s">
        <x:v>81</x:v>
      </x:c>
      <x:c r="C47" s="133" t="s">
        <x:v>802</x:v>
      </x:c>
      <x:c r="D47" s="133" t="s">
        <x:v>53</x:v>
      </x:c>
      <x:c r="E47" s="133" t="s">
        <x:v>380</x:v>
      </x:c>
      <x:c r="F47" s="133" t="s">
        <x:v>1881</x:v>
      </x:c>
      <x:c r="G47" s="134" t="s">
        <x:v>2072</x:v>
      </x:c>
    </x:row>
    <x:row r="48" ht="3.9000000953674316" customHeight="1">
      <x:c r="A48" s="123">
        <x:v>41</x:v>
      </x:c>
      <x:c r="B48" s="123" t="s">
        <x:v>81</x:v>
      </x:c>
      <x:c r="C48" s="127" t="s">
        <x:v>380</x:v>
      </x:c>
      <x:c r="D48" s="112" t="s">
        <x:v>53</x:v>
      </x:c>
      <x:c r="E48" s="127" t="s">
        <x:v>373</x:v>
      </x:c>
      <x:c r="F48" s="128" t="s">
        <x:v>1881</x:v>
      </x:c>
      <x:c r="G48" s="129" t="s">
        <x:v>2073</x:v>
      </x:c>
    </x:row>
    <x:row r="49" ht="3.9000000953674316" customHeight="1">
      <x:c r="A49" s="123">
        <x:v>42</x:v>
      </x:c>
      <x:c r="B49" s="123" t="s">
        <x:v>81</x:v>
      </x:c>
      <x:c r="C49" s="130" t="s">
        <x:v>373</x:v>
      </x:c>
      <x:c r="D49" s="136" t="s">
        <x:v>53</x:v>
      </x:c>
      <x:c r="E49" s="130" t="s">
        <x:v>560</x:v>
      </x:c>
      <x:c r="F49" s="130" t="s">
        <x:v>2074</x:v>
      </x:c>
      <x:c r="G49" s="130" t="s">
        <x:v>2075</x:v>
      </x:c>
    </x:row>
    <x:row r="50" ht="3.9000000953674316" customHeight="1">
      <x:c r="A50" s="123">
        <x:v>43</x:v>
      </x:c>
      <x:c r="B50" s="123" t="s">
        <x:v>81</x:v>
      </x:c>
      <x:c r="C50" s="124" t="s">
        <x:v>560</x:v>
      </x:c>
      <x:c r="D50" s="112" t="s">
        <x:v>12</x:v>
      </x:c>
      <x:c r="E50" s="124" t="s">
        <x:v>563</x:v>
      </x:c>
      <x:c r="F50" s="125" t="s">
        <x:v>1887</x:v>
      </x:c>
      <x:c r="G50" s="126" t="s">
        <x:v>2076</x:v>
      </x:c>
    </x:row>
    <x:row r="51" ht="9.300000190734863" customHeight="1">
      <x:c r="A51" s="123">
        <x:v>44</x:v>
      </x:c>
      <x:c r="B51" s="123" t="s">
        <x:v>81</x:v>
      </x:c>
      <x:c r="C51" s="127" t="s">
        <x:v>563</x:v>
      </x:c>
      <x:c r="D51" s="112" t="s">
        <x:v>53</x:v>
      </x:c>
      <x:c r="E51" s="127" t="s">
        <x:v>560</x:v>
      </x:c>
      <x:c r="F51" s="128" t="s">
        <x:v>2077</x:v>
      </x:c>
      <x:c r="G51" s="129" t="s">
        <x:v>2078</x:v>
      </x:c>
    </x:row>
    <x:row r="52" ht="3.9000000953674316" customHeight="1">
      <x:c r="A52" s="465" t="s">
        <x:v>2079</x:v>
      </x:c>
      <x:c r="B52" s="465"/>
      <x:c r="C52" s="475"/>
      <x:c r="D52" s="474"/>
      <x:c r="E52" s="475"/>
      <x:c r="F52" s="475"/>
      <x:c r="G52" s="475"/>
    </x:row>
    <x:row r="53" ht="3.9000000953674316" customHeight="1">
      <x:c r="A53" s="123">
        <x:v>45</x:v>
      </x:c>
      <x:c r="B53" s="123" t="s">
        <x:v>110</x:v>
      </x:c>
      <x:c r="C53" s="113" t="s">
        <x:v>373</x:v>
      </x:c>
      <x:c r="D53" s="112" t="s">
        <x:v>12</x:v>
      </x:c>
      <x:c r="E53" s="113" t="s">
        <x:v>791</x:v>
      </x:c>
      <x:c r="F53" s="113" t="s">
        <x:v>2080</x:v>
      </x:c>
      <x:c r="G53" s="113" t="s">
        <x:v>2081</x:v>
      </x:c>
    </x:row>
    <x:row r="54" ht="3.9000000953674316" customHeight="1">
      <x:c r="A54" s="123">
        <x:v>46</x:v>
      </x:c>
      <x:c r="B54" s="123" t="s">
        <x:v>110</x:v>
      </x:c>
      <x:c r="C54" s="113" t="s">
        <x:v>791</x:v>
      </x:c>
      <x:c r="D54" s="112" t="s">
        <x:v>53</x:v>
      </x:c>
      <x:c r="E54" s="113" t="s">
        <x:v>373</x:v>
      </x:c>
      <x:c r="F54" s="113" t="s">
        <x:v>2082</x:v>
      </x:c>
      <x:c r="G54" s="113" t="s">
        <x:v>2083</x:v>
      </x:c>
    </x:row>
    <x:row r="55" ht="3.9000000953674316" customHeight="1">
      <x:c r="A55" s="123">
        <x:v>47</x:v>
      </x:c>
      <x:c r="B55" s="123" t="s">
        <x:v>110</x:v>
      </x:c>
      <x:c r="C55" s="113" t="s">
        <x:v>373</x:v>
      </x:c>
      <x:c r="D55" s="112" t="s">
        <x:v>12</x:v>
      </x:c>
      <x:c r="E55" s="113" t="s">
        <x:v>380</x:v>
      </x:c>
      <x:c r="F55" s="113" t="s">
        <x:v>2084</x:v>
      </x:c>
      <x:c r="G55" s="113" t="s">
        <x:v>2085</x:v>
      </x:c>
    </x:row>
    <x:row r="56" ht="3.9000000953674316" customHeight="1">
      <x:c r="A56" s="123">
        <x:v>48</x:v>
      </x:c>
      <x:c r="B56" s="123" t="s">
        <x:v>110</x:v>
      </x:c>
      <x:c r="C56" s="113" t="s">
        <x:v>380</x:v>
      </x:c>
      <x:c r="D56" s="114" t="s">
        <x:v>12</x:v>
      </x:c>
      <x:c r="E56" s="113" t="s">
        <x:v>802</x:v>
      </x:c>
      <x:c r="F56" s="113" t="s">
        <x:v>2086</x:v>
      </x:c>
      <x:c r="G56" s="113" t="s">
        <x:v>2087</x:v>
      </x:c>
    </x:row>
    <x:row r="57" ht="3.9000000953674316" customHeight="1">
      <x:c r="A57" s="115">
        <x:v>49</x:v>
      </x:c>
      <x:c r="B57" s="8" t="s">
        <x:v>110</x:v>
      </x:c>
      <x:c r="C57" s="52" t="s">
        <x:v>802</x:v>
      </x:c>
      <x:c r="D57" s="52" t="s">
        <x:v>53</x:v>
      </x:c>
      <x:c r="E57" s="52" t="s">
        <x:v>380</x:v>
      </x:c>
      <x:c r="F57" s="52" t="s">
        <x:v>2088</x:v>
      </x:c>
      <x:c r="G57" s="52" t="s">
        <x:v>2089</x:v>
      </x:c>
    </x:row>
    <x:row r="58" ht="3.9000000953674316" customHeight="1">
      <x:c r="A58" s="123">
        <x:v>50</x:v>
      </x:c>
      <x:c r="B58" s="123" t="s">
        <x:v>110</x:v>
      </x:c>
      <x:c r="C58" s="113" t="s">
        <x:v>380</x:v>
      </x:c>
      <x:c r="D58" s="112" t="s">
        <x:v>53</x:v>
      </x:c>
      <x:c r="E58" s="113" t="s">
        <x:v>373</x:v>
      </x:c>
      <x:c r="F58" s="113" t="s">
        <x:v>2090</x:v>
      </x:c>
      <x:c r="G58" s="113" t="s">
        <x:v>2091</x:v>
      </x:c>
    </x:row>
    <x:row r="59" ht="3.9000000953674316" customHeight="1">
      <x:c r="A59" s="123">
        <x:v>51</x:v>
      </x:c>
      <x:c r="B59" s="123" t="s">
        <x:v>110</x:v>
      </x:c>
      <x:c r="C59" s="113" t="s">
        <x:v>373</x:v>
      </x:c>
      <x:c r="D59" s="111" t="s">
        <x:v>53</x:v>
      </x:c>
      <x:c r="E59" s="113" t="s">
        <x:v>560</x:v>
      </x:c>
      <x:c r="F59" s="113" t="s">
        <x:v>2092</x:v>
      </x:c>
      <x:c r="G59" s="113" t="s">
        <x:v>2093</x:v>
      </x:c>
    </x:row>
    <x:row r="60" ht="3.9000000953674316" customHeight="1">
      <x:c r="A60" s="8">
        <x:v>52</x:v>
      </x:c>
      <x:c r="B60" s="8" t="s">
        <x:v>110</x:v>
      </x:c>
      <x:c r="C60" s="8" t="s">
        <x:v>560</x:v>
      </x:c>
      <x:c r="D60" s="8" t="s">
        <x:v>12</x:v>
      </x:c>
      <x:c r="E60" s="8" t="s">
        <x:v>563</x:v>
      </x:c>
      <x:c r="F60" s="8" t="s">
        <x:v>2094</x:v>
      </x:c>
      <x:c r="G60" s="8" t="s">
        <x:v>2095</x:v>
      </x:c>
    </x:row>
    <x:row r="61" ht="6.900000095367432" customHeight="1">
      <x:c r="A61" s="8">
        <x:v>53</x:v>
      </x:c>
      <x:c r="B61" s="8" t="s">
        <x:v>110</x:v>
      </x:c>
      <x:c r="C61" s="8" t="s">
        <x:v>563</x:v>
      </x:c>
      <x:c r="D61" s="8" t="s">
        <x:v>53</x:v>
      </x:c>
      <x:c r="E61" s="8" t="s">
        <x:v>560</x:v>
      </x:c>
      <x:c r="F61" s="8" t="s">
        <x:v>2077</x:v>
      </x:c>
      <x:c r="G61" s="8" t="s">
        <x:v>2096</x:v>
      </x:c>
    </x:row>
    <x:row r="62" ht="3.9000000953674316" customHeight="1">
      <x:c r="A62" s="451" t="s">
        <x:v>2097</x:v>
      </x:c>
      <x:c r="B62" s="451"/>
      <x:c r="C62" s="451"/>
      <x:c r="D62" s="451"/>
      <x:c r="E62" s="451"/>
      <x:c r="F62" s="451"/>
      <x:c r="G62" s="451"/>
    </x:row>
    <x:row r="63">
      <x:c r="A63">
        <x:v>54</x:v>
      </x:c>
      <x:c r="B63" t="s">
        <x:v>143</x:v>
      </x:c>
      <x:c r="C63" t="s">
        <x:v>560</x:v>
      </x:c>
      <x:c r="D63" t="s">
        <x:v>12</x:v>
      </x:c>
      <x:c r="E63" t="s">
        <x:v>1857</x:v>
      </x:c>
      <x:c r="F63" t="s">
        <x:v>2098</x:v>
      </x:c>
      <x:c r="G63" t="s">
        <x:v>2099</x:v>
      </x:c>
    </x:row>
    <x:row r="64">
      <x:c r="A64">
        <x:v>55</x:v>
      </x:c>
      <x:c r="B64" t="s">
        <x:v>143</x:v>
      </x:c>
      <x:c r="C64" t="s">
        <x:v>1857</x:v>
      </x:c>
      <x:c r="D64" t="s">
        <x:v>12</x:v>
      </x:c>
      <x:c r="E64" t="s">
        <x:v>11</x:v>
      </x:c>
      <x:c r="F64" t="s">
        <x:v>2100</x:v>
      </x:c>
      <x:c r="G64" t="s">
        <x:v>2101</x:v>
      </x:c>
    </x:row>
  </x:sheetData>
  <x:mergeCells>
    <x:mergeCell ref="A39:G39"/>
    <x:mergeCell ref="A52:G52"/>
    <x:mergeCell ref="A62:G62"/>
    <x:mergeCell ref="A1:G1"/>
    <x:mergeCell ref="A2:G2"/>
    <x:mergeCell ref="A4:G4"/>
    <x:mergeCell ref="A26:G26"/>
    <x:mergeCell ref="A35:G35"/>
  </x:mergeCells>
  <x:pageMargins left="0.7" right="0.7" top="0.75" bottom="0.75" header="0.3" footer="0.3"/>
</x:worksheet>
</file>

<file path=xl/worksheets/sheet31.xml><?xml version="1.0" encoding="utf-8"?>
<x:worksheet xmlns:x="http://schemas.openxmlformats.org/spreadsheetml/2006/main">
  <x:sheetFormatPr baseColWidth="10" defaultColWidth="35.33203125" defaultRowHeight="14.399999618530273"/>
  <x:cols>
    <x:col min="1" max="1" width="3.44140625" style="52" customWidth="1"/>
    <x:col min="2" max="2" width="8" style="52" customWidth="1"/>
    <x:col min="3" max="3" width="13.5546875" style="52" customWidth="1"/>
    <x:col min="4" max="4" width="17.109375" style="52" customWidth="1"/>
    <x:col min="5" max="5" width="14.33203125" style="52" customWidth="1"/>
    <x:col min="6" max="6" width="38.33203125" style="52" customWidth="1"/>
    <x:col min="7" max="7" width="84.44140625" style="52" customWidth="1"/>
    <x:col min="8" max="8" width="35.33203125" style="52" customWidth="1"/>
    <x:col min="9" max="16384" width="35.33203125" style="52" customWidth="0"/>
  </x:cols>
  <x:sheetData>
    <x:row r="1" ht="4.050000190734863" customHeight="1">
      <x:c r="A1" s="452" t="s">
        <x:v>2102</x:v>
      </x:c>
      <x:c r="B1" s="447"/>
      <x:c r="C1" s="447"/>
      <x:c r="D1" s="447"/>
      <x:c r="E1" s="447"/>
      <x:c r="F1" s="447"/>
      <x:c r="G1" s="447"/>
    </x:row>
    <x:row r="2" ht="3.9000000953674316" customHeight="1">
      <x:c r="A2" s="453" t="s">
        <x:v>2103</x:v>
      </x:c>
      <x:c r="B2" s="447"/>
      <x:c r="C2" s="447"/>
      <x:c r="D2" s="447"/>
      <x:c r="E2" s="447"/>
      <x:c r="F2" s="447"/>
      <x:c r="G2" s="447"/>
    </x:row>
    <x:row r="3" ht="3.9000000953674316" customHeight="1">
      <x:c r="A3" s="37" t="s">
        <x:v>2</x:v>
      </x:c>
      <x:c r="B3" s="38" t="s">
        <x:v>3</x:v>
      </x:c>
      <x:c r="C3" s="38" t="s">
        <x:v>4</x:v>
      </x:c>
      <x:c r="D3" s="38" t="s">
        <x:v>5</x:v>
      </x:c>
      <x:c r="E3" s="38" t="s">
        <x:v>6</x:v>
      </x:c>
      <x:c r="F3" s="38" t="s">
        <x:v>7</x:v>
      </x:c>
      <x:c r="G3" s="38" t="s">
        <x:v>8</x:v>
      </x:c>
    </x:row>
    <x:row r="4" ht="3.9000000953674316" customHeight="1">
      <x:c r="A4" s="448" t="s">
        <x:v>2104</x:v>
      </x:c>
      <x:c r="B4" s="454"/>
      <x:c r="C4" s="454"/>
      <x:c r="D4" s="454"/>
      <x:c r="E4" s="454"/>
      <x:c r="F4" s="454"/>
      <x:c r="G4" s="455"/>
    </x:row>
    <x:row r="5" ht="3.9000000953674316" customHeight="1">
      <x:c r="A5" s="118">
        <x:v>1</x:v>
      </x:c>
      <x:c r="B5" s="119" t="s">
        <x:v>10</x:v>
      </x:c>
      <x:c r="C5" s="41" t="s">
        <x:v>11</x:v>
      </x:c>
      <x:c r="D5" s="42" t="s">
        <x:v>12</x:v>
      </x:c>
      <x:c r="E5" s="41" t="s">
        <x:v>164</x:v>
      </x:c>
      <x:c r="F5" s="43" t="s">
        <x:v>2105</x:v>
      </x:c>
      <x:c r="G5" s="43" t="s">
        <x:v>2106</x:v>
      </x:c>
    </x:row>
    <x:row r="6" ht="3.9000000953674316" customHeight="1">
      <x:c r="A6" s="118">
        <x:v>2</x:v>
      </x:c>
      <x:c r="B6" s="119" t="s">
        <x:v>10</x:v>
      </x:c>
      <x:c r="C6" s="44" t="s">
        <x:v>164</x:v>
      </x:c>
      <x:c r="D6" s="42" t="s">
        <x:v>12</x:v>
      </x:c>
      <x:c r="E6" s="44" t="s">
        <x:v>167</x:v>
      </x:c>
      <x:c r="F6" s="45" t="s">
        <x:v>1443</x:v>
      </x:c>
      <x:c r="G6" s="45" t="s">
        <x:v>2107</x:v>
      </x:c>
    </x:row>
    <x:row r="7" ht="3.9000000953674316" customHeight="1">
      <x:c r="A7" s="118">
        <x:v>3</x:v>
      </x:c>
      <x:c r="B7" s="119" t="s">
        <x:v>10</x:v>
      </x:c>
      <x:c r="C7" s="46" t="s">
        <x:v>167</x:v>
      </x:c>
      <x:c r="D7" s="42" t="s">
        <x:v>12</x:v>
      </x:c>
      <x:c r="E7" s="46" t="s">
        <x:v>1003</x:v>
      </x:c>
      <x:c r="F7" s="47" t="s">
        <x:v>1445</x:v>
      </x:c>
      <x:c r="G7" s="47" t="s">
        <x:v>2108</x:v>
      </x:c>
    </x:row>
    <x:row r="8" ht="6.300000190734863" customHeight="1">
      <x:c r="A8" s="118">
        <x:v>4</x:v>
      </x:c>
      <x:c r="B8" s="119" t="s">
        <x:v>10</x:v>
      </x:c>
      <x:c r="C8" s="44" t="s">
        <x:v>1003</x:v>
      </x:c>
      <x:c r="D8" s="42" t="s">
        <x:v>12</x:v>
      </x:c>
      <x:c r="E8" s="44" t="s">
        <x:v>11</x:v>
      </x:c>
      <x:c r="F8" s="45" t="s">
        <x:v>2109</x:v>
      </x:c>
      <x:c r="G8" s="45" t="s">
        <x:v>2110</x:v>
      </x:c>
    </x:row>
    <x:row r="9" ht="6.300000190734863" customHeight="1">
      <x:c r="A9" s="118">
        <x:v>5</x:v>
      </x:c>
      <x:c r="B9" s="119" t="s">
        <x:v>10</x:v>
      </x:c>
      <x:c r="C9" s="46" t="s">
        <x:v>11</x:v>
      </x:c>
      <x:c r="D9" s="42" t="s">
        <x:v>12</x:v>
      </x:c>
      <x:c r="E9" s="46" t="s">
        <x:v>1003</x:v>
      </x:c>
      <x:c r="F9" s="47" t="s">
        <x:v>1506</x:v>
      </x:c>
      <x:c r="G9" s="47" t="s">
        <x:v>2111</x:v>
      </x:c>
    </x:row>
    <x:row r="10" ht="6.300000190734863" customHeight="1">
      <x:c r="A10" s="118">
        <x:v>6</x:v>
      </x:c>
      <x:c r="B10" s="119" t="s">
        <x:v>10</x:v>
      </x:c>
      <x:c r="C10" s="44" t="s">
        <x:v>1003</x:v>
      </x:c>
      <x:c r="D10" s="42" t="s">
        <x:v>12</x:v>
      </x:c>
      <x:c r="E10" s="44" t="s">
        <x:v>1114</x:v>
      </x:c>
      <x:c r="F10" s="45" t="s">
        <x:v>2112</x:v>
      </x:c>
      <x:c r="G10" s="45" t="s">
        <x:v>2113</x:v>
      </x:c>
    </x:row>
    <x:row r="11" ht="3.9000000953674316" customHeight="1">
      <x:c r="A11" s="118">
        <x:v>7</x:v>
      </x:c>
      <x:c r="B11" s="119" t="s">
        <x:v>10</x:v>
      </x:c>
      <x:c r="C11" s="46" t="s">
        <x:v>1114</x:v>
      </x:c>
      <x:c r="D11" s="42" t="s">
        <x:v>12</x:v>
      </x:c>
      <x:c r="E11" s="46" t="s">
        <x:v>1117</x:v>
      </x:c>
      <x:c r="F11" s="47" t="s">
        <x:v>2114</x:v>
      </x:c>
      <x:c r="G11" s="47" t="s">
        <x:v>2115</x:v>
      </x:c>
    </x:row>
    <x:row r="12" ht="3.9000000953674316" customHeight="1">
      <x:c r="A12" s="118">
        <x:v>8</x:v>
      </x:c>
      <x:c r="B12" s="119" t="s">
        <x:v>10</x:v>
      </x:c>
      <x:c r="C12" s="44" t="s">
        <x:v>1117</x:v>
      </x:c>
      <x:c r="D12" s="42" t="s">
        <x:v>53</x:v>
      </x:c>
      <x:c r="E12" s="44" t="s">
        <x:v>1114</x:v>
      </x:c>
      <x:c r="F12" s="45" t="s">
        <x:v>2116</x:v>
      </x:c>
      <x:c r="G12" s="45" t="s">
        <x:v>2117</x:v>
      </x:c>
    </x:row>
    <x:row r="13" ht="3.9000000953674316" customHeight="1">
      <x:c r="A13" s="118">
        <x:v>9</x:v>
      </x:c>
      <x:c r="B13" s="119" t="s">
        <x:v>10</x:v>
      </x:c>
      <x:c r="C13" s="46" t="s">
        <x:v>1114</x:v>
      </x:c>
      <x:c r="D13" s="42" t="s">
        <x:v>12</x:v>
      </x:c>
      <x:c r="E13" s="46" t="s">
        <x:v>2118</x:v>
      </x:c>
      <x:c r="F13" s="47" t="s">
        <x:v>2119</x:v>
      </x:c>
      <x:c r="G13" s="47" t="s">
        <x:v>2120</x:v>
      </x:c>
    </x:row>
    <x:row r="14" ht="3.9000000953674316" customHeight="1">
      <x:c r="A14" s="118">
        <x:v>10</x:v>
      </x:c>
      <x:c r="B14" s="119" t="s">
        <x:v>10</x:v>
      </x:c>
      <x:c r="C14" s="44" t="s">
        <x:v>2118</x:v>
      </x:c>
      <x:c r="D14" s="42" t="s">
        <x:v>12</x:v>
      </x:c>
      <x:c r="E14" s="44" t="s">
        <x:v>11</x:v>
      </x:c>
      <x:c r="F14" s="45" t="s">
        <x:v>2121</x:v>
      </x:c>
      <x:c r="G14" s="45" t="s">
        <x:v>2122</x:v>
      </x:c>
    </x:row>
    <x:row r="15" ht="3.9000000953674316" customHeight="1">
      <x:c r="A15" s="448" t="s">
        <x:v>2123</x:v>
      </x:c>
      <x:c r="B15" s="454"/>
      <x:c r="C15" s="454"/>
      <x:c r="D15" s="454"/>
      <x:c r="E15" s="454"/>
      <x:c r="F15" s="454"/>
      <x:c r="G15" s="455"/>
    </x:row>
    <x:row r="16" ht="3.9000000953674316" customHeight="1">
      <x:c r="A16" s="119">
        <x:v>11</x:v>
      </x:c>
      <x:c r="B16" s="119" t="s">
        <x:v>33</x:v>
      </x:c>
      <x:c r="C16" s="41" t="s">
        <x:v>11</x:v>
      </x:c>
      <x:c r="D16" s="42" t="s">
        <x:v>12</x:v>
      </x:c>
      <x:c r="E16" s="41" t="s">
        <x:v>2118</x:v>
      </x:c>
      <x:c r="F16" s="43" t="s">
        <x:v>2124</x:v>
      </x:c>
      <x:c r="G16" s="43" t="s">
        <x:v>2125</x:v>
      </x:c>
    </x:row>
    <x:row r="17" ht="3.9000000953674316" customHeight="1">
      <x:c r="A17" s="119">
        <x:v>12</x:v>
      </x:c>
      <x:c r="B17" s="119" t="s">
        <x:v>33</x:v>
      </x:c>
      <x:c r="C17" s="44" t="s">
        <x:v>2118</x:v>
      </x:c>
      <x:c r="D17" s="42" t="s">
        <x:v>12</x:v>
      </x:c>
      <x:c r="E17" s="44" t="s">
        <x:v>1114</x:v>
      </x:c>
      <x:c r="F17" s="45" t="s">
        <x:v>2126</x:v>
      </x:c>
      <x:c r="G17" s="45" t="s">
        <x:v>2127</x:v>
      </x:c>
    </x:row>
    <x:row r="18" ht="3.9000000953674316" customHeight="1">
      <x:c r="A18" s="119">
        <x:v>13</x:v>
      </x:c>
      <x:c r="B18" s="119" t="s">
        <x:v>33</x:v>
      </x:c>
      <x:c r="C18" s="46" t="s">
        <x:v>1114</x:v>
      </x:c>
      <x:c r="D18" s="42" t="s">
        <x:v>12</x:v>
      </x:c>
      <x:c r="E18" s="46" t="s">
        <x:v>2128</x:v>
      </x:c>
      <x:c r="F18" s="47" t="s">
        <x:v>2129</x:v>
      </x:c>
      <x:c r="G18" s="47" t="s">
        <x:v>2130</x:v>
      </x:c>
    </x:row>
    <x:row r="19" ht="3.9000000953674316" customHeight="1">
      <x:c r="A19" s="119">
        <x:v>14</x:v>
      </x:c>
      <x:c r="B19" s="119" t="s">
        <x:v>33</x:v>
      </x:c>
      <x:c r="C19" s="44" t="s">
        <x:v>2128</x:v>
      </x:c>
      <x:c r="D19" s="42" t="s">
        <x:v>12</x:v>
      </x:c>
      <x:c r="E19" s="44" t="s">
        <x:v>11</x:v>
      </x:c>
      <x:c r="F19" s="45" t="s">
        <x:v>2131</x:v>
      </x:c>
      <x:c r="G19" s="45" t="s">
        <x:v>2132</x:v>
      </x:c>
    </x:row>
    <x:row r="20" ht="3.9000000953674316" customHeight="1">
      <x:c r="A20" s="448" t="s">
        <x:v>2133</x:v>
      </x:c>
      <x:c r="B20" s="454"/>
      <x:c r="C20" s="454"/>
      <x:c r="D20" s="454"/>
      <x:c r="E20" s="454"/>
      <x:c r="F20" s="454"/>
      <x:c r="G20" s="455"/>
    </x:row>
    <x:row r="21" ht="6.300000190734863" customHeight="1">
      <x:c r="A21" s="119">
        <x:v>15</x:v>
      </x:c>
      <x:c r="B21" s="119" t="s">
        <x:v>63</x:v>
      </x:c>
      <x:c r="C21" s="41" t="s">
        <x:v>11</x:v>
      </x:c>
      <x:c r="D21" s="42" t="s">
        <x:v>12</x:v>
      </x:c>
      <x:c r="E21" s="41" t="s">
        <x:v>2128</x:v>
      </x:c>
      <x:c r="F21" s="43" t="s">
        <x:v>2134</x:v>
      </x:c>
      <x:c r="G21" s="43" t="s">
        <x:v>2135</x:v>
      </x:c>
    </x:row>
    <x:row r="22" ht="3.9000000953674316" customHeight="1">
      <x:c r="A22" s="119">
        <x:v>16</x:v>
      </x:c>
      <x:c r="B22" s="119" t="s">
        <x:v>63</x:v>
      </x:c>
      <x:c r="C22" s="44" t="s">
        <x:v>2128</x:v>
      </x:c>
      <x:c r="D22" s="42" t="s">
        <x:v>12</x:v>
      </x:c>
      <x:c r="E22" s="44" t="s">
        <x:v>11</x:v>
      </x:c>
      <x:c r="F22" s="45" t="s">
        <x:v>2136</x:v>
      </x:c>
      <x:c r="G22" s="45" t="s">
        <x:v>2137</x:v>
      </x:c>
    </x:row>
    <x:row r="23" ht="3.9000000953674316" customHeight="1">
      <x:c r="A23" s="119">
        <x:v>17</x:v>
      </x:c>
      <x:c r="B23" s="119" t="s">
        <x:v>63</x:v>
      </x:c>
      <x:c r="C23" s="46" t="s">
        <x:v>11</x:v>
      </x:c>
      <x:c r="D23" s="42" t="s">
        <x:v>12</x:v>
      </x:c>
      <x:c r="E23" s="46" t="s">
        <x:v>2128</x:v>
      </x:c>
      <x:c r="F23" s="47" t="s">
        <x:v>2138</x:v>
      </x:c>
      <x:c r="G23" s="47" t="s">
        <x:v>2139</x:v>
      </x:c>
    </x:row>
    <x:row r="24" ht="6.300000190734863" customHeight="1">
      <x:c r="A24" s="119">
        <x:v>18</x:v>
      </x:c>
      <x:c r="B24" s="119" t="s">
        <x:v>63</x:v>
      </x:c>
      <x:c r="C24" s="44" t="s">
        <x:v>2128</x:v>
      </x:c>
      <x:c r="D24" s="42" t="s">
        <x:v>12</x:v>
      </x:c>
      <x:c r="E24" s="44" t="s">
        <x:v>1114</x:v>
      </x:c>
      <x:c r="F24" s="45" t="s">
        <x:v>2140</x:v>
      </x:c>
      <x:c r="G24" s="45" t="s">
        <x:v>2141</x:v>
      </x:c>
    </x:row>
    <x:row r="25" ht="3.9000000953674316" customHeight="1">
      <x:c r="A25" s="119">
        <x:v>19</x:v>
      </x:c>
      <x:c r="B25" s="119" t="s">
        <x:v>63</x:v>
      </x:c>
      <x:c r="C25" s="46" t="s">
        <x:v>1114</x:v>
      </x:c>
      <x:c r="D25" s="42" t="s">
        <x:v>19</x:v>
      </x:c>
      <x:c r="E25" s="46" t="s">
        <x:v>1114</x:v>
      </x:c>
      <x:c r="F25" s="47" t="s">
        <x:v>2142</x:v>
      </x:c>
      <x:c r="G25" s="47" t="s">
        <x:v>2143</x:v>
      </x:c>
    </x:row>
    <x:row r="26" ht="3.9000000953674316" customHeight="1">
      <x:c r="A26" s="37">
        <x:v>20</x:v>
      </x:c>
      <x:c r="B26" s="116" t="s">
        <x:v>63</x:v>
      </x:c>
      <x:c r="C26" s="116" t="s">
        <x:v>1114</x:v>
      </x:c>
      <x:c r="D26" s="116" t="s">
        <x:v>19</x:v>
      </x:c>
      <x:c r="E26" s="116" t="s">
        <x:v>1114</x:v>
      </x:c>
      <x:c r="F26" s="116" t="s">
        <x:v>2144</x:v>
      </x:c>
      <x:c r="G26" s="117" t="s">
        <x:v>2145</x:v>
      </x:c>
    </x:row>
    <x:row r="27" ht="3.9000000953674316" customHeight="1">
      <x:c r="A27" s="119">
        <x:v>21</x:v>
      </x:c>
      <x:c r="B27" s="119" t="s">
        <x:v>63</x:v>
      </x:c>
      <x:c r="C27" s="41" t="s">
        <x:v>1114</x:v>
      </x:c>
      <x:c r="D27" s="42" t="s">
        <x:v>19</x:v>
      </x:c>
      <x:c r="E27" s="41" t="s">
        <x:v>1114</x:v>
      </x:c>
      <x:c r="F27" s="43" t="s">
        <x:v>2146</x:v>
      </x:c>
      <x:c r="G27" s="43" t="s">
        <x:v>2147</x:v>
      </x:c>
    </x:row>
    <x:row r="28" ht="3.9000000953674316" customHeight="1">
      <x:c r="A28" s="457" t="s">
        <x:v>2148</x:v>
      </x:c>
      <x:c r="B28" s="457"/>
      <x:c r="C28" s="462"/>
      <x:c r="D28" s="459"/>
      <x:c r="E28" s="462"/>
      <x:c r="F28" s="464"/>
      <x:c r="G28" s="464"/>
    </x:row>
    <x:row r="29" ht="6.300000190734863" customHeight="1">
      <x:c r="A29" s="119">
        <x:v>22</x:v>
      </x:c>
      <x:c r="B29" s="119" t="s">
        <x:v>81</x:v>
      </x:c>
      <x:c r="C29" s="46" t="s">
        <x:v>1114</x:v>
      </x:c>
      <x:c r="D29" s="42" t="s">
        <x:v>12</x:v>
      </x:c>
      <x:c r="E29" s="46" t="s">
        <x:v>1117</x:v>
      </x:c>
      <x:c r="F29" s="47" t="s">
        <x:v>2149</x:v>
      </x:c>
      <x:c r="G29" s="47" t="s">
        <x:v>2150</x:v>
      </x:c>
    </x:row>
    <x:row r="30" ht="3.9000000953674316" customHeight="1">
      <x:c r="A30" s="119">
        <x:v>23</x:v>
      </x:c>
      <x:c r="B30" s="119" t="s">
        <x:v>81</x:v>
      </x:c>
      <x:c r="C30" s="44" t="s">
        <x:v>1117</x:v>
      </x:c>
      <x:c r="D30" s="42" t="s">
        <x:v>53</x:v>
      </x:c>
      <x:c r="E30" s="44" t="s">
        <x:v>1114</x:v>
      </x:c>
      <x:c r="F30" s="45" t="s">
        <x:v>2151</x:v>
      </x:c>
      <x:c r="G30" s="45" t="s">
        <x:v>2152</x:v>
      </x:c>
    </x:row>
    <x:row r="31" ht="6.900000095367432" customHeight="1">
      <x:c r="A31" s="8">
        <x:v>24</x:v>
      </x:c>
      <x:c r="B31" s="8" t="s">
        <x:v>81</x:v>
      </x:c>
      <x:c r="C31" s="8" t="s">
        <x:v>1114</x:v>
      </x:c>
      <x:c r="D31" s="8" t="s">
        <x:v>12</x:v>
      </x:c>
      <x:c r="E31" s="8" t="s">
        <x:v>156</x:v>
      </x:c>
      <x:c r="F31" s="8" t="s">
        <x:v>2153</x:v>
      </x:c>
      <x:c r="G31" s="8" t="s">
        <x:v>2154</x:v>
      </x:c>
    </x:row>
    <x:row r="32" ht="6.900000095367432" customHeight="1">
      <x:c r="A32" s="8">
        <x:v>25</x:v>
      </x:c>
      <x:c r="B32" s="8" t="s">
        <x:v>81</x:v>
      </x:c>
      <x:c r="C32" s="8" t="s">
        <x:v>156</x:v>
      </x:c>
      <x:c r="D32" s="8" t="s">
        <x:v>12</x:v>
      </x:c>
      <x:c r="E32" s="8" t="s">
        <x:v>11</x:v>
      </x:c>
      <x:c r="F32" s="8" t="s">
        <x:v>2155</x:v>
      </x:c>
      <x:c r="G32" s="8" t="s">
        <x:v>2156</x:v>
      </x:c>
    </x:row>
  </x:sheetData>
  <x:mergeCells>
    <x:mergeCell ref="A28:G28"/>
    <x:mergeCell ref="A1:G1"/>
    <x:mergeCell ref="A2:G2"/>
    <x:mergeCell ref="A4:G4"/>
    <x:mergeCell ref="A15:G15"/>
    <x:mergeCell ref="A20:G20"/>
  </x:mergeCells>
  <x:pageMargins left="0.7" right="0.7" top="0.75" bottom="0.75" header="0.3" footer="0.3"/>
</x:worksheet>
</file>

<file path=xl/worksheets/sheet32.xml><?xml version="1.0" encoding="utf-8"?>
<x:worksheet xmlns:x="http://schemas.openxmlformats.org/spreadsheetml/2006/main">
  <x:sheetFormatPr baseColWidth="10" defaultColWidth="9.109375" defaultRowHeight="14.399999618530273"/>
  <x:cols>
    <x:col min="1" max="1" width="5" style="52" customWidth="1"/>
    <x:col min="2" max="2" width="7.5546875" style="52" customWidth="1"/>
    <x:col min="3" max="3" width="13.109375" style="52" customWidth="1"/>
    <x:col min="4" max="4" width="16.33203125" style="52" customWidth="1"/>
    <x:col min="5" max="5" width="14.44140625" style="52" customWidth="1"/>
    <x:col min="6" max="6" width="34.109375" style="52" customWidth="1"/>
    <x:col min="7" max="7" width="45.88671875" style="52" customWidth="1"/>
    <x:col min="8" max="8" width="9.109375" style="52" customWidth="1"/>
    <x:col min="9" max="16384" width="9.109375" style="52" customWidth="0"/>
  </x:cols>
  <x:sheetData>
    <x:row r="1" ht="4.050000190734863" customHeight="1">
      <x:c r="A1" s="452" t="s">
        <x:v>2157</x:v>
      </x:c>
      <x:c r="B1" s="447"/>
      <x:c r="C1" s="447"/>
      <x:c r="D1" s="447"/>
      <x:c r="E1" s="447"/>
      <x:c r="F1" s="447"/>
      <x:c r="G1" s="447"/>
    </x:row>
    <x:row r="2" ht="3.9000000953674316" customHeight="1">
      <x:c r="A2" s="453" t="s">
        <x:v>2158</x:v>
      </x:c>
      <x:c r="B2" s="447"/>
      <x:c r="C2" s="447"/>
      <x:c r="D2" s="447"/>
      <x:c r="E2" s="447"/>
      <x:c r="F2" s="447"/>
      <x:c r="G2" s="447"/>
    </x:row>
    <x:row r="3" ht="3.9000000953674316" customHeight="1">
      <x:c r="A3" s="37" t="s">
        <x:v>2</x:v>
      </x:c>
      <x:c r="B3" s="38" t="s">
        <x:v>3</x:v>
      </x:c>
      <x:c r="C3" s="38" t="s">
        <x:v>4</x:v>
      </x:c>
      <x:c r="D3" s="38" t="s">
        <x:v>5</x:v>
      </x:c>
      <x:c r="E3" s="38" t="s">
        <x:v>6</x:v>
      </x:c>
      <x:c r="F3" s="38" t="s">
        <x:v>7</x:v>
      </x:c>
      <x:c r="G3" s="38" t="s">
        <x:v>8</x:v>
      </x:c>
    </x:row>
    <x:row r="4" ht="3.9000000953674316" customHeight="1">
      <x:c r="A4" s="448" t="s">
        <x:v>2104</x:v>
      </x:c>
      <x:c r="B4" s="454"/>
      <x:c r="C4" s="454"/>
      <x:c r="D4" s="454"/>
      <x:c r="E4" s="454"/>
      <x:c r="F4" s="454"/>
      <x:c r="G4" s="455"/>
    </x:row>
    <x:row r="5" ht="3.9000000953674316" customHeight="1">
      <x:c r="A5" s="118">
        <x:v>1</x:v>
      </x:c>
      <x:c r="B5" s="119" t="s">
        <x:v>10</x:v>
      </x:c>
      <x:c r="C5" s="41" t="s">
        <x:v>11</x:v>
      </x:c>
      <x:c r="D5" s="42" t="s">
        <x:v>12</x:v>
      </x:c>
      <x:c r="E5" s="41" t="s">
        <x:v>164</x:v>
      </x:c>
      <x:c r="F5" s="43" t="s">
        <x:v>2105</x:v>
      </x:c>
      <x:c r="G5" s="43" t="s">
        <x:v>2159</x:v>
      </x:c>
    </x:row>
    <x:row r="6" ht="6.300000190734863" customHeight="1">
      <x:c r="A6" s="118">
        <x:v>2</x:v>
      </x:c>
      <x:c r="B6" s="119" t="s">
        <x:v>10</x:v>
      </x:c>
      <x:c r="C6" s="44" t="s">
        <x:v>164</x:v>
      </x:c>
      <x:c r="D6" s="42" t="s">
        <x:v>12</x:v>
      </x:c>
      <x:c r="E6" s="44" t="s">
        <x:v>167</x:v>
      </x:c>
      <x:c r="F6" s="45" t="s">
        <x:v>1443</x:v>
      </x:c>
      <x:c r="G6" s="45" t="s">
        <x:v>2107</x:v>
      </x:c>
    </x:row>
    <x:row r="7" ht="3.9000000953674316" customHeight="1">
      <x:c r="A7" s="118">
        <x:v>3</x:v>
      </x:c>
      <x:c r="B7" s="119" t="s">
        <x:v>10</x:v>
      </x:c>
      <x:c r="C7" s="46" t="s">
        <x:v>167</x:v>
      </x:c>
      <x:c r="D7" s="42" t="s">
        <x:v>12</x:v>
      </x:c>
      <x:c r="E7" s="46" t="s">
        <x:v>1003</x:v>
      </x:c>
      <x:c r="F7" s="47" t="s">
        <x:v>1445</x:v>
      </x:c>
      <x:c r="G7" s="47" t="s">
        <x:v>2108</x:v>
      </x:c>
    </x:row>
    <x:row r="8" ht="6.300000190734863" customHeight="1">
      <x:c r="A8" s="118">
        <x:v>4</x:v>
      </x:c>
      <x:c r="B8" s="119" t="s">
        <x:v>10</x:v>
      </x:c>
      <x:c r="C8" s="44" t="s">
        <x:v>1003</x:v>
      </x:c>
      <x:c r="D8" s="42" t="s">
        <x:v>12</x:v>
      </x:c>
      <x:c r="E8" s="44" t="s">
        <x:v>11</x:v>
      </x:c>
      <x:c r="F8" s="45" t="s">
        <x:v>2109</x:v>
      </x:c>
      <x:c r="G8" s="45" t="s">
        <x:v>2110</x:v>
      </x:c>
    </x:row>
    <x:row r="9" ht="6.300000190734863" customHeight="1">
      <x:c r="A9" s="118">
        <x:v>5</x:v>
      </x:c>
      <x:c r="B9" s="119" t="s">
        <x:v>10</x:v>
      </x:c>
      <x:c r="C9" s="46" t="s">
        <x:v>11</x:v>
      </x:c>
      <x:c r="D9" s="42" t="s">
        <x:v>12</x:v>
      </x:c>
      <x:c r="E9" s="46" t="s">
        <x:v>1003</x:v>
      </x:c>
      <x:c r="F9" s="47" t="s">
        <x:v>1506</x:v>
      </x:c>
      <x:c r="G9" s="47" t="s">
        <x:v>2160</x:v>
      </x:c>
    </x:row>
    <x:row r="10" ht="6.300000190734863" customHeight="1">
      <x:c r="A10" s="118">
        <x:v>6</x:v>
      </x:c>
      <x:c r="B10" s="119" t="s">
        <x:v>10</x:v>
      </x:c>
      <x:c r="C10" s="44" t="s">
        <x:v>1003</x:v>
      </x:c>
      <x:c r="D10" s="42" t="s">
        <x:v>12</x:v>
      </x:c>
      <x:c r="E10" s="44" t="s">
        <x:v>1114</x:v>
      </x:c>
      <x:c r="F10" s="45" t="s">
        <x:v>2112</x:v>
      </x:c>
      <x:c r="G10" s="45" t="s">
        <x:v>2161</x:v>
      </x:c>
    </x:row>
    <x:row r="11" ht="6.300000190734863" customHeight="1">
      <x:c r="A11" s="118">
        <x:v>7</x:v>
      </x:c>
      <x:c r="B11" s="119" t="s">
        <x:v>10</x:v>
      </x:c>
      <x:c r="C11" s="46" t="s">
        <x:v>1114</x:v>
      </x:c>
      <x:c r="D11" s="42" t="s">
        <x:v>12</x:v>
      </x:c>
      <x:c r="E11" s="46" t="s">
        <x:v>1117</x:v>
      </x:c>
      <x:c r="F11" s="47" t="s">
        <x:v>2114</x:v>
      </x:c>
      <x:c r="G11" s="47" t="s">
        <x:v>2115</x:v>
      </x:c>
    </x:row>
    <x:row r="12" ht="3.9000000953674316" customHeight="1">
      <x:c r="A12" s="118">
        <x:v>8</x:v>
      </x:c>
      <x:c r="B12" s="119" t="s">
        <x:v>10</x:v>
      </x:c>
      <x:c r="C12" s="44" t="s">
        <x:v>1117</x:v>
      </x:c>
      <x:c r="D12" s="42" t="s">
        <x:v>53</x:v>
      </x:c>
      <x:c r="E12" s="44" t="s">
        <x:v>1114</x:v>
      </x:c>
      <x:c r="F12" s="45" t="s">
        <x:v>2116</x:v>
      </x:c>
      <x:c r="G12" s="45" t="s">
        <x:v>2117</x:v>
      </x:c>
    </x:row>
    <x:row r="13" ht="6.300000190734863" customHeight="1">
      <x:c r="A13" s="118">
        <x:v>9</x:v>
      </x:c>
      <x:c r="B13" s="119" t="s">
        <x:v>10</x:v>
      </x:c>
      <x:c r="C13" s="46" t="s">
        <x:v>1114</x:v>
      </x:c>
      <x:c r="D13" s="42" t="s">
        <x:v>12</x:v>
      </x:c>
      <x:c r="E13" s="46" t="s">
        <x:v>2118</x:v>
      </x:c>
      <x:c r="F13" s="47" t="s">
        <x:v>2119</x:v>
      </x:c>
      <x:c r="G13" s="47" t="s">
        <x:v>2120</x:v>
      </x:c>
    </x:row>
    <x:row r="14" ht="3.9000000953674316" customHeight="1">
      <x:c r="A14" s="118">
        <x:v>10</x:v>
      </x:c>
      <x:c r="B14" s="119" t="s">
        <x:v>10</x:v>
      </x:c>
      <x:c r="C14" s="44" t="s">
        <x:v>2118</x:v>
      </x:c>
      <x:c r="D14" s="42" t="s">
        <x:v>12</x:v>
      </x:c>
      <x:c r="E14" s="44" t="s">
        <x:v>11</x:v>
      </x:c>
      <x:c r="F14" s="45" t="s">
        <x:v>2121</x:v>
      </x:c>
      <x:c r="G14" s="45" t="s">
        <x:v>2122</x:v>
      </x:c>
    </x:row>
    <x:row r="15" ht="3.9000000953674316" customHeight="1">
      <x:c r="A15" s="448" t="s">
        <x:v>2162</x:v>
      </x:c>
      <x:c r="B15" s="454"/>
      <x:c r="C15" s="454"/>
      <x:c r="D15" s="454"/>
      <x:c r="E15" s="454"/>
      <x:c r="F15" s="454"/>
      <x:c r="G15" s="455"/>
    </x:row>
    <x:row r="16" ht="6.300000190734863" customHeight="1">
      <x:c r="A16" s="118">
        <x:v>11</x:v>
      </x:c>
      <x:c r="B16" s="119" t="s">
        <x:v>33</x:v>
      </x:c>
      <x:c r="C16" s="41" t="s">
        <x:v>11</x:v>
      </x:c>
      <x:c r="D16" s="42" t="s">
        <x:v>12</x:v>
      </x:c>
      <x:c r="E16" s="41" t="s">
        <x:v>2118</x:v>
      </x:c>
      <x:c r="F16" s="43" t="s">
        <x:v>2163</x:v>
      </x:c>
      <x:c r="G16" s="43" t="s">
        <x:v>2164</x:v>
      </x:c>
    </x:row>
    <x:row r="17" ht="6.300000190734863" customHeight="1">
      <x:c r="A17" s="118">
        <x:v>12</x:v>
      </x:c>
      <x:c r="B17" s="119" t="s">
        <x:v>33</x:v>
      </x:c>
      <x:c r="C17" s="44" t="s">
        <x:v>2118</x:v>
      </x:c>
      <x:c r="D17" s="42" t="s">
        <x:v>12</x:v>
      </x:c>
      <x:c r="E17" s="44" t="s">
        <x:v>11</x:v>
      </x:c>
      <x:c r="F17" s="45" t="s">
        <x:v>2165</x:v>
      </x:c>
      <x:c r="G17" s="45" t="s">
        <x:v>2166</x:v>
      </x:c>
    </x:row>
    <x:row r="18" ht="3.9000000953674316" customHeight="1">
      <x:c r="A18" s="118">
        <x:v>13</x:v>
      </x:c>
      <x:c r="B18" s="119" t="s">
        <x:v>33</x:v>
      </x:c>
      <x:c r="C18" s="46" t="s">
        <x:v>11</x:v>
      </x:c>
      <x:c r="D18" s="42" t="s">
        <x:v>12</x:v>
      </x:c>
      <x:c r="E18" s="46" t="s">
        <x:v>2118</x:v>
      </x:c>
      <x:c r="F18" s="47" t="s">
        <x:v>2167</x:v>
      </x:c>
      <x:c r="G18" s="47" t="s">
        <x:v>2168</x:v>
      </x:c>
    </x:row>
    <x:row r="19" ht="3.9000000953674316" customHeight="1">
      <x:c r="A19" s="118">
        <x:v>14</x:v>
      </x:c>
      <x:c r="B19" s="119" t="s">
        <x:v>33</x:v>
      </x:c>
      <x:c r="C19" s="44" t="s">
        <x:v>2118</x:v>
      </x:c>
      <x:c r="D19" s="42" t="s">
        <x:v>12</x:v>
      </x:c>
      <x:c r="E19" s="44" t="s">
        <x:v>1114</x:v>
      </x:c>
      <x:c r="F19" s="45" t="s">
        <x:v>2169</x:v>
      </x:c>
      <x:c r="G19" s="45" t="s">
        <x:v>2170</x:v>
      </x:c>
    </x:row>
    <x:row r="20" ht="3.9000000953674316" customHeight="1">
      <x:c r="A20" s="118">
        <x:v>15</x:v>
      </x:c>
      <x:c r="B20" s="119" t="s">
        <x:v>33</x:v>
      </x:c>
      <x:c r="C20" s="46" t="s">
        <x:v>1114</x:v>
      </x:c>
      <x:c r="D20" s="42" t="s">
        <x:v>12</x:v>
      </x:c>
      <x:c r="E20" s="46" t="s">
        <x:v>1117</x:v>
      </x:c>
      <x:c r="F20" s="47" t="s">
        <x:v>2171</x:v>
      </x:c>
      <x:c r="G20" s="47" t="s">
        <x:v>2172</x:v>
      </x:c>
    </x:row>
    <x:row r="21" ht="6.300000190734863" customHeight="1">
      <x:c r="A21" s="118">
        <x:v>16</x:v>
      </x:c>
      <x:c r="B21" s="119" t="s">
        <x:v>33</x:v>
      </x:c>
      <x:c r="C21" s="44" t="s">
        <x:v>1117</x:v>
      </x:c>
      <x:c r="D21" s="42" t="s">
        <x:v>53</x:v>
      </x:c>
      <x:c r="E21" s="44" t="s">
        <x:v>1114</x:v>
      </x:c>
      <x:c r="F21" s="45" t="s">
        <x:v>2173</x:v>
      </x:c>
      <x:c r="G21" s="45" t="s">
        <x:v>2174</x:v>
      </x:c>
    </x:row>
    <x:row r="22" ht="6.300000190734863" customHeight="1">
      <x:c r="A22" s="118">
        <x:v>17</x:v>
      </x:c>
      <x:c r="B22" s="119" t="s">
        <x:v>33</x:v>
      </x:c>
      <x:c r="C22" s="46" t="s">
        <x:v>1114</x:v>
      </x:c>
      <x:c r="D22" s="42" t="s">
        <x:v>19</x:v>
      </x:c>
      <x:c r="E22" s="46" t="s">
        <x:v>1114</x:v>
      </x:c>
      <x:c r="F22" s="47" t="s">
        <x:v>2175</x:v>
      </x:c>
      <x:c r="G22" s="47" t="s">
        <x:v>2176</x:v>
      </x:c>
    </x:row>
    <x:row r="23" ht="3.9000000953674316" customHeight="1">
      <x:c r="A23" s="118">
        <x:v>18</x:v>
      </x:c>
      <x:c r="B23" s="119" t="s">
        <x:v>33</x:v>
      </x:c>
      <x:c r="C23" s="44" t="s">
        <x:v>1114</x:v>
      </x:c>
      <x:c r="D23" s="42" t="s">
        <x:v>12</x:v>
      </x:c>
      <x:c r="E23" s="44" t="s">
        <x:v>2177</x:v>
      </x:c>
      <x:c r="F23" s="45" t="s">
        <x:v>2178</x:v>
      </x:c>
      <x:c r="G23" s="45" t="s">
        <x:v>2179</x:v>
      </x:c>
    </x:row>
    <x:row r="24" ht="3.9000000953674316" customHeight="1">
      <x:c r="A24" s="118">
        <x:v>19</x:v>
      </x:c>
      <x:c r="B24" s="119" t="s">
        <x:v>33</x:v>
      </x:c>
      <x:c r="C24" s="46" t="s">
        <x:v>2177</x:v>
      </x:c>
      <x:c r="D24" s="42" t="s">
        <x:v>12</x:v>
      </x:c>
      <x:c r="E24" s="46" t="s">
        <x:v>11</x:v>
      </x:c>
      <x:c r="F24" s="47" t="s">
        <x:v>1186</x:v>
      </x:c>
      <x:c r="G24" s="47" t="s">
        <x:v>2180</x:v>
      </x:c>
    </x:row>
    <x:row r="25" ht="3.9000000953674316" customHeight="1">
      <x:c r="A25" s="448" t="s">
        <x:v>2181</x:v>
      </x:c>
      <x:c r="B25" s="454"/>
      <x:c r="C25" s="454"/>
      <x:c r="D25" s="454"/>
      <x:c r="E25" s="454"/>
      <x:c r="F25" s="454"/>
      <x:c r="G25" s="455"/>
    </x:row>
    <x:row r="26" ht="6.300000190734863" customHeight="1">
      <x:c r="A26" s="118">
        <x:v>20</x:v>
      </x:c>
      <x:c r="B26" s="119" t="s">
        <x:v>63</x:v>
      </x:c>
      <x:c r="C26" s="41" t="s">
        <x:v>11</x:v>
      </x:c>
      <x:c r="D26" s="42" t="s">
        <x:v>12</x:v>
      </x:c>
      <x:c r="E26" s="41" t="s">
        <x:v>2177</x:v>
      </x:c>
      <x:c r="F26" s="43" t="s">
        <x:v>2182</x:v>
      </x:c>
      <x:c r="G26" s="43" t="s">
        <x:v>2183</x:v>
      </x:c>
    </x:row>
    <x:row r="27" ht="3.9000000953674316" customHeight="1">
      <x:c r="A27" s="118">
        <x:v>21</x:v>
      </x:c>
      <x:c r="B27" s="119" t="s">
        <x:v>63</x:v>
      </x:c>
      <x:c r="C27" s="44" t="s">
        <x:v>2177</x:v>
      </x:c>
      <x:c r="D27" s="42" t="s">
        <x:v>12</x:v>
      </x:c>
      <x:c r="E27" s="44" t="s">
        <x:v>11</x:v>
      </x:c>
      <x:c r="F27" s="45" t="s">
        <x:v>1935</x:v>
      </x:c>
      <x:c r="G27" s="45" t="s">
        <x:v>2184</x:v>
      </x:c>
    </x:row>
    <x:row r="28" ht="3.9000000953674316" customHeight="1">
      <x:c r="A28" s="118">
        <x:v>22</x:v>
      </x:c>
      <x:c r="B28" s="119" t="s">
        <x:v>63</x:v>
      </x:c>
      <x:c r="C28" s="46" t="s">
        <x:v>11</x:v>
      </x:c>
      <x:c r="D28" s="42" t="s">
        <x:v>12</x:v>
      </x:c>
      <x:c r="E28" s="46" t="s">
        <x:v>2177</x:v>
      </x:c>
      <x:c r="F28" s="47" t="s">
        <x:v>1937</x:v>
      </x:c>
      <x:c r="G28" s="47" t="s">
        <x:v>1938</x:v>
      </x:c>
    </x:row>
    <x:row r="29" ht="9.300000190734863" customHeight="1">
      <x:c r="A29" s="118">
        <x:v>23</x:v>
      </x:c>
      <x:c r="B29" s="119" t="s">
        <x:v>63</x:v>
      </x:c>
      <x:c r="C29" s="44" t="s">
        <x:v>2177</x:v>
      </x:c>
      <x:c r="D29" s="42" t="s">
        <x:v>12</x:v>
      </x:c>
      <x:c r="E29" s="44" t="s">
        <x:v>1114</x:v>
      </x:c>
      <x:c r="F29" s="45" t="s">
        <x:v>2185</x:v>
      </x:c>
      <x:c r="G29" s="45" t="s">
        <x:v>2186</x:v>
      </x:c>
    </x:row>
    <x:row r="30" ht="3.9000000953674316" customHeight="1">
      <x:c r="A30" s="118">
        <x:v>24</x:v>
      </x:c>
      <x:c r="B30" s="119" t="s">
        <x:v>63</x:v>
      </x:c>
      <x:c r="C30" s="46" t="s">
        <x:v>1114</x:v>
      </x:c>
      <x:c r="D30" s="42" t="s">
        <x:v>19</x:v>
      </x:c>
      <x:c r="E30" s="46" t="s">
        <x:v>1114</x:v>
      </x:c>
      <x:c r="F30" s="47" t="s">
        <x:v>2142</x:v>
      </x:c>
      <x:c r="G30" s="47" t="s">
        <x:v>2187</x:v>
      </x:c>
    </x:row>
    <x:row r="31" ht="3.9000000953674316" customHeight="1">
      <x:c r="A31" s="118">
        <x:v>25</x:v>
      </x:c>
      <x:c r="B31" s="119" t="s">
        <x:v>63</x:v>
      </x:c>
      <x:c r="C31" s="44" t="s">
        <x:v>1114</x:v>
      </x:c>
      <x:c r="D31" s="42" t="s">
        <x:v>19</x:v>
      </x:c>
      <x:c r="E31" s="44" t="s">
        <x:v>1114</x:v>
      </x:c>
      <x:c r="F31" s="45" t="s">
        <x:v>2144</x:v>
      </x:c>
      <x:c r="G31" s="45" t="s">
        <x:v>2145</x:v>
      </x:c>
    </x:row>
    <x:row r="32" ht="3.9000000953674316" customHeight="1">
      <x:c r="A32" s="37">
        <x:v>26</x:v>
      </x:c>
      <x:c r="B32" s="116" t="s">
        <x:v>63</x:v>
      </x:c>
      <x:c r="C32" s="116" t="s">
        <x:v>1114</x:v>
      </x:c>
      <x:c r="D32" s="116" t="s">
        <x:v>19</x:v>
      </x:c>
      <x:c r="E32" s="116" t="s">
        <x:v>1114</x:v>
      </x:c>
      <x:c r="F32" s="116" t="s">
        <x:v>2146</x:v>
      </x:c>
      <x:c r="G32" s="117" t="s">
        <x:v>2147</x:v>
      </x:c>
    </x:row>
    <x:row r="33" ht="3.9000000953674316" customHeight="1">
      <x:c r="A33" s="456" t="s">
        <x:v>2188</x:v>
      </x:c>
      <x:c r="B33" s="457"/>
      <x:c r="C33" s="458"/>
      <x:c r="D33" s="459"/>
      <x:c r="E33" s="458"/>
      <x:c r="F33" s="461"/>
      <x:c r="G33" s="461"/>
    </x:row>
    <x:row r="34" ht="9.300000190734863" customHeight="1">
      <x:c r="A34" s="118">
        <x:v>27</x:v>
      </x:c>
      <x:c r="B34" s="119" t="s">
        <x:v>81</x:v>
      </x:c>
      <x:c r="C34" s="44" t="s">
        <x:v>1114</x:v>
      </x:c>
      <x:c r="D34" s="42" t="s">
        <x:v>12</x:v>
      </x:c>
      <x:c r="E34" s="44" t="s">
        <x:v>1117</x:v>
      </x:c>
      <x:c r="F34" s="45" t="s">
        <x:v>2189</x:v>
      </x:c>
      <x:c r="G34" s="45" t="s">
        <x:v>2190</x:v>
      </x:c>
    </x:row>
    <x:row r="35" ht="6.300000190734863" customHeight="1">
      <x:c r="A35" s="118">
        <x:v>28</x:v>
      </x:c>
      <x:c r="B35" s="119" t="s">
        <x:v>81</x:v>
      </x:c>
      <x:c r="C35" s="46" t="s">
        <x:v>1117</x:v>
      </x:c>
      <x:c r="D35" s="42" t="s">
        <x:v>53</x:v>
      </x:c>
      <x:c r="E35" s="46" t="s">
        <x:v>1114</x:v>
      </x:c>
      <x:c r="F35" s="47" t="s">
        <x:v>2191</x:v>
      </x:c>
      <x:c r="G35" s="47" t="s">
        <x:v>2192</x:v>
      </x:c>
    </x:row>
    <x:row r="36" ht="9.300000190734863" customHeight="1">
      <x:c r="A36" s="118">
        <x:v>29</x:v>
      </x:c>
      <x:c r="B36" s="119" t="s">
        <x:v>81</x:v>
      </x:c>
      <x:c r="C36" s="44" t="s">
        <x:v>1114</x:v>
      </x:c>
      <x:c r="D36" s="42" t="s">
        <x:v>12</x:v>
      </x:c>
      <x:c r="E36" s="44" t="s">
        <x:v>2118</x:v>
      </x:c>
      <x:c r="F36" s="45" t="s">
        <x:v>2193</x:v>
      </x:c>
      <x:c r="G36" s="45" t="s">
        <x:v>2194</x:v>
      </x:c>
    </x:row>
    <x:row r="37" ht="3.9000000953674316" customHeight="1">
      <x:c r="A37" s="8">
        <x:v>30</x:v>
      </x:c>
      <x:c r="B37" s="8" t="s">
        <x:v>81</x:v>
      </x:c>
      <x:c r="C37" s="8" t="s">
        <x:v>2118</x:v>
      </x:c>
      <x:c r="D37" s="8" t="s">
        <x:v>12</x:v>
      </x:c>
      <x:c r="E37" s="8" t="s">
        <x:v>11</x:v>
      </x:c>
      <x:c r="F37" s="8" t="s">
        <x:v>2195</x:v>
      </x:c>
      <x:c r="G37" s="8" t="s">
        <x:v>2196</x:v>
      </x:c>
    </x:row>
  </x:sheetData>
  <x:mergeCells>
    <x:mergeCell ref="A33:G33"/>
    <x:mergeCell ref="A1:G1"/>
    <x:mergeCell ref="A2:G2"/>
    <x:mergeCell ref="A4:G4"/>
    <x:mergeCell ref="A15:G15"/>
    <x:mergeCell ref="A25:G25"/>
  </x:mergeCells>
  <x:pageMargins left="0.7" right="0.7" top="0.75" bottom="0.75" header="0.3" footer="0.3"/>
</x:worksheet>
</file>

<file path=xl/worksheets/sheet33.xml><?xml version="1.0" encoding="utf-8"?>
<x:worksheet xmlns:x="http://schemas.openxmlformats.org/spreadsheetml/2006/main">
  <x:sheetFormatPr baseColWidth="10" defaultColWidth="9.109375" defaultRowHeight="14.399999618530273"/>
  <x:cols>
    <x:col min="1" max="1" width="7.109375" style="52" customWidth="1"/>
    <x:col min="2" max="2" width="9.109375" style="52" customWidth="1"/>
    <x:col min="3" max="3" width="13.33203125" style="52" customWidth="1"/>
    <x:col min="4" max="4" width="16" style="52" customWidth="1"/>
    <x:col min="5" max="5" width="20" style="52" customWidth="1"/>
    <x:col min="6" max="6" width="34.33203125" style="52" customWidth="1"/>
    <x:col min="7" max="7" width="54.33203125" style="52" customWidth="1"/>
    <x:col min="8" max="8" width="9.109375" style="52" customWidth="1"/>
    <x:col min="9" max="16384" width="9.109375" style="52" customWidth="0"/>
  </x:cols>
  <x:sheetData>
    <x:row r="1" ht="4.5" customHeight="1">
      <x:c r="A1" s="432" t="s">
        <x:v>2197</x:v>
      </x:c>
      <x:c r="B1" s="447"/>
      <x:c r="C1" s="447"/>
      <x:c r="D1" s="447"/>
      <x:c r="E1" s="447"/>
      <x:c r="F1" s="447"/>
      <x:c r="G1" s="447"/>
    </x:row>
    <x:row r="2" ht="4.050000190734863" customHeight="1">
      <x:c r="A2" s="434" t="s">
        <x:v>2198</x:v>
      </x:c>
      <x:c r="B2" s="447"/>
      <x:c r="C2" s="447"/>
      <x:c r="D2" s="447"/>
      <x:c r="E2" s="447"/>
      <x:c r="F2" s="447"/>
      <x:c r="G2" s="447"/>
    </x:row>
    <x:row r="3">
      <x:c r="A3" s="37" t="s">
        <x:v>2</x:v>
      </x:c>
      <x:c r="B3" s="38" t="s">
        <x:v>3</x:v>
      </x:c>
      <x:c r="C3" s="38" t="s">
        <x:v>4</x:v>
      </x:c>
      <x:c r="D3" s="38" t="s">
        <x:v>5</x:v>
      </x:c>
      <x:c r="E3" s="38" t="s">
        <x:v>6</x:v>
      </x:c>
      <x:c r="F3" s="38" t="s">
        <x:v>7</x:v>
      </x:c>
      <x:c r="G3" s="38" t="s">
        <x:v>8</x:v>
      </x:c>
    </x:row>
    <x:row r="4">
      <x:c r="A4" s="448" t="s">
        <x:v>2199</x:v>
      </x:c>
      <x:c r="B4" s="449"/>
      <x:c r="C4" s="449"/>
      <x:c r="D4" s="449"/>
      <x:c r="E4" s="449"/>
      <x:c r="F4" s="449"/>
      <x:c r="G4" s="450"/>
    </x:row>
    <x:row r="5">
      <x:c r="A5" s="102">
        <x:v>1</x:v>
      </x:c>
      <x:c r="B5" s="103" t="s">
        <x:v>10</x:v>
      </x:c>
      <x:c r="C5" s="41" t="s">
        <x:v>11</x:v>
      </x:c>
      <x:c r="D5" s="42" t="s">
        <x:v>12</x:v>
      </x:c>
      <x:c r="E5" s="41" t="s">
        <x:v>164</x:v>
      </x:c>
      <x:c r="F5" s="43" t="s">
        <x:v>2105</x:v>
      </x:c>
      <x:c r="G5" s="43" t="s">
        <x:v>2159</x:v>
      </x:c>
    </x:row>
    <x:row r="6">
      <x:c r="A6" s="102">
        <x:v>2</x:v>
      </x:c>
      <x:c r="B6" s="103" t="s">
        <x:v>10</x:v>
      </x:c>
      <x:c r="C6" s="44" t="s">
        <x:v>164</x:v>
      </x:c>
      <x:c r="D6" s="42" t="s">
        <x:v>12</x:v>
      </x:c>
      <x:c r="E6" s="44" t="s">
        <x:v>167</x:v>
      </x:c>
      <x:c r="F6" s="45" t="s">
        <x:v>1001</x:v>
      </x:c>
      <x:c r="G6" s="45" t="s">
        <x:v>2200</x:v>
      </x:c>
    </x:row>
    <x:row r="7" ht="26.399999618530273">
      <x:c r="A7" s="102">
        <x:v>3</x:v>
      </x:c>
      <x:c r="B7" s="103" t="s">
        <x:v>10</x:v>
      </x:c>
      <x:c r="C7" s="46" t="s">
        <x:v>167</x:v>
      </x:c>
      <x:c r="D7" s="42" t="s">
        <x:v>12</x:v>
      </x:c>
      <x:c r="E7" s="46" t="s">
        <x:v>1003</x:v>
      </x:c>
      <x:c r="F7" s="47" t="s">
        <x:v>1445</x:v>
      </x:c>
      <x:c r="G7" s="47" t="s">
        <x:v>2201</x:v>
      </x:c>
    </x:row>
    <x:row r="8" ht="6.900000095367432" customHeight="1">
      <x:c r="A8" s="102">
        <x:v>4</x:v>
      </x:c>
      <x:c r="B8" s="103" t="s">
        <x:v>10</x:v>
      </x:c>
      <x:c r="C8" s="44" t="s">
        <x:v>1003</x:v>
      </x:c>
      <x:c r="D8" s="42" t="s">
        <x:v>12</x:v>
      </x:c>
      <x:c r="E8" s="44" t="s">
        <x:v>11</x:v>
      </x:c>
      <x:c r="F8" s="45" t="s">
        <x:v>2109</x:v>
      </x:c>
      <x:c r="G8" s="45" t="s">
        <x:v>2202</x:v>
      </x:c>
    </x:row>
    <x:row r="9">
      <x:c r="A9" s="102">
        <x:v>5</x:v>
      </x:c>
      <x:c r="B9" s="103" t="s">
        <x:v>10</x:v>
      </x:c>
      <x:c r="C9" s="46" t="s">
        <x:v>11</x:v>
      </x:c>
      <x:c r="D9" s="42" t="s">
        <x:v>12</x:v>
      </x:c>
      <x:c r="E9" s="46" t="s">
        <x:v>1003</x:v>
      </x:c>
      <x:c r="F9" s="47" t="s">
        <x:v>2203</x:v>
      </x:c>
      <x:c r="G9" s="47" t="s">
        <x:v>2204</x:v>
      </x:c>
    </x:row>
    <x:row r="10" ht="26.399999618530273">
      <x:c r="A10" s="102">
        <x:v>6</x:v>
      </x:c>
      <x:c r="B10" s="103" t="s">
        <x:v>10</x:v>
      </x:c>
      <x:c r="C10" s="44" t="s">
        <x:v>1003</x:v>
      </x:c>
      <x:c r="D10" s="42" t="s">
        <x:v>12</x:v>
      </x:c>
      <x:c r="E10" s="44" t="s">
        <x:v>1114</x:v>
      </x:c>
      <x:c r="F10" s="45" t="s">
        <x:v>2112</x:v>
      </x:c>
      <x:c r="G10" s="45" t="s">
        <x:v>2161</x:v>
      </x:c>
    </x:row>
    <x:row r="11" ht="6.900000095367432" customHeight="1">
      <x:c r="A11" s="102">
        <x:v>7</x:v>
      </x:c>
      <x:c r="B11" s="103" t="s">
        <x:v>10</x:v>
      </x:c>
      <x:c r="C11" s="46" t="s">
        <x:v>1114</x:v>
      </x:c>
      <x:c r="D11" s="42" t="s">
        <x:v>12</x:v>
      </x:c>
      <x:c r="E11" s="46" t="s">
        <x:v>1117</x:v>
      </x:c>
      <x:c r="F11" s="47" t="s">
        <x:v>2114</x:v>
      </x:c>
      <x:c r="G11" s="47" t="s">
        <x:v>2205</x:v>
      </x:c>
    </x:row>
    <x:row r="12">
      <x:c r="A12" s="102">
        <x:v>8</x:v>
      </x:c>
      <x:c r="B12" s="103" t="s">
        <x:v>10</x:v>
      </x:c>
      <x:c r="C12" s="44" t="s">
        <x:v>1117</x:v>
      </x:c>
      <x:c r="D12" s="42" t="s">
        <x:v>53</x:v>
      </x:c>
      <x:c r="E12" s="44" t="s">
        <x:v>1114</x:v>
      </x:c>
      <x:c r="F12" s="45" t="s">
        <x:v>2116</x:v>
      </x:c>
      <x:c r="G12" s="45" t="s">
        <x:v>2117</x:v>
      </x:c>
    </x:row>
    <x:row r="13" ht="6.900000095367432" customHeight="1">
      <x:c r="A13" s="102">
        <x:v>9</x:v>
      </x:c>
      <x:c r="B13" s="103" t="s">
        <x:v>10</x:v>
      </x:c>
      <x:c r="C13" s="46" t="s">
        <x:v>1114</x:v>
      </x:c>
      <x:c r="D13" s="42" t="s">
        <x:v>12</x:v>
      </x:c>
      <x:c r="E13" s="46" t="s">
        <x:v>2118</x:v>
      </x:c>
      <x:c r="F13" s="47" t="s">
        <x:v>2119</x:v>
      </x:c>
      <x:c r="G13" s="47" t="s">
        <x:v>2120</x:v>
      </x:c>
    </x:row>
    <x:row r="14">
      <x:c r="A14" s="102">
        <x:v>10</x:v>
      </x:c>
      <x:c r="B14" s="103" t="s">
        <x:v>10</x:v>
      </x:c>
      <x:c r="C14" s="44" t="s">
        <x:v>2118</x:v>
      </x:c>
      <x:c r="D14" s="42" t="s">
        <x:v>12</x:v>
      </x:c>
      <x:c r="E14" s="44" t="s">
        <x:v>11</x:v>
      </x:c>
      <x:c r="F14" s="45" t="s">
        <x:v>2121</x:v>
      </x:c>
      <x:c r="G14" s="45" t="s">
        <x:v>2122</x:v>
      </x:c>
    </x:row>
    <x:row r="15">
      <x:c r="A15" s="448" t="s">
        <x:v>2206</x:v>
      </x:c>
      <x:c r="B15" s="449"/>
      <x:c r="C15" s="449"/>
      <x:c r="D15" s="449"/>
      <x:c r="E15" s="449"/>
      <x:c r="F15" s="449"/>
      <x:c r="G15" s="450"/>
    </x:row>
    <x:row r="16">
      <x:c r="A16" s="102">
        <x:v>11</x:v>
      </x:c>
      <x:c r="B16" s="103" t="s">
        <x:v>33</x:v>
      </x:c>
      <x:c r="C16" s="41" t="s">
        <x:v>11</x:v>
      </x:c>
      <x:c r="D16" s="42" t="s">
        <x:v>12</x:v>
      </x:c>
      <x:c r="E16" s="41" t="s">
        <x:v>2118</x:v>
      </x:c>
      <x:c r="F16" s="43" t="s">
        <x:v>2163</x:v>
      </x:c>
      <x:c r="G16" s="43" t="s">
        <x:v>2164</x:v>
      </x:c>
    </x:row>
    <x:row r="17" ht="6.900000095367432" customHeight="1">
      <x:c r="A17" s="102">
        <x:v>12</x:v>
      </x:c>
      <x:c r="B17" s="103" t="s">
        <x:v>33</x:v>
      </x:c>
      <x:c r="C17" s="44" t="s">
        <x:v>2118</x:v>
      </x:c>
      <x:c r="D17" s="42" t="s">
        <x:v>12</x:v>
      </x:c>
      <x:c r="E17" s="44" t="s">
        <x:v>11</x:v>
      </x:c>
      <x:c r="F17" s="45" t="s">
        <x:v>2165</x:v>
      </x:c>
      <x:c r="G17" s="45" t="s">
        <x:v>2166</x:v>
      </x:c>
    </x:row>
    <x:row r="18">
      <x:c r="A18" s="102">
        <x:v>13</x:v>
      </x:c>
      <x:c r="B18" s="103" t="s">
        <x:v>33</x:v>
      </x:c>
      <x:c r="C18" s="46" t="s">
        <x:v>11</x:v>
      </x:c>
      <x:c r="D18" s="42" t="s">
        <x:v>12</x:v>
      </x:c>
      <x:c r="E18" s="46" t="s">
        <x:v>2118</x:v>
      </x:c>
      <x:c r="F18" s="47" t="s">
        <x:v>2207</x:v>
      </x:c>
      <x:c r="G18" s="47" t="s">
        <x:v>2208</x:v>
      </x:c>
    </x:row>
    <x:row r="19" ht="6.900000095367432" customHeight="1">
      <x:c r="A19" s="102">
        <x:v>14</x:v>
      </x:c>
      <x:c r="B19" s="103" t="s">
        <x:v>33</x:v>
      </x:c>
      <x:c r="C19" s="44" t="s">
        <x:v>2118</x:v>
      </x:c>
      <x:c r="D19" s="42" t="s">
        <x:v>12</x:v>
      </x:c>
      <x:c r="E19" s="44" t="s">
        <x:v>1114</x:v>
      </x:c>
      <x:c r="F19" s="45" t="s">
        <x:v>2209</x:v>
      </x:c>
      <x:c r="G19" s="45" t="s">
        <x:v>2210</x:v>
      </x:c>
    </x:row>
    <x:row r="20" ht="6.900000095367432" customHeight="1">
      <x:c r="A20" s="102">
        <x:v>15</x:v>
      </x:c>
      <x:c r="B20" s="103" t="s">
        <x:v>33</x:v>
      </x:c>
      <x:c r="C20" s="46" t="s">
        <x:v>1114</x:v>
      </x:c>
      <x:c r="D20" s="42" t="s">
        <x:v>12</x:v>
      </x:c>
      <x:c r="E20" s="46" t="s">
        <x:v>1117</x:v>
      </x:c>
      <x:c r="F20" s="47" t="s">
        <x:v>2171</x:v>
      </x:c>
      <x:c r="G20" s="47" t="s">
        <x:v>2211</x:v>
      </x:c>
    </x:row>
    <x:row r="21" ht="6.900000095367432" customHeight="1">
      <x:c r="A21" s="102">
        <x:v>16</x:v>
      </x:c>
      <x:c r="B21" s="103" t="s">
        <x:v>33</x:v>
      </x:c>
      <x:c r="C21" s="44" t="s">
        <x:v>1117</x:v>
      </x:c>
      <x:c r="D21" s="42" t="s">
        <x:v>53</x:v>
      </x:c>
      <x:c r="E21" s="44" t="s">
        <x:v>1114</x:v>
      </x:c>
      <x:c r="F21" s="45" t="s">
        <x:v>2212</x:v>
      </x:c>
      <x:c r="G21" s="45" t="s">
        <x:v>2213</x:v>
      </x:c>
    </x:row>
    <x:row r="22" ht="6.900000095367432" customHeight="1">
      <x:c r="A22" s="102">
        <x:v>17</x:v>
      </x:c>
      <x:c r="B22" s="103" t="s">
        <x:v>33</x:v>
      </x:c>
      <x:c r="C22" s="46" t="s">
        <x:v>1114</x:v>
      </x:c>
      <x:c r="D22" s="42" t="s">
        <x:v>19</x:v>
      </x:c>
      <x:c r="E22" s="46" t="s">
        <x:v>1114</x:v>
      </x:c>
      <x:c r="F22" s="47" t="s">
        <x:v>2175</x:v>
      </x:c>
      <x:c r="G22" s="47" t="s">
        <x:v>2214</x:v>
      </x:c>
    </x:row>
    <x:row r="23" ht="13.800000190734863" customHeight="1">
      <x:c r="A23" s="102">
        <x:v>18</x:v>
      </x:c>
      <x:c r="B23" s="103" t="s">
        <x:v>33</x:v>
      </x:c>
      <x:c r="C23" s="44" t="s">
        <x:v>1114</x:v>
      </x:c>
      <x:c r="D23" s="42" t="s">
        <x:v>12</x:v>
      </x:c>
      <x:c r="E23" s="44" t="s">
        <x:v>156</x:v>
      </x:c>
      <x:c r="F23" s="45" t="s">
        <x:v>2215</x:v>
      </x:c>
      <x:c r="G23" s="45" t="s">
        <x:v>2216</x:v>
      </x:c>
    </x:row>
    <x:row r="24" ht="6.900000095367432" customHeight="1">
      <x:c r="A24" s="102">
        <x:v>19</x:v>
      </x:c>
      <x:c r="B24" s="103" t="s">
        <x:v>33</x:v>
      </x:c>
      <x:c r="C24" s="46" t="s">
        <x:v>156</x:v>
      </x:c>
      <x:c r="D24" s="42" t="s">
        <x:v>12</x:v>
      </x:c>
      <x:c r="E24" s="46" t="s">
        <x:v>11</x:v>
      </x:c>
      <x:c r="F24" s="47" t="s">
        <x:v>2217</x:v>
      </x:c>
      <x:c r="G24" s="47" t="s">
        <x:v>2218</x:v>
      </x:c>
    </x:row>
    <x:row r="25">
      <x:c r="A25" s="448" t="s">
        <x:v>2219</x:v>
      </x:c>
      <x:c r="B25" s="449"/>
      <x:c r="C25" s="449"/>
      <x:c r="D25" s="449"/>
      <x:c r="E25" s="449"/>
      <x:c r="F25" s="449"/>
      <x:c r="G25" s="450"/>
    </x:row>
    <x:row r="26" ht="6.900000095367432" customHeight="1">
      <x:c r="A26" s="102">
        <x:v>20</x:v>
      </x:c>
      <x:c r="B26" s="103" t="s">
        <x:v>63</x:v>
      </x:c>
      <x:c r="C26" s="41" t="s">
        <x:v>11</x:v>
      </x:c>
      <x:c r="D26" s="42" t="s">
        <x:v>12</x:v>
      </x:c>
      <x:c r="E26" s="41" t="s">
        <x:v>156</x:v>
      </x:c>
      <x:c r="F26" s="43" t="s">
        <x:v>2220</x:v>
      </x:c>
      <x:c r="G26" s="43" t="s">
        <x:v>2221</x:v>
      </x:c>
    </x:row>
    <x:row r="27" ht="6.900000095367432" customHeight="1">
      <x:c r="A27" s="102">
        <x:v>21</x:v>
      </x:c>
      <x:c r="B27" s="103" t="s">
        <x:v>63</x:v>
      </x:c>
      <x:c r="C27" s="44" t="s">
        <x:v>156</x:v>
      </x:c>
      <x:c r="D27" s="42" t="s">
        <x:v>12</x:v>
      </x:c>
      <x:c r="E27" s="44" t="s">
        <x:v>1114</x:v>
      </x:c>
      <x:c r="F27" s="45" t="s">
        <x:v>2222</x:v>
      </x:c>
      <x:c r="G27" s="45" t="s">
        <x:v>2223</x:v>
      </x:c>
    </x:row>
    <x:row r="28" ht="10.350000381469727" customHeight="1">
      <x:c r="A28" s="102">
        <x:v>22</x:v>
      </x:c>
      <x:c r="B28" s="103" t="s">
        <x:v>63</x:v>
      </x:c>
      <x:c r="C28" s="46" t="s">
        <x:v>1114</x:v>
      </x:c>
      <x:c r="D28" s="42" t="s">
        <x:v>12</x:v>
      </x:c>
      <x:c r="E28" s="46" t="s">
        <x:v>1117</x:v>
      </x:c>
      <x:c r="F28" s="47" t="s">
        <x:v>2224</x:v>
      </x:c>
      <x:c r="G28" s="47" t="s">
        <x:v>2225</x:v>
      </x:c>
    </x:row>
    <x:row r="29">
      <x:c r="A29" s="102">
        <x:v>23</x:v>
      </x:c>
      <x:c r="B29" s="103" t="s">
        <x:v>63</x:v>
      </x:c>
      <x:c r="C29" s="44" t="s">
        <x:v>1117</x:v>
      </x:c>
      <x:c r="D29" s="42" t="s">
        <x:v>53</x:v>
      </x:c>
      <x:c r="E29" s="44" t="s">
        <x:v>1114</x:v>
      </x:c>
      <x:c r="F29" s="45" t="s">
        <x:v>2226</x:v>
      </x:c>
      <x:c r="G29" s="45" t="s">
        <x:v>2227</x:v>
      </x:c>
    </x:row>
    <x:row r="30">
      <x:c r="A30" s="448" t="s">
        <x:v>2228</x:v>
      </x:c>
      <x:c r="B30" s="449"/>
      <x:c r="C30" s="449"/>
      <x:c r="D30" s="449"/>
      <x:c r="E30" s="449"/>
      <x:c r="F30" s="449"/>
      <x:c r="G30" s="450"/>
    </x:row>
    <x:row r="31" ht="13.800000190734863" customHeight="1">
      <x:c r="A31" s="102">
        <x:v>24</x:v>
      </x:c>
      <x:c r="B31" s="103" t="s">
        <x:v>81</x:v>
      </x:c>
      <x:c r="C31" s="41" t="s">
        <x:v>1114</x:v>
      </x:c>
      <x:c r="D31" s="42" t="s">
        <x:v>12</x:v>
      </x:c>
      <x:c r="E31" s="41" t="s">
        <x:v>2118</x:v>
      </x:c>
      <x:c r="F31" s="43" t="s">
        <x:v>2229</x:v>
      </x:c>
      <x:c r="G31" s="43" t="s">
        <x:v>2230</x:v>
      </x:c>
    </x:row>
    <x:row r="32" ht="6.900000095367432" customHeight="1">
      <x:c r="A32" s="102">
        <x:v>25</x:v>
      </x:c>
      <x:c r="B32" s="103" t="s">
        <x:v>81</x:v>
      </x:c>
      <x:c r="C32" s="44" t="s">
        <x:v>2118</x:v>
      </x:c>
      <x:c r="D32" s="42" t="s">
        <x:v>12</x:v>
      </x:c>
      <x:c r="E32" s="44" t="s">
        <x:v>11</x:v>
      </x:c>
      <x:c r="F32" s="45" t="s">
        <x:v>2195</x:v>
      </x:c>
      <x:c r="G32" s="45" t="s">
        <x:v>2231</x:v>
      </x:c>
    </x:row>
  </x:sheetData>
  <x:mergeCells>
    <x:mergeCell ref="A1:G1"/>
    <x:mergeCell ref="A4:G4"/>
    <x:mergeCell ref="A30:G30"/>
    <x:mergeCell ref="A2:G2"/>
    <x:mergeCell ref="A15:G15"/>
    <x:mergeCell ref="A25:G25"/>
  </x:mergeCells>
  <x:pageMargins left="0.7" right="0.7" top="0.75" bottom="0.75" header="0.3" footer="0.3"/>
</x:worksheet>
</file>

<file path=xl/worksheets/sheet34.xml><?xml version="1.0" encoding="utf-8"?>
<x:worksheet xmlns:x="http://schemas.openxmlformats.org/spreadsheetml/2006/main">
  <x:sheetFormatPr baseColWidth="10" defaultColWidth="9.109375" defaultRowHeight="14.399999618530273"/>
  <x:cols>
    <x:col min="1" max="2" width="9.109375" style="52" customWidth="1"/>
    <x:col min="3" max="3" width="14.88671875" style="52" customWidth="1"/>
    <x:col min="4" max="4" width="15.44140625" style="52" customWidth="1"/>
    <x:col min="5" max="5" width="15.109375" style="52" customWidth="1"/>
    <x:col min="6" max="6" width="40.6640625" style="52" customWidth="1"/>
    <x:col min="7" max="7" width="53.109375" style="52" customWidth="1"/>
    <x:col min="8" max="8" width="9.109375" style="52" customWidth="1"/>
    <x:col min="9" max="16384" width="9.109375" style="52" customWidth="0"/>
  </x:cols>
  <x:sheetData>
    <x:row r="1" ht="4.5" customHeight="1">
      <x:c r="A1" s="432" t="s">
        <x:v>2232</x:v>
      </x:c>
      <x:c r="B1" s="447"/>
      <x:c r="C1" s="447"/>
      <x:c r="D1" s="447"/>
      <x:c r="E1" s="447"/>
      <x:c r="F1" s="447"/>
      <x:c r="G1" s="447"/>
    </x:row>
    <x:row r="2" ht="4.050000190734863" customHeight="1">
      <x:c r="A2" s="434" t="s">
        <x:v>2233</x:v>
      </x:c>
      <x:c r="B2" s="447"/>
      <x:c r="C2" s="447"/>
      <x:c r="D2" s="447"/>
      <x:c r="E2" s="447"/>
      <x:c r="F2" s="447"/>
      <x:c r="G2" s="447"/>
    </x:row>
    <x:row r="3">
      <x:c r="A3" s="37" t="s">
        <x:v>2</x:v>
      </x:c>
      <x:c r="B3" s="38" t="s">
        <x:v>3</x:v>
      </x:c>
      <x:c r="C3" s="38" t="s">
        <x:v>4</x:v>
      </x:c>
      <x:c r="D3" s="38" t="s">
        <x:v>5</x:v>
      </x:c>
      <x:c r="E3" s="38" t="s">
        <x:v>6</x:v>
      </x:c>
      <x:c r="F3" s="38" t="s">
        <x:v>7</x:v>
      </x:c>
      <x:c r="G3" s="38" t="s">
        <x:v>8</x:v>
      </x:c>
    </x:row>
    <x:row r="4">
      <x:c r="A4" s="448" t="s">
        <x:v>2199</x:v>
      </x:c>
      <x:c r="B4" s="449"/>
      <x:c r="C4" s="449"/>
      <x:c r="D4" s="449"/>
      <x:c r="E4" s="449"/>
      <x:c r="F4" s="449"/>
      <x:c r="G4" s="450"/>
    </x:row>
    <x:row r="5">
      <x:c r="A5" s="102">
        <x:v>1</x:v>
      </x:c>
      <x:c r="B5" s="103" t="s">
        <x:v>10</x:v>
      </x:c>
      <x:c r="C5" s="41" t="s">
        <x:v>11</x:v>
      </x:c>
      <x:c r="D5" s="42" t="s">
        <x:v>12</x:v>
      </x:c>
      <x:c r="E5" s="41" t="s">
        <x:v>164</x:v>
      </x:c>
      <x:c r="F5" s="43" t="s">
        <x:v>2105</x:v>
      </x:c>
      <x:c r="G5" s="43" t="s">
        <x:v>2159</x:v>
      </x:c>
    </x:row>
    <x:row r="6">
      <x:c r="A6" s="102">
        <x:v>2</x:v>
      </x:c>
      <x:c r="B6" s="103" t="s">
        <x:v>10</x:v>
      </x:c>
      <x:c r="C6" s="44" t="s">
        <x:v>164</x:v>
      </x:c>
      <x:c r="D6" s="42" t="s">
        <x:v>12</x:v>
      </x:c>
      <x:c r="E6" s="44" t="s">
        <x:v>167</x:v>
      </x:c>
      <x:c r="F6" s="45" t="s">
        <x:v>1001</x:v>
      </x:c>
      <x:c r="G6" s="45" t="s">
        <x:v>2200</x:v>
      </x:c>
    </x:row>
    <x:row r="7" ht="26.399999618530273">
      <x:c r="A7" s="102">
        <x:v>3</x:v>
      </x:c>
      <x:c r="B7" s="103" t="s">
        <x:v>10</x:v>
      </x:c>
      <x:c r="C7" s="46" t="s">
        <x:v>167</x:v>
      </x:c>
      <x:c r="D7" s="42" t="s">
        <x:v>12</x:v>
      </x:c>
      <x:c r="E7" s="46" t="s">
        <x:v>1003</x:v>
      </x:c>
      <x:c r="F7" s="47" t="s">
        <x:v>1445</x:v>
      </x:c>
      <x:c r="G7" s="47" t="s">
        <x:v>2201</x:v>
      </x:c>
    </x:row>
    <x:row r="8" ht="6.900000095367432" customHeight="1">
      <x:c r="A8" s="102">
        <x:v>4</x:v>
      </x:c>
      <x:c r="B8" s="103" t="s">
        <x:v>10</x:v>
      </x:c>
      <x:c r="C8" s="44" t="s">
        <x:v>1003</x:v>
      </x:c>
      <x:c r="D8" s="42" t="s">
        <x:v>12</x:v>
      </x:c>
      <x:c r="E8" s="44" t="s">
        <x:v>11</x:v>
      </x:c>
      <x:c r="F8" s="45" t="s">
        <x:v>2109</x:v>
      </x:c>
      <x:c r="G8" s="45" t="s">
        <x:v>2234</x:v>
      </x:c>
    </x:row>
    <x:row r="9" ht="26.399999618530273">
      <x:c r="A9" s="102">
        <x:v>5</x:v>
      </x:c>
      <x:c r="B9" s="103" t="s">
        <x:v>10</x:v>
      </x:c>
      <x:c r="C9" s="46" t="s">
        <x:v>11</x:v>
      </x:c>
      <x:c r="D9" s="42" t="s">
        <x:v>12</x:v>
      </x:c>
      <x:c r="E9" s="46" t="s">
        <x:v>1003</x:v>
      </x:c>
      <x:c r="F9" s="47" t="s">
        <x:v>2203</x:v>
      </x:c>
      <x:c r="G9" s="47" t="s">
        <x:v>2204</x:v>
      </x:c>
    </x:row>
    <x:row r="10" ht="26.399999618530273">
      <x:c r="A10" s="102">
        <x:v>6</x:v>
      </x:c>
      <x:c r="B10" s="103" t="s">
        <x:v>10</x:v>
      </x:c>
      <x:c r="C10" s="44" t="s">
        <x:v>1003</x:v>
      </x:c>
      <x:c r="D10" s="42" t="s">
        <x:v>12</x:v>
      </x:c>
      <x:c r="E10" s="44" t="s">
        <x:v>1114</x:v>
      </x:c>
      <x:c r="F10" s="45" t="s">
        <x:v>2112</x:v>
      </x:c>
      <x:c r="G10" s="45" t="s">
        <x:v>2161</x:v>
      </x:c>
    </x:row>
    <x:row r="11" ht="6.900000095367432" customHeight="1">
      <x:c r="A11" s="102">
        <x:v>7</x:v>
      </x:c>
      <x:c r="B11" s="103" t="s">
        <x:v>10</x:v>
      </x:c>
      <x:c r="C11" s="46" t="s">
        <x:v>1114</x:v>
      </x:c>
      <x:c r="D11" s="42" t="s">
        <x:v>12</x:v>
      </x:c>
      <x:c r="E11" s="46" t="s">
        <x:v>1117</x:v>
      </x:c>
      <x:c r="F11" s="47" t="s">
        <x:v>2114</x:v>
      </x:c>
      <x:c r="G11" s="47" t="s">
        <x:v>2205</x:v>
      </x:c>
    </x:row>
    <x:row r="12" ht="6.900000095367432" customHeight="1">
      <x:c r="A12" s="102">
        <x:v>8</x:v>
      </x:c>
      <x:c r="B12" s="103" t="s">
        <x:v>10</x:v>
      </x:c>
      <x:c r="C12" s="44" t="s">
        <x:v>1117</x:v>
      </x:c>
      <x:c r="D12" s="42" t="s">
        <x:v>53</x:v>
      </x:c>
      <x:c r="E12" s="44" t="s">
        <x:v>1114</x:v>
      </x:c>
      <x:c r="F12" s="45" t="s">
        <x:v>2116</x:v>
      </x:c>
      <x:c r="G12" s="45" t="s">
        <x:v>2235</x:v>
      </x:c>
    </x:row>
    <x:row r="13" ht="6.900000095367432" customHeight="1">
      <x:c r="A13" s="102">
        <x:v>9</x:v>
      </x:c>
      <x:c r="B13" s="103" t="s">
        <x:v>10</x:v>
      </x:c>
      <x:c r="C13" s="46" t="s">
        <x:v>1114</x:v>
      </x:c>
      <x:c r="D13" s="42" t="s">
        <x:v>12</x:v>
      </x:c>
      <x:c r="E13" s="46" t="s">
        <x:v>2118</x:v>
      </x:c>
      <x:c r="F13" s="47" t="s">
        <x:v>2119</x:v>
      </x:c>
      <x:c r="G13" s="47" t="s">
        <x:v>2120</x:v>
      </x:c>
    </x:row>
    <x:row r="14">
      <x:c r="A14" s="102">
        <x:v>10</x:v>
      </x:c>
      <x:c r="B14" s="103" t="s">
        <x:v>10</x:v>
      </x:c>
      <x:c r="C14" s="44" t="s">
        <x:v>2118</x:v>
      </x:c>
      <x:c r="D14" s="42" t="s">
        <x:v>12</x:v>
      </x:c>
      <x:c r="E14" s="44" t="s">
        <x:v>11</x:v>
      </x:c>
      <x:c r="F14" s="45" t="s">
        <x:v>2121</x:v>
      </x:c>
      <x:c r="G14" s="45" t="s">
        <x:v>2236</x:v>
      </x:c>
    </x:row>
    <x:row r="15">
      <x:c r="A15" s="448" t="s">
        <x:v>2237</x:v>
      </x:c>
      <x:c r="B15" s="449"/>
      <x:c r="C15" s="449"/>
      <x:c r="D15" s="449"/>
      <x:c r="E15" s="449"/>
      <x:c r="F15" s="449"/>
      <x:c r="G15" s="450"/>
    </x:row>
    <x:row r="16" ht="6.900000095367432" customHeight="1">
      <x:c r="A16" s="102">
        <x:v>11</x:v>
      </x:c>
      <x:c r="B16" s="103" t="s">
        <x:v>33</x:v>
      </x:c>
      <x:c r="C16" s="41" t="s">
        <x:v>11</x:v>
      </x:c>
      <x:c r="D16" s="42" t="s">
        <x:v>12</x:v>
      </x:c>
      <x:c r="E16" s="41" t="s">
        <x:v>2118</x:v>
      </x:c>
      <x:c r="F16" s="43" t="s">
        <x:v>2163</x:v>
      </x:c>
      <x:c r="G16" s="43" t="s">
        <x:v>2164</x:v>
      </x:c>
    </x:row>
    <x:row r="17" ht="6.900000095367432" customHeight="1">
      <x:c r="A17" s="102">
        <x:v>12</x:v>
      </x:c>
      <x:c r="B17" s="103" t="s">
        <x:v>33</x:v>
      </x:c>
      <x:c r="C17" s="44" t="s">
        <x:v>2118</x:v>
      </x:c>
      <x:c r="D17" s="42" t="s">
        <x:v>12</x:v>
      </x:c>
      <x:c r="E17" s="44" t="s">
        <x:v>11</x:v>
      </x:c>
      <x:c r="F17" s="45" t="s">
        <x:v>2165</x:v>
      </x:c>
      <x:c r="G17" s="45" t="s">
        <x:v>2166</x:v>
      </x:c>
    </x:row>
    <x:row r="18">
      <x:c r="A18" s="102">
        <x:v>13</x:v>
      </x:c>
      <x:c r="B18" s="103" t="s">
        <x:v>33</x:v>
      </x:c>
      <x:c r="C18" s="46" t="s">
        <x:v>11</x:v>
      </x:c>
      <x:c r="D18" s="42" t="s">
        <x:v>12</x:v>
      </x:c>
      <x:c r="E18" s="46" t="s">
        <x:v>2118</x:v>
      </x:c>
      <x:c r="F18" s="47" t="s">
        <x:v>2238</x:v>
      </x:c>
      <x:c r="G18" s="47" t="s">
        <x:v>2239</x:v>
      </x:c>
    </x:row>
    <x:row r="19">
      <x:c r="A19" s="102">
        <x:v>14</x:v>
      </x:c>
      <x:c r="B19" s="103" t="s">
        <x:v>33</x:v>
      </x:c>
      <x:c r="C19" s="44" t="s">
        <x:v>2118</x:v>
      </x:c>
      <x:c r="D19" s="42" t="s">
        <x:v>12</x:v>
      </x:c>
      <x:c r="E19" s="44" t="s">
        <x:v>1114</x:v>
      </x:c>
      <x:c r="F19" s="45" t="s">
        <x:v>2240</x:v>
      </x:c>
      <x:c r="G19" s="45" t="s">
        <x:v>2241</x:v>
      </x:c>
    </x:row>
    <x:row r="20" ht="6.900000095367432" customHeight="1">
      <x:c r="A20" s="102">
        <x:v>15</x:v>
      </x:c>
      <x:c r="B20" s="103" t="s">
        <x:v>33</x:v>
      </x:c>
      <x:c r="C20" s="46" t="s">
        <x:v>1114</x:v>
      </x:c>
      <x:c r="D20" s="42" t="s">
        <x:v>12</x:v>
      </x:c>
      <x:c r="E20" s="46" t="s">
        <x:v>1117</x:v>
      </x:c>
      <x:c r="F20" s="47" t="s">
        <x:v>2171</x:v>
      </x:c>
      <x:c r="G20" s="47" t="s">
        <x:v>2242</x:v>
      </x:c>
    </x:row>
    <x:row r="21" ht="6.900000095367432" customHeight="1">
      <x:c r="A21" s="102">
        <x:v>16</x:v>
      </x:c>
      <x:c r="B21" s="103" t="s">
        <x:v>33</x:v>
      </x:c>
      <x:c r="C21" s="44" t="s">
        <x:v>1117</x:v>
      </x:c>
      <x:c r="D21" s="42" t="s">
        <x:v>53</x:v>
      </x:c>
      <x:c r="E21" s="44" t="s">
        <x:v>1114</x:v>
      </x:c>
      <x:c r="F21" s="45" t="s">
        <x:v>2243</x:v>
      </x:c>
      <x:c r="G21" s="45" t="s">
        <x:v>2244</x:v>
      </x:c>
    </x:row>
    <x:row r="22" ht="6.900000095367432" customHeight="1">
      <x:c r="A22" s="102">
        <x:v>17</x:v>
      </x:c>
      <x:c r="B22" s="103" t="s">
        <x:v>33</x:v>
      </x:c>
      <x:c r="C22" s="46" t="s">
        <x:v>1114</x:v>
      </x:c>
      <x:c r="D22" s="42" t="s">
        <x:v>19</x:v>
      </x:c>
      <x:c r="E22" s="46" t="s">
        <x:v>1114</x:v>
      </x:c>
      <x:c r="F22" s="47" t="s">
        <x:v>2245</x:v>
      </x:c>
      <x:c r="G22" s="47" t="s">
        <x:v>2246</x:v>
      </x:c>
    </x:row>
    <x:row r="23">
      <x:c r="A23" s="102">
        <x:v>18</x:v>
      </x:c>
      <x:c r="B23" s="103" t="s">
        <x:v>33</x:v>
      </x:c>
      <x:c r="C23" s="44" t="s">
        <x:v>1114</x:v>
      </x:c>
      <x:c r="D23" s="42" t="s">
        <x:v>19</x:v>
      </x:c>
      <x:c r="E23" s="44" t="s">
        <x:v>1114</x:v>
      </x:c>
      <x:c r="F23" s="45" t="s">
        <x:v>2247</x:v>
      </x:c>
      <x:c r="G23" s="45" t="s">
        <x:v>2248</x:v>
      </x:c>
    </x:row>
    <x:row r="24">
      <x:c r="A24" s="448" t="s">
        <x:v>2249</x:v>
      </x:c>
      <x:c r="B24" s="449"/>
      <x:c r="C24" s="449"/>
      <x:c r="D24" s="449"/>
      <x:c r="E24" s="449"/>
      <x:c r="F24" s="449"/>
      <x:c r="G24" s="450"/>
    </x:row>
    <x:row r="25" ht="10.350000381469727" customHeight="1">
      <x:c r="A25" s="102">
        <x:v>19</x:v>
      </x:c>
      <x:c r="B25" s="103" t="s">
        <x:v>63</x:v>
      </x:c>
      <x:c r="C25" s="41" t="s">
        <x:v>1114</x:v>
      </x:c>
      <x:c r="D25" s="42" t="s">
        <x:v>12</x:v>
      </x:c>
      <x:c r="E25" s="41" t="s">
        <x:v>1117</x:v>
      </x:c>
      <x:c r="F25" s="43" t="s">
        <x:v>2250</x:v>
      </x:c>
      <x:c r="G25" s="43" t="s">
        <x:v>2251</x:v>
      </x:c>
    </x:row>
    <x:row r="26" ht="6.900000095367432" customHeight="1">
      <x:c r="A26" s="102">
        <x:v>20</x:v>
      </x:c>
      <x:c r="B26" s="103" t="s">
        <x:v>63</x:v>
      </x:c>
      <x:c r="C26" s="44" t="s">
        <x:v>1117</x:v>
      </x:c>
      <x:c r="D26" s="42" t="s">
        <x:v>53</x:v>
      </x:c>
      <x:c r="E26" s="44" t="s">
        <x:v>1114</x:v>
      </x:c>
      <x:c r="F26" s="45" t="s">
        <x:v>2252</x:v>
      </x:c>
      <x:c r="G26" s="45" t="s">
        <x:v>2253</x:v>
      </x:c>
    </x:row>
    <x:row r="27">
      <x:c r="A27" s="448" t="s">
        <x:v>2254</x:v>
      </x:c>
      <x:c r="B27" s="449"/>
      <x:c r="C27" s="449"/>
      <x:c r="D27" s="449"/>
      <x:c r="E27" s="449"/>
      <x:c r="F27" s="449"/>
      <x:c r="G27" s="450"/>
    </x:row>
    <x:row r="28" ht="13.800000190734863" customHeight="1">
      <x:c r="A28" s="102">
        <x:v>21</x:v>
      </x:c>
      <x:c r="B28" s="103" t="s">
        <x:v>81</x:v>
      </x:c>
      <x:c r="C28" s="41" t="s">
        <x:v>1114</x:v>
      </x:c>
      <x:c r="D28" s="42" t="s">
        <x:v>12</x:v>
      </x:c>
      <x:c r="E28" s="41" t="s">
        <x:v>2118</x:v>
      </x:c>
      <x:c r="F28" s="43" t="s">
        <x:v>2229</x:v>
      </x:c>
      <x:c r="G28" s="43" t="s">
        <x:v>2255</x:v>
      </x:c>
    </x:row>
    <x:row r="29">
      <x:c r="A29" s="102">
        <x:v>22</x:v>
      </x:c>
      <x:c r="B29" s="103" t="s">
        <x:v>81</x:v>
      </x:c>
      <x:c r="C29" s="44" t="s">
        <x:v>2118</x:v>
      </x:c>
      <x:c r="D29" s="42" t="s">
        <x:v>12</x:v>
      </x:c>
      <x:c r="E29" s="44" t="s">
        <x:v>11</x:v>
      </x:c>
      <x:c r="F29" s="45" t="s">
        <x:v>2195</x:v>
      </x:c>
      <x:c r="G29" s="45" t="s">
        <x:v>2256</x:v>
      </x:c>
    </x:row>
  </x:sheetData>
  <x:mergeCells>
    <x:mergeCell ref="A1:G1"/>
    <x:mergeCell ref="A27:G27"/>
    <x:mergeCell ref="A4:G4"/>
    <x:mergeCell ref="A24:G24"/>
    <x:mergeCell ref="A2:G2"/>
    <x:mergeCell ref="A15:G15"/>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1" customWidth="1"/>
    <x:col min="2" max="2" width="8" style="1" customWidth="1"/>
    <x:col min="3" max="3" width="17.44140625" customWidth="1"/>
    <x:col min="4" max="4" width="17.109375" customWidth="1"/>
    <x:col min="5" max="5" width="25" customWidth="1"/>
    <x:col min="6" max="6" width="28" customWidth="1"/>
    <x:col min="7" max="7" width="52.6640625" customWidth="1"/>
  </x:cols>
  <x:sheetData>
    <x:row r="1" ht="27.899999618530273" customHeight="1">
      <x:c r="A1" s="478" t="s">
        <x:v>2257</x:v>
      </x:c>
      <x:c r="B1" s="6"/>
      <x:c r="C1" s="423"/>
      <x:c r="D1" s="423"/>
      <x:c r="E1" s="423"/>
      <x:c r="F1" s="423"/>
      <x:c r="G1" s="423"/>
    </x:row>
    <x:row r="2" ht="15.899999618530273" customHeight="1">
      <x:c r="A2" s="482" t="s">
        <x:v>2258</x:v>
      </x:c>
      <x:c r="B2" s="6"/>
      <x:c r="C2" s="423"/>
      <x:c r="D2" s="423"/>
      <x:c r="E2" s="423"/>
      <x:c r="F2" s="423"/>
      <x:c r="G2" s="423"/>
    </x:row>
    <x:row r="3" s="1" customFormat="1" ht="20.100000381469727" customHeight="1">
      <x:c r="A3" s="19" t="s">
        <x:v>2</x:v>
      </x:c>
      <x:c r="B3" s="34" t="s">
        <x:v>3</x:v>
      </x:c>
      <x:c r="C3" s="34" t="s">
        <x:v>4</x:v>
      </x:c>
      <x:c r="D3" s="34" t="s">
        <x:v>5</x:v>
      </x:c>
      <x:c r="E3" s="34" t="s">
        <x:v>6</x:v>
      </x:c>
      <x:c r="F3" s="34" t="s">
        <x:v>7</x:v>
      </x:c>
      <x:c r="G3" s="34" t="s">
        <x:v>8</x:v>
      </x:c>
    </x:row>
    <x:row r="4" s="1" customFormat="1" ht="17.100000381469727" customHeight="1">
      <x:c r="A4" s="479" t="s">
        <x:v>215</x:v>
      </x:c>
      <x:c r="B4" s="480"/>
      <x:c r="C4" s="480"/>
      <x:c r="D4" s="480"/>
      <x:c r="E4" s="480"/>
      <x:c r="F4" s="480"/>
      <x:c r="G4" s="481"/>
    </x:row>
    <x:row r="5" ht="31.5" customHeight="1">
      <x:c r="A5" s="3">
        <x:v>1</x:v>
      </x:c>
      <x:c r="B5" s="4" t="s">
        <x:v>10</x:v>
      </x:c>
      <x:c r="C5" s="5" t="s">
        <x:v>11</x:v>
      </x:c>
      <x:c r="D5" s="9" t="s">
        <x:v>12</x:v>
      </x:c>
      <x:c r="E5" s="5" t="s">
        <x:v>164</x:v>
      </x:c>
      <x:c r="F5" s="7" t="s">
        <x:v>165</x:v>
      </x:c>
      <x:c r="G5" s="2" t="s">
        <x:v>166</x:v>
      </x:c>
    </x:row>
    <x:row r="6" ht="31.5" customHeight="1">
      <x:c r="A6" s="3">
        <x:v>2</x:v>
      </x:c>
      <x:c r="B6" s="4" t="s">
        <x:v>10</x:v>
      </x:c>
      <x:c r="C6" s="5" t="str">
        <x:f t="shared" ref="C6:C12" si="0">E5</x:f>
        <x:v>I_Inicio</x:v>
      </x:c>
      <x:c r="D6" s="9" t="s">
        <x:v>12</x:v>
      </x:c>
      <x:c r="E6" s="5" t="s">
        <x:v>167</x:v>
      </x:c>
      <x:c r="F6" s="7" t="s">
        <x:v>168</x:v>
      </x:c>
      <x:c r="G6" s="2" t="s">
        <x:v>169</x:v>
      </x:c>
    </x:row>
    <x:row r="7" ht="31.5" customHeight="1">
      <x:c r="A7" s="3">
        <x:v>3</x:v>
      </x:c>
      <x:c r="B7" s="4" t="s">
        <x:v>10</x:v>
      </x:c>
      <x:c r="C7" s="5" t="str">
        <x:f t="shared" si="0"/>
        <x:v>C_Navegacion</x:v>
      </x:c>
      <x:c r="D7" s="9" t="s">
        <x:v>12</x:v>
      </x:c>
      <x:c r="E7" s="5" t="s">
        <x:v>170</x:v>
      </x:c>
      <x:c r="F7" s="7" t="s">
        <x:v>171</x:v>
      </x:c>
      <x:c r="G7" s="2" t="s">
        <x:v>172</x:v>
      </x:c>
    </x:row>
    <x:row r="8" ht="31.5" customHeight="1">
      <x:c r="A8" s="3">
        <x:v>4</x:v>
      </x:c>
      <x:c r="B8" s="4" t="s">
        <x:v>10</x:v>
      </x:c>
      <x:c r="C8" s="5" t="str">
        <x:f t="shared" si="0"/>
        <x:v>C_PerfilUsuario</x:v>
      </x:c>
      <x:c r="D8" s="9" t="s">
        <x:v>12</x:v>
      </x:c>
      <x:c r="E8" s="5" t="s">
        <x:v>50</x:v>
      </x:c>
      <x:c r="F8" s="7" t="s">
        <x:v>173</x:v>
      </x:c>
      <x:c r="G8" s="2" t="s">
        <x:v>174</x:v>
      </x:c>
    </x:row>
    <x:row r="9" ht="31.5" customHeight="1">
      <x:c r="A9" s="3">
        <x:v>5</x:v>
      </x:c>
      <x:c r="B9" s="4" t="s">
        <x:v>10</x:v>
      </x:c>
      <x:c r="C9" s="5" t="str">
        <x:f t="shared" si="0"/>
        <x:v>E_Usuario</x:v>
      </x:c>
      <x:c r="D9" s="9" t="s">
        <x:v>53</x:v>
      </x:c>
      <x:c r="E9" s="5" t="s">
        <x:v>170</x:v>
      </x:c>
      <x:c r="F9" s="7" t="s">
        <x:v>175</x:v>
      </x:c>
      <x:c r="G9" s="2" t="s">
        <x:v>176</x:v>
      </x:c>
    </x:row>
    <x:row r="10" ht="31.5" customHeight="1">
      <x:c r="A10" s="3">
        <x:v>6</x:v>
      </x:c>
      <x:c r="B10" s="4" t="s">
        <x:v>10</x:v>
      </x:c>
      <x:c r="C10" s="5" t="str">
        <x:f t="shared" si="0"/>
        <x:v>C_PerfilUsuario</x:v>
      </x:c>
      <x:c r="D10" s="9" t="s">
        <x:v>19</x:v>
      </x:c>
      <x:c r="E10" s="5" t="s">
        <x:v>170</x:v>
      </x:c>
      <x:c r="F10" s="7" t="s">
        <x:v>177</x:v>
      </x:c>
      <x:c r="G10" s="2" t="s">
        <x:v>178</x:v>
      </x:c>
    </x:row>
    <x:row r="11" ht="31.5" customHeight="1">
      <x:c r="A11" s="3">
        <x:v>7</x:v>
      </x:c>
      <x:c r="B11" s="4" t="s">
        <x:v>10</x:v>
      </x:c>
      <x:c r="C11" s="5" t="str">
        <x:f t="shared" si="0"/>
        <x:v>C_PerfilUsuario</x:v>
      </x:c>
      <x:c r="D11" s="9" t="s">
        <x:v>12</x:v>
      </x:c>
      <x:c r="E11" s="5" t="s">
        <x:v>179</x:v>
      </x:c>
      <x:c r="F11" s="7" t="s">
        <x:v>180</x:v>
      </x:c>
      <x:c r="G11" s="2" t="s">
        <x:v>181</x:v>
      </x:c>
    </x:row>
    <x:row r="12" ht="31.5" customHeight="1">
      <x:c r="A12" s="3">
        <x:v>8</x:v>
      </x:c>
      <x:c r="B12" s="4" t="s">
        <x:v>10</x:v>
      </x:c>
      <x:c r="C12" s="5" t="str">
        <x:f t="shared" si="0"/>
        <x:v>I_Perfil</x:v>
      </x:c>
      <x:c r="D12" s="9" t="s">
        <x:v>12</x:v>
      </x:c>
      <x:c r="E12" s="5" t="s">
        <x:v>11</x:v>
      </x:c>
      <x:c r="F12" s="7" t="s">
        <x:v>182</x:v>
      </x:c>
      <x:c r="G12" s="2" t="s">
        <x:v>183</x:v>
      </x:c>
    </x:row>
    <x:row r="13" ht="17.100000381469727" customHeight="1">
      <x:c r="A13" s="477" t="s">
        <x:v>2259</x:v>
      </x:c>
      <x:c r="B13" s="6"/>
      <x:c r="C13" s="423"/>
      <x:c r="D13" s="423"/>
      <x:c r="E13" s="423"/>
      <x:c r="F13" s="423"/>
      <x:c r="G13" s="423"/>
    </x:row>
    <x:row r="14" ht="25.5" customHeight="1">
      <x:c r="A14" s="23">
        <x:v>9</x:v>
      </x:c>
      <x:c r="B14" s="24" t="s">
        <x:v>33</x:v>
      </x:c>
      <x:c r="C14" s="27" t="s">
        <x:v>11</x:v>
      </x:c>
      <x:c r="D14" s="28" t="s">
        <x:v>12</x:v>
      </x:c>
      <x:c r="E14" s="27" t="s">
        <x:v>179</x:v>
      </x:c>
      <x:c r="F14" s="29" t="s">
        <x:v>2260</x:v>
      </x:c>
      <x:c r="G14" s="30" t="s">
        <x:v>2261</x:v>
      </x:c>
    </x:row>
    <x:row r="15" ht="17.100000381469727" customHeight="1">
      <x:c r="A15" s="25">
        <x:v>10</x:v>
      </x:c>
      <x:c r="B15" s="26" t="s">
        <x:v>33</x:v>
      </x:c>
      <x:c r="C15" s="31" t="str">
        <x:f>E14</x:f>
        <x:v>I_Perfil</x:v>
      </x:c>
      <x:c r="D15" s="28" t="s">
        <x:v>12</x:v>
      </x:c>
      <x:c r="E15" s="31" t="s">
        <x:v>170</x:v>
      </x:c>
      <x:c r="F15" s="32" t="s">
        <x:v>2262</x:v>
      </x:c>
      <x:c r="G15" s="33" t="s">
        <x:v>2263</x:v>
      </x:c>
    </x:row>
    <x:row r="16" ht="32.25" customHeight="1">
      <x:c r="A16" s="23">
        <x:v>11</x:v>
      </x:c>
      <x:c r="B16" s="24" t="s">
        <x:v>33</x:v>
      </x:c>
      <x:c r="C16" s="31" t="str">
        <x:f>E15</x:f>
        <x:v>C_PerfilUsuario</x:v>
      </x:c>
      <x:c r="D16" s="28" t="s">
        <x:v>12</x:v>
      </x:c>
      <x:c r="E16" s="31" t="s">
        <x:v>2264</x:v>
      </x:c>
      <x:c r="F16" s="32" t="s">
        <x:v>2265</x:v>
      </x:c>
      <x:c r="G16" s="33" t="s">
        <x:v>2266</x:v>
      </x:c>
    </x:row>
    <x:row r="17" ht="17.100000381469727" customHeight="1">
      <x:c r="A17" s="25">
        <x:v>12</x:v>
      </x:c>
      <x:c r="B17" s="26" t="s">
        <x:v>33</x:v>
      </x:c>
      <x:c r="C17" s="31" t="s">
        <x:v>2264</x:v>
      </x:c>
      <x:c r="D17" s="28" t="s">
        <x:v>12</x:v>
      </x:c>
      <x:c r="E17" s="31" t="s">
        <x:v>11</x:v>
      </x:c>
      <x:c r="F17" s="32" t="s">
        <x:v>2267</x:v>
      </x:c>
      <x:c r="G17" s="33" t="s">
        <x:v>2268</x:v>
      </x:c>
    </x:row>
    <x:row r="18" ht="32.25" customHeight="1">
      <x:c r="A18" s="23">
        <x:v>13</x:v>
      </x:c>
      <x:c r="B18" s="24" t="s">
        <x:v>33</x:v>
      </x:c>
      <x:c r="C18" s="31" t="str">
        <x:f>E17</x:f>
        <x:v>AS_Usuario</x:v>
      </x:c>
      <x:c r="D18" s="28" t="s">
        <x:v>12</x:v>
      </x:c>
      <x:c r="E18" s="31" t="s">
        <x:v>2264</x:v>
      </x:c>
      <x:c r="F18" s="32" t="s">
        <x:v>2269</x:v>
      </x:c>
      <x:c r="G18" s="33" t="s">
        <x:v>2270</x:v>
      </x:c>
    </x:row>
    <x:row r="19" ht="32.25" customHeight="1">
      <x:c r="A19" s="25">
        <x:v>14</x:v>
      </x:c>
      <x:c r="B19" s="26" t="s">
        <x:v>33</x:v>
      </x:c>
      <x:c r="C19" s="31" t="str">
        <x:f>E18</x:f>
        <x:v>I_OpcionesFotoPerfil</x:v>
      </x:c>
      <x:c r="D19" s="28" t="s">
        <x:v>12</x:v>
      </x:c>
      <x:c r="E19" s="31" t="s">
        <x:v>2271</x:v>
      </x:c>
      <x:c r="F19" s="32" t="s">
        <x:v>2272</x:v>
      </x:c>
      <x:c r="G19" s="33" t="s">
        <x:v>2273</x:v>
      </x:c>
    </x:row>
    <x:row r="20" ht="25.5" customHeight="1">
      <x:c r="A20" s="477" t="s">
        <x:v>2274</x:v>
      </x:c>
      <x:c r="B20" s="6"/>
      <x:c r="C20" s="423"/>
      <x:c r="D20" s="423"/>
      <x:c r="E20" s="423"/>
      <x:c r="F20" s="423"/>
      <x:c r="G20" s="423"/>
    </x:row>
    <x:row r="21" ht="30" customHeight="1">
      <x:c r="A21" s="19">
        <x:v>15</x:v>
      </x:c>
      <x:c r="B21" s="20" t="s">
        <x:v>63</x:v>
      </x:c>
      <x:c r="C21" s="27" t="str">
        <x:f>E19</x:f>
        <x:v>C_FotoPerfil</x:v>
      </x:c>
      <x:c r="D21" s="28" t="s">
        <x:v>12</x:v>
      </x:c>
      <x:c r="E21" s="27" t="s">
        <x:v>2275</x:v>
      </x:c>
      <x:c r="F21" s="29" t="s">
        <x:v>2276</x:v>
      </x:c>
      <x:c r="G21" s="30" t="s">
        <x:v>2277</x:v>
      </x:c>
    </x:row>
    <x:row r="22" ht="30.75" customHeight="1">
      <x:c r="A22" s="21">
        <x:v>16</x:v>
      </x:c>
      <x:c r="B22" s="22" t="s">
        <x:v>63</x:v>
      </x:c>
      <x:c r="C22" s="31" t="str">
        <x:f>E21</x:f>
        <x:v>I_SeleccionFoto</x:v>
      </x:c>
      <x:c r="D22" s="28" t="s">
        <x:v>12</x:v>
      </x:c>
      <x:c r="E22" s="31" t="s">
        <x:v>11</x:v>
      </x:c>
      <x:c r="F22" s="32" t="s">
        <x:v>2278</x:v>
      </x:c>
      <x:c r="G22" s="33" t="s">
        <x:v>2279</x:v>
      </x:c>
    </x:row>
    <x:row r="23" ht="27.75" customHeight="1">
      <x:c r="A23" s="19">
        <x:v>17</x:v>
      </x:c>
      <x:c r="B23" s="20" t="s">
        <x:v>63</x:v>
      </x:c>
      <x:c r="C23" s="31" t="str">
        <x:f>E22</x:f>
        <x:v>AS_Usuario</x:v>
      </x:c>
      <x:c r="D23" s="28" t="s">
        <x:v>12</x:v>
      </x:c>
      <x:c r="E23" s="31" t="s">
        <x:v>2275</x:v>
      </x:c>
      <x:c r="F23" s="32" t="s">
        <x:v>2280</x:v>
      </x:c>
      <x:c r="G23" s="33" t="s">
        <x:v>2281</x:v>
      </x:c>
    </x:row>
    <x:row r="24" ht="27.75" customHeight="1">
      <x:c r="A24" s="21">
        <x:v>18</x:v>
      </x:c>
      <x:c r="B24" s="22" t="s">
        <x:v>63</x:v>
      </x:c>
      <x:c r="C24" s="31" t="str">
        <x:f>E23</x:f>
        <x:v>I_SeleccionFoto</x:v>
      </x:c>
      <x:c r="D24" s="28" t="s">
        <x:v>12</x:v>
      </x:c>
      <x:c r="E24" s="31" t="s">
        <x:v>11</x:v>
      </x:c>
      <x:c r="F24" s="32" t="s">
        <x:v>2282</x:v>
      </x:c>
      <x:c r="G24" s="33" t="s">
        <x:v>2283</x:v>
      </x:c>
    </x:row>
    <x:row r="25" ht="33" customHeight="1">
      <x:c r="A25" s="19">
        <x:v>19</x:v>
      </x:c>
      <x:c r="B25" s="20" t="s">
        <x:v>63</x:v>
      </x:c>
      <x:c r="C25" s="31" t="str">
        <x:f>E24</x:f>
        <x:v>AS_Usuario</x:v>
      </x:c>
      <x:c r="D25" s="28" t="s">
        <x:v>12</x:v>
      </x:c>
      <x:c r="E25" s="31" t="s">
        <x:v>2275</x:v>
      </x:c>
      <x:c r="F25" s="32" t="s">
        <x:v>2284</x:v>
      </x:c>
      <x:c r="G25" s="33" t="s">
        <x:v>2285</x:v>
      </x:c>
    </x:row>
    <x:row r="26" ht="29.25" customHeight="1">
      <x:c r="A26" s="21">
        <x:v>20</x:v>
      </x:c>
      <x:c r="B26" s="22" t="s">
        <x:v>63</x:v>
      </x:c>
      <x:c r="C26" s="31" t="str">
        <x:f>E25</x:f>
        <x:v>I_SeleccionFoto</x:v>
      </x:c>
      <x:c r="D26" s="28" t="s">
        <x:v>12</x:v>
      </x:c>
      <x:c r="E26" s="31" t="s">
        <x:v>2271</x:v>
      </x:c>
      <x:c r="F26" s="32" t="s">
        <x:v>2286</x:v>
      </x:c>
      <x:c r="G26" s="33" t="s">
        <x:v>2287</x:v>
      </x:c>
    </x:row>
    <x:row r="27" ht="32.25" customHeight="1">
      <x:c r="A27" s="477" t="s">
        <x:v>2288</x:v>
      </x:c>
      <x:c r="B27" s="6"/>
      <x:c r="C27" s="423"/>
      <x:c r="D27" s="423"/>
      <x:c r="E27" s="423"/>
      <x:c r="F27" s="423"/>
      <x:c r="G27" s="423"/>
    </x:row>
    <x:row r="28" ht="27.75" customHeight="1">
      <x:c r="A28" s="19">
        <x:v>21</x:v>
      </x:c>
      <x:c r="B28" s="20" t="s">
        <x:v>81</x:v>
      </x:c>
      <x:c r="C28" s="27" t="s">
        <x:v>2271</x:v>
      </x:c>
      <x:c r="D28" s="28" t="s">
        <x:v>12</x:v>
      </x:c>
      <x:c r="E28" s="27" t="s">
        <x:v>2289</x:v>
      </x:c>
      <x:c r="F28" s="29" t="s">
        <x:v>2290</x:v>
      </x:c>
      <x:c r="G28" s="30" t="s">
        <x:v>2291</x:v>
      </x:c>
    </x:row>
    <x:row r="29" ht="27.75" customHeight="1">
      <x:c r="A29" s="21">
        <x:v>22</x:v>
      </x:c>
      <x:c r="B29" s="22" t="s">
        <x:v>81</x:v>
      </x:c>
      <x:c r="C29" s="31" t="str">
        <x:f>E28</x:f>
        <x:v>C_ValidacionFoto</x:v>
      </x:c>
      <x:c r="D29" s="28" t="s">
        <x:v>53</x:v>
      </x:c>
      <x:c r="E29" s="31" t="s">
        <x:v>2271</x:v>
      </x:c>
      <x:c r="F29" s="32" t="s">
        <x:v>468</x:v>
      </x:c>
      <x:c r="G29" s="33" t="s">
        <x:v>2292</x:v>
      </x:c>
    </x:row>
    <x:row r="30" ht="32.25" customHeight="1">
      <x:c r="A30" s="19">
        <x:v>23</x:v>
      </x:c>
      <x:c r="B30" s="22" t="s">
        <x:v>81</x:v>
      </x:c>
      <x:c r="C30" s="31" t="str">
        <x:f>E29</x:f>
        <x:v>C_FotoPerfil</x:v>
      </x:c>
      <x:c r="D30" s="28" t="s">
        <x:v>12</x:v>
      </x:c>
      <x:c r="E30" s="31" t="s">
        <x:v>50</x:v>
      </x:c>
      <x:c r="F30" s="32" t="s">
        <x:v>2293</x:v>
      </x:c>
      <x:c r="G30" s="33" t="s">
        <x:v>2294</x:v>
      </x:c>
    </x:row>
    <x:row r="31" ht="39" customHeight="1">
      <x:c r="A31" s="21">
        <x:v>24</x:v>
      </x:c>
      <x:c r="B31" s="22" t="s">
        <x:v>81</x:v>
      </x:c>
      <x:c r="C31" s="31" t="str">
        <x:f>E30</x:f>
        <x:v>E_Usuario</x:v>
      </x:c>
      <x:c r="D31" s="28" t="s">
        <x:v>53</x:v>
      </x:c>
      <x:c r="E31" s="31" t="s">
        <x:v>2271</x:v>
      </x:c>
      <x:c r="F31" s="32" t="s">
        <x:v>2295</x:v>
      </x:c>
      <x:c r="G31" s="33" t="s">
        <x:v>2296</x:v>
      </x:c>
    </x:row>
    <x:row r="32" ht="41.25" customHeight="1">
      <x:c r="A32" s="19">
        <x:v>25</x:v>
      </x:c>
      <x:c r="B32" s="22" t="s">
        <x:v>81</x:v>
      </x:c>
      <x:c r="C32" s="31" t="str">
        <x:f>E31</x:f>
        <x:v>C_FotoPerfil</x:v>
      </x:c>
      <x:c r="D32" s="6" t="s">
        <x:v>19</x:v>
      </x:c>
      <x:c r="E32" s="31" t="s">
        <x:v>2271</x:v>
      </x:c>
      <x:c r="F32" s="32" t="s">
        <x:v>2297</x:v>
      </x:c>
      <x:c r="G32" s="33" t="s">
        <x:v>2298</x:v>
      </x:c>
    </x:row>
    <x:row r="33" ht="32.25" customHeight="1">
      <x:c r="A33" s="477" t="s">
        <x:v>2299</x:v>
      </x:c>
      <x:c r="B33" s="6"/>
      <x:c r="C33" s="423"/>
      <x:c r="D33" s="423"/>
      <x:c r="E33" s="423"/>
      <x:c r="F33" s="423"/>
      <x:c r="G33" s="423"/>
    </x:row>
    <x:row r="34" ht="33.75" customHeight="1">
      <x:c r="A34" s="19">
        <x:v>26</x:v>
      </x:c>
      <x:c r="B34" s="20" t="s">
        <x:v>110</x:v>
      </x:c>
      <x:c r="C34" s="27" t="str">
        <x:f>E32</x:f>
        <x:v>C_FotoPerfil</x:v>
      </x:c>
      <x:c r="D34" s="28" t="s">
        <x:v>12</x:v>
      </x:c>
      <x:c r="E34" s="27" t="s">
        <x:v>50</x:v>
      </x:c>
      <x:c r="F34" s="29" t="s">
        <x:v>2300</x:v>
      </x:c>
      <x:c r="G34" s="30" t="s">
        <x:v>2301</x:v>
      </x:c>
    </x:row>
    <x:row r="35" ht="27.75" customHeight="1">
      <x:c r="A35" s="21">
        <x:v>27</x:v>
      </x:c>
      <x:c r="B35" s="22" t="s">
        <x:v>110</x:v>
      </x:c>
      <x:c r="C35" s="31" t="str">
        <x:f>E34</x:f>
        <x:v>E_Usuario</x:v>
      </x:c>
      <x:c r="D35" s="28" t="s">
        <x:v>53</x:v>
      </x:c>
      <x:c r="E35" s="31" t="s">
        <x:v>2271</x:v>
      </x:c>
      <x:c r="F35" s="32" t="s">
        <x:v>2302</x:v>
      </x:c>
      <x:c r="G35" s="33" t="s">
        <x:v>2303</x:v>
      </x:c>
    </x:row>
    <x:row r="36" ht="36.75" customHeight="1">
      <x:c r="A36" s="21">
        <x:v>28</x:v>
      </x:c>
      <x:c r="B36" s="20" t="s">
        <x:v>110</x:v>
      </x:c>
      <x:c r="C36" s="31" t="str">
        <x:f>E35</x:f>
        <x:v>C_FotoPerfil</x:v>
      </x:c>
      <x:c r="D36" s="28" t="s">
        <x:v>12</x:v>
      </x:c>
      <x:c r="E36" s="31" t="s">
        <x:v>179</x:v>
      </x:c>
      <x:c r="F36" s="32" t="s">
        <x:v>2304</x:v>
      </x:c>
      <x:c r="G36" s="33" t="s">
        <x:v>2305</x:v>
      </x:c>
    </x:row>
    <x:row r="37" ht="27.75" customHeight="1">
      <x:c r="A37" s="21">
        <x:v>29</x:v>
      </x:c>
      <x:c r="B37" s="22" t="s">
        <x:v>110</x:v>
      </x:c>
      <x:c r="C37" s="31" t="str">
        <x:f>E36</x:f>
        <x:v>I_Perfil</x:v>
      </x:c>
      <x:c r="D37" s="28" t="s">
        <x:v>12</x:v>
      </x:c>
      <x:c r="E37" s="31" t="s">
        <x:v>2271</x:v>
      </x:c>
      <x:c r="F37" s="32" t="s">
        <x:v>2306</x:v>
      </x:c>
      <x:c r="G37" s="33" t="s">
        <x:v>2307</x:v>
      </x:c>
    </x:row>
    <x:row r="38" ht="28.5" customHeight="1">
      <x:c r="A38" s="21">
        <x:v>30</x:v>
      </x:c>
      <x:c r="B38" s="20" t="s">
        <x:v>110</x:v>
      </x:c>
      <x:c r="C38" s="27" t="str">
        <x:f>E37</x:f>
        <x:v>C_FotoPerfil</x:v>
      </x:c>
      <x:c r="D38" s="35" t="s">
        <x:v>12</x:v>
      </x:c>
      <x:c r="E38" s="27" t="s">
        <x:v>2308</x:v>
      </x:c>
      <x:c r="F38" s="29" t="s">
        <x:v>2309</x:v>
      </x:c>
      <x:c r="G38" s="30" t="s">
        <x:v>2310</x:v>
      </x:c>
    </x:row>
    <x:row r="39" ht="31.5" customHeight="1">
      <x:c r="A39" s="21">
        <x:v>31</x:v>
      </x:c>
      <x:c r="B39" s="22" t="s">
        <x:v>110</x:v>
      </x:c>
      <x:c r="C39" s="27" t="str">
        <x:f>E38</x:f>
        <x:v>I_ResultadoOperacion</x:v>
      </x:c>
      <x:c r="D39" s="35" t="s">
        <x:v>12</x:v>
      </x:c>
      <x:c r="E39" s="27" t="s">
        <x:v>11</x:v>
      </x:c>
      <x:c r="F39" s="29" t="s">
        <x:v>2311</x:v>
      </x:c>
      <x:c r="G39" s="30" t="s">
        <x:v>2312</x:v>
      </x:c>
    </x:row>
  </x:sheetData>
  <x:mergeCells>
    <x:mergeCell ref="A33:G33"/>
    <x:mergeCell ref="A13:G13"/>
    <x:mergeCell ref="A1:G1"/>
    <x:mergeCell ref="A27:G27"/>
    <x:mergeCell ref="A4:G4"/>
    <x:mergeCell ref="A20:G20"/>
    <x:mergeCell ref="A2:G2"/>
  </x:mergeCells>
  <x:dataValidations count="1">
    <x:dataValidation type="list" allowBlank="1" showInputMessage="1" showErrorMessage="1" sqref="D5:D12 D32">
      <x:formula1>"───►  (llamada),↩  (auto-msg),◄ ─ ─  (return)"</x:formula1>
    </x:dataValidation>
  </x:dataValidation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1" customWidth="1"/>
    <x:col min="2" max="2" width="8" style="1" customWidth="1"/>
    <x:col min="3" max="3" width="17.44140625" customWidth="1"/>
    <x:col min="4" max="4" width="17.109375" customWidth="1"/>
    <x:col min="5" max="5" width="25" customWidth="1"/>
    <x:col min="6" max="6" width="28" customWidth="1"/>
    <x:col min="7" max="7" width="52.6640625" customWidth="1"/>
  </x:cols>
  <x:sheetData>
    <x:row r="1" ht="27.899999618530273" customHeight="1">
      <x:c r="A1" s="484" t="s">
        <x:v>2313</x:v>
      </x:c>
      <x:c r="B1" s="6"/>
      <x:c r="C1" s="423"/>
      <x:c r="D1" s="423"/>
      <x:c r="E1" s="423"/>
      <x:c r="F1" s="423"/>
      <x:c r="G1" s="423"/>
    </x:row>
    <x:row r="2" ht="15.899999618530273" customHeight="1">
      <x:c r="A2" s="485" t="s">
        <x:v>2258</x:v>
      </x:c>
      <x:c r="B2" s="6"/>
      <x:c r="C2" s="423"/>
      <x:c r="D2" s="423"/>
      <x:c r="E2" s="423"/>
      <x:c r="F2" s="423"/>
      <x:c r="G2" s="423"/>
    </x:row>
    <x:row r="3" s="1" customFormat="1" ht="20.100000381469727" customHeight="1">
      <x:c r="A3" s="3" t="s">
        <x:v>2</x:v>
      </x:c>
      <x:c r="B3" s="3" t="s">
        <x:v>3</x:v>
      </x:c>
      <x:c r="C3" s="3" t="s">
        <x:v>4</x:v>
      </x:c>
      <x:c r="D3" s="3" t="s">
        <x:v>5</x:v>
      </x:c>
      <x:c r="E3" s="3" t="s">
        <x:v>6</x:v>
      </x:c>
      <x:c r="F3" s="3" t="s">
        <x:v>7</x:v>
      </x:c>
      <x:c r="G3" s="3" t="s">
        <x:v>8</x:v>
      </x:c>
    </x:row>
    <x:row r="4" s="1" customFormat="1" ht="17.100000381469727" customHeight="1">
      <x:c r="A4" s="483" t="s">
        <x:v>215</x:v>
      </x:c>
      <x:c r="B4" s="480"/>
      <x:c r="C4" s="480"/>
      <x:c r="D4" s="480"/>
      <x:c r="E4" s="480"/>
      <x:c r="F4" s="480"/>
      <x:c r="G4" s="481"/>
    </x:row>
    <x:row r="5" ht="17.100000381469727" customHeight="1">
      <x:c r="A5" s="3">
        <x:v>1</x:v>
      </x:c>
      <x:c r="B5" s="4" t="s">
        <x:v>10</x:v>
      </x:c>
      <x:c r="C5" s="5" t="s">
        <x:v>11</x:v>
      </x:c>
      <x:c r="D5" s="9" t="s">
        <x:v>12</x:v>
      </x:c>
      <x:c r="E5" s="5" t="s">
        <x:v>164</x:v>
      </x:c>
      <x:c r="F5" s="7" t="s">
        <x:v>165</x:v>
      </x:c>
      <x:c r="G5" s="2" t="s">
        <x:v>166</x:v>
      </x:c>
    </x:row>
    <x:row r="6" ht="17.100000381469727" customHeight="1">
      <x:c r="A6" s="3">
        <x:v>2</x:v>
      </x:c>
      <x:c r="B6" s="4" t="s">
        <x:v>10</x:v>
      </x:c>
      <x:c r="C6" s="5" t="str">
        <x:f t="shared" ref="C6:C12" si="0">E5</x:f>
        <x:v>I_Inicio</x:v>
      </x:c>
      <x:c r="D6" s="9" t="s">
        <x:v>12</x:v>
      </x:c>
      <x:c r="E6" s="5" t="s">
        <x:v>167</x:v>
      </x:c>
      <x:c r="F6" s="7" t="s">
        <x:v>168</x:v>
      </x:c>
      <x:c r="G6" s="2" t="s">
        <x:v>169</x:v>
      </x:c>
    </x:row>
    <x:row r="7" ht="28.5" customHeight="1">
      <x:c r="A7" s="3">
        <x:v>3</x:v>
      </x:c>
      <x:c r="B7" s="4" t="s">
        <x:v>10</x:v>
      </x:c>
      <x:c r="C7" s="5" t="str">
        <x:f t="shared" si="0"/>
        <x:v>C_Navegacion</x:v>
      </x:c>
      <x:c r="D7" s="9" t="s">
        <x:v>12</x:v>
      </x:c>
      <x:c r="E7" s="5" t="s">
        <x:v>170</x:v>
      </x:c>
      <x:c r="F7" s="7" t="s">
        <x:v>171</x:v>
      </x:c>
      <x:c r="G7" s="2" t="s">
        <x:v>172</x:v>
      </x:c>
    </x:row>
    <x:row r="8" ht="33" customHeight="1">
      <x:c r="A8" s="3">
        <x:v>4</x:v>
      </x:c>
      <x:c r="B8" s="4" t="s">
        <x:v>10</x:v>
      </x:c>
      <x:c r="C8" s="5" t="str">
        <x:f t="shared" si="0"/>
        <x:v>C_PerfilUsuario</x:v>
      </x:c>
      <x:c r="D8" s="9" t="s">
        <x:v>12</x:v>
      </x:c>
      <x:c r="E8" s="5" t="s">
        <x:v>50</x:v>
      </x:c>
      <x:c r="F8" s="7" t="s">
        <x:v>173</x:v>
      </x:c>
      <x:c r="G8" s="2" t="s">
        <x:v>174</x:v>
      </x:c>
    </x:row>
    <x:row r="9" ht="33" customHeight="1">
      <x:c r="A9" s="3">
        <x:v>5</x:v>
      </x:c>
      <x:c r="B9" s="4" t="s">
        <x:v>10</x:v>
      </x:c>
      <x:c r="C9" s="5" t="str">
        <x:f t="shared" si="0"/>
        <x:v>E_Usuario</x:v>
      </x:c>
      <x:c r="D9" s="9" t="s">
        <x:v>53</x:v>
      </x:c>
      <x:c r="E9" s="5" t="s">
        <x:v>170</x:v>
      </x:c>
      <x:c r="F9" s="7" t="s">
        <x:v>175</x:v>
      </x:c>
      <x:c r="G9" s="2" t="s">
        <x:v>176</x:v>
      </x:c>
    </x:row>
    <x:row r="10" ht="33" customHeight="1">
      <x:c r="A10" s="3">
        <x:v>6</x:v>
      </x:c>
      <x:c r="B10" s="4" t="s">
        <x:v>10</x:v>
      </x:c>
      <x:c r="C10" s="5" t="str">
        <x:f t="shared" si="0"/>
        <x:v>C_PerfilUsuario</x:v>
      </x:c>
      <x:c r="D10" s="9" t="s">
        <x:v>19</x:v>
      </x:c>
      <x:c r="E10" s="5" t="s">
        <x:v>170</x:v>
      </x:c>
      <x:c r="F10" s="7" t="s">
        <x:v>177</x:v>
      </x:c>
      <x:c r="G10" s="2" t="s">
        <x:v>178</x:v>
      </x:c>
    </x:row>
    <x:row r="11" ht="33" customHeight="1">
      <x:c r="A11" s="3">
        <x:v>7</x:v>
      </x:c>
      <x:c r="B11" s="4" t="s">
        <x:v>10</x:v>
      </x:c>
      <x:c r="C11" s="5" t="str">
        <x:f t="shared" si="0"/>
        <x:v>C_PerfilUsuario</x:v>
      </x:c>
      <x:c r="D11" s="9" t="s">
        <x:v>12</x:v>
      </x:c>
      <x:c r="E11" s="5" t="s">
        <x:v>179</x:v>
      </x:c>
      <x:c r="F11" s="7" t="s">
        <x:v>180</x:v>
      </x:c>
      <x:c r="G11" s="2" t="s">
        <x:v>181</x:v>
      </x:c>
    </x:row>
    <x:row r="12" ht="51" customHeight="1">
      <x:c r="A12" s="3">
        <x:v>8</x:v>
      </x:c>
      <x:c r="B12" s="4" t="s">
        <x:v>10</x:v>
      </x:c>
      <x:c r="C12" s="5" t="str">
        <x:f t="shared" si="0"/>
        <x:v>I_Perfil</x:v>
      </x:c>
      <x:c r="D12" s="9" t="s">
        <x:v>12</x:v>
      </x:c>
      <x:c r="E12" s="5" t="s">
        <x:v>11</x:v>
      </x:c>
      <x:c r="F12" s="7" t="s">
        <x:v>182</x:v>
      </x:c>
      <x:c r="G12" s="2" t="s">
        <x:v>183</x:v>
      </x:c>
    </x:row>
    <x:row r="13" ht="17.100000381469727" customHeight="1">
      <x:c r="A13" s="483" t="s">
        <x:v>2259</x:v>
      </x:c>
      <x:c r="B13" s="480"/>
      <x:c r="C13" s="480"/>
      <x:c r="D13" s="480"/>
      <x:c r="E13" s="480"/>
      <x:c r="F13" s="480"/>
      <x:c r="G13" s="481"/>
    </x:row>
    <x:row r="14" ht="17.100000381469727" customHeight="1">
      <x:c r="A14" s="3">
        <x:v>9</x:v>
      </x:c>
      <x:c r="B14" s="4" t="s">
        <x:v>33</x:v>
      </x:c>
      <x:c r="C14" s="5" t="s">
        <x:v>11</x:v>
      </x:c>
      <x:c r="D14" s="9" t="s">
        <x:v>12</x:v>
      </x:c>
      <x:c r="E14" s="5" t="s">
        <x:v>179</x:v>
      </x:c>
      <x:c r="F14" s="7" t="s">
        <x:v>2260</x:v>
      </x:c>
      <x:c r="G14" s="2" t="s">
        <x:v>2314</x:v>
      </x:c>
    </x:row>
    <x:row r="15" ht="17.100000381469727" customHeight="1">
      <x:c r="A15" s="3">
        <x:v>10</x:v>
      </x:c>
      <x:c r="B15" s="4" t="s">
        <x:v>33</x:v>
      </x:c>
      <x:c r="C15" s="5" t="str">
        <x:f>E14</x:f>
        <x:v>I_Perfil</x:v>
      </x:c>
      <x:c r="D15" s="9" t="s">
        <x:v>12</x:v>
      </x:c>
      <x:c r="E15" s="5" t="s">
        <x:v>170</x:v>
      </x:c>
      <x:c r="F15" s="7" t="s">
        <x:v>2262</x:v>
      </x:c>
      <x:c r="G15" s="2" t="s">
        <x:v>2263</x:v>
      </x:c>
    </x:row>
    <x:row r="16" ht="28.5" customHeight="1">
      <x:c r="A16" s="3">
        <x:v>11</x:v>
      </x:c>
      <x:c r="B16" s="4" t="s">
        <x:v>33</x:v>
      </x:c>
      <x:c r="C16" s="5" t="str">
        <x:f>E15</x:f>
        <x:v>C_PerfilUsuario</x:v>
      </x:c>
      <x:c r="D16" s="9" t="s">
        <x:v>12</x:v>
      </x:c>
      <x:c r="E16" s="5" t="s">
        <x:v>2264</x:v>
      </x:c>
      <x:c r="F16" s="7" t="s">
        <x:v>2265</x:v>
      </x:c>
      <x:c r="G16" s="2" t="s">
        <x:v>2315</x:v>
      </x:c>
    </x:row>
    <x:row r="17" ht="24.75" customHeight="1">
      <x:c r="A17" s="3">
        <x:v>12</x:v>
      </x:c>
      <x:c r="B17" s="4" t="s">
        <x:v>33</x:v>
      </x:c>
      <x:c r="C17" s="5" t="s">
        <x:v>2264</x:v>
      </x:c>
      <x:c r="D17" s="9" t="s">
        <x:v>12</x:v>
      </x:c>
      <x:c r="E17" s="5" t="s">
        <x:v>11</x:v>
      </x:c>
      <x:c r="F17" s="7" t="s">
        <x:v>2267</x:v>
      </x:c>
      <x:c r="G17" s="2" t="s">
        <x:v>2316</x:v>
      </x:c>
    </x:row>
    <x:row r="18" ht="32.25" customHeight="1">
      <x:c r="A18" s="3">
        <x:v>13</x:v>
      </x:c>
      <x:c r="B18" s="4" t="s">
        <x:v>33</x:v>
      </x:c>
      <x:c r="C18" s="5" t="str">
        <x:f>E17</x:f>
        <x:v>AS_Usuario</x:v>
      </x:c>
      <x:c r="D18" s="9" t="s">
        <x:v>12</x:v>
      </x:c>
      <x:c r="E18" s="5" t="s">
        <x:v>2264</x:v>
      </x:c>
      <x:c r="F18" s="7" t="s">
        <x:v>2269</x:v>
      </x:c>
      <x:c r="G18" s="2" t="s">
        <x:v>2317</x:v>
      </x:c>
    </x:row>
    <x:row r="19" ht="33.75" customHeight="1">
      <x:c r="A19" s="3">
        <x:v>14</x:v>
      </x:c>
      <x:c r="B19" s="4" t="s">
        <x:v>33</x:v>
      </x:c>
      <x:c r="C19" s="5" t="str">
        <x:f>E18</x:f>
        <x:v>I_OpcionesFotoPerfil</x:v>
      </x:c>
      <x:c r="D19" s="9" t="s">
        <x:v>12</x:v>
      </x:c>
      <x:c r="E19" s="5" t="s">
        <x:v>2271</x:v>
      </x:c>
      <x:c r="F19" s="7" t="s">
        <x:v>2272</x:v>
      </x:c>
      <x:c r="G19" s="2" t="s">
        <x:v>2273</x:v>
      </x:c>
    </x:row>
    <x:row r="20" ht="17.100000381469727" customHeight="1">
      <x:c r="A20" s="483" t="s">
        <x:v>2318</x:v>
      </x:c>
      <x:c r="B20" s="480"/>
      <x:c r="C20" s="480"/>
      <x:c r="D20" s="480"/>
      <x:c r="E20" s="480"/>
      <x:c r="F20" s="480"/>
      <x:c r="G20" s="481"/>
    </x:row>
    <x:row r="21" ht="30" customHeight="1">
      <x:c r="A21" s="3">
        <x:v>15</x:v>
      </x:c>
      <x:c r="B21" s="4" t="s">
        <x:v>63</x:v>
      </x:c>
      <x:c r="C21" s="5" t="str">
        <x:f>E19</x:f>
        <x:v>C_FotoPerfil</x:v>
      </x:c>
      <x:c r="D21" s="9" t="s">
        <x:v>12</x:v>
      </x:c>
      <x:c r="E21" s="5" t="s">
        <x:v>2275</x:v>
      </x:c>
      <x:c r="F21" s="7" t="s">
        <x:v>2276</x:v>
      </x:c>
      <x:c r="G21" s="2" t="s">
        <x:v>2277</x:v>
      </x:c>
    </x:row>
    <x:row r="22" ht="30.75" customHeight="1">
      <x:c r="A22" s="3">
        <x:v>16</x:v>
      </x:c>
      <x:c r="B22" s="4" t="s">
        <x:v>63</x:v>
      </x:c>
      <x:c r="C22" s="5" t="str">
        <x:f>E21</x:f>
        <x:v>I_SeleccionFoto</x:v>
      </x:c>
      <x:c r="D22" s="9" t="s">
        <x:v>12</x:v>
      </x:c>
      <x:c r="E22" s="5" t="s">
        <x:v>11</x:v>
      </x:c>
      <x:c r="F22" s="7" t="s">
        <x:v>2278</x:v>
      </x:c>
      <x:c r="G22" s="2" t="s">
        <x:v>2319</x:v>
      </x:c>
    </x:row>
    <x:row r="23" ht="27.75" customHeight="1">
      <x:c r="A23" s="3">
        <x:v>17</x:v>
      </x:c>
      <x:c r="B23" s="4" t="s">
        <x:v>63</x:v>
      </x:c>
      <x:c r="C23" s="5" t="str">
        <x:f>E22</x:f>
        <x:v>AS_Usuario</x:v>
      </x:c>
      <x:c r="D23" s="9" t="s">
        <x:v>12</x:v>
      </x:c>
      <x:c r="E23" s="5" t="s">
        <x:v>2275</x:v>
      </x:c>
      <x:c r="F23" s="7" t="s">
        <x:v>2320</x:v>
      </x:c>
      <x:c r="G23" s="2" t="s">
        <x:v>2321</x:v>
      </x:c>
    </x:row>
    <x:row r="24" ht="27.75" customHeight="1">
      <x:c r="A24" s="3">
        <x:v>18</x:v>
      </x:c>
      <x:c r="B24" s="4" t="s">
        <x:v>63</x:v>
      </x:c>
      <x:c r="C24" s="5" t="str">
        <x:f>E23</x:f>
        <x:v>I_SeleccionFoto</x:v>
      </x:c>
      <x:c r="D24" s="9" t="s">
        <x:v>12</x:v>
      </x:c>
      <x:c r="E24" s="5" t="s">
        <x:v>11</x:v>
      </x:c>
      <x:c r="F24" s="7" t="s">
        <x:v>2282</x:v>
      </x:c>
      <x:c r="G24" s="2" t="s">
        <x:v>2283</x:v>
      </x:c>
    </x:row>
    <x:row r="25" ht="33" customHeight="1">
      <x:c r="A25" s="3">
        <x:v>19</x:v>
      </x:c>
      <x:c r="B25" s="4" t="s">
        <x:v>63</x:v>
      </x:c>
      <x:c r="C25" s="5" t="str">
        <x:f>E24</x:f>
        <x:v>AS_Usuario</x:v>
      </x:c>
      <x:c r="D25" s="9" t="s">
        <x:v>12</x:v>
      </x:c>
      <x:c r="E25" s="5" t="s">
        <x:v>2275</x:v>
      </x:c>
      <x:c r="F25" s="7" t="s">
        <x:v>2284</x:v>
      </x:c>
      <x:c r="G25" s="2" t="s">
        <x:v>2322</x:v>
      </x:c>
    </x:row>
    <x:row r="26" ht="29.25" customHeight="1">
      <x:c r="A26" s="3">
        <x:v>20</x:v>
      </x:c>
      <x:c r="B26" s="4" t="s">
        <x:v>63</x:v>
      </x:c>
      <x:c r="C26" s="5" t="str">
        <x:f>E25</x:f>
        <x:v>I_SeleccionFoto</x:v>
      </x:c>
      <x:c r="D26" s="9" t="s">
        <x:v>12</x:v>
      </x:c>
      <x:c r="E26" s="5" t="s">
        <x:v>2271</x:v>
      </x:c>
      <x:c r="F26" s="7" t="s">
        <x:v>2323</x:v>
      </x:c>
      <x:c r="G26" s="2" t="s">
        <x:v>2324</x:v>
      </x:c>
    </x:row>
    <x:row r="27" ht="17.100000381469727" customHeight="1">
      <x:c r="A27" s="483" t="s">
        <x:v>2325</x:v>
      </x:c>
      <x:c r="B27" s="480"/>
      <x:c r="C27" s="480"/>
      <x:c r="D27" s="480"/>
      <x:c r="E27" s="480"/>
      <x:c r="F27" s="480"/>
      <x:c r="G27" s="481"/>
    </x:row>
    <x:row r="28" ht="32.25" customHeight="1">
      <x:c r="A28" s="3">
        <x:v>21</x:v>
      </x:c>
      <x:c r="B28" s="4" t="s">
        <x:v>81</x:v>
      </x:c>
      <x:c r="C28" s="5" t="str">
        <x:f>E26</x:f>
        <x:v>C_FotoPerfil</x:v>
      </x:c>
      <x:c r="D28" s="9" t="s">
        <x:v>12</x:v>
      </x:c>
      <x:c r="E28" s="5" t="s">
        <x:v>2289</x:v>
      </x:c>
      <x:c r="F28" s="7" t="s">
        <x:v>2326</x:v>
      </x:c>
      <x:c r="G28" s="2" t="s">
        <x:v>2327</x:v>
      </x:c>
    </x:row>
    <x:row r="29" ht="27.75" customHeight="1">
      <x:c r="A29" s="3">
        <x:v>22</x:v>
      </x:c>
      <x:c r="B29" s="4" t="s">
        <x:v>81</x:v>
      </x:c>
      <x:c r="C29" s="5" t="str">
        <x:f>E28</x:f>
        <x:v>C_ValidacionFoto</x:v>
      </x:c>
      <x:c r="D29" s="6" t="s">
        <x:v>53</x:v>
      </x:c>
      <x:c r="E29" s="5" t="s">
        <x:v>2271</x:v>
      </x:c>
      <x:c r="F29" s="7" t="s">
        <x:v>468</x:v>
      </x:c>
      <x:c r="G29" s="2" t="s">
        <x:v>2328</x:v>
      </x:c>
    </x:row>
    <x:row r="30" ht="27.75" customHeight="1">
      <x:c r="A30" s="3">
        <x:v>23</x:v>
      </x:c>
      <x:c r="B30" s="4" t="s">
        <x:v>81</x:v>
      </x:c>
      <x:c r="C30" s="5" t="str">
        <x:f>E29</x:f>
        <x:v>C_FotoPerfil</x:v>
      </x:c>
      <x:c r="D30" s="6" t="s">
        <x:v>12</x:v>
      </x:c>
      <x:c r="E30" s="5" t="s">
        <x:v>50</x:v>
      </x:c>
      <x:c r="F30" s="7" t="s">
        <x:v>2293</x:v>
      </x:c>
      <x:c r="G30" s="2" t="s">
        <x:v>2329</x:v>
      </x:c>
    </x:row>
    <x:row r="31" ht="27.75" customHeight="1">
      <x:c r="A31" s="3">
        <x:v>24</x:v>
      </x:c>
      <x:c r="B31" s="4" t="s">
        <x:v>81</x:v>
      </x:c>
      <x:c r="C31" s="5" t="str">
        <x:f>E30</x:f>
        <x:v>E_Usuario</x:v>
      </x:c>
      <x:c r="D31" s="6" t="s">
        <x:v>53</x:v>
      </x:c>
      <x:c r="E31" s="5" t="s">
        <x:v>2271</x:v>
      </x:c>
      <x:c r="F31" s="7" t="s">
        <x:v>2330</x:v>
      </x:c>
      <x:c r="G31" s="2" t="s">
        <x:v>2331</x:v>
      </x:c>
    </x:row>
    <x:row r="32" ht="32.25" customHeight="1">
      <x:c r="A32" s="3">
        <x:v>25</x:v>
      </x:c>
      <x:c r="B32" s="4" t="s">
        <x:v>81</x:v>
      </x:c>
      <x:c r="C32" s="5" t="str">
        <x:f>E31</x:f>
        <x:v>C_FotoPerfil</x:v>
      </x:c>
      <x:c r="D32" s="6" t="s">
        <x:v>19</x:v>
      </x:c>
      <x:c r="E32" s="5" t="s">
        <x:v>2271</x:v>
      </x:c>
      <x:c r="F32" s="7" t="s">
        <x:v>2332</x:v>
      </x:c>
      <x:c r="G32" s="2" t="s">
        <x:v>2333</x:v>
      </x:c>
    </x:row>
    <x:row r="33" ht="27.75" customHeight="1">
      <x:c r="A33" s="483" t="s">
        <x:v>2334</x:v>
      </x:c>
      <x:c r="B33" s="480"/>
      <x:c r="C33" s="480"/>
      <x:c r="D33" s="480"/>
      <x:c r="E33" s="480"/>
      <x:c r="F33" s="480"/>
      <x:c r="G33" s="481"/>
    </x:row>
    <x:row r="34" ht="28.5" customHeight="1">
      <x:c r="A34" s="3">
        <x:v>26</x:v>
      </x:c>
      <x:c r="B34" s="4" t="s">
        <x:v>110</x:v>
      </x:c>
      <x:c r="C34" s="5" t="str">
        <x:f>E32</x:f>
        <x:v>C_FotoPerfil</x:v>
      </x:c>
      <x:c r="D34" s="6" t="s">
        <x:v>12</x:v>
      </x:c>
      <x:c r="E34" s="5" t="s">
        <x:v>50</x:v>
      </x:c>
      <x:c r="F34" s="7" t="s">
        <x:v>2335</x:v>
      </x:c>
      <x:c r="G34" s="2" t="s">
        <x:v>2336</x:v>
      </x:c>
    </x:row>
    <x:row r="35" ht="28.5" customHeight="1">
      <x:c r="A35" s="3">
        <x:v>27</x:v>
      </x:c>
      <x:c r="B35" s="4" t="s">
        <x:v>110</x:v>
      </x:c>
      <x:c r="C35" s="5" t="str">
        <x:f>E34</x:f>
        <x:v>E_Usuario</x:v>
      </x:c>
      <x:c r="D35" s="6" t="s">
        <x:v>53</x:v>
      </x:c>
      <x:c r="E35" s="5" t="s">
        <x:v>2271</x:v>
      </x:c>
      <x:c r="F35" s="7" t="s">
        <x:v>2337</x:v>
      </x:c>
      <x:c r="G35" s="2" t="s">
        <x:v>2338</x:v>
      </x:c>
    </x:row>
    <x:row r="36" ht="28.5" customHeight="1">
      <x:c r="A36" s="3">
        <x:v>28</x:v>
      </x:c>
      <x:c r="B36" s="4" t="s">
        <x:v>110</x:v>
      </x:c>
      <x:c r="C36" s="5" t="str">
        <x:f>E35</x:f>
        <x:v>C_FotoPerfil</x:v>
      </x:c>
      <x:c r="D36" s="6" t="s">
        <x:v>12</x:v>
      </x:c>
      <x:c r="E36" s="5" t="s">
        <x:v>179</x:v>
      </x:c>
      <x:c r="F36" s="7" t="s">
        <x:v>2339</x:v>
      </x:c>
      <x:c r="G36" s="2" t="s">
        <x:v>2340</x:v>
      </x:c>
    </x:row>
    <x:row r="37" ht="22.799999237060547" customHeight="1">
      <x:c r="A37" s="3">
        <x:v>29</x:v>
      </x:c>
      <x:c r="B37" s="4" t="s">
        <x:v>110</x:v>
      </x:c>
      <x:c r="C37" s="5" t="str">
        <x:f>E36</x:f>
        <x:v>I_Perfil</x:v>
      </x:c>
      <x:c r="D37" s="6" t="s">
        <x:v>12</x:v>
      </x:c>
      <x:c r="E37" s="5" t="s">
        <x:v>2271</x:v>
      </x:c>
      <x:c r="F37" s="7" t="s">
        <x:v>2306</x:v>
      </x:c>
      <x:c r="G37" s="2" t="s">
        <x:v>2307</x:v>
      </x:c>
    </x:row>
    <x:row r="38" ht="22.799999237060547" customHeight="1">
      <x:c r="A38" s="3">
        <x:v>30</x:v>
      </x:c>
      <x:c r="B38" s="4" t="s">
        <x:v>110</x:v>
      </x:c>
      <x:c r="C38" s="5" t="str">
        <x:f>E37</x:f>
        <x:v>C_FotoPerfil</x:v>
      </x:c>
      <x:c r="D38" s="6" t="s">
        <x:v>12</x:v>
      </x:c>
      <x:c r="E38" s="5" t="s">
        <x:v>2308</x:v>
      </x:c>
      <x:c r="F38" s="7" t="s">
        <x:v>2341</x:v>
      </x:c>
      <x:c r="G38" s="2" t="s">
        <x:v>2310</x:v>
      </x:c>
    </x:row>
    <x:row r="39" ht="24" customHeight="1">
      <x:c r="A39" s="3">
        <x:v>31</x:v>
      </x:c>
      <x:c r="B39" s="4" t="s">
        <x:v>110</x:v>
      </x:c>
      <x:c r="C39" s="5" t="str">
        <x:f>E38</x:f>
        <x:v>I_ResultadoOperacion</x:v>
      </x:c>
      <x:c r="D39" s="6" t="s">
        <x:v>12</x:v>
      </x:c>
      <x:c r="E39" s="5" t="s">
        <x:v>11</x:v>
      </x:c>
      <x:c r="F39" s="7" t="s">
        <x:v>2311</x:v>
      </x:c>
      <x:c r="G39" s="2" t="s">
        <x:v>2342</x:v>
      </x:c>
    </x:row>
  </x:sheetData>
  <x:mergeCells>
    <x:mergeCell ref="A33:G33"/>
    <x:mergeCell ref="A13:G13"/>
    <x:mergeCell ref="A1:G1"/>
    <x:mergeCell ref="A27:G27"/>
    <x:mergeCell ref="A4:G4"/>
    <x:mergeCell ref="A20:G20"/>
    <x:mergeCell ref="A2:G2"/>
  </x:mergeCells>
  <x:dataValidations count="1">
    <x:dataValidation type="list" allowBlank="1" showInputMessage="1" showErrorMessage="1" sqref="D5:D12 D14:D26 D28:D32 D34:D39">
      <x:formula1>"───►  (llamada),↩  (auto-msg),◄ ─ ─  (return)"</x:formula1>
    </x:dataValidation>
  </x:dataValidation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1" customWidth="1"/>
    <x:col min="2" max="2" width="8" style="1" customWidth="1"/>
    <x:col min="3" max="3" width="17.44140625" customWidth="1"/>
    <x:col min="4" max="4" width="18.6640625" customWidth="1"/>
    <x:col min="5" max="5" width="25" customWidth="1"/>
    <x:col min="6" max="6" width="28" customWidth="1"/>
    <x:col min="7" max="7" width="52.6640625" customWidth="1"/>
  </x:cols>
  <x:sheetData>
    <x:row r="1" ht="27.899999618530273" customHeight="1">
      <x:c r="A1" s="487" t="s">
        <x:v>2343</x:v>
      </x:c>
      <x:c r="B1" s="6"/>
      <x:c r="C1" s="423"/>
      <x:c r="D1" s="423"/>
      <x:c r="E1" s="423"/>
      <x:c r="F1" s="423"/>
      <x:c r="G1" s="423"/>
    </x:row>
    <x:row r="2" ht="15.899999618530273" customHeight="1">
      <x:c r="A2" s="489" t="s">
        <x:v>2344</x:v>
      </x:c>
      <x:c r="B2" s="6"/>
      <x:c r="C2" s="423"/>
      <x:c r="D2" s="423"/>
      <x:c r="E2" s="423"/>
      <x:c r="F2" s="423"/>
      <x:c r="G2" s="423"/>
    </x:row>
    <x:row r="3" s="1" customFormat="1" ht="20.100000381469727" customHeight="1">
      <x:c r="A3" s="3" t="s">
        <x:v>2</x:v>
      </x:c>
      <x:c r="B3" s="3" t="s">
        <x:v>3</x:v>
      </x:c>
      <x:c r="C3" s="3" t="s">
        <x:v>4</x:v>
      </x:c>
      <x:c r="D3" s="3" t="s">
        <x:v>5</x:v>
      </x:c>
      <x:c r="E3" s="3" t="s">
        <x:v>6</x:v>
      </x:c>
      <x:c r="F3" s="3" t="s">
        <x:v>7</x:v>
      </x:c>
      <x:c r="G3" s="3" t="s">
        <x:v>8</x:v>
      </x:c>
    </x:row>
    <x:row r="4" s="1" customFormat="1" ht="17.100000381469727" customHeight="1">
      <x:c r="A4" s="486" t="s">
        <x:v>2345</x:v>
      </x:c>
      <x:c r="B4" s="480"/>
      <x:c r="C4" s="480"/>
      <x:c r="D4" s="480"/>
      <x:c r="E4" s="480"/>
      <x:c r="F4" s="480"/>
      <x:c r="G4" s="481"/>
    </x:row>
    <x:row r="5" ht="17.100000381469727" customHeight="1">
      <x:c r="A5" s="3">
        <x:v>1</x:v>
      </x:c>
      <x:c r="B5" s="4" t="s">
        <x:v>10</x:v>
      </x:c>
      <x:c r="C5" s="5" t="s">
        <x:v>11</x:v>
      </x:c>
      <x:c r="D5" s="9" t="s">
        <x:v>12</x:v>
      </x:c>
      <x:c r="E5" s="5" t="s">
        <x:v>164</x:v>
      </x:c>
      <x:c r="F5" s="7" t="s">
        <x:v>165</x:v>
      </x:c>
      <x:c r="G5" s="2" t="s">
        <x:v>166</x:v>
      </x:c>
    </x:row>
    <x:row r="6" ht="17.100000381469727" customHeight="1">
      <x:c r="A6" s="3">
        <x:v>2</x:v>
      </x:c>
      <x:c r="B6" s="4" t="s">
        <x:v>10</x:v>
      </x:c>
      <x:c r="C6" s="5" t="str">
        <x:f t="shared" ref="C6:C12" si="0">E5</x:f>
        <x:v>I_Inicio</x:v>
      </x:c>
      <x:c r="D6" s="9" t="s">
        <x:v>12</x:v>
      </x:c>
      <x:c r="E6" s="5" t="s">
        <x:v>167</x:v>
      </x:c>
      <x:c r="F6" s="7" t="s">
        <x:v>168</x:v>
      </x:c>
      <x:c r="G6" s="2" t="s">
        <x:v>169</x:v>
      </x:c>
    </x:row>
    <x:row r="7" ht="34.5" customHeight="1">
      <x:c r="A7" s="3">
        <x:v>3</x:v>
      </x:c>
      <x:c r="B7" s="4" t="s">
        <x:v>10</x:v>
      </x:c>
      <x:c r="C7" s="5" t="str">
        <x:f t="shared" si="0"/>
        <x:v>C_Navegacion</x:v>
      </x:c>
      <x:c r="D7" s="9" t="s">
        <x:v>12</x:v>
      </x:c>
      <x:c r="E7" s="5" t="s">
        <x:v>170</x:v>
      </x:c>
      <x:c r="F7" s="7" t="s">
        <x:v>171</x:v>
      </x:c>
      <x:c r="G7" s="2" t="s">
        <x:v>172</x:v>
      </x:c>
    </x:row>
    <x:row r="8" ht="33" customHeight="1">
      <x:c r="A8" s="3">
        <x:v>4</x:v>
      </x:c>
      <x:c r="B8" s="4" t="s">
        <x:v>10</x:v>
      </x:c>
      <x:c r="C8" s="5" t="str">
        <x:f t="shared" si="0"/>
        <x:v>C_PerfilUsuario</x:v>
      </x:c>
      <x:c r="D8" s="9" t="s">
        <x:v>12</x:v>
      </x:c>
      <x:c r="E8" s="5" t="s">
        <x:v>50</x:v>
      </x:c>
      <x:c r="F8" s="7" t="s">
        <x:v>173</x:v>
      </x:c>
      <x:c r="G8" s="2" t="s">
        <x:v>174</x:v>
      </x:c>
    </x:row>
    <x:row r="9" ht="33" customHeight="1">
      <x:c r="A9" s="3">
        <x:v>5</x:v>
      </x:c>
      <x:c r="B9" s="4" t="s">
        <x:v>10</x:v>
      </x:c>
      <x:c r="C9" s="5" t="str">
        <x:f t="shared" si="0"/>
        <x:v>E_Usuario</x:v>
      </x:c>
      <x:c r="D9" s="9" t="s">
        <x:v>53</x:v>
      </x:c>
      <x:c r="E9" s="5" t="s">
        <x:v>170</x:v>
      </x:c>
      <x:c r="F9" s="7" t="s">
        <x:v>175</x:v>
      </x:c>
      <x:c r="G9" s="2" t="s">
        <x:v>176</x:v>
      </x:c>
    </x:row>
    <x:row r="10" ht="33" customHeight="1">
      <x:c r="A10" s="3">
        <x:v>6</x:v>
      </x:c>
      <x:c r="B10" s="4" t="s">
        <x:v>10</x:v>
      </x:c>
      <x:c r="C10" s="5" t="str">
        <x:f t="shared" si="0"/>
        <x:v>C_PerfilUsuario</x:v>
      </x:c>
      <x:c r="D10" s="9" t="s">
        <x:v>19</x:v>
      </x:c>
      <x:c r="E10" s="5" t="s">
        <x:v>170</x:v>
      </x:c>
      <x:c r="F10" s="7" t="s">
        <x:v>177</x:v>
      </x:c>
      <x:c r="G10" s="2" t="s">
        <x:v>178</x:v>
      </x:c>
    </x:row>
    <x:row r="11" ht="33" customHeight="1">
      <x:c r="A11" s="3">
        <x:v>7</x:v>
      </x:c>
      <x:c r="B11" s="4" t="s">
        <x:v>10</x:v>
      </x:c>
      <x:c r="C11" s="5" t="str">
        <x:f t="shared" si="0"/>
        <x:v>C_PerfilUsuario</x:v>
      </x:c>
      <x:c r="D11" s="9" t="s">
        <x:v>12</x:v>
      </x:c>
      <x:c r="E11" s="5" t="s">
        <x:v>179</x:v>
      </x:c>
      <x:c r="F11" s="7" t="s">
        <x:v>180</x:v>
      </x:c>
      <x:c r="G11" s="2" t="s">
        <x:v>181</x:v>
      </x:c>
    </x:row>
    <x:row r="12" ht="51" customHeight="1">
      <x:c r="A12" s="3">
        <x:v>8</x:v>
      </x:c>
      <x:c r="B12" s="4" t="s">
        <x:v>10</x:v>
      </x:c>
      <x:c r="C12" s="5" t="str">
        <x:f t="shared" si="0"/>
        <x:v>I_Perfil</x:v>
      </x:c>
      <x:c r="D12" s="9" t="s">
        <x:v>12</x:v>
      </x:c>
      <x:c r="E12" s="5" t="s">
        <x:v>11</x:v>
      </x:c>
      <x:c r="F12" s="7" t="s">
        <x:v>182</x:v>
      </x:c>
      <x:c r="G12" s="2" t="s">
        <x:v>183</x:v>
      </x:c>
    </x:row>
    <x:row r="13" ht="17.100000381469727" customHeight="1">
      <x:c r="A13" s="486" t="s">
        <x:v>2346</x:v>
      </x:c>
      <x:c r="B13" s="480"/>
      <x:c r="C13" s="480"/>
      <x:c r="D13" s="480"/>
      <x:c r="E13" s="480"/>
      <x:c r="F13" s="480"/>
      <x:c r="G13" s="481"/>
    </x:row>
    <x:row r="14" ht="24" customHeight="1">
      <x:c r="A14" s="3">
        <x:v>9</x:v>
      </x:c>
      <x:c r="B14" s="4" t="s">
        <x:v>33</x:v>
      </x:c>
      <x:c r="C14" s="5" t="s">
        <x:v>11</x:v>
      </x:c>
      <x:c r="D14" s="9" t="s">
        <x:v>12</x:v>
      </x:c>
      <x:c r="E14" s="5" t="s">
        <x:v>179</x:v>
      </x:c>
      <x:c r="F14" s="7" t="s">
        <x:v>2260</x:v>
      </x:c>
      <x:c r="G14" s="2" t="s">
        <x:v>2314</x:v>
      </x:c>
    </x:row>
    <x:row r="15" ht="17.100000381469727" customHeight="1">
      <x:c r="A15" s="3">
        <x:v>10</x:v>
      </x:c>
      <x:c r="B15" s="4" t="s">
        <x:v>33</x:v>
      </x:c>
      <x:c r="C15" s="5" t="str">
        <x:f>E14</x:f>
        <x:v>I_Perfil</x:v>
      </x:c>
      <x:c r="D15" s="9" t="s">
        <x:v>12</x:v>
      </x:c>
      <x:c r="E15" s="5" t="s">
        <x:v>170</x:v>
      </x:c>
      <x:c r="F15" s="7" t="s">
        <x:v>2262</x:v>
      </x:c>
      <x:c r="G15" s="2" t="s">
        <x:v>2263</x:v>
      </x:c>
    </x:row>
    <x:row r="16" ht="27" customHeight="1">
      <x:c r="A16" s="3">
        <x:v>11</x:v>
      </x:c>
      <x:c r="B16" s="4" t="s">
        <x:v>33</x:v>
      </x:c>
      <x:c r="C16" s="5" t="str">
        <x:f>E15</x:f>
        <x:v>C_PerfilUsuario</x:v>
      </x:c>
      <x:c r="D16" s="9" t="s">
        <x:v>12</x:v>
      </x:c>
      <x:c r="E16" s="5" t="s">
        <x:v>2264</x:v>
      </x:c>
      <x:c r="F16" s="7" t="s">
        <x:v>2265</x:v>
      </x:c>
      <x:c r="G16" s="2" t="s">
        <x:v>2315</x:v>
      </x:c>
    </x:row>
    <x:row r="17" ht="22.5" customHeight="1">
      <x:c r="A17" s="3">
        <x:v>12</x:v>
      </x:c>
      <x:c r="B17" s="4" t="s">
        <x:v>33</x:v>
      </x:c>
      <x:c r="C17" s="5" t="s">
        <x:v>2264</x:v>
      </x:c>
      <x:c r="D17" s="9" t="s">
        <x:v>12</x:v>
      </x:c>
      <x:c r="E17" s="5" t="s">
        <x:v>11</x:v>
      </x:c>
      <x:c r="F17" s="7" t="s">
        <x:v>2267</x:v>
      </x:c>
      <x:c r="G17" s="2" t="s">
        <x:v>2316</x:v>
      </x:c>
    </x:row>
    <x:row r="18" ht="31.5" customHeight="1">
      <x:c r="A18" s="3">
        <x:v>13</x:v>
      </x:c>
      <x:c r="B18" s="4" t="s">
        <x:v>33</x:v>
      </x:c>
      <x:c r="C18" s="5" t="str">
        <x:f>E17</x:f>
        <x:v>AS_Usuario</x:v>
      </x:c>
      <x:c r="D18" s="9" t="s">
        <x:v>12</x:v>
      </x:c>
      <x:c r="E18" s="5" t="s">
        <x:v>2264</x:v>
      </x:c>
      <x:c r="F18" s="7" t="s">
        <x:v>2347</x:v>
      </x:c>
      <x:c r="G18" s="2" t="s">
        <x:v>2348</x:v>
      </x:c>
    </x:row>
    <x:row r="19" ht="26.25" customHeight="1">
      <x:c r="A19" s="3">
        <x:v>14</x:v>
      </x:c>
      <x:c r="B19" s="4" t="s">
        <x:v>33</x:v>
      </x:c>
      <x:c r="C19" s="5" t="str">
        <x:f>E18</x:f>
        <x:v>I_OpcionesFotoPerfil</x:v>
      </x:c>
      <x:c r="D19" s="9" t="s">
        <x:v>12</x:v>
      </x:c>
      <x:c r="E19" s="5" t="s">
        <x:v>2271</x:v>
      </x:c>
      <x:c r="F19" s="7" t="s">
        <x:v>2349</x:v>
      </x:c>
      <x:c r="G19" s="2" t="s">
        <x:v>2350</x:v>
      </x:c>
    </x:row>
    <x:row r="20" ht="17.100000381469727" customHeight="1">
      <x:c r="A20" s="488" t="s">
        <x:v>2351</x:v>
      </x:c>
      <x:c r="B20" s="480"/>
      <x:c r="C20" s="480"/>
      <x:c r="D20" s="480"/>
      <x:c r="E20" s="480"/>
      <x:c r="F20" s="480"/>
      <x:c r="G20" s="481"/>
    </x:row>
    <x:row r="21" ht="17.100000381469727" customHeight="1">
      <x:c r="A21" s="3">
        <x:v>15</x:v>
      </x:c>
      <x:c r="B21" s="4" t="s">
        <x:v>63</x:v>
      </x:c>
      <x:c r="C21" s="5" t="str">
        <x:f>E19</x:f>
        <x:v>C_FotoPerfil</x:v>
      </x:c>
      <x:c r="D21" s="9" t="s">
        <x:v>12</x:v>
      </x:c>
      <x:c r="E21" s="5" t="s">
        <x:v>50</x:v>
      </x:c>
      <x:c r="F21" s="7" t="s">
        <x:v>2293</x:v>
      </x:c>
      <x:c r="G21" s="2" t="s">
        <x:v>2352</x:v>
      </x:c>
    </x:row>
    <x:row r="22" ht="30" customHeight="1">
      <x:c r="A22" s="3">
        <x:v>16</x:v>
      </x:c>
      <x:c r="B22" s="4" t="s">
        <x:v>63</x:v>
      </x:c>
      <x:c r="C22" s="5" t="str">
        <x:f>E21</x:f>
        <x:v>E_Usuario</x:v>
      </x:c>
      <x:c r="D22" s="9" t="s">
        <x:v>53</x:v>
      </x:c>
      <x:c r="E22" s="5" t="s">
        <x:v>2271</x:v>
      </x:c>
      <x:c r="F22" s="7" t="s">
        <x:v>2330</x:v>
      </x:c>
      <x:c r="G22" s="2" t="s">
        <x:v>2353</x:v>
      </x:c>
    </x:row>
    <x:row r="23" ht="28.5" customHeight="1">
      <x:c r="A23" s="3">
        <x:v>17</x:v>
      </x:c>
      <x:c r="B23" s="4" t="s">
        <x:v>63</x:v>
      </x:c>
      <x:c r="C23" s="5" t="str">
        <x:f>E22</x:f>
        <x:v>C_FotoPerfil</x:v>
      </x:c>
      <x:c r="D23" s="9" t="s">
        <x:v>19</x:v>
      </x:c>
      <x:c r="E23" s="5" t="s">
        <x:v>2271</x:v>
      </x:c>
      <x:c r="F23" s="7" t="s">
        <x:v>2332</x:v>
      </x:c>
      <x:c r="G23" s="2" t="s">
        <x:v>2354</x:v>
      </x:c>
    </x:row>
    <x:row r="24" ht="28.5" customHeight="1">
      <x:c r="A24" s="3">
        <x:v>18</x:v>
      </x:c>
      <x:c r="B24" s="4" t="s">
        <x:v>63</x:v>
      </x:c>
      <x:c r="C24" s="5" t="str">
        <x:f>E23</x:f>
        <x:v>C_FotoPerfil</x:v>
      </x:c>
      <x:c r="D24" s="9" t="s">
        <x:v>12</x:v>
      </x:c>
      <x:c r="E24" s="5" t="s">
        <x:v>2355</x:v>
      </x:c>
      <x:c r="F24" s="7" t="s">
        <x:v>2356</x:v>
      </x:c>
      <x:c r="G24" s="2" t="s">
        <x:v>2357</x:v>
      </x:c>
    </x:row>
    <x:row r="25" ht="28.5" customHeight="1">
      <x:c r="A25" s="3">
        <x:v>19</x:v>
      </x:c>
      <x:c r="B25" s="4" t="s">
        <x:v>63</x:v>
      </x:c>
      <x:c r="C25" s="5" t="str">
        <x:f>E24</x:f>
        <x:v>I_ConfirmacionEliminarFoto</x:v>
      </x:c>
      <x:c r="D25" s="9" t="s">
        <x:v>12</x:v>
      </x:c>
      <x:c r="E25" s="5" t="s">
        <x:v>11</x:v>
      </x:c>
      <x:c r="F25" s="7" t="s">
        <x:v>2358</x:v>
      </x:c>
      <x:c r="G25" s="2" t="s">
        <x:v>2359</x:v>
      </x:c>
    </x:row>
    <x:row r="26" ht="17.100000381469727" customHeight="1">
      <x:c r="A26" s="486" t="s">
        <x:v>2360</x:v>
      </x:c>
      <x:c r="B26" s="480"/>
      <x:c r="C26" s="480"/>
      <x:c r="D26" s="480"/>
      <x:c r="E26" s="480"/>
      <x:c r="F26" s="480"/>
      <x:c r="G26" s="481"/>
    </x:row>
    <x:row r="27" ht="25.5" customHeight="1">
      <x:c r="A27" s="3">
        <x:v>20</x:v>
      </x:c>
      <x:c r="B27" s="4" t="s">
        <x:v>81</x:v>
      </x:c>
      <x:c r="C27" s="5" t="str">
        <x:f>E25</x:f>
        <x:v>AS_Usuario</x:v>
      </x:c>
      <x:c r="D27" s="9" t="s">
        <x:v>12</x:v>
      </x:c>
      <x:c r="E27" s="5" t="s">
        <x:v>2355</x:v>
      </x:c>
      <x:c r="F27" s="7" t="s">
        <x:v>2361</x:v>
      </x:c>
      <x:c r="G27" s="2" t="s">
        <x:v>2362</x:v>
      </x:c>
    </x:row>
    <x:row r="28" ht="25.5" customHeight="1">
      <x:c r="A28" s="3">
        <x:v>21</x:v>
      </x:c>
      <x:c r="B28" s="4" t="s">
        <x:v>81</x:v>
      </x:c>
      <x:c r="C28" s="5" t="str">
        <x:f>E27</x:f>
        <x:v>I_ConfirmacionEliminarFoto</x:v>
      </x:c>
      <x:c r="D28" s="9" t="s">
        <x:v>12</x:v>
      </x:c>
      <x:c r="E28" s="5" t="s">
        <x:v>2271</x:v>
      </x:c>
      <x:c r="F28" s="7" t="s">
        <x:v>2363</x:v>
      </x:c>
      <x:c r="G28" s="2" t="s">
        <x:v>2364</x:v>
      </x:c>
    </x:row>
    <x:row r="29" ht="26.25" customHeight="1">
      <x:c r="A29" s="3">
        <x:v>22</x:v>
      </x:c>
      <x:c r="B29" s="4" t="s">
        <x:v>81</x:v>
      </x:c>
      <x:c r="C29" s="5" t="str">
        <x:f>E28</x:f>
        <x:v>C_FotoPerfil</x:v>
      </x:c>
      <x:c r="D29" s="9" t="s">
        <x:v>12</x:v>
      </x:c>
      <x:c r="E29" s="5" t="s">
        <x:v>50</x:v>
      </x:c>
      <x:c r="F29" s="7" t="s">
        <x:v>2365</x:v>
      </x:c>
      <x:c r="G29" s="2" t="s">
        <x:v>2366</x:v>
      </x:c>
    </x:row>
    <x:row r="30" ht="28.5" customHeight="1">
      <x:c r="A30" s="3">
        <x:v>23</x:v>
      </x:c>
      <x:c r="B30" s="4" t="s">
        <x:v>81</x:v>
      </x:c>
      <x:c r="C30" s="5" t="str">
        <x:f>E29</x:f>
        <x:v>E_Usuario</x:v>
      </x:c>
      <x:c r="D30" s="6" t="s">
        <x:v>53</x:v>
      </x:c>
      <x:c r="E30" s="5" t="s">
        <x:v>2271</x:v>
      </x:c>
      <x:c r="F30" s="7" t="s">
        <x:v>2367</x:v>
      </x:c>
      <x:c r="G30" s="2" t="s">
        <x:v>2368</x:v>
      </x:c>
    </x:row>
    <x:row r="31" ht="17.100000381469727" customHeight="1">
      <x:c r="A31" s="486" t="s">
        <x:v>2369</x:v>
      </x:c>
      <x:c r="B31" s="480"/>
      <x:c r="C31" s="480"/>
      <x:c r="D31" s="480"/>
      <x:c r="E31" s="480"/>
      <x:c r="F31" s="480"/>
      <x:c r="G31" s="481"/>
    </x:row>
    <x:row r="32" ht="32.25" customHeight="1">
      <x:c r="A32" s="3">
        <x:v>24</x:v>
      </x:c>
      <x:c r="B32" s="4" t="s">
        <x:v>110</x:v>
      </x:c>
      <x:c r="C32" s="5" t="str">
        <x:f>E30</x:f>
        <x:v>C_FotoPerfil</x:v>
      </x:c>
      <x:c r="D32" s="6" t="s">
        <x:v>12</x:v>
      </x:c>
      <x:c r="E32" s="5" t="s">
        <x:v>179</x:v>
      </x:c>
      <x:c r="F32" s="7" t="s">
        <x:v>2370</x:v>
      </x:c>
      <x:c r="G32" s="2" t="s">
        <x:v>2371</x:v>
      </x:c>
    </x:row>
    <x:row r="33" ht="29.25" customHeight="1">
      <x:c r="A33" s="3">
        <x:v>25</x:v>
      </x:c>
      <x:c r="B33" s="4" t="s">
        <x:v>110</x:v>
      </x:c>
      <x:c r="C33" s="5" t="str">
        <x:f>E32</x:f>
        <x:v>I_Perfil</x:v>
      </x:c>
      <x:c r="D33" s="6" t="s">
        <x:v>12</x:v>
      </x:c>
      <x:c r="E33" s="5" t="s">
        <x:v>2271</x:v>
      </x:c>
      <x:c r="F33" s="7" t="s">
        <x:v>2306</x:v>
      </x:c>
      <x:c r="G33" s="2" t="s">
        <x:v>2307</x:v>
      </x:c>
    </x:row>
    <x:row r="34" ht="32.25" customHeight="1">
      <x:c r="A34" s="3">
        <x:v>26</x:v>
      </x:c>
      <x:c r="B34" s="4" t="s">
        <x:v>110</x:v>
      </x:c>
      <x:c r="C34" s="5" t="str">
        <x:f>E33</x:f>
        <x:v>C_FotoPerfil</x:v>
      </x:c>
      <x:c r="D34" s="6" t="s">
        <x:v>12</x:v>
      </x:c>
      <x:c r="E34" s="5" t="s">
        <x:v>2308</x:v>
      </x:c>
      <x:c r="F34" s="7" t="s">
        <x:v>2372</x:v>
      </x:c>
      <x:c r="G34" s="2" t="s">
        <x:v>2310</x:v>
      </x:c>
    </x:row>
    <x:row r="35" ht="24" customHeight="1">
      <x:c r="A35" s="3">
        <x:v>27</x:v>
      </x:c>
      <x:c r="B35" s="4" t="s">
        <x:v>110</x:v>
      </x:c>
      <x:c r="C35" s="5" t="str">
        <x:f>E34</x:f>
        <x:v>I_ResultadoOperacion</x:v>
      </x:c>
      <x:c r="D35" s="6" t="s">
        <x:v>12</x:v>
      </x:c>
      <x:c r="E35" s="5" t="s">
        <x:v>11</x:v>
      </x:c>
      <x:c r="F35" s="7" t="s">
        <x:v>2311</x:v>
      </x:c>
      <x:c r="G35" s="2" t="s">
        <x:v>2373</x:v>
      </x:c>
    </x:row>
  </x:sheetData>
  <x:mergeCells>
    <x:mergeCell ref="A13:G13"/>
    <x:mergeCell ref="A1:G1"/>
    <x:mergeCell ref="A31:G31"/>
    <x:mergeCell ref="A4:G4"/>
    <x:mergeCell ref="A20:G20"/>
    <x:mergeCell ref="A26:G26"/>
    <x:mergeCell ref="A2:G2"/>
  </x:mergeCells>
  <x:dataValidations count="1">
    <x:dataValidation type="list" allowBlank="1" showInputMessage="1" showErrorMessage="1" sqref="D5:D12 D14:D19 D21:D25 D27:D30 D32:D35">
      <x:formula1>"───►  (llamada),↩  (auto-msg),◄ ─ ─  (return)"</x:formula1>
    </x:dataValidation>
  </x:dataValidation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baseColWidth="10" defaultColWidth="9.109375" defaultRowHeight="14.399999618530273"/>
  <x:cols>
    <x:col min="1" max="2" width="5" style="1" customWidth="1"/>
    <x:col min="3" max="3" width="24.44140625" customWidth="1"/>
    <x:col min="4" max="4" width="17.33203125" customWidth="1"/>
    <x:col min="5" max="5" width="25" customWidth="1"/>
    <x:col min="6" max="6" width="50.109375" customWidth="1"/>
    <x:col min="7" max="7" width="97.6640625" customWidth="1"/>
  </x:cols>
  <x:sheetData>
    <x:row r="1" ht="16.799999237060547" customHeight="1">
      <x:c r="A1" s="492" t="s">
        <x:v>2374</x:v>
      </x:c>
      <x:c r="B1" s="491"/>
      <x:c r="C1" s="451"/>
      <x:c r="D1" s="451"/>
      <x:c r="E1" s="451"/>
      <x:c r="F1" s="451"/>
      <x:c r="G1" s="451"/>
    </x:row>
    <x:row r="2" ht="14.399999618530273" customHeight="1">
      <x:c r="A2" s="383" t="s">
        <x:v>2375</x:v>
      </x:c>
      <x:c r="B2" s="491"/>
      <x:c r="C2" s="451"/>
      <x:c r="D2" s="451"/>
      <x:c r="E2" s="451"/>
      <x:c r="F2" s="451"/>
      <x:c r="G2" s="451"/>
    </x:row>
    <x:row r="3" s="1" customFormat="1" ht="24" customHeight="1">
      <x:c r="A3" s="10" t="s">
        <x:v>2</x:v>
      </x:c>
      <x:c r="B3" s="11" t="s">
        <x:v>3</x:v>
      </x:c>
      <x:c r="C3" s="11" t="s">
        <x:v>4</x:v>
      </x:c>
      <x:c r="D3" s="11" t="s">
        <x:v>5</x:v>
      </x:c>
      <x:c r="E3" s="11" t="s">
        <x:v>6</x:v>
      </x:c>
      <x:c r="F3" s="11" t="s">
        <x:v>7</x:v>
      </x:c>
      <x:c r="G3" s="11" t="s">
        <x:v>8</x:v>
      </x:c>
    </x:row>
    <x:row r="4" s="1" customFormat="1" ht="14.399999618530273" customHeight="1">
      <x:c r="A4" s="380" t="s">
        <x:v>2376</x:v>
      </x:c>
      <x:c r="B4" s="491"/>
      <x:c r="C4" s="491"/>
      <x:c r="D4" s="491"/>
      <x:c r="E4" s="491"/>
      <x:c r="F4" s="491"/>
      <x:c r="G4" s="491"/>
    </x:row>
    <x:row r="5" ht="14.399999618530273" customHeight="1">
      <x:c r="A5" s="106">
        <x:v>1</x:v>
      </x:c>
      <x:c r="B5" s="107" t="s">
        <x:v>10</x:v>
      </x:c>
      <x:c r="C5" s="14" t="s">
        <x:v>11</x:v>
      </x:c>
      <x:c r="D5" s="14" t="s">
        <x:v>319</x:v>
      </x:c>
      <x:c r="E5" s="14" t="s">
        <x:v>424</x:v>
      </x:c>
      <x:c r="F5" s="14" t="s">
        <x:v>2377</x:v>
      </x:c>
      <x:c r="G5" s="14" t="s">
        <x:v>2378</x:v>
      </x:c>
    </x:row>
    <x:row r="6" ht="14.399999618530273" customHeight="1">
      <x:c r="A6" s="108">
        <x:v>2</x:v>
      </x:c>
      <x:c r="B6" s="109" t="s">
        <x:v>10</x:v>
      </x:c>
      <x:c r="C6" s="14" t="s">
        <x:v>424</x:v>
      </x:c>
      <x:c r="D6" s="14" t="s">
        <x:v>319</x:v>
      </x:c>
      <x:c r="E6" s="14" t="s">
        <x:v>2379</x:v>
      </x:c>
      <x:c r="F6" s="14" t="s">
        <x:v>2380</x:v>
      </x:c>
      <x:c r="G6" s="14" t="s">
        <x:v>2381</x:v>
      </x:c>
    </x:row>
    <x:row r="7" ht="14.399999618530273" customHeight="1">
      <x:c r="A7" s="380" t="s">
        <x:v>2382</x:v>
      </x:c>
      <x:c r="B7" s="491"/>
      <x:c r="C7" s="451"/>
      <x:c r="D7" s="451"/>
      <x:c r="E7" s="451"/>
      <x:c r="F7" s="451"/>
      <x:c r="G7" s="451"/>
    </x:row>
    <x:row r="8" ht="14.399999618530273" customHeight="1">
      <x:c r="A8" s="106">
        <x:v>3</x:v>
      </x:c>
      <x:c r="B8" s="107" t="s">
        <x:v>33</x:v>
      </x:c>
      <x:c r="C8" s="14" t="s">
        <x:v>2379</x:v>
      </x:c>
      <x:c r="D8" s="14" t="s">
        <x:v>319</x:v>
      </x:c>
      <x:c r="E8" s="14" t="s">
        <x:v>440</x:v>
      </x:c>
      <x:c r="F8" s="14" t="s">
        <x:v>2383</x:v>
      </x:c>
      <x:c r="G8" s="14" t="s">
        <x:v>2384</x:v>
      </x:c>
    </x:row>
    <x:row r="9" ht="24" customHeight="1">
      <x:c r="A9" s="108">
        <x:v>4</x:v>
      </x:c>
      <x:c r="B9" s="109" t="s">
        <x:v>33</x:v>
      </x:c>
      <x:c r="C9" s="14" t="s">
        <x:v>440</x:v>
      </x:c>
      <x:c r="D9" s="14" t="s">
        <x:v>323</x:v>
      </x:c>
      <x:c r="E9" s="14" t="s">
        <x:v>2379</x:v>
      </x:c>
      <x:c r="F9" s="14" t="s">
        <x:v>2385</x:v>
      </x:c>
      <x:c r="G9" s="14" t="s">
        <x:v>2386</x:v>
      </x:c>
    </x:row>
    <x:row r="10" ht="14.399999618530273" customHeight="1">
      <x:c r="A10" s="108">
        <x:v>5</x:v>
      </x:c>
      <x:c r="B10" s="109" t="s">
        <x:v>33</x:v>
      </x:c>
      <x:c r="C10" s="14" t="s">
        <x:v>2379</x:v>
      </x:c>
      <x:c r="D10" s="14" t="s">
        <x:v>319</x:v>
      </x:c>
      <x:c r="E10" s="14" t="s">
        <x:v>488</x:v>
      </x:c>
      <x:c r="F10" s="14" t="s">
        <x:v>2387</x:v>
      </x:c>
      <x:c r="G10" s="14" t="s">
        <x:v>2388</x:v>
      </x:c>
    </x:row>
    <x:row r="11" ht="14.399999618530273" customHeight="1">
      <x:c r="A11" s="108">
        <x:v>6</x:v>
      </x:c>
      <x:c r="B11" s="109" t="s">
        <x:v>33</x:v>
      </x:c>
      <x:c r="C11" s="14" t="s">
        <x:v>488</x:v>
      </x:c>
      <x:c r="D11" s="14" t="s">
        <x:v>323</x:v>
      </x:c>
      <x:c r="E11" s="14" t="s">
        <x:v>2379</x:v>
      </x:c>
      <x:c r="F11" s="14" t="s">
        <x:v>2389</x:v>
      </x:c>
      <x:c r="G11" s="14" t="s">
        <x:v>2390</x:v>
      </x:c>
    </x:row>
    <x:row r="12" ht="14.399999618530273" customHeight="1">
      <x:c r="A12" s="380" t="s">
        <x:v>2391</x:v>
      </x:c>
      <x:c r="B12" s="491"/>
      <x:c r="C12" s="451"/>
      <x:c r="D12" s="451"/>
      <x:c r="E12" s="451"/>
      <x:c r="F12" s="451"/>
      <x:c r="G12" s="451"/>
    </x:row>
    <x:row r="13" ht="14.399999618530273" customHeight="1">
      <x:c r="A13" s="106">
        <x:v>7</x:v>
      </x:c>
      <x:c r="B13" s="107" t="s">
        <x:v>63</x:v>
      </x:c>
      <x:c r="C13" s="14" t="s">
        <x:v>2379</x:v>
      </x:c>
      <x:c r="D13" s="14" t="s">
        <x:v>404</x:v>
      </x:c>
      <x:c r="E13" s="14" t="s">
        <x:v>2379</x:v>
      </x:c>
      <x:c r="F13" s="14" t="s">
        <x:v>2392</x:v>
      </x:c>
      <x:c r="G13" s="14" t="s">
        <x:v>2393</x:v>
      </x:c>
    </x:row>
    <x:row r="14" ht="14.399999618530273" customHeight="1">
      <x:c r="A14" s="108">
        <x:v>8</x:v>
      </x:c>
      <x:c r="B14" s="109" t="s">
        <x:v>63</x:v>
      </x:c>
      <x:c r="C14" s="14" t="s">
        <x:v>2379</x:v>
      </x:c>
      <x:c r="D14" s="14" t="s">
        <x:v>319</x:v>
      </x:c>
      <x:c r="E14" s="14" t="s">
        <x:v>2394</x:v>
      </x:c>
      <x:c r="F14" s="14" t="s">
        <x:v>2395</x:v>
      </x:c>
      <x:c r="G14" s="14" t="s">
        <x:v>2396</x:v>
      </x:c>
    </x:row>
    <x:row r="15" ht="14.399999618530273" customHeight="1">
      <x:c r="A15" s="10">
        <x:v>9</x:v>
      </x:c>
      <x:c r="B15" s="10" t="s">
        <x:v>63</x:v>
      </x:c>
      <x:c r="C15" s="69" t="s">
        <x:v>2394</x:v>
      </x:c>
      <x:c r="D15" s="69" t="s">
        <x:v>323</x:v>
      </x:c>
      <x:c r="E15" s="69" t="s">
        <x:v>2379</x:v>
      </x:c>
      <x:c r="F15" s="69" t="s">
        <x:v>2397</x:v>
      </x:c>
      <x:c r="G15" s="69" t="s">
        <x:v>2398</x:v>
      </x:c>
    </x:row>
    <x:row r="16" ht="14.399999618530273" customHeight="1">
      <x:c r="A16" s="106">
        <x:v>10</x:v>
      </x:c>
      <x:c r="B16" s="107" t="s">
        <x:v>63</x:v>
      </x:c>
      <x:c r="C16" s="14" t="s">
        <x:v>2379</x:v>
      </x:c>
      <x:c r="D16" s="14" t="s">
        <x:v>319</x:v>
      </x:c>
      <x:c r="E16" s="14" t="s">
        <x:v>2399</x:v>
      </x:c>
      <x:c r="F16" s="14" t="s">
        <x:v>2400</x:v>
      </x:c>
      <x:c r="G16" s="14" t="s">
        <x:v>2401</x:v>
      </x:c>
    </x:row>
    <x:row r="17" ht="14.399999618530273" customHeight="1">
      <x:c r="A17" s="108">
        <x:v>11</x:v>
      </x:c>
      <x:c r="B17" s="109" t="s">
        <x:v>63</x:v>
      </x:c>
      <x:c r="C17" s="14" t="s">
        <x:v>2399</x:v>
      </x:c>
      <x:c r="D17" s="14" t="s">
        <x:v>319</x:v>
      </x:c>
      <x:c r="E17" s="14" t="s">
        <x:v>11</x:v>
      </x:c>
      <x:c r="F17" s="14" t="s">
        <x:v>2402</x:v>
      </x:c>
      <x:c r="G17" s="14" t="s">
        <x:v>2403</x:v>
      </x:c>
    </x:row>
    <x:row r="18" ht="14.399999618530273" customHeight="1">
      <x:c r="A18" s="380" t="s">
        <x:v>2404</x:v>
      </x:c>
      <x:c r="B18" s="491"/>
      <x:c r="C18" s="451"/>
      <x:c r="D18" s="451"/>
      <x:c r="E18" s="451"/>
      <x:c r="F18" s="451"/>
      <x:c r="G18" s="451"/>
    </x:row>
    <x:row r="19" ht="14.399999618530273" customHeight="1">
      <x:c r="A19" s="106">
        <x:v>12</x:v>
      </x:c>
      <x:c r="B19" s="107" t="s">
        <x:v>81</x:v>
      </x:c>
      <x:c r="C19" s="14" t="s">
        <x:v>11</x:v>
      </x:c>
      <x:c r="D19" s="14" t="s">
        <x:v>319</x:v>
      </x:c>
      <x:c r="E19" s="14" t="s">
        <x:v>2399</x:v>
      </x:c>
      <x:c r="F19" s="14" t="s">
        <x:v>2405</x:v>
      </x:c>
      <x:c r="G19" s="14" t="s">
        <x:v>2406</x:v>
      </x:c>
    </x:row>
    <x:row r="20" ht="14.399999618530273" customHeight="1">
      <x:c r="A20" s="108">
        <x:v>13</x:v>
      </x:c>
      <x:c r="B20" s="109" t="s">
        <x:v>81</x:v>
      </x:c>
      <x:c r="C20" s="14" t="s">
        <x:v>2399</x:v>
      </x:c>
      <x:c r="D20" s="14" t="s">
        <x:v>319</x:v>
      </x:c>
      <x:c r="E20" s="14" t="s">
        <x:v>2379</x:v>
      </x:c>
      <x:c r="F20" s="14" t="s">
        <x:v>2407</x:v>
      </x:c>
      <x:c r="G20" s="14" t="s">
        <x:v>2408</x:v>
      </x:c>
    </x:row>
    <x:row r="21" ht="24" customHeight="1">
      <x:c r="A21" s="11">
        <x:v>14</x:v>
      </x:c>
      <x:c r="B21" s="11" t="s">
        <x:v>81</x:v>
      </x:c>
      <x:c r="C21" s="14" t="s">
        <x:v>2379</x:v>
      </x:c>
      <x:c r="D21" s="14" t="s">
        <x:v>404</x:v>
      </x:c>
      <x:c r="E21" s="14" t="s">
        <x:v>2379</x:v>
      </x:c>
      <x:c r="F21" s="14" t="s">
        <x:v>2409</x:v>
      </x:c>
      <x:c r="G21" s="14" t="s">
        <x:v>2410</x:v>
      </x:c>
    </x:row>
    <x:row r="22" ht="14.399999618530273" customHeight="1">
      <x:c r="A22" s="493" t="s">
        <x:v>2411</x:v>
      </x:c>
      <x:c r="B22" s="494"/>
      <x:c r="C22" s="494"/>
      <x:c r="D22" s="494"/>
      <x:c r="E22" s="494"/>
      <x:c r="F22" s="494"/>
      <x:c r="G22" s="495"/>
    </x:row>
    <x:row r="23" s="8" customFormat="1" ht="24" customHeight="1">
      <x:c r="A23" s="108">
        <x:v>15</x:v>
      </x:c>
      <x:c r="B23" s="109" t="s">
        <x:v>110</x:v>
      </x:c>
      <x:c r="C23" s="14" t="s">
        <x:v>2379</x:v>
      </x:c>
      <x:c r="D23" s="14" t="s">
        <x:v>319</x:v>
      </x:c>
      <x:c r="E23" s="14" t="s">
        <x:v>1689</x:v>
      </x:c>
      <x:c r="F23" s="14" t="s">
        <x:v>2412</x:v>
      </x:c>
      <x:c r="G23" s="14" t="s">
        <x:v>2413</x:v>
      </x:c>
    </x:row>
    <x:row r="24" ht="26.399999618530273" customHeight="1">
      <x:c r="A24" s="135">
        <x:v>16</x:v>
      </x:c>
      <x:c r="B24" s="135" t="s">
        <x:v>110</x:v>
      </x:c>
      <x:c r="C24" s="70" t="s">
        <x:v>1689</x:v>
      </x:c>
      <x:c r="D24" s="70" t="s">
        <x:v>323</x:v>
      </x:c>
      <x:c r="E24" s="70" t="s">
        <x:v>2379</x:v>
      </x:c>
      <x:c r="F24" s="70" t="s">
        <x:v>2414</x:v>
      </x:c>
      <x:c r="G24" s="70" t="s">
        <x:v>2415</x:v>
      </x:c>
    </x:row>
    <x:row r="25" ht="14.399999618530273" customHeight="1">
      <x:c r="A25" s="490" t="s">
        <x:v>2416</x:v>
      </x:c>
      <x:c r="B25" s="491"/>
      <x:c r="C25" s="451"/>
      <x:c r="D25" s="451"/>
      <x:c r="E25" s="451"/>
      <x:c r="F25" s="451"/>
      <x:c r="G25" s="451"/>
    </x:row>
    <x:row r="26" ht="14.399999618530273" customHeight="1">
      <x:c r="A26" s="135">
        <x:v>17</x:v>
      </x:c>
      <x:c r="B26" s="135" t="s">
        <x:v>143</x:v>
      </x:c>
      <x:c r="C26" s="70" t="s">
        <x:v>2379</x:v>
      </x:c>
      <x:c r="D26" s="70" t="s">
        <x:v>319</x:v>
      </x:c>
      <x:c r="E26" s="70" t="s">
        <x:v>424</x:v>
      </x:c>
      <x:c r="F26" s="70" t="s">
        <x:v>2417</x:v>
      </x:c>
      <x:c r="G26" s="70" t="s">
        <x:v>2418</x:v>
      </x:c>
    </x:row>
    <x:row r="27" ht="14.399999618530273" customHeight="1">
      <x:c r="A27" s="135">
        <x:v>18</x:v>
      </x:c>
      <x:c r="B27" s="135" t="s">
        <x:v>143</x:v>
      </x:c>
      <x:c r="C27" s="70" t="s">
        <x:v>424</x:v>
      </x:c>
      <x:c r="D27" s="70" t="s">
        <x:v>319</x:v>
      </x:c>
      <x:c r="E27" s="70" t="s">
        <x:v>11</x:v>
      </x:c>
      <x:c r="F27" s="70" t="s">
        <x:v>2419</x:v>
      </x:c>
      <x:c r="G27" s="70" t="s">
        <x:v>2420</x:v>
      </x:c>
    </x:row>
    <x:row r="28" ht="14.399999618530273" customHeight="1">
      <x:c r="A28" s="70"/>
      <x:c r="B28" s="70"/>
      <x:c r="C28" s="70"/>
      <x:c r="D28" s="70"/>
      <x:c r="E28" s="70"/>
      <x:c r="F28" s="70"/>
      <x:c r="G28" s="70"/>
    </x:row>
    <x:row r="29" ht="14.399999618530273" customHeight="1">
      <x:c r="A29" s="490" t="s">
        <x:v>2421</x:v>
      </x:c>
      <x:c r="B29" s="491"/>
      <x:c r="C29" s="451"/>
      <x:c r="D29" s="451"/>
      <x:c r="E29" s="451"/>
      <x:c r="F29" s="451"/>
      <x:c r="G29" s="451"/>
    </x:row>
  </x:sheetData>
  <x:mergeCells>
    <x:mergeCell ref="A29:G29"/>
    <x:mergeCell ref="A1:G1"/>
    <x:mergeCell ref="A2:G2"/>
    <x:mergeCell ref="A4:G4"/>
    <x:mergeCell ref="A7:G7"/>
    <x:mergeCell ref="A12:G12"/>
    <x:mergeCell ref="A18:G18"/>
    <x:mergeCell ref="A22:G22"/>
    <x:mergeCell ref="A25:G25"/>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baseColWidth="10" defaultColWidth="9.109375" defaultRowHeight="14.399999618530273"/>
  <x:cols>
    <x:col min="1" max="2" width="5" style="1" customWidth="1"/>
    <x:col min="3" max="3" width="24.44140625" customWidth="1"/>
    <x:col min="4" max="4" width="17.33203125" customWidth="1"/>
    <x:col min="5" max="5" width="25" customWidth="1"/>
    <x:col min="6" max="6" width="50.109375" customWidth="1"/>
    <x:col min="7" max="7" width="97.6640625" customWidth="1"/>
  </x:cols>
  <x:sheetData>
    <x:row r="1" ht="16.799999237060547" customHeight="1">
      <x:c r="A1" s="497" t="s">
        <x:v>2422</x:v>
      </x:c>
      <x:c r="B1" s="491"/>
      <x:c r="C1" s="451"/>
      <x:c r="D1" s="451"/>
      <x:c r="E1" s="451"/>
      <x:c r="F1" s="451"/>
      <x:c r="G1" s="451"/>
    </x:row>
    <x:row r="2" ht="14.399999618530273" customHeight="1">
      <x:c r="A2" s="498" t="s">
        <x:v>2423</x:v>
      </x:c>
      <x:c r="B2" s="491"/>
      <x:c r="C2" s="451"/>
      <x:c r="D2" s="451"/>
      <x:c r="E2" s="451"/>
      <x:c r="F2" s="451"/>
      <x:c r="G2" s="451"/>
    </x:row>
    <x:row r="3" s="1" customFormat="1" ht="24" customHeight="1">
      <x:c r="A3" s="17" t="s">
        <x:v>2</x:v>
      </x:c>
      <x:c r="B3" s="17" t="s">
        <x:v>3</x:v>
      </x:c>
      <x:c r="C3" s="17" t="s">
        <x:v>4</x:v>
      </x:c>
      <x:c r="D3" s="17" t="s">
        <x:v>5</x:v>
      </x:c>
      <x:c r="E3" s="17" t="s">
        <x:v>6</x:v>
      </x:c>
      <x:c r="F3" s="17" t="s">
        <x:v>7</x:v>
      </x:c>
      <x:c r="G3" s="17" t="s">
        <x:v>8</x:v>
      </x:c>
    </x:row>
    <x:row r="4" s="1" customFormat="1" ht="14.399999618530273" customHeight="1">
      <x:c r="A4" s="496" t="s">
        <x:v>2424</x:v>
      </x:c>
      <x:c r="B4" s="491"/>
      <x:c r="C4" s="491"/>
      <x:c r="D4" s="491"/>
      <x:c r="E4" s="491"/>
      <x:c r="F4" s="491"/>
      <x:c r="G4" s="491"/>
    </x:row>
    <x:row r="5" ht="14.399999618530273" customHeight="1">
      <x:c r="A5" s="106">
        <x:v>1</x:v>
      </x:c>
      <x:c r="B5" s="107" t="s">
        <x:v>10</x:v>
      </x:c>
      <x:c r="C5" s="18" t="s">
        <x:v>11</x:v>
      </x:c>
      <x:c r="D5" s="18" t="s">
        <x:v>319</x:v>
      </x:c>
      <x:c r="E5" s="18" t="s">
        <x:v>674</x:v>
      </x:c>
      <x:c r="F5" s="18" t="s">
        <x:v>2425</x:v>
      </x:c>
      <x:c r="G5" s="18" t="s">
        <x:v>2426</x:v>
      </x:c>
    </x:row>
    <x:row r="6" ht="14.399999618530273" customHeight="1">
      <x:c r="A6" s="108">
        <x:v>2</x:v>
      </x:c>
      <x:c r="B6" s="109" t="s">
        <x:v>10</x:v>
      </x:c>
      <x:c r="C6" s="18" t="s">
        <x:v>674</x:v>
      </x:c>
      <x:c r="D6" s="18" t="s">
        <x:v>319</x:v>
      </x:c>
      <x:c r="E6" s="18" t="s">
        <x:v>488</x:v>
      </x:c>
      <x:c r="F6" s="18" t="s">
        <x:v>2427</x:v>
      </x:c>
      <x:c r="G6" s="18" t="s">
        <x:v>2428</x:v>
      </x:c>
    </x:row>
    <x:row r="7" ht="14.399999618530273" customHeight="1">
      <x:c r="A7" s="108">
        <x:v>3</x:v>
      </x:c>
      <x:c r="B7" s="109" t="s">
        <x:v>10</x:v>
      </x:c>
      <x:c r="C7" s="18" t="s">
        <x:v>488</x:v>
      </x:c>
      <x:c r="D7" s="18" t="s">
        <x:v>319</x:v>
      </x:c>
      <x:c r="E7" s="18" t="s">
        <x:v>665</x:v>
      </x:c>
      <x:c r="F7" s="18" t="s">
        <x:v>666</x:v>
      </x:c>
      <x:c r="G7" s="18" t="s">
        <x:v>2429</x:v>
      </x:c>
    </x:row>
    <x:row r="8" ht="14.399999618530273" customHeight="1">
      <x:c r="A8" s="108">
        <x:v>4</x:v>
      </x:c>
      <x:c r="B8" s="109" t="s">
        <x:v>10</x:v>
      </x:c>
      <x:c r="C8" s="18" t="s">
        <x:v>665</x:v>
      </x:c>
      <x:c r="D8" s="18" t="s">
        <x:v>323</x:v>
      </x:c>
      <x:c r="E8" s="18" t="s">
        <x:v>488</x:v>
      </x:c>
      <x:c r="F8" s="18" t="s">
        <x:v>2430</x:v>
      </x:c>
      <x:c r="G8" s="18" t="s">
        <x:v>2431</x:v>
      </x:c>
    </x:row>
    <x:row r="9" ht="24" customHeight="1">
      <x:c r="A9" s="108">
        <x:v>5</x:v>
      </x:c>
      <x:c r="B9" s="109" t="s">
        <x:v>10</x:v>
      </x:c>
      <x:c r="C9" s="18" t="s">
        <x:v>488</x:v>
      </x:c>
      <x:c r="D9" s="18" t="s">
        <x:v>404</x:v>
      </x:c>
      <x:c r="E9" s="18" t="s">
        <x:v>488</x:v>
      </x:c>
      <x:c r="F9" s="18" t="s">
        <x:v>2432</x:v>
      </x:c>
      <x:c r="G9" s="18" t="s">
        <x:v>2433</x:v>
      </x:c>
    </x:row>
    <x:row r="10" ht="14.399999618530273" customHeight="1">
      <x:c r="A10" s="108">
        <x:v>6</x:v>
      </x:c>
      <x:c r="B10" s="109" t="s">
        <x:v>10</x:v>
      </x:c>
      <x:c r="C10" s="18" t="s">
        <x:v>488</x:v>
      </x:c>
      <x:c r="D10" s="18" t="s">
        <x:v>319</x:v>
      </x:c>
      <x:c r="E10" s="18" t="s">
        <x:v>2434</x:v>
      </x:c>
      <x:c r="F10" s="18" t="s">
        <x:v>2435</x:v>
      </x:c>
      <x:c r="G10" s="18" t="s">
        <x:v>2436</x:v>
      </x:c>
    </x:row>
    <x:row r="11" ht="14.399999618530273" customHeight="1">
      <x:c r="A11" s="108">
        <x:v>7</x:v>
      </x:c>
      <x:c r="B11" s="109" t="s">
        <x:v>10</x:v>
      </x:c>
      <x:c r="C11" s="18" t="s">
        <x:v>2434</x:v>
      </x:c>
      <x:c r="D11" s="18" t="s">
        <x:v>319</x:v>
      </x:c>
      <x:c r="E11" s="18" t="s">
        <x:v>11</x:v>
      </x:c>
      <x:c r="F11" s="18" t="s">
        <x:v>2437</x:v>
      </x:c>
      <x:c r="G11" s="18" t="s">
        <x:v>2438</x:v>
      </x:c>
    </x:row>
    <x:row r="12" ht="14.399999618530273" customHeight="1">
      <x:c r="A12" s="427" t="s">
        <x:v>2439</x:v>
      </x:c>
      <x:c r="B12" s="428"/>
      <x:c r="C12" s="429"/>
      <x:c r="D12" s="429"/>
      <x:c r="E12" s="429"/>
      <x:c r="F12" s="429"/>
      <x:c r="G12" s="429"/>
    </x:row>
    <x:row r="13" ht="14.399999618530273" customHeight="1">
      <x:c r="A13" s="108">
        <x:v>8</x:v>
      </x:c>
      <x:c r="B13" s="109" t="s">
        <x:v>33</x:v>
      </x:c>
      <x:c r="C13" s="18" t="s">
        <x:v>11</x:v>
      </x:c>
      <x:c r="D13" s="18" t="s">
        <x:v>319</x:v>
      </x:c>
      <x:c r="E13" s="18" t="s">
        <x:v>2434</x:v>
      </x:c>
      <x:c r="F13" s="18" t="s">
        <x:v>2280</x:v>
      </x:c>
      <x:c r="G13" s="18" t="s">
        <x:v>2440</x:v>
      </x:c>
    </x:row>
    <x:row r="14" ht="14.399999618530273" customHeight="1">
      <x:c r="A14" s="108">
        <x:v>9</x:v>
      </x:c>
      <x:c r="B14" s="109" t="s">
        <x:v>33</x:v>
      </x:c>
      <x:c r="C14" s="18" t="s">
        <x:v>2434</x:v>
      </x:c>
      <x:c r="D14" s="18" t="s">
        <x:v>319</x:v>
      </x:c>
      <x:c r="E14" s="18" t="s">
        <x:v>488</x:v>
      </x:c>
      <x:c r="F14" s="18" t="s">
        <x:v>2441</x:v>
      </x:c>
      <x:c r="G14" s="18" t="s">
        <x:v>2442</x:v>
      </x:c>
    </x:row>
    <x:row r="15" ht="14.399999618530273" customHeight="1">
      <x:c r="A15" s="108">
        <x:v>10</x:v>
      </x:c>
      <x:c r="B15" s="109" t="s">
        <x:v>33</x:v>
      </x:c>
      <x:c r="C15" s="18" t="s">
        <x:v>488</x:v>
      </x:c>
      <x:c r="D15" s="18" t="s">
        <x:v>319</x:v>
      </x:c>
      <x:c r="E15" s="18" t="s">
        <x:v>2443</x:v>
      </x:c>
      <x:c r="F15" s="18" t="s">
        <x:v>2444</x:v>
      </x:c>
      <x:c r="G15" s="18" t="s">
        <x:v>2445</x:v>
      </x:c>
    </x:row>
    <x:row r="16" ht="14.399999618530273" customHeight="1">
      <x:c r="A16" s="17">
        <x:v>11</x:v>
      </x:c>
      <x:c r="B16" s="53" t="s">
        <x:v>33</x:v>
      </x:c>
      <x:c r="C16" s="8" t="s">
        <x:v>2443</x:v>
      </x:c>
      <x:c r="D16" s="8" t="s">
        <x:v>323</x:v>
      </x:c>
      <x:c r="E16" s="8" t="s">
        <x:v>488</x:v>
      </x:c>
      <x:c r="F16" s="8" t="s">
        <x:v>2446</x:v>
      </x:c>
      <x:c r="G16" s="8" t="s">
        <x:v>2447</x:v>
      </x:c>
    </x:row>
    <x:row r="17" ht="14.399999618530273" customHeight="1">
      <x:c r="A17" s="493" t="s">
        <x:v>2448</x:v>
      </x:c>
      <x:c r="B17" s="499"/>
      <x:c r="C17" s="429"/>
      <x:c r="D17" s="429"/>
      <x:c r="E17" s="429"/>
      <x:c r="F17" s="429"/>
      <x:c r="G17" s="429"/>
    </x:row>
    <x:row r="18" ht="14.399999618530273" customHeight="1">
      <x:c r="A18" s="108">
        <x:v>12</x:v>
      </x:c>
      <x:c r="B18" s="109" t="s">
        <x:v>63</x:v>
      </x:c>
      <x:c r="C18" s="18" t="s">
        <x:v>488</x:v>
      </x:c>
      <x:c r="D18" s="18" t="s">
        <x:v>319</x:v>
      </x:c>
      <x:c r="E18" s="18" t="s">
        <x:v>2449</x:v>
      </x:c>
      <x:c r="F18" s="18" t="s">
        <x:v>2450</x:v>
      </x:c>
      <x:c r="G18" s="18" t="s">
        <x:v>2451</x:v>
      </x:c>
    </x:row>
    <x:row r="19" ht="14.399999618530273" customHeight="1">
      <x:c r="A19" s="108">
        <x:v>13</x:v>
      </x:c>
      <x:c r="B19" s="109" t="s">
        <x:v>63</x:v>
      </x:c>
      <x:c r="C19" s="18" t="s">
        <x:v>2449</x:v>
      </x:c>
      <x:c r="D19" s="18" t="s">
        <x:v>319</x:v>
      </x:c>
      <x:c r="E19" s="18" t="s">
        <x:v>11</x:v>
      </x:c>
      <x:c r="F19" s="18" t="s">
        <x:v>2452</x:v>
      </x:c>
      <x:c r="G19" s="18" t="s">
        <x:v>2453</x:v>
      </x:c>
    </x:row>
    <x:row r="20" ht="14.399999618530273" customHeight="1">
      <x:c r="A20" s="108">
        <x:v>14</x:v>
      </x:c>
      <x:c r="B20" s="109" t="s">
        <x:v>63</x:v>
      </x:c>
      <x:c r="C20" s="18" t="s">
        <x:v>11</x:v>
      </x:c>
      <x:c r="D20" s="18" t="s">
        <x:v>319</x:v>
      </x:c>
      <x:c r="E20" s="18" t="s">
        <x:v>2449</x:v>
      </x:c>
      <x:c r="F20" s="18" t="s">
        <x:v>812</x:v>
      </x:c>
      <x:c r="G20" s="18" t="s">
        <x:v>2454</x:v>
      </x:c>
    </x:row>
    <x:row r="21" ht="14.399999618530273" customHeight="1">
      <x:c r="A21" s="108">
        <x:v>15</x:v>
      </x:c>
      <x:c r="B21" s="109" t="s">
        <x:v>63</x:v>
      </x:c>
      <x:c r="C21" s="18" t="s">
        <x:v>2449</x:v>
      </x:c>
      <x:c r="D21" s="18" t="s">
        <x:v>319</x:v>
      </x:c>
      <x:c r="E21" s="18" t="s">
        <x:v>488</x:v>
      </x:c>
      <x:c r="F21" s="18" t="s">
        <x:v>2455</x:v>
      </x:c>
      <x:c r="G21" s="18" t="s">
        <x:v>2456</x:v>
      </x:c>
    </x:row>
    <x:row r="22" ht="14.399999618530273" customHeight="1">
      <x:c r="A22" s="108">
        <x:v>16</x:v>
      </x:c>
      <x:c r="B22" s="109" t="s">
        <x:v>63</x:v>
      </x:c>
      <x:c r="C22" s="18" t="s">
        <x:v>488</x:v>
      </x:c>
      <x:c r="D22" s="18" t="s">
        <x:v>319</x:v>
      </x:c>
      <x:c r="E22" s="18" t="s">
        <x:v>470</x:v>
      </x:c>
      <x:c r="F22" s="18" t="s">
        <x:v>2457</x:v>
      </x:c>
      <x:c r="G22" s="18" t="s">
        <x:v>2458</x:v>
      </x:c>
    </x:row>
    <x:row r="23" s="8" customFormat="1" ht="14.399999618530273" customHeight="1">
      <x:c r="A23" s="108">
        <x:v>17</x:v>
      </x:c>
      <x:c r="B23" s="109" t="s">
        <x:v>63</x:v>
      </x:c>
      <x:c r="C23" s="18" t="s">
        <x:v>470</x:v>
      </x:c>
      <x:c r="D23" s="18" t="s">
        <x:v>323</x:v>
      </x:c>
      <x:c r="E23" s="18" t="s">
        <x:v>488</x:v>
      </x:c>
      <x:c r="F23" s="18" t="s">
        <x:v>2459</x:v>
      </x:c>
      <x:c r="G23" s="18" t="s">
        <x:v>2460</x:v>
      </x:c>
    </x:row>
    <x:row r="24" ht="14.399999618530273" customHeight="1">
      <x:c r="A24" s="108">
        <x:v>18</x:v>
      </x:c>
      <x:c r="B24" s="109" t="s">
        <x:v>63</x:v>
      </x:c>
      <x:c r="C24" s="18" t="s">
        <x:v>488</x:v>
      </x:c>
      <x:c r="D24" s="18" t="s">
        <x:v>404</x:v>
      </x:c>
      <x:c r="E24" s="18" t="s">
        <x:v>488</x:v>
      </x:c>
      <x:c r="F24" s="18" t="s">
        <x:v>2461</x:v>
      </x:c>
      <x:c r="G24" s="18" t="s">
        <x:v>2462</x:v>
      </x:c>
    </x:row>
    <x:row r="25" ht="14.399999618530273" customHeight="1">
      <x:c r="A25" s="496" t="s">
        <x:v>2463</x:v>
      </x:c>
      <x:c r="B25" s="491"/>
      <x:c r="C25" s="451"/>
      <x:c r="D25" s="451"/>
      <x:c r="E25" s="451"/>
      <x:c r="F25" s="451"/>
      <x:c r="G25" s="451"/>
    </x:row>
    <x:row r="26" ht="14.399999618530273" customHeight="1">
      <x:c r="A26" s="106">
        <x:v>19</x:v>
      </x:c>
      <x:c r="B26" s="107" t="s">
        <x:v>81</x:v>
      </x:c>
      <x:c r="C26" s="18" t="s">
        <x:v>488</x:v>
      </x:c>
      <x:c r="D26" s="18" t="s">
        <x:v>319</x:v>
      </x:c>
      <x:c r="E26" s="18" t="s">
        <x:v>665</x:v>
      </x:c>
      <x:c r="F26" s="18" t="s">
        <x:v>2464</x:v>
      </x:c>
      <x:c r="G26" s="18" t="s">
        <x:v>2465</x:v>
      </x:c>
    </x:row>
    <x:row r="27" ht="14.399999618530273" customHeight="1">
      <x:c r="A27" s="108">
        <x:v>20</x:v>
      </x:c>
      <x:c r="B27" s="109" t="s">
        <x:v>81</x:v>
      </x:c>
      <x:c r="C27" s="18" t="s">
        <x:v>665</x:v>
      </x:c>
      <x:c r="D27" s="18" t="s">
        <x:v>323</x:v>
      </x:c>
      <x:c r="E27" s="18" t="s">
        <x:v>488</x:v>
      </x:c>
      <x:c r="F27" s="18" t="s">
        <x:v>2466</x:v>
      </x:c>
      <x:c r="G27" s="18" t="s">
        <x:v>2467</x:v>
      </x:c>
    </x:row>
    <x:row r="28" ht="14.399999618530273" customHeight="1">
      <x:c r="A28" s="427" t="s">
        <x:v>2468</x:v>
      </x:c>
      <x:c r="B28" s="428"/>
      <x:c r="C28" s="429"/>
      <x:c r="D28" s="429"/>
      <x:c r="E28" s="429"/>
      <x:c r="F28" s="429"/>
      <x:c r="G28" s="429"/>
    </x:row>
    <x:row r="29" ht="14.399999618530273" customHeight="1">
      <x:c r="A29" s="108">
        <x:v>21</x:v>
      </x:c>
      <x:c r="B29" s="109" t="s">
        <x:v>110</x:v>
      </x:c>
      <x:c r="C29" s="18" t="s">
        <x:v>488</x:v>
      </x:c>
      <x:c r="D29" s="18" t="s">
        <x:v>319</x:v>
      </x:c>
      <x:c r="E29" s="18" t="s">
        <x:v>156</x:v>
      </x:c>
      <x:c r="F29" s="18" t="s">
        <x:v>2469</x:v>
      </x:c>
      <x:c r="G29" s="18" t="s">
        <x:v>2470</x:v>
      </x:c>
    </x:row>
    <x:row r="30" ht="14.399999618530273" customHeight="1">
      <x:c r="A30" s="108">
        <x:v>22</x:v>
      </x:c>
      <x:c r="B30" s="109" t="s">
        <x:v>110</x:v>
      </x:c>
      <x:c r="C30" s="18" t="s">
        <x:v>156</x:v>
      </x:c>
      <x:c r="D30" s="18" t="s">
        <x:v>319</x:v>
      </x:c>
      <x:c r="E30" s="18" t="s">
        <x:v>11</x:v>
      </x:c>
      <x:c r="F30" s="18" t="s">
        <x:v>2471</x:v>
      </x:c>
      <x:c r="G30" s="18" t="s">
        <x:v>2472</x:v>
      </x:c>
    </x:row>
    <x:row r="31" ht="14.399999618530273" customHeight="1">
      <x:c r="A31" s="108">
        <x:v>23</x:v>
      </x:c>
      <x:c r="B31" s="109" t="s">
        <x:v>110</x:v>
      </x:c>
      <x:c r="C31" s="18" t="s">
        <x:v>11</x:v>
      </x:c>
      <x:c r="D31" s="18" t="s">
        <x:v>319</x:v>
      </x:c>
      <x:c r="E31" s="18" t="s">
        <x:v>156</x:v>
      </x:c>
      <x:c r="F31" s="18" t="s">
        <x:v>812</x:v>
      </x:c>
      <x:c r="G31" s="18" t="s">
        <x:v>2473</x:v>
      </x:c>
    </x:row>
    <x:row r="32" ht="14.399999618530273" customHeight="1">
      <x:c r="A32" s="108">
        <x:v>24</x:v>
      </x:c>
      <x:c r="B32" s="109" t="s">
        <x:v>110</x:v>
      </x:c>
      <x:c r="C32" s="18" t="s">
        <x:v>156</x:v>
      </x:c>
      <x:c r="D32" s="18" t="s">
        <x:v>319</x:v>
      </x:c>
      <x:c r="E32" s="18" t="s">
        <x:v>488</x:v>
      </x:c>
      <x:c r="F32" s="18" t="s">
        <x:v>2474</x:v>
      </x:c>
      <x:c r="G32" s="18" t="s">
        <x:v>2475</x:v>
      </x:c>
    </x:row>
    <x:row r="33" ht="26.399999618530273" customHeight="1">
      <x:c r="A33" s="17">
        <x:v>25</x:v>
      </x:c>
      <x:c r="B33" s="53" t="s">
        <x:v>110</x:v>
      </x:c>
      <x:c r="C33" s="8" t="s">
        <x:v>488</x:v>
      </x:c>
      <x:c r="D33" s="8" t="s">
        <x:v>319</x:v>
      </x:c>
      <x:c r="E33" s="8" t="s">
        <x:v>629</x:v>
      </x:c>
      <x:c r="F33" s="8" t="s">
        <x:v>2476</x:v>
      </x:c>
      <x:c r="G33" s="8" t="s">
        <x:v>2477</x:v>
      </x:c>
    </x:row>
    <x:row r="34" ht="14.399999618530273" customHeight="1">
      <x:c r="A34" s="106">
        <x:v>26</x:v>
      </x:c>
      <x:c r="B34" s="107" t="s">
        <x:v>110</x:v>
      </x:c>
      <x:c r="C34" s="18" t="s">
        <x:v>629</x:v>
      </x:c>
      <x:c r="D34" s="18" t="s">
        <x:v>323</x:v>
      </x:c>
      <x:c r="E34" s="18" t="s">
        <x:v>488</x:v>
      </x:c>
      <x:c r="F34" s="18" t="s">
        <x:v>728</x:v>
      </x:c>
      <x:c r="G34" s="18" t="s">
        <x:v>2478</x:v>
      </x:c>
    </x:row>
    <x:row r="35" ht="14.399999618530273" customHeight="1">
      <x:c r="A35" s="108">
        <x:v>27</x:v>
      </x:c>
      <x:c r="B35" s="109" t="s">
        <x:v>110</x:v>
      </x:c>
      <x:c r="C35" s="18" t="s">
        <x:v>488</x:v>
      </x:c>
      <x:c r="D35" s="18" t="s">
        <x:v>319</x:v>
      </x:c>
      <x:c r="E35" s="18" t="s">
        <x:v>674</x:v>
      </x:c>
      <x:c r="F35" s="18" t="s">
        <x:v>730</x:v>
      </x:c>
      <x:c r="G35" s="18" t="s">
        <x:v>2479</x:v>
      </x:c>
    </x:row>
    <x:row r="36" ht="14.399999618530273" customHeight="1">
      <x:c r="A36" s="17">
        <x:v>28</x:v>
      </x:c>
      <x:c r="B36" s="53" t="s">
        <x:v>110</x:v>
      </x:c>
      <x:c r="C36" s="8" t="s">
        <x:v>674</x:v>
      </x:c>
      <x:c r="D36" s="8" t="s">
        <x:v>319</x:v>
      </x:c>
      <x:c r="E36" s="8" t="s">
        <x:v>11</x:v>
      </x:c>
      <x:c r="F36" s="8" t="s">
        <x:v>2480</x:v>
      </x:c>
      <x:c r="G36" s="8" t="s">
        <x:v>2481</x:v>
      </x:c>
    </x:row>
    <x:row r="37">
      <x:c r="A37" s="12"/>
      <x:c r="B37" s="13"/>
      <x:c r="C37" s="18"/>
      <x:c r="D37" s="18"/>
      <x:c r="E37" s="18"/>
      <x:c r="F37" s="18"/>
      <x:c r="G37" s="18"/>
    </x:row>
    <x:row r="38">
      <x:c r="A38" s="15"/>
      <x:c r="B38" s="16"/>
      <x:c r="C38" s="18"/>
      <x:c r="D38" s="18"/>
      <x:c r="E38" s="18"/>
      <x:c r="F38" s="18"/>
      <x:c r="G38" s="18"/>
    </x:row>
    <x:row r="39">
      <x:c r="A39" s="15"/>
      <x:c r="B39" s="16"/>
      <x:c r="C39" s="18"/>
      <x:c r="D39" s="18"/>
      <x:c r="E39" s="18"/>
      <x:c r="F39" s="18"/>
      <x:c r="G39" s="18"/>
    </x:row>
    <x:row r="40">
      <x:c r="A40" s="15"/>
      <x:c r="B40" s="16"/>
      <x:c r="C40" s="18"/>
      <x:c r="D40" s="18"/>
      <x:c r="E40" s="18"/>
      <x:c r="F40" s="18"/>
      <x:c r="G40" s="18"/>
    </x:row>
    <x:row r="41">
      <x:c r="A41" s="15"/>
      <x:c r="B41" s="16"/>
      <x:c r="C41" s="18"/>
      <x:c r="D41" s="18"/>
      <x:c r="E41" s="18"/>
      <x:c r="F41" s="18"/>
      <x:c r="G41" s="18"/>
    </x:row>
    <x:row r="42">
      <x:c r="A42" s="15"/>
      <x:c r="B42" s="16"/>
      <x:c r="C42" s="18"/>
      <x:c r="D42" s="18"/>
      <x:c r="E42" s="18"/>
      <x:c r="F42" s="18"/>
      <x:c r="G42" s="18"/>
    </x:row>
    <x:row r="43">
      <x:c r="A43" s="15"/>
      <x:c r="B43" s="16"/>
      <x:c r="C43" s="18"/>
      <x:c r="D43" s="18"/>
      <x:c r="E43" s="18"/>
      <x:c r="F43" s="18"/>
      <x:c r="G43" s="18"/>
    </x:row>
    <x:row r="44">
      <x:c r="A44" s="15"/>
      <x:c r="B44" s="16"/>
      <x:c r="C44" s="18"/>
      <x:c r="D44" s="18"/>
      <x:c r="E44" s="18"/>
      <x:c r="F44" s="18"/>
      <x:c r="G44" s="18"/>
    </x:row>
  </x:sheetData>
  <x:mergeCells>
    <x:mergeCell ref="A25:G25"/>
    <x:mergeCell ref="A28:G28"/>
    <x:mergeCell ref="A1:G1"/>
    <x:mergeCell ref="A2:G2"/>
    <x:mergeCell ref="A4:G4"/>
    <x:mergeCell ref="A12:G12"/>
    <x:mergeCell ref="A17:G17"/>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baseColWidth="10" defaultColWidth="9.109375" defaultRowHeight="14.399999618530273"/>
  <x:cols>
    <x:col min="1" max="2" width="5" style="1" customWidth="1"/>
    <x:col min="3" max="3" width="24.44140625" customWidth="1"/>
    <x:col min="4" max="4" width="17.33203125" customWidth="1"/>
    <x:col min="5" max="5" width="25" customWidth="1"/>
    <x:col min="6" max="6" width="46.109375" customWidth="1"/>
    <x:col min="7" max="7" width="97.6640625" customWidth="1"/>
  </x:cols>
  <x:sheetData>
    <x:row r="1" ht="16.799999237060547" customHeight="1">
      <x:c r="A1" s="497" t="s">
        <x:v>2482</x:v>
      </x:c>
      <x:c r="B1" s="491"/>
      <x:c r="C1" s="451"/>
      <x:c r="D1" s="451"/>
      <x:c r="E1" s="451"/>
      <x:c r="F1" s="451"/>
      <x:c r="G1" s="451"/>
    </x:row>
    <x:row r="2" ht="14.399999618530273" customHeight="1">
      <x:c r="A2" s="498" t="s">
        <x:v>2483</x:v>
      </x:c>
      <x:c r="B2" s="491"/>
      <x:c r="C2" s="451"/>
      <x:c r="D2" s="451"/>
      <x:c r="E2" s="451"/>
      <x:c r="F2" s="451"/>
      <x:c r="G2" s="451"/>
    </x:row>
    <x:row r="3" s="1" customFormat="1" ht="24" customHeight="1">
      <x:c r="A3" s="17" t="s">
        <x:v>2</x:v>
      </x:c>
      <x:c r="B3" s="17" t="s">
        <x:v>3</x:v>
      </x:c>
      <x:c r="C3" s="17" t="s">
        <x:v>4</x:v>
      </x:c>
      <x:c r="D3" s="17" t="s">
        <x:v>5</x:v>
      </x:c>
      <x:c r="E3" s="17" t="s">
        <x:v>6</x:v>
      </x:c>
      <x:c r="F3" s="17" t="s">
        <x:v>7</x:v>
      </x:c>
      <x:c r="G3" s="17" t="s">
        <x:v>8</x:v>
      </x:c>
    </x:row>
    <x:row r="4" s="1" customFormat="1" ht="14.399999618530273" customHeight="1">
      <x:c r="A4" s="496" t="s">
        <x:v>2424</x:v>
      </x:c>
      <x:c r="B4" s="491"/>
      <x:c r="C4" s="491"/>
      <x:c r="D4" s="491"/>
      <x:c r="E4" s="491"/>
      <x:c r="F4" s="491"/>
      <x:c r="G4" s="491"/>
    </x:row>
    <x:row r="5" ht="14.399999618530273" customHeight="1">
      <x:c r="A5" s="106">
        <x:v>1</x:v>
      </x:c>
      <x:c r="B5" s="107" t="s">
        <x:v>10</x:v>
      </x:c>
      <x:c r="C5" s="18" t="s">
        <x:v>11</x:v>
      </x:c>
      <x:c r="D5" s="18" t="s">
        <x:v>319</x:v>
      </x:c>
      <x:c r="E5" s="18" t="s">
        <x:v>674</x:v>
      </x:c>
      <x:c r="F5" s="18" t="s">
        <x:v>2484</x:v>
      </x:c>
      <x:c r="G5" s="18" t="s">
        <x:v>2485</x:v>
      </x:c>
    </x:row>
    <x:row r="6" ht="14.399999618530273" customHeight="1">
      <x:c r="A6" s="108">
        <x:v>2</x:v>
      </x:c>
      <x:c r="B6" s="109" t="s">
        <x:v>10</x:v>
      </x:c>
      <x:c r="C6" s="18" t="s">
        <x:v>674</x:v>
      </x:c>
      <x:c r="D6" s="18" t="s">
        <x:v>319</x:v>
      </x:c>
      <x:c r="E6" s="18" t="s">
        <x:v>488</x:v>
      </x:c>
      <x:c r="F6" s="18" t="s">
        <x:v>2486</x:v>
      </x:c>
      <x:c r="G6" s="18" t="s">
        <x:v>2487</x:v>
      </x:c>
    </x:row>
    <x:row r="7" ht="14.399999618530273" customHeight="1">
      <x:c r="A7" s="108">
        <x:v>3</x:v>
      </x:c>
      <x:c r="B7" s="109" t="s">
        <x:v>10</x:v>
      </x:c>
      <x:c r="C7" s="18" t="s">
        <x:v>488</x:v>
      </x:c>
      <x:c r="D7" s="18" t="s">
        <x:v>319</x:v>
      </x:c>
      <x:c r="E7" s="18" t="s">
        <x:v>665</x:v>
      </x:c>
      <x:c r="F7" s="18" t="s">
        <x:v>666</x:v>
      </x:c>
      <x:c r="G7" s="18" t="s">
        <x:v>2488</x:v>
      </x:c>
    </x:row>
    <x:row r="8" ht="14.399999618530273" customHeight="1">
      <x:c r="A8" s="108">
        <x:v>4</x:v>
      </x:c>
      <x:c r="B8" s="109" t="s">
        <x:v>10</x:v>
      </x:c>
      <x:c r="C8" s="18" t="s">
        <x:v>665</x:v>
      </x:c>
      <x:c r="D8" s="18" t="s">
        <x:v>323</x:v>
      </x:c>
      <x:c r="E8" s="18" t="s">
        <x:v>488</x:v>
      </x:c>
      <x:c r="F8" s="18" t="s">
        <x:v>2489</x:v>
      </x:c>
      <x:c r="G8" s="18" t="s">
        <x:v>2490</x:v>
      </x:c>
    </x:row>
    <x:row r="9" ht="24" customHeight="1">
      <x:c r="A9" s="108">
        <x:v>5</x:v>
      </x:c>
      <x:c r="B9" s="109" t="s">
        <x:v>10</x:v>
      </x:c>
      <x:c r="C9" s="18" t="s">
        <x:v>488</x:v>
      </x:c>
      <x:c r="D9" s="18" t="s">
        <x:v>404</x:v>
      </x:c>
      <x:c r="E9" s="18" t="s">
        <x:v>488</x:v>
      </x:c>
      <x:c r="F9" s="18" t="s">
        <x:v>2491</x:v>
      </x:c>
      <x:c r="G9" s="18" t="s">
        <x:v>2492</x:v>
      </x:c>
    </x:row>
    <x:row r="10" ht="14.399999618530273" customHeight="1">
      <x:c r="A10" s="108">
        <x:v>6</x:v>
      </x:c>
      <x:c r="B10" s="109" t="s">
        <x:v>10</x:v>
      </x:c>
      <x:c r="C10" s="18" t="s">
        <x:v>488</x:v>
      </x:c>
      <x:c r="D10" s="18" t="s">
        <x:v>319</x:v>
      </x:c>
      <x:c r="E10" s="18" t="s">
        <x:v>2493</x:v>
      </x:c>
      <x:c r="F10" s="18" t="s">
        <x:v>2494</x:v>
      </x:c>
      <x:c r="G10" s="18" t="s">
        <x:v>2495</x:v>
      </x:c>
    </x:row>
    <x:row r="11" ht="14.399999618530273" customHeight="1">
      <x:c r="A11" s="108">
        <x:v>7</x:v>
      </x:c>
      <x:c r="B11" s="109" t="s">
        <x:v>10</x:v>
      </x:c>
      <x:c r="C11" s="18" t="s">
        <x:v>2493</x:v>
      </x:c>
      <x:c r="D11" s="18" t="s">
        <x:v>319</x:v>
      </x:c>
      <x:c r="E11" s="18" t="s">
        <x:v>11</x:v>
      </x:c>
      <x:c r="F11" s="18" t="s">
        <x:v>2496</x:v>
      </x:c>
      <x:c r="G11" s="18" t="s">
        <x:v>2497</x:v>
      </x:c>
    </x:row>
    <x:row r="12" ht="14.399999618530273" customHeight="1">
      <x:c r="A12" s="427" t="s">
        <x:v>2498</x:v>
      </x:c>
      <x:c r="B12" s="428"/>
      <x:c r="C12" s="429"/>
      <x:c r="D12" s="429"/>
      <x:c r="E12" s="429"/>
      <x:c r="F12" s="429"/>
      <x:c r="G12" s="429"/>
    </x:row>
    <x:row r="13" ht="14.399999618530273" customHeight="1">
      <x:c r="A13" s="108">
        <x:v>8</x:v>
      </x:c>
      <x:c r="B13" s="109" t="s">
        <x:v>33</x:v>
      </x:c>
      <x:c r="C13" s="18" t="s">
        <x:v>11</x:v>
      </x:c>
      <x:c r="D13" s="18" t="s">
        <x:v>319</x:v>
      </x:c>
      <x:c r="E13" s="18" t="s">
        <x:v>2493</x:v>
      </x:c>
      <x:c r="F13" s="18" t="s">
        <x:v>2269</x:v>
      </x:c>
      <x:c r="G13" s="18" t="s">
        <x:v>2499</x:v>
      </x:c>
    </x:row>
    <x:row r="14" ht="14.399999618530273" customHeight="1">
      <x:c r="A14" s="108">
        <x:v>9</x:v>
      </x:c>
      <x:c r="B14" s="109" t="s">
        <x:v>33</x:v>
      </x:c>
      <x:c r="C14" s="18" t="s">
        <x:v>2493</x:v>
      </x:c>
      <x:c r="D14" s="18" t="s">
        <x:v>319</x:v>
      </x:c>
      <x:c r="E14" s="18" t="s">
        <x:v>488</x:v>
      </x:c>
      <x:c r="F14" s="18" t="s">
        <x:v>2500</x:v>
      </x:c>
      <x:c r="G14" s="18" t="s">
        <x:v>2501</x:v>
      </x:c>
    </x:row>
    <x:row r="15" ht="14.399999618530273" customHeight="1">
      <x:c r="A15" s="108">
        <x:v>10</x:v>
      </x:c>
      <x:c r="B15" s="109" t="s">
        <x:v>33</x:v>
      </x:c>
      <x:c r="C15" s="18" t="s">
        <x:v>488</x:v>
      </x:c>
      <x:c r="D15" s="18" t="s">
        <x:v>319</x:v>
      </x:c>
      <x:c r="E15" s="18" t="s">
        <x:v>2443</x:v>
      </x:c>
      <x:c r="F15" s="18" t="s">
        <x:v>2444</x:v>
      </x:c>
      <x:c r="G15" s="18" t="s">
        <x:v>2445</x:v>
      </x:c>
    </x:row>
    <x:row r="16" ht="14.399999618530273" customHeight="1">
      <x:c r="A16" s="17">
        <x:v>11</x:v>
      </x:c>
      <x:c r="B16" s="53" t="s">
        <x:v>33</x:v>
      </x:c>
      <x:c r="C16" s="8" t="s">
        <x:v>2443</x:v>
      </x:c>
      <x:c r="D16" s="8" t="s">
        <x:v>323</x:v>
      </x:c>
      <x:c r="E16" s="8" t="s">
        <x:v>488</x:v>
      </x:c>
      <x:c r="F16" s="8" t="s">
        <x:v>2502</x:v>
      </x:c>
      <x:c r="G16" s="8" t="s">
        <x:v>2503</x:v>
      </x:c>
    </x:row>
    <x:row r="17" ht="14.399999618530273" customHeight="1">
      <x:c r="A17" s="106">
        <x:v>12</x:v>
      </x:c>
      <x:c r="B17" s="107" t="s">
        <x:v>33</x:v>
      </x:c>
      <x:c r="C17" s="18" t="s">
        <x:v>488</x:v>
      </x:c>
      <x:c r="D17" s="18" t="s">
        <x:v>319</x:v>
      </x:c>
      <x:c r="E17" s="18" t="s">
        <x:v>2449</x:v>
      </x:c>
      <x:c r="F17" s="18" t="s">
        <x:v>2504</x:v>
      </x:c>
      <x:c r="G17" s="18" t="s">
        <x:v>2505</x:v>
      </x:c>
    </x:row>
    <x:row r="18" ht="14.399999618530273" customHeight="1">
      <x:c r="A18" s="108">
        <x:v>13</x:v>
      </x:c>
      <x:c r="B18" s="109" t="s">
        <x:v>33</x:v>
      </x:c>
      <x:c r="C18" s="18" t="s">
        <x:v>2449</x:v>
      </x:c>
      <x:c r="D18" s="18" t="s">
        <x:v>319</x:v>
      </x:c>
      <x:c r="E18" s="18" t="s">
        <x:v>11</x:v>
      </x:c>
      <x:c r="F18" s="18" t="s">
        <x:v>2452</x:v>
      </x:c>
      <x:c r="G18" s="18" t="s">
        <x:v>2506</x:v>
      </x:c>
    </x:row>
    <x:row r="19" ht="14.399999618530273" customHeight="1">
      <x:c r="A19" s="108">
        <x:v>14</x:v>
      </x:c>
      <x:c r="B19" s="109" t="s">
        <x:v>33</x:v>
      </x:c>
      <x:c r="C19" s="18" t="s">
        <x:v>11</x:v>
      </x:c>
      <x:c r="D19" s="18" t="s">
        <x:v>319</x:v>
      </x:c>
      <x:c r="E19" s="18" t="s">
        <x:v>2449</x:v>
      </x:c>
      <x:c r="F19" s="18" t="s">
        <x:v>812</x:v>
      </x:c>
      <x:c r="G19" s="18" t="s">
        <x:v>2507</x:v>
      </x:c>
    </x:row>
    <x:row r="20" ht="14.399999618530273" customHeight="1">
      <x:c r="A20" s="108">
        <x:v>15</x:v>
      </x:c>
      <x:c r="B20" s="109" t="s">
        <x:v>33</x:v>
      </x:c>
      <x:c r="C20" s="18" t="s">
        <x:v>2449</x:v>
      </x:c>
      <x:c r="D20" s="18" t="s">
        <x:v>319</x:v>
      </x:c>
      <x:c r="E20" s="18" t="s">
        <x:v>488</x:v>
      </x:c>
      <x:c r="F20" s="18" t="s">
        <x:v>2508</x:v>
      </x:c>
      <x:c r="G20" s="18" t="s">
        <x:v>2509</x:v>
      </x:c>
    </x:row>
    <x:row r="21" ht="14.399999618530273" customHeight="1">
      <x:c r="A21" s="427" t="s">
        <x:v>2510</x:v>
      </x:c>
      <x:c r="B21" s="428"/>
      <x:c r="C21" s="429"/>
      <x:c r="D21" s="429"/>
      <x:c r="E21" s="429"/>
      <x:c r="F21" s="429"/>
      <x:c r="G21" s="429"/>
    </x:row>
    <x:row r="22" ht="14.399999618530273" customHeight="1">
      <x:c r="A22" s="108">
        <x:v>16</x:v>
      </x:c>
      <x:c r="B22" s="109" t="s">
        <x:v>63</x:v>
      </x:c>
      <x:c r="C22" s="18" t="s">
        <x:v>488</x:v>
      </x:c>
      <x:c r="D22" s="18" t="s">
        <x:v>319</x:v>
      </x:c>
      <x:c r="E22" s="18" t="s">
        <x:v>470</x:v>
      </x:c>
      <x:c r="F22" s="18" t="s">
        <x:v>2511</x:v>
      </x:c>
      <x:c r="G22" s="18" t="s">
        <x:v>2458</x:v>
      </x:c>
    </x:row>
    <x:row r="23" s="8" customFormat="1" ht="14.399999618530273" customHeight="1">
      <x:c r="A23" s="17">
        <x:v>17</x:v>
      </x:c>
      <x:c r="B23" s="8" t="s">
        <x:v>63</x:v>
      </x:c>
      <x:c r="C23" s="8" t="s">
        <x:v>470</x:v>
      </x:c>
      <x:c r="D23" s="8" t="s">
        <x:v>323</x:v>
      </x:c>
      <x:c r="E23" s="8" t="s">
        <x:v>488</x:v>
      </x:c>
      <x:c r="F23" s="8" t="s">
        <x:v>2459</x:v>
      </x:c>
      <x:c r="G23" s="8" t="s">
        <x:v>2460</x:v>
      </x:c>
    </x:row>
    <x:row r="24" ht="14.399999618530273" customHeight="1">
      <x:c r="A24" s="106">
        <x:v>18</x:v>
      </x:c>
      <x:c r="B24" s="107" t="s">
        <x:v>63</x:v>
      </x:c>
      <x:c r="C24" s="18" t="s">
        <x:v>488</x:v>
      </x:c>
      <x:c r="D24" s="18" t="s">
        <x:v>404</x:v>
      </x:c>
      <x:c r="E24" s="18" t="s">
        <x:v>488</x:v>
      </x:c>
      <x:c r="F24" s="18" t="s">
        <x:v>2461</x:v>
      </x:c>
      <x:c r="G24" s="18" t="s">
        <x:v>2512</x:v>
      </x:c>
    </x:row>
    <x:row r="25" ht="14.399999618530273" customHeight="1">
      <x:c r="A25" s="108">
        <x:v>19</x:v>
      </x:c>
      <x:c r="B25" s="109" t="s">
        <x:v>63</x:v>
      </x:c>
      <x:c r="C25" s="18" t="s">
        <x:v>488</x:v>
      </x:c>
      <x:c r="D25" s="18" t="s">
        <x:v>319</x:v>
      </x:c>
      <x:c r="E25" s="18" t="s">
        <x:v>665</x:v>
      </x:c>
      <x:c r="F25" s="18" t="s">
        <x:v>2513</x:v>
      </x:c>
      <x:c r="G25" s="18" t="s">
        <x:v>2514</x:v>
      </x:c>
    </x:row>
    <x:row r="26" ht="14.399999618530273" customHeight="1">
      <x:c r="A26" s="108">
        <x:v>20</x:v>
      </x:c>
      <x:c r="B26" s="109" t="s">
        <x:v>63</x:v>
      </x:c>
      <x:c r="C26" s="18" t="s">
        <x:v>665</x:v>
      </x:c>
      <x:c r="D26" s="18" t="s">
        <x:v>323</x:v>
      </x:c>
      <x:c r="E26" s="18" t="s">
        <x:v>488</x:v>
      </x:c>
      <x:c r="F26" s="18" t="s">
        <x:v>2515</x:v>
      </x:c>
      <x:c r="G26" s="18" t="s">
        <x:v>2516</x:v>
      </x:c>
    </x:row>
    <x:row r="27" ht="14.399999618530273" customHeight="1">
      <x:c r="A27" s="427" t="s">
        <x:v>2517</x:v>
      </x:c>
      <x:c r="B27" s="428"/>
      <x:c r="C27" s="429"/>
      <x:c r="D27" s="429"/>
      <x:c r="E27" s="429"/>
      <x:c r="F27" s="429"/>
      <x:c r="G27" s="429"/>
    </x:row>
    <x:row r="28" ht="14.399999618530273" customHeight="1">
      <x:c r="A28" s="108">
        <x:v>21</x:v>
      </x:c>
      <x:c r="B28" s="109" t="s">
        <x:v>81</x:v>
      </x:c>
      <x:c r="C28" s="18" t="s">
        <x:v>488</x:v>
      </x:c>
      <x:c r="D28" s="18" t="s">
        <x:v>319</x:v>
      </x:c>
      <x:c r="E28" s="18" t="s">
        <x:v>156</x:v>
      </x:c>
      <x:c r="F28" s="18" t="s">
        <x:v>2518</x:v>
      </x:c>
      <x:c r="G28" s="18" t="s">
        <x:v>2519</x:v>
      </x:c>
    </x:row>
    <x:row r="29" ht="14.399999618530273" customHeight="1">
      <x:c r="A29" s="108">
        <x:v>22</x:v>
      </x:c>
      <x:c r="B29" s="109" t="s">
        <x:v>81</x:v>
      </x:c>
      <x:c r="C29" s="18" t="s">
        <x:v>156</x:v>
      </x:c>
      <x:c r="D29" s="18" t="s">
        <x:v>319</x:v>
      </x:c>
      <x:c r="E29" s="18" t="s">
        <x:v>11</x:v>
      </x:c>
      <x:c r="F29" s="18" t="s">
        <x:v>2520</x:v>
      </x:c>
      <x:c r="G29" s="18" t="s">
        <x:v>2472</x:v>
      </x:c>
    </x:row>
    <x:row r="30" ht="14.399999618530273" customHeight="1">
      <x:c r="A30" s="108">
        <x:v>23</x:v>
      </x:c>
      <x:c r="B30" s="109" t="s">
        <x:v>81</x:v>
      </x:c>
      <x:c r="C30" s="18" t="s">
        <x:v>11</x:v>
      </x:c>
      <x:c r="D30" s="18" t="s">
        <x:v>319</x:v>
      </x:c>
      <x:c r="E30" s="18" t="s">
        <x:v>156</x:v>
      </x:c>
      <x:c r="F30" s="18" t="s">
        <x:v>812</x:v>
      </x:c>
      <x:c r="G30" s="18" t="s">
        <x:v>2473</x:v>
      </x:c>
    </x:row>
    <x:row r="31" ht="14.399999618530273" customHeight="1">
      <x:c r="A31" s="108">
        <x:v>24</x:v>
      </x:c>
      <x:c r="B31" s="109" t="s">
        <x:v>81</x:v>
      </x:c>
      <x:c r="C31" s="18" t="s">
        <x:v>156</x:v>
      </x:c>
      <x:c r="D31" s="18" t="s">
        <x:v>319</x:v>
      </x:c>
      <x:c r="E31" s="18" t="s">
        <x:v>488</x:v>
      </x:c>
      <x:c r="F31" s="18" t="s">
        <x:v>2474</x:v>
      </x:c>
      <x:c r="G31" s="18" t="s">
        <x:v>2475</x:v>
      </x:c>
    </x:row>
    <x:row r="32" ht="14.399999618530273" customHeight="1">
      <x:c r="A32" s="17">
        <x:v>25</x:v>
      </x:c>
      <x:c r="B32" s="53" t="s">
        <x:v>81</x:v>
      </x:c>
      <x:c r="C32" s="8" t="s">
        <x:v>488</x:v>
      </x:c>
      <x:c r="D32" s="8" t="s">
        <x:v>319</x:v>
      </x:c>
      <x:c r="E32" s="8" t="s">
        <x:v>629</x:v>
      </x:c>
      <x:c r="F32" s="8" t="s">
        <x:v>2476</x:v>
      </x:c>
      <x:c r="G32" s="8" t="s">
        <x:v>2521</x:v>
      </x:c>
    </x:row>
    <x:row r="33" ht="14.399999618530273" customHeight="1">
      <x:c r="A33" s="106">
        <x:v>26</x:v>
      </x:c>
      <x:c r="B33" s="107" t="s">
        <x:v>81</x:v>
      </x:c>
      <x:c r="C33" s="18" t="s">
        <x:v>629</x:v>
      </x:c>
      <x:c r="D33" s="18" t="s">
        <x:v>323</x:v>
      </x:c>
      <x:c r="E33" s="18" t="s">
        <x:v>488</x:v>
      </x:c>
      <x:c r="F33" s="18" t="s">
        <x:v>728</x:v>
      </x:c>
      <x:c r="G33" s="18" t="s">
        <x:v>2522</x:v>
      </x:c>
    </x:row>
    <x:row r="34" ht="14.399999618530273" customHeight="1">
      <x:c r="A34" s="108">
        <x:v>27</x:v>
      </x:c>
      <x:c r="B34" s="109" t="s">
        <x:v>81</x:v>
      </x:c>
      <x:c r="C34" s="18" t="s">
        <x:v>488</x:v>
      </x:c>
      <x:c r="D34" s="18" t="s">
        <x:v>319</x:v>
      </x:c>
      <x:c r="E34" s="18" t="s">
        <x:v>674</x:v>
      </x:c>
      <x:c r="F34" s="18" t="s">
        <x:v>730</x:v>
      </x:c>
      <x:c r="G34" s="18" t="s">
        <x:v>2479</x:v>
      </x:c>
    </x:row>
    <x:row r="35" ht="14.399999618530273" customHeight="1">
      <x:c r="A35" s="108">
        <x:v>28</x:v>
      </x:c>
      <x:c r="B35" s="109" t="s">
        <x:v>81</x:v>
      </x:c>
      <x:c r="C35" s="18" t="s">
        <x:v>674</x:v>
      </x:c>
      <x:c r="D35" s="18" t="s">
        <x:v>319</x:v>
      </x:c>
      <x:c r="E35" s="18" t="s">
        <x:v>11</x:v>
      </x:c>
      <x:c r="F35" s="18" t="s">
        <x:v>2523</x:v>
      </x:c>
      <x:c r="G35" s="18" t="s">
        <x:v>2524</x:v>
      </x:c>
    </x:row>
    <x:row r="36">
      <x:c r="A36" s="15"/>
      <x:c r="B36" s="16"/>
      <x:c r="C36" s="18"/>
      <x:c r="D36" s="18"/>
      <x:c r="E36" s="18"/>
      <x:c r="F36" s="18"/>
      <x:c r="G36" s="18"/>
    </x:row>
    <x:row r="37">
      <x:c r="A37" s="15"/>
      <x:c r="B37" s="16"/>
      <x:c r="C37" s="18"/>
      <x:c r="D37" s="18"/>
      <x:c r="E37" s="18"/>
      <x:c r="F37" s="18"/>
      <x:c r="G37" s="18"/>
    </x:row>
    <x:row r="38">
      <x:c r="A38" s="99"/>
    </x:row>
    <x:row r="39">
      <x:c r="A39" s="12"/>
      <x:c r="B39" s="13"/>
      <x:c r="C39" s="18"/>
      <x:c r="D39" s="18"/>
      <x:c r="E39" s="18"/>
      <x:c r="F39" s="18"/>
      <x:c r="G39" s="18"/>
    </x:row>
    <x:row r="40">
      <x:c r="A40" s="15"/>
      <x:c r="B40" s="16"/>
      <x:c r="C40" s="18"/>
      <x:c r="D40" s="18"/>
      <x:c r="E40" s="18"/>
      <x:c r="F40" s="18"/>
      <x:c r="G40" s="18"/>
    </x:row>
    <x:row r="41">
      <x:c r="A41" s="15"/>
      <x:c r="B41" s="16"/>
      <x:c r="C41" s="18"/>
      <x:c r="D41" s="18"/>
      <x:c r="E41" s="18"/>
      <x:c r="F41" s="18"/>
      <x:c r="G41" s="18"/>
    </x:row>
    <x:row r="42">
      <x:c r="A42" s="15"/>
      <x:c r="B42" s="16"/>
      <x:c r="C42" s="18"/>
      <x:c r="D42" s="18"/>
      <x:c r="E42" s="18"/>
      <x:c r="F42" s="18"/>
      <x:c r="G42" s="18"/>
    </x:row>
    <x:row r="43">
      <x:c r="A43" s="15"/>
      <x:c r="B43" s="16"/>
      <x:c r="C43" s="18"/>
      <x:c r="D43" s="18"/>
      <x:c r="E43" s="18"/>
      <x:c r="F43" s="18"/>
      <x:c r="G43" s="18"/>
    </x:row>
    <x:row r="44">
      <x:c r="A44" s="15"/>
      <x:c r="B44" s="16"/>
      <x:c r="C44" s="18"/>
      <x:c r="D44" s="18"/>
      <x:c r="E44" s="18"/>
      <x:c r="F44" s="18"/>
      <x:c r="G44" s="18"/>
    </x:row>
    <x:row r="45">
      <x:c r="A45" s="15"/>
      <x:c r="B45" s="16"/>
      <x:c r="C45" s="18"/>
      <x:c r="D45" s="18"/>
      <x:c r="E45" s="18"/>
      <x:c r="F45" s="18"/>
      <x:c r="G45" s="18"/>
    </x:row>
    <x:row r="46">
      <x:c r="A46" s="15"/>
      <x:c r="B46" s="16"/>
      <x:c r="C46" s="18"/>
      <x:c r="D46" s="18"/>
      <x:c r="E46" s="18"/>
      <x:c r="F46" s="18"/>
      <x:c r="G46" s="18"/>
    </x:row>
  </x:sheetData>
  <x:mergeCells>
    <x:mergeCell ref="A27:G27"/>
    <x:mergeCell ref="A1:G1"/>
    <x:mergeCell ref="A2:G2"/>
    <x:mergeCell ref="A4:G4"/>
    <x:mergeCell ref="A12:G12"/>
    <x:mergeCell ref="A21:G21"/>
  </x:mergeCells>
  <x:pageMargins left="0.7" right="0.7" top="0.75" bottom="0.75" header="0.3" footer="0.3"/>
</x:worksheet>
</file>

<file path=xl/worksheets/sheet41.xml><?xml version="1.0" encoding="utf-8"?>
<x:worksheet xmlns:x="http://schemas.openxmlformats.org/spreadsheetml/2006/main">
  <x:sheetFormatPr baseColWidth="10" defaultColWidth="8.88671875" defaultRowHeight="14.399999618530273"/>
  <x:cols>
    <x:col min="1" max="1" width="7" customWidth="1"/>
    <x:col min="2" max="2" width="8" customWidth="1"/>
    <x:col min="3" max="3" width="27" customWidth="1"/>
    <x:col min="4" max="4" width="18" customWidth="1"/>
    <x:col min="5" max="5" width="30" customWidth="1"/>
    <x:col min="6" max="6" width="48" customWidth="1"/>
    <x:col min="7" max="7" width="92" customWidth="1"/>
    <x:col min="8" max="8" width="58" hidden="0" customWidth="1"/>
  </x:cols>
  <x:sheetData>
    <x:row r="1" ht="3.9000000953674316" customHeight="1">
      <x:c r="A1" s="470" t="s">
        <x:v>2525</x:v>
      </x:c>
      <x:c r="B1" s="451"/>
      <x:c r="C1" s="451"/>
      <x:c r="D1" s="451"/>
      <x:c r="E1" s="451"/>
      <x:c r="F1" s="451"/>
      <x:c r="G1" s="451"/>
    </x:row>
    <x:row r="2" ht="3.9000000953674316" customHeight="1">
      <x:c r="A2" s="471" t="s">
        <x:v>2526</x:v>
      </x:c>
      <x:c r="B2" s="451"/>
      <x:c r="C2" s="451"/>
      <x:c r="D2" s="451"/>
      <x:c r="E2" s="451"/>
      <x:c r="F2" s="451"/>
      <x:c r="G2" s="451"/>
    </x:row>
    <x:row r="3" ht="3.9000000953674316" customHeight="1">
      <x:c r="A3" s="120" t="s">
        <x:v>2</x:v>
      </x:c>
      <x:c r="B3" s="120" t="s">
        <x:v>3</x:v>
      </x:c>
      <x:c r="C3" s="120" t="s">
        <x:v>4</x:v>
      </x:c>
      <x:c r="D3" s="120" t="s">
        <x:v>5</x:v>
      </x:c>
      <x:c r="E3" s="120" t="s">
        <x:v>6</x:v>
      </x:c>
      <x:c r="F3" s="120" t="s">
        <x:v>7</x:v>
      </x:c>
      <x:c r="G3" s="121" t="s">
        <x:v>8</x:v>
      </x:c>
      <x:c r="H3" t="str">
        <x:v>CONDICIÓN RF65 (NO MVP)</x:v>
      </x:c>
    </x:row>
    <x:row r="4" ht="3.9000000953674316" customHeight="1">
      <x:c r="A4" s="472" t="s">
        <x:v>2527</x:v>
      </x:c>
      <x:c r="B4" s="454"/>
      <x:c r="C4" s="454"/>
      <x:c r="D4" s="454"/>
      <x:c r="E4" s="454"/>
      <x:c r="F4" s="454"/>
      <x:c r="G4" s="454"/>
    </x:row>
    <x:row r="5" ht="3.9000000953674316" customHeight="1">
      <x:c r="A5" s="123">
        <x:v>1</x:v>
      </x:c>
      <x:c r="B5" s="123" t="s">
        <x:v>10</x:v>
      </x:c>
      <x:c r="C5" s="124" t="s">
        <x:v>11</x:v>
      </x:c>
      <x:c r="D5" s="110" t="s">
        <x:v>12</x:v>
      </x:c>
      <x:c r="E5" s="124" t="s">
        <x:v>164</x:v>
      </x:c>
      <x:c r="F5" s="125" t="s">
        <x:v>165</x:v>
      </x:c>
      <x:c r="G5" s="126" t="s">
        <x:v>1782</x:v>
      </x:c>
      <x:c r="H5" s="1071" t="str">
        <x:v>RF65 POST-MVP · CONDICIONADO A APROBACIÓN. Recordatorios KM: antes de emitir filtrar estado_registro=VIGENTE y estado operativo ACTIVO; no enviar recordatorios de ELIMINADOS. Sin aprobación no aplicar filtros ni cambios de BD por RF65.</x:v>
      </x:c>
    </x:row>
    <x:row r="6" ht="3.9000000953674316" customHeight="1">
      <x:c r="A6" s="123">
        <x:v>2</x:v>
      </x:c>
      <x:c r="B6" s="123" t="s">
        <x:v>10</x:v>
      </x:c>
      <x:c r="C6" s="127" t="s">
        <x:v>164</x:v>
      </x:c>
      <x:c r="D6" s="111" t="s">
        <x:v>12</x:v>
      </x:c>
      <x:c r="E6" s="127" t="s">
        <x:v>167</x:v>
      </x:c>
      <x:c r="F6" s="128" t="s">
        <x:v>168</x:v>
      </x:c>
      <x:c r="G6" s="129" t="s">
        <x:v>1783</x:v>
      </x:c>
    </x:row>
    <x:row r="7" ht="3.9000000953674316" customHeight="1">
      <x:c r="A7" s="123">
        <x:v>3</x:v>
      </x:c>
      <x:c r="B7" s="123" t="s">
        <x:v>10</x:v>
      </x:c>
      <x:c r="C7" s="127" t="s">
        <x:v>167</x:v>
      </x:c>
      <x:c r="D7" s="112" t="s">
        <x:v>12</x:v>
      </x:c>
      <x:c r="E7" s="127" t="s">
        <x:v>179</x:v>
      </x:c>
      <x:c r="F7" s="128" t="s">
        <x:v>1784</x:v>
      </x:c>
      <x:c r="G7" s="129" t="s">
        <x:v>2528</x:v>
      </x:c>
    </x:row>
    <x:row r="8" ht="3.9000000953674316" customHeight="1">
      <x:c r="A8" s="123">
        <x:v>4</x:v>
      </x:c>
      <x:c r="B8" s="123" t="s">
        <x:v>10</x:v>
      </x:c>
      <x:c r="C8" s="127" t="s">
        <x:v>179</x:v>
      </x:c>
      <x:c r="D8" s="111" t="s">
        <x:v>12</x:v>
      </x:c>
      <x:c r="E8" s="127" t="s">
        <x:v>366</x:v>
      </x:c>
      <x:c r="F8" s="128" t="s">
        <x:v>2529</x:v>
      </x:c>
      <x:c r="G8" s="129" t="s">
        <x:v>2530</x:v>
      </x:c>
    </x:row>
    <x:row r="9" ht="3.9000000953674316" customHeight="1">
      <x:c r="A9" s="123">
        <x:v>5</x:v>
      </x:c>
      <x:c r="B9" s="123" t="s">
        <x:v>10</x:v>
      </x:c>
      <x:c r="C9" s="127" t="s">
        <x:v>366</x:v>
      </x:c>
      <x:c r="D9" s="112" t="s">
        <x:v>12</x:v>
      </x:c>
      <x:c r="E9" s="127" t="s">
        <x:v>2531</x:v>
      </x:c>
      <x:c r="F9" s="128" t="s">
        <x:v>2532</x:v>
      </x:c>
      <x:c r="G9" s="129" t="s">
        <x:v>2533</x:v>
      </x:c>
    </x:row>
    <x:row r="10" ht="3.9000000953674316" customHeight="1">
      <x:c r="A10" s="123">
        <x:v>6</x:v>
      </x:c>
      <x:c r="B10" s="123" t="s">
        <x:v>10</x:v>
      </x:c>
      <x:c r="C10" s="127" t="s">
        <x:v>2531</x:v>
      </x:c>
      <x:c r="D10" s="114" t="s">
        <x:v>53</x:v>
      </x:c>
      <x:c r="E10" s="127" t="s">
        <x:v>366</x:v>
      </x:c>
      <x:c r="F10" s="128" t="s">
        <x:v>2534</x:v>
      </x:c>
      <x:c r="G10" s="129" t="s">
        <x:v>2535</x:v>
      </x:c>
    </x:row>
    <x:row r="11" ht="3.9000000953674316" customHeight="1">
      <x:c r="A11" s="123">
        <x:v>7</x:v>
      </x:c>
      <x:c r="B11" s="123" t="s">
        <x:v>10</x:v>
      </x:c>
      <x:c r="C11" s="127" t="s">
        <x:v>366</x:v>
      </x:c>
      <x:c r="D11" s="112" t="s">
        <x:v>12</x:v>
      </x:c>
      <x:c r="E11" s="127" t="s">
        <x:v>179</x:v>
      </x:c>
      <x:c r="F11" s="128" t="s">
        <x:v>2536</x:v>
      </x:c>
      <x:c r="G11" s="129" t="s">
        <x:v>2537</x:v>
      </x:c>
    </x:row>
    <x:row r="12" ht="3.9000000953674316" customHeight="1">
      <x:c r="A12" s="137">
        <x:v>8</x:v>
      </x:c>
      <x:c r="B12" s="137" t="s">
        <x:v>10</x:v>
      </x:c>
      <x:c r="C12" s="130" t="s">
        <x:v>179</x:v>
      </x:c>
      <x:c r="D12" s="138" t="s">
        <x:v>12</x:v>
      </x:c>
      <x:c r="E12" s="130" t="s">
        <x:v>11</x:v>
      </x:c>
      <x:c r="F12" s="130" t="s">
        <x:v>2538</x:v>
      </x:c>
      <x:c r="G12" s="130" t="s">
        <x:v>2539</x:v>
      </x:c>
    </x:row>
    <x:row r="13" ht="6.300000190734863" customHeight="1">
      <x:c r="A13" s="123">
        <x:v>9</x:v>
      </x:c>
      <x:c r="B13" s="123" t="s">
        <x:v>10</x:v>
      </x:c>
      <x:c r="C13" s="124" t="s">
        <x:v>11</x:v>
      </x:c>
      <x:c r="D13" s="110" t="s">
        <x:v>12</x:v>
      </x:c>
      <x:c r="E13" s="124" t="s">
        <x:v>179</x:v>
      </x:c>
      <x:c r="F13" s="125" t="s">
        <x:v>2540</x:v>
      </x:c>
      <x:c r="G13" s="126" t="s">
        <x:v>2541</x:v>
      </x:c>
    </x:row>
    <x:row r="14" ht="3.9000000953674316" customHeight="1">
      <x:c r="A14" s="123">
        <x:v>10</x:v>
      </x:c>
      <x:c r="B14" s="123" t="s">
        <x:v>10</x:v>
      </x:c>
      <x:c r="C14" s="127" t="s">
        <x:v>179</x:v>
      </x:c>
      <x:c r="D14" s="111" t="s">
        <x:v>12</x:v>
      </x:c>
      <x:c r="E14" s="127" t="s">
        <x:v>366</x:v>
      </x:c>
      <x:c r="F14" s="128" t="s">
        <x:v>2542</x:v>
      </x:c>
      <x:c r="G14" s="129" t="s">
        <x:v>2543</x:v>
      </x:c>
    </x:row>
    <x:row r="15" ht="6.300000190734863" customHeight="1">
      <x:c r="A15" s="123">
        <x:v>11</x:v>
      </x:c>
      <x:c r="B15" s="123" t="s">
        <x:v>10</x:v>
      </x:c>
      <x:c r="C15" s="127" t="s">
        <x:v>366</x:v>
      </x:c>
      <x:c r="D15" s="112" t="s">
        <x:v>12</x:v>
      </x:c>
      <x:c r="E15" s="127" t="s">
        <x:v>2531</x:v>
      </x:c>
      <x:c r="F15" s="128" t="s">
        <x:v>2544</x:v>
      </x:c>
      <x:c r="G15" s="129" t="s">
        <x:v>2545</x:v>
      </x:c>
    </x:row>
    <x:row r="16" ht="3.9000000953674316" customHeight="1">
      <x:c r="A16" s="123">
        <x:v>12</x:v>
      </x:c>
      <x:c r="B16" s="123" t="s">
        <x:v>10</x:v>
      </x:c>
      <x:c r="C16" s="127" t="s">
        <x:v>2531</x:v>
      </x:c>
      <x:c r="D16" s="114" t="s">
        <x:v>53</x:v>
      </x:c>
      <x:c r="E16" s="127" t="s">
        <x:v>366</x:v>
      </x:c>
      <x:c r="F16" s="128" t="s">
        <x:v>2546</x:v>
      </x:c>
      <x:c r="G16" s="129" t="s">
        <x:v>2547</x:v>
      </x:c>
    </x:row>
    <x:row r="17" ht="3.9000000953674316" customHeight="1">
      <x:c r="A17" s="500" t="s">
        <x:v>2548</x:v>
      </x:c>
      <x:c r="B17" s="501"/>
      <x:c r="C17" s="501"/>
      <x:c r="D17" s="501"/>
      <x:c r="E17" s="501"/>
      <x:c r="F17" s="501"/>
      <x:c r="G17" s="502"/>
    </x:row>
    <x:row r="18" ht="3.9000000953674316" customHeight="1">
      <x:c r="A18" s="123">
        <x:v>13</x:v>
      </x:c>
      <x:c r="B18" s="123" t="s">
        <x:v>33</x:v>
      </x:c>
      <x:c r="C18" s="127" t="s">
        <x:v>366</x:v>
      </x:c>
      <x:c r="D18" s="112" t="s">
        <x:v>12</x:v>
      </x:c>
      <x:c r="E18" s="127" t="s">
        <x:v>179</x:v>
      </x:c>
      <x:c r="F18" s="128" t="s">
        <x:v>2549</x:v>
      </x:c>
      <x:c r="G18" s="129" t="s">
        <x:v>2550</x:v>
      </x:c>
    </x:row>
    <x:row r="19" ht="3.9000000953674316" customHeight="1">
      <x:c r="A19" s="123">
        <x:v>14</x:v>
      </x:c>
      <x:c r="B19" s="123" t="s">
        <x:v>33</x:v>
      </x:c>
      <x:c r="C19" s="127" t="s">
        <x:v>179</x:v>
      </x:c>
      <x:c r="D19" s="111" t="s">
        <x:v>12</x:v>
      </x:c>
      <x:c r="E19" s="127" t="s">
        <x:v>11</x:v>
      </x:c>
      <x:c r="F19" s="128" t="s">
        <x:v>2551</x:v>
      </x:c>
      <x:c r="G19" s="129" t="s">
        <x:v>2552</x:v>
      </x:c>
    </x:row>
    <x:row r="20" ht="3.9000000953674316" customHeight="1">
      <x:c r="A20" s="123">
        <x:v>15</x:v>
      </x:c>
      <x:c r="B20" s="123" t="s">
        <x:v>33</x:v>
      </x:c>
      <x:c r="C20" s="127" t="s">
        <x:v>11</x:v>
      </x:c>
      <x:c r="D20" s="110" t="s">
        <x:v>12</x:v>
      </x:c>
      <x:c r="E20" s="127" t="s">
        <x:v>179</x:v>
      </x:c>
      <x:c r="F20" s="128" t="s">
        <x:v>2553</x:v>
      </x:c>
      <x:c r="G20" s="129" t="s">
        <x:v>2554</x:v>
      </x:c>
    </x:row>
    <x:row r="21" ht="3.9000000953674316" customHeight="1">
      <x:c r="A21" s="123">
        <x:v>16</x:v>
      </x:c>
      <x:c r="B21" s="123" t="s">
        <x:v>33</x:v>
      </x:c>
      <x:c r="C21" s="127" t="s">
        <x:v>179</x:v>
      </x:c>
      <x:c r="D21" s="111" t="s">
        <x:v>12</x:v>
      </x:c>
      <x:c r="E21" s="127" t="s">
        <x:v>167</x:v>
      </x:c>
      <x:c r="F21" s="128" t="s">
        <x:v>2555</x:v>
      </x:c>
      <x:c r="G21" s="129" t="s">
        <x:v>2556</x:v>
      </x:c>
    </x:row>
    <x:row r="22" ht="3.9000000953674316" customHeight="1">
      <x:c r="A22" s="123">
        <x:v>17</x:v>
      </x:c>
      <x:c r="B22" s="123" t="s">
        <x:v>33</x:v>
      </x:c>
      <x:c r="C22" s="127" t="s">
        <x:v>167</x:v>
      </x:c>
      <x:c r="D22" s="112" t="s">
        <x:v>12</x:v>
      </x:c>
      <x:c r="E22" s="127" t="s">
        <x:v>2557</x:v>
      </x:c>
      <x:c r="F22" s="128" t="s">
        <x:v>2558</x:v>
      </x:c>
      <x:c r="G22" s="129" t="s">
        <x:v>2559</x:v>
      </x:c>
    </x:row>
    <x:row r="23" ht="6.300000190734863" customHeight="1">
      <x:c r="A23" s="123">
        <x:v>18</x:v>
      </x:c>
      <x:c r="B23" s="123" t="s">
        <x:v>33</x:v>
      </x:c>
      <x:c r="C23" s="127" t="s">
        <x:v>2557</x:v>
      </x:c>
      <x:c r="D23" s="111" t="s">
        <x:v>12</x:v>
      </x:c>
      <x:c r="E23" s="127" t="s">
        <x:v>366</x:v>
      </x:c>
      <x:c r="F23" s="128" t="s">
        <x:v>2560</x:v>
      </x:c>
      <x:c r="G23" s="129" t="s">
        <x:v>2561</x:v>
      </x:c>
    </x:row>
    <x:row r="24" ht="3.9000000953674316" customHeight="1">
      <x:c r="A24" s="123">
        <x:v>19</x:v>
      </x:c>
      <x:c r="B24" s="123" t="s">
        <x:v>33</x:v>
      </x:c>
      <x:c r="C24" s="127" t="s">
        <x:v>366</x:v>
      </x:c>
      <x:c r="D24" s="112" t="s">
        <x:v>12</x:v>
      </x:c>
      <x:c r="E24" s="127" t="s">
        <x:v>908</x:v>
      </x:c>
      <x:c r="F24" s="128" t="s">
        <x:v>2562</x:v>
      </x:c>
      <x:c r="G24" s="210" t="s">
        <x:v>2563</x:v>
      </x:c>
    </x:row>
    <x:row r="25" ht="3.9000000953674316" customHeight="1">
      <x:c r="A25" s="137">
        <x:v>20</x:v>
      </x:c>
      <x:c r="B25" s="137" t="s">
        <x:v>33</x:v>
      </x:c>
      <x:c r="C25" s="127" t="s">
        <x:v>908</x:v>
      </x:c>
      <x:c r="D25" s="112" t="s">
        <x:v>12</x:v>
      </x:c>
      <x:c r="E25" s="127" t="s">
        <x:v>440</x:v>
      </x:c>
      <x:c r="F25" s="128" t="s">
        <x:v>2564</x:v>
      </x:c>
      <x:c r="G25" s="129" t="s">
        <x:v>2565</x:v>
      </x:c>
    </x:row>
    <x:row r="26" ht="3.9000000953674316" customHeight="1">
      <x:c r="A26" s="123">
        <x:v>21</x:v>
      </x:c>
      <x:c r="B26" s="123" t="s">
        <x:v>33</x:v>
      </x:c>
      <x:c r="C26" s="130" t="s">
        <x:v>440</x:v>
      </x:c>
      <x:c r="D26" s="136" t="s">
        <x:v>53</x:v>
      </x:c>
      <x:c r="E26" s="130" t="s">
        <x:v>908</x:v>
      </x:c>
      <x:c r="F26" s="130" t="s">
        <x:v>2566</x:v>
      </x:c>
      <x:c r="G26" s="130" t="s">
        <x:v>2567</x:v>
      </x:c>
    </x:row>
    <x:row r="27" ht="3.9000000953674316" customHeight="1">
      <x:c r="A27" s="123">
        <x:v>22</x:v>
      </x:c>
      <x:c r="B27" s="123" t="s">
        <x:v>33</x:v>
      </x:c>
      <x:c r="C27" s="124" t="s">
        <x:v>908</x:v>
      </x:c>
      <x:c r="D27" s="112" t="s">
        <x:v>53</x:v>
      </x:c>
      <x:c r="E27" s="124" t="s">
        <x:v>366</x:v>
      </x:c>
      <x:c r="F27" s="125" t="s">
        <x:v>2566</x:v>
      </x:c>
      <x:c r="G27" s="126" t="s">
        <x:v>2568</x:v>
      </x:c>
    </x:row>
    <x:row r="28" ht="3.9000000953674316" customHeight="1">
      <x:c r="A28" s="123">
        <x:v>23</x:v>
      </x:c>
      <x:c r="B28" s="123" t="s">
        <x:v>33</x:v>
      </x:c>
      <x:c r="C28" s="127" t="s">
        <x:v>366</x:v>
      </x:c>
      <x:c r="D28" s="112" t="s">
        <x:v>12</x:v>
      </x:c>
      <x:c r="E28" s="127" t="s">
        <x:v>500</x:v>
      </x:c>
      <x:c r="F28" s="128" t="s">
        <x:v>2569</x:v>
      </x:c>
      <x:c r="G28" s="129" t="s">
        <x:v>2570</x:v>
      </x:c>
    </x:row>
    <x:row r="29" ht="3.9000000953674316" customHeight="1">
      <x:c r="A29" s="123">
        <x:v>24</x:v>
      </x:c>
      <x:c r="B29" s="123" t="s">
        <x:v>33</x:v>
      </x:c>
      <x:c r="C29" s="127" t="s">
        <x:v>500</x:v>
      </x:c>
      <x:c r="D29" s="112" t="s">
        <x:v>12</x:v>
      </x:c>
      <x:c r="E29" s="127" t="s">
        <x:v>503</x:v>
      </x:c>
      <x:c r="F29" s="128" t="s">
        <x:v>2571</x:v>
      </x:c>
      <x:c r="G29" s="129" t="s">
        <x:v>2572</x:v>
      </x:c>
    </x:row>
    <x:row r="30" ht="3.9000000953674316" customHeight="1">
      <x:c r="A30" s="123">
        <x:v>25</x:v>
      </x:c>
      <x:c r="B30" s="123" t="s">
        <x:v>33</x:v>
      </x:c>
      <x:c r="C30" s="127" t="s">
        <x:v>503</x:v>
      </x:c>
      <x:c r="D30" s="114" t="s">
        <x:v>53</x:v>
      </x:c>
      <x:c r="E30" s="127" t="s">
        <x:v>500</x:v>
      </x:c>
      <x:c r="F30" s="128" t="s">
        <x:v>2573</x:v>
      </x:c>
      <x:c r="G30" s="129" t="s">
        <x:v>2574</x:v>
      </x:c>
    </x:row>
    <x:row r="31" ht="3.9000000953674316" customHeight="1">
      <x:c r="A31" s="123">
        <x:v>26</x:v>
      </x:c>
      <x:c r="B31" s="123" t="s">
        <x:v>33</x:v>
      </x:c>
      <x:c r="C31" s="127" t="s">
        <x:v>500</x:v>
      </x:c>
      <x:c r="D31" s="112" t="s">
        <x:v>53</x:v>
      </x:c>
      <x:c r="E31" s="127" t="s">
        <x:v>366</x:v>
      </x:c>
      <x:c r="F31" s="128" t="s">
        <x:v>2573</x:v>
      </x:c>
      <x:c r="G31" s="129" t="s">
        <x:v>2575</x:v>
      </x:c>
    </x:row>
    <x:row r="32" ht="6.300000190734863" customHeight="1">
      <x:c r="A32" s="123">
        <x:v>27</x:v>
      </x:c>
      <x:c r="B32" s="123" t="s">
        <x:v>33</x:v>
      </x:c>
      <x:c r="C32" s="127" t="s">
        <x:v>366</x:v>
      </x:c>
      <x:c r="D32" s="112" t="s">
        <x:v>12</x:v>
      </x:c>
      <x:c r="E32" s="127" t="s">
        <x:v>512</x:v>
      </x:c>
      <x:c r="F32" s="128" t="s">
        <x:v>2576</x:v>
      </x:c>
      <x:c r="G32" s="129" t="s">
        <x:v>2577</x:v>
      </x:c>
    </x:row>
    <x:row r="33" ht="3.9000000953674316" customHeight="1">
      <x:c r="A33" s="500" t="s">
        <x:v>2578</x:v>
      </x:c>
      <x:c r="B33" s="501"/>
      <x:c r="C33" s="501"/>
      <x:c r="D33" s="501"/>
      <x:c r="E33" s="501"/>
      <x:c r="F33" s="501"/>
      <x:c r="G33" s="502"/>
    </x:row>
    <x:row r="34" ht="3.9000000953674316" customHeight="1">
      <x:c r="A34" s="123">
        <x:v>28</x:v>
      </x:c>
      <x:c r="B34" s="123" t="s">
        <x:v>63</x:v>
      </x:c>
      <x:c r="C34" s="127" t="s">
        <x:v>512</x:v>
      </x:c>
      <x:c r="D34" s="114" t="s">
        <x:v>53</x:v>
      </x:c>
      <x:c r="E34" s="127" t="s">
        <x:v>366</x:v>
      </x:c>
      <x:c r="F34" s="128" t="s">
        <x:v>2579</x:v>
      </x:c>
      <x:c r="G34" s="129" t="s">
        <x:v>2580</x:v>
      </x:c>
    </x:row>
    <x:row r="35" ht="6.300000190734863" customHeight="1">
      <x:c r="A35" s="123">
        <x:v>29</x:v>
      </x:c>
      <x:c r="B35" s="123" t="s">
        <x:v>63</x:v>
      </x:c>
      <x:c r="C35" s="127" t="s">
        <x:v>366</x:v>
      </x:c>
      <x:c r="D35" s="112" t="s">
        <x:v>12</x:v>
      </x:c>
      <x:c r="E35" s="127" t="s">
        <x:v>2557</x:v>
      </x:c>
      <x:c r="F35" s="128" t="s">
        <x:v>2581</x:v>
      </x:c>
      <x:c r="G35" s="129" t="s">
        <x:v>2582</x:v>
      </x:c>
    </x:row>
    <x:row r="36" ht="3.9000000953674316" customHeight="1">
      <x:c r="A36" s="123">
        <x:v>30</x:v>
      </x:c>
      <x:c r="B36" s="123" t="s">
        <x:v>63</x:v>
      </x:c>
      <x:c r="C36" s="127" t="s">
        <x:v>2557</x:v>
      </x:c>
      <x:c r="D36" s="111" t="s">
        <x:v>12</x:v>
      </x:c>
      <x:c r="E36" s="127" t="s">
        <x:v>11</x:v>
      </x:c>
      <x:c r="F36" s="128" t="s">
        <x:v>2583</x:v>
      </x:c>
      <x:c r="G36" s="129" t="s">
        <x:v>2584</x:v>
      </x:c>
    </x:row>
    <x:row r="37" ht="3.9000000953674316" customHeight="1">
      <x:c r="A37" s="123">
        <x:v>31</x:v>
      </x:c>
      <x:c r="B37" s="123" t="s">
        <x:v>63</x:v>
      </x:c>
      <x:c r="C37" s="130" t="s">
        <x:v>11</x:v>
      </x:c>
      <x:c r="D37" s="130" t="s">
        <x:v>12</x:v>
      </x:c>
      <x:c r="E37" s="130" t="s">
        <x:v>2557</x:v>
      </x:c>
      <x:c r="F37" s="130" t="s">
        <x:v>2585</x:v>
      </x:c>
      <x:c r="G37" s="130" t="s">
        <x:v>2586</x:v>
      </x:c>
    </x:row>
    <x:row r="38" ht="3.9000000953674316" customHeight="1">
      <x:c r="A38" s="123">
        <x:v>32</x:v>
      </x:c>
      <x:c r="B38" s="123" t="s">
        <x:v>63</x:v>
      </x:c>
      <x:c r="C38" s="124" t="s">
        <x:v>2557</x:v>
      </x:c>
      <x:c r="D38" s="111" t="s">
        <x:v>12</x:v>
      </x:c>
      <x:c r="E38" s="124" t="s">
        <x:v>366</x:v>
      </x:c>
      <x:c r="F38" s="125" t="s">
        <x:v>2587</x:v>
      </x:c>
      <x:c r="G38" s="126" t="s">
        <x:v>2588</x:v>
      </x:c>
    </x:row>
    <x:row r="39" ht="3.9000000953674316" customHeight="1">
      <x:c r="A39" s="500" t="s">
        <x:v>2589</x:v>
      </x:c>
      <x:c r="B39" s="501"/>
      <x:c r="C39" s="501"/>
      <x:c r="D39" s="501"/>
      <x:c r="E39" s="501"/>
      <x:c r="F39" s="501"/>
      <x:c r="G39" s="502"/>
    </x:row>
    <x:row r="40" ht="3.9000000953674316" customHeight="1">
      <x:c r="A40" s="123">
        <x:v>33</x:v>
      </x:c>
      <x:c r="B40" s="123" t="s">
        <x:v>81</x:v>
      </x:c>
      <x:c r="C40" s="113" t="s">
        <x:v>366</x:v>
      </x:c>
      <x:c r="D40" s="112" t="s">
        <x:v>12</x:v>
      </x:c>
      <x:c r="E40" s="113" t="s">
        <x:v>512</x:v>
      </x:c>
      <x:c r="F40" s="113" t="s">
        <x:v>2590</x:v>
      </x:c>
      <x:c r="G40" s="113" t="s">
        <x:v>2591</x:v>
      </x:c>
    </x:row>
    <x:row r="41" ht="3.9000000953674316" customHeight="1">
      <x:c r="A41" s="123">
        <x:v>34</x:v>
      </x:c>
      <x:c r="B41" s="123" t="s">
        <x:v>81</x:v>
      </x:c>
      <x:c r="C41" s="113" t="s">
        <x:v>512</x:v>
      </x:c>
      <x:c r="D41" s="114" t="s">
        <x:v>53</x:v>
      </x:c>
      <x:c r="E41" s="113" t="s">
        <x:v>366</x:v>
      </x:c>
      <x:c r="F41" s="113" t="s">
        <x:v>2592</x:v>
      </x:c>
      <x:c r="G41" s="113" t="s">
        <x:v>2593</x:v>
      </x:c>
    </x:row>
    <x:row r="42" ht="3.9000000953674316" customHeight="1">
      <x:c r="A42" s="123">
        <x:v>35</x:v>
      </x:c>
      <x:c r="B42" s="123" t="s">
        <x:v>81</x:v>
      </x:c>
      <x:c r="C42" s="113" t="s">
        <x:v>366</x:v>
      </x:c>
      <x:c r="D42" s="112" t="s">
        <x:v>12</x:v>
      </x:c>
      <x:c r="E42" s="113" t="s">
        <x:v>2557</x:v>
      </x:c>
      <x:c r="F42" s="113" t="s">
        <x:v>2594</x:v>
      </x:c>
      <x:c r="G42" s="113" t="s">
        <x:v>2595</x:v>
      </x:c>
    </x:row>
    <x:row r="43" ht="3.9000000953674316" customHeight="1">
      <x:c r="A43" s="123">
        <x:v>36</x:v>
      </x:c>
      <x:c r="B43" s="123" t="s">
        <x:v>81</x:v>
      </x:c>
      <x:c r="C43" s="113" t="s">
        <x:v>2557</x:v>
      </x:c>
      <x:c r="D43" s="111" t="s">
        <x:v>12</x:v>
      </x:c>
      <x:c r="E43" s="113" t="s">
        <x:v>11</x:v>
      </x:c>
      <x:c r="F43" s="113" t="s">
        <x:v>2596</x:v>
      </x:c>
      <x:c r="G43" s="113" t="s">
        <x:v>2597</x:v>
      </x:c>
    </x:row>
    <x:row r="44" ht="3.9000000953674316" customHeight="1">
      <x:c r="A44" s="123">
        <x:v>37</x:v>
      </x:c>
      <x:c r="B44" s="123" t="s">
        <x:v>81</x:v>
      </x:c>
      <x:c r="C44" s="113" t="s">
        <x:v>11</x:v>
      </x:c>
      <x:c r="D44" s="110" t="s">
        <x:v>12</x:v>
      </x:c>
      <x:c r="E44" s="113" t="s">
        <x:v>2557</x:v>
      </x:c>
      <x:c r="F44" s="113" t="s">
        <x:v>2598</x:v>
      </x:c>
      <x:c r="G44" s="113" t="s">
        <x:v>2599</x:v>
      </x:c>
    </x:row>
    <x:row r="45" ht="3.9000000953674316" customHeight="1">
      <x:c r="A45" s="503" t="s">
        <x:v>2600</x:v>
      </x:c>
      <x:c r="B45" s="451"/>
      <x:c r="C45" s="451"/>
      <x:c r="D45" s="451"/>
      <x:c r="E45" s="451"/>
      <x:c r="F45" s="451"/>
      <x:c r="G45" s="451"/>
    </x:row>
    <x:row r="46" ht="3.9000000953674316" customHeight="1">
      <x:c r="A46" s="123">
        <x:v>38</x:v>
      </x:c>
      <x:c r="B46" s="123" t="s">
        <x:v>110</x:v>
      </x:c>
      <x:c r="C46" s="113" t="s">
        <x:v>2557</x:v>
      </x:c>
      <x:c r="D46" s="111" t="s">
        <x:v>12</x:v>
      </x:c>
      <x:c r="E46" s="113" t="s">
        <x:v>366</x:v>
      </x:c>
      <x:c r="F46" s="113" t="s">
        <x:v>2601</x:v>
      </x:c>
      <x:c r="G46" s="113" t="s">
        <x:v>2602</x:v>
      </x:c>
    </x:row>
    <x:row r="47" ht="9.300000190734863" customHeight="1">
      <x:c r="A47" s="123">
        <x:v>39</x:v>
      </x:c>
      <x:c r="B47" s="123" t="s">
        <x:v>110</x:v>
      </x:c>
      <x:c r="C47" s="113" t="s">
        <x:v>366</x:v>
      </x:c>
      <x:c r="D47" s="112" t="s">
        <x:v>19</x:v>
      </x:c>
      <x:c r="E47" s="113" t="s">
        <x:v>366</x:v>
      </x:c>
      <x:c r="F47" s="113" t="s">
        <x:v>2603</x:v>
      </x:c>
      <x:c r="G47" s="113" t="s">
        <x:v>2604</x:v>
      </x:c>
    </x:row>
    <x:row r="48" ht="6.300000190734863" customHeight="1">
      <x:c r="A48" s="123">
        <x:v>40</x:v>
      </x:c>
      <x:c r="B48" s="123" t="s">
        <x:v>110</x:v>
      </x:c>
      <x:c r="C48" s="113" t="s">
        <x:v>366</x:v>
      </x:c>
      <x:c r="D48" s="112" t="s">
        <x:v>12</x:v>
      </x:c>
      <x:c r="E48" s="113" t="s">
        <x:v>512</x:v>
      </x:c>
      <x:c r="F48" s="113" t="s">
        <x:v>2605</x:v>
      </x:c>
      <x:c r="G48" s="113" t="s">
        <x:v>2606</x:v>
      </x:c>
    </x:row>
    <x:row r="49" ht="3.9000000953674316" customHeight="1">
      <x:c r="A49" s="123">
        <x:v>41</x:v>
      </x:c>
      <x:c r="B49" s="123" t="s">
        <x:v>110</x:v>
      </x:c>
      <x:c r="C49" s="113" t="s">
        <x:v>512</x:v>
      </x:c>
      <x:c r="D49" s="114" t="s">
        <x:v>53</x:v>
      </x:c>
      <x:c r="E49" s="113" t="s">
        <x:v>366</x:v>
      </x:c>
      <x:c r="F49" s="113" t="s">
        <x:v>2607</x:v>
      </x:c>
      <x:c r="G49" s="113" t="s">
        <x:v>2608</x:v>
      </x:c>
    </x:row>
    <x:row r="50" ht="6.300000190734863" customHeight="1">
      <x:c r="A50" s="123">
        <x:v>42</x:v>
      </x:c>
      <x:c r="B50" s="123" t="s">
        <x:v>110</x:v>
      </x:c>
      <x:c r="C50" s="113" t="s">
        <x:v>366</x:v>
      </x:c>
      <x:c r="D50" s="112" t="s">
        <x:v>12</x:v>
      </x:c>
      <x:c r="E50" s="113" t="s">
        <x:v>2557</x:v>
      </x:c>
      <x:c r="F50" s="113" t="s">
        <x:v>2609</x:v>
      </x:c>
      <x:c r="G50" s="113" t="s">
        <x:v>2610</x:v>
      </x:c>
    </x:row>
    <x:row r="51" ht="3.9000000953674316" customHeight="1">
      <x:c r="A51" s="123">
        <x:v>43</x:v>
      </x:c>
      <x:c r="B51" s="123" t="s">
        <x:v>110</x:v>
      </x:c>
      <x:c r="C51" s="113" t="s">
        <x:v>2557</x:v>
      </x:c>
      <x:c r="D51" s="111" t="s">
        <x:v>12</x:v>
      </x:c>
      <x:c r="E51" s="113" t="s">
        <x:v>11</x:v>
      </x:c>
      <x:c r="F51" s="113" t="s">
        <x:v>2100</x:v>
      </x:c>
      <x:c r="G51" s="113" t="s">
        <x:v>2611</x:v>
      </x:c>
    </x:row>
    <x:row r="52" ht="3.9000000953674316" customHeight="1">
      <x:c r="A52" s="503" t="s">
        <x:v>2612</x:v>
      </x:c>
      <x:c r="B52" s="451"/>
      <x:c r="C52" s="451"/>
      <x:c r="D52" s="451"/>
      <x:c r="E52" s="451"/>
      <x:c r="F52" s="451"/>
      <x:c r="G52" s="451"/>
    </x:row>
    <x:row r="53" ht="3.9000000953674316" customHeight="1">
      <x:c r="A53" s="123">
        <x:v>44</x:v>
      </x:c>
      <x:c r="B53" s="123" t="s">
        <x:v>143</x:v>
      </x:c>
      <x:c r="C53" s="113" t="s">
        <x:v>366</x:v>
      </x:c>
      <x:c r="D53" s="112" t="s">
        <x:v>19</x:v>
      </x:c>
      <x:c r="E53" s="113" t="s">
        <x:v>366</x:v>
      </x:c>
      <x:c r="F53" s="113" t="s">
        <x:v>2613</x:v>
      </x:c>
      <x:c r="G53" s="113" t="s">
        <x:v>2614</x:v>
      </x:c>
    </x:row>
    <x:row r="54" ht="3.9000000953674316" customHeight="1">
      <x:c r="A54" s="123">
        <x:v>45</x:v>
      </x:c>
      <x:c r="B54" s="123" t="s">
        <x:v>143</x:v>
      </x:c>
      <x:c r="C54" s="113" t="s">
        <x:v>366</x:v>
      </x:c>
      <x:c r="D54" s="112" t="s">
        <x:v>12</x:v>
      </x:c>
      <x:c r="E54" s="113" t="s">
        <x:v>2531</x:v>
      </x:c>
      <x:c r="F54" s="113" t="s">
        <x:v>2615</x:v>
      </x:c>
      <x:c r="G54" s="113" t="s">
        <x:v>2616</x:v>
      </x:c>
    </x:row>
    <x:row r="55" ht="3.9000000953674316" customHeight="1">
      <x:c r="A55" s="123">
        <x:v>46</x:v>
      </x:c>
      <x:c r="B55" s="123" t="s">
        <x:v>143</x:v>
      </x:c>
      <x:c r="C55" s="113" t="s">
        <x:v>2531</x:v>
      </x:c>
      <x:c r="D55" s="114" t="s">
        <x:v>53</x:v>
      </x:c>
      <x:c r="E55" s="113" t="s">
        <x:v>366</x:v>
      </x:c>
      <x:c r="F55" s="113" t="s">
        <x:v>2617</x:v>
      </x:c>
      <x:c r="G55" s="113" t="s">
        <x:v>2618</x:v>
      </x:c>
    </x:row>
    <x:row r="56" ht="6.300000190734863" customHeight="1">
      <x:c r="A56" s="123">
        <x:v>47</x:v>
      </x:c>
      <x:c r="B56" s="123" t="s">
        <x:v>143</x:v>
      </x:c>
      <x:c r="C56" s="113" t="s">
        <x:v>366</x:v>
      </x:c>
      <x:c r="D56" s="112" t="s">
        <x:v>12</x:v>
      </x:c>
      <x:c r="E56" s="113" t="s">
        <x:v>512</x:v>
      </x:c>
      <x:c r="F56" s="113" t="s">
        <x:v>2619</x:v>
      </x:c>
      <x:c r="G56" s="113" t="s">
        <x:v>2620</x:v>
      </x:c>
    </x:row>
    <x:row r="57" ht="3.9000000953674316" customHeight="1">
      <x:c r="A57" s="123">
        <x:v>48</x:v>
      </x:c>
      <x:c r="B57" s="123" t="s">
        <x:v>143</x:v>
      </x:c>
      <x:c r="C57" s="113" t="s">
        <x:v>512</x:v>
      </x:c>
      <x:c r="D57" s="112" t="s">
        <x:v>53</x:v>
      </x:c>
      <x:c r="E57" s="113" t="s">
        <x:v>366</x:v>
      </x:c>
      <x:c r="F57" s="113" t="s">
        <x:v>2621</x:v>
      </x:c>
      <x:c r="G57" s="113" t="s">
        <x:v>2622</x:v>
      </x:c>
    </x:row>
    <x:row r="58" ht="3.9000000953674316" customHeight="1">
      <x:c r="A58" s="123">
        <x:v>49</x:v>
      </x:c>
      <x:c r="B58" s="123" t="s">
        <x:v>143</x:v>
      </x:c>
      <x:c r="C58" s="113" t="s">
        <x:v>366</x:v>
      </x:c>
      <x:c r="D58" s="114" t="s">
        <x:v>12</x:v>
      </x:c>
      <x:c r="E58" s="113" t="s">
        <x:v>908</x:v>
      </x:c>
      <x:c r="F58" s="113" t="s">
        <x:v>2623</x:v>
      </x:c>
      <x:c r="G58" s="113" t="s">
        <x:v>2624</x:v>
      </x:c>
    </x:row>
    <x:row r="59" ht="3.9000000953674316" customHeight="1">
      <x:c r="A59" s="123">
        <x:v>50</x:v>
      </x:c>
      <x:c r="B59" s="123" t="s">
        <x:v>143</x:v>
      </x:c>
      <x:c r="C59" s="113" t="s">
        <x:v>908</x:v>
      </x:c>
      <x:c r="D59" s="112" t="s">
        <x:v>12</x:v>
      </x:c>
      <x:c r="E59" s="113" t="s">
        <x:v>440</x:v>
      </x:c>
      <x:c r="F59" s="113" t="s">
        <x:v>2625</x:v>
      </x:c>
      <x:c r="G59" s="113" t="s">
        <x:v>2626</x:v>
      </x:c>
    </x:row>
    <x:row r="60" ht="3.9000000953674316" customHeight="1">
      <x:c r="A60" s="123">
        <x:v>51</x:v>
      </x:c>
      <x:c r="B60" s="123" t="s">
        <x:v>143</x:v>
      </x:c>
      <x:c r="C60" s="113" t="s">
        <x:v>440</x:v>
      </x:c>
      <x:c r="D60" s="112" t="s">
        <x:v>53</x:v>
      </x:c>
      <x:c r="E60" s="113" t="s">
        <x:v>908</x:v>
      </x:c>
      <x:c r="F60" s="113" t="s">
        <x:v>2627</x:v>
      </x:c>
      <x:c r="G60" s="113" t="s">
        <x:v>2628</x:v>
      </x:c>
    </x:row>
    <x:row r="61" ht="3.9000000953674316" customHeight="1">
      <x:c r="A61" s="123">
        <x:v>52</x:v>
      </x:c>
      <x:c r="B61" s="123" t="s">
        <x:v>143</x:v>
      </x:c>
      <x:c r="C61" s="113" t="s">
        <x:v>908</x:v>
      </x:c>
      <x:c r="D61" s="112" t="s">
        <x:v>53</x:v>
      </x:c>
      <x:c r="E61" s="113" t="s">
        <x:v>366</x:v>
      </x:c>
      <x:c r="F61" s="113" t="s">
        <x:v>2627</x:v>
      </x:c>
      <x:c r="G61" s="113" t="s">
        <x:v>2629</x:v>
      </x:c>
    </x:row>
    <x:row r="62" ht="3.9000000953674316" customHeight="1">
      <x:c r="A62" s="123">
        <x:v>53</x:v>
      </x:c>
      <x:c r="B62" s="123" t="s">
        <x:v>143</x:v>
      </x:c>
      <x:c r="C62" s="113" t="s">
        <x:v>366</x:v>
      </x:c>
      <x:c r="D62" s="112" t="s">
        <x:v>19</x:v>
      </x:c>
      <x:c r="E62" s="113" t="s">
        <x:v>366</x:v>
      </x:c>
      <x:c r="F62" s="113" t="s">
        <x:v>2630</x:v>
      </x:c>
      <x:c r="G62" s="211" t="s">
        <x:v>2631</x:v>
      </x:c>
    </x:row>
    <x:row r="63" ht="6.900000095367432" customHeight="1">
      <x:c r="A63" s="8">
        <x:v>54</x:v>
      </x:c>
      <x:c r="B63" s="8" t="s">
        <x:v>143</x:v>
      </x:c>
      <x:c r="C63" s="8" t="s">
        <x:v>366</x:v>
      </x:c>
      <x:c r="D63" s="8" t="s">
        <x:v>12</x:v>
      </x:c>
      <x:c r="E63" s="8" t="s">
        <x:v>380</x:v>
      </x:c>
      <x:c r="F63" s="8" t="s">
        <x:v>2632</x:v>
      </x:c>
      <x:c r="G63" s="8" t="s">
        <x:v>2633</x:v>
      </x:c>
    </x:row>
    <x:row r="64" ht="6.900000095367432" customHeight="1">
      <x:c r="A64" s="8">
        <x:v>55</x:v>
      </x:c>
      <x:c r="B64" s="8" t="s">
        <x:v>143</x:v>
      </x:c>
      <x:c r="C64" s="8" t="s">
        <x:v>380</x:v>
      </x:c>
      <x:c r="D64" s="8" t="s">
        <x:v>12</x:v>
      </x:c>
      <x:c r="E64" s="8" t="s">
        <x:v>802</x:v>
      </x:c>
      <x:c r="F64" s="8" t="s">
        <x:v>2634</x:v>
      </x:c>
      <x:c r="G64" s="8" t="s">
        <x:v>2635</x:v>
      </x:c>
    </x:row>
    <x:row r="65" ht="3.9000000953674316" customHeight="1">
      <x:c r="A65" s="8">
        <x:v>56</x:v>
      </x:c>
      <x:c r="B65" s="8" t="s">
        <x:v>143</x:v>
      </x:c>
      <x:c r="C65" s="8" t="s">
        <x:v>802</x:v>
      </x:c>
      <x:c r="D65" s="8" t="s">
        <x:v>53</x:v>
      </x:c>
      <x:c r="E65" s="8" t="s">
        <x:v>380</x:v>
      </x:c>
      <x:c r="F65" s="8" t="s">
        <x:v>2636</x:v>
      </x:c>
      <x:c r="G65" s="8" t="s">
        <x:v>2637</x:v>
      </x:c>
    </x:row>
    <x:row r="66" ht="3.9000000953674316" customHeight="1">
      <x:c r="A66" s="8">
        <x:v>57</x:v>
      </x:c>
      <x:c r="B66" s="8" t="s">
        <x:v>143</x:v>
      </x:c>
      <x:c r="C66" s="8" t="s">
        <x:v>380</x:v>
      </x:c>
      <x:c r="D66" s="8" t="s">
        <x:v>53</x:v>
      </x:c>
      <x:c r="E66" s="8" t="s">
        <x:v>366</x:v>
      </x:c>
      <x:c r="F66" s="8" t="s">
        <x:v>2638</x:v>
      </x:c>
      <x:c r="G66" s="8" t="s">
        <x:v>2639</x:v>
      </x:c>
    </x:row>
  </x:sheetData>
  <x:mergeCells>
    <x:mergeCell ref="A39:G39"/>
    <x:mergeCell ref="A45:G45"/>
    <x:mergeCell ref="A52:G52"/>
    <x:mergeCell ref="A1:G1"/>
    <x:mergeCell ref="A2:G2"/>
    <x:mergeCell ref="A4:G4"/>
    <x:mergeCell ref="A17:G17"/>
    <x:mergeCell ref="A33:G33"/>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baseColWidth="10" defaultColWidth="9.109375" defaultRowHeight="14.399999618530273"/>
  <x:cols>
    <x:col min="1" max="2" width="5" style="55" customWidth="1"/>
    <x:col min="3" max="3" width="24.44140625" style="52" customWidth="1"/>
    <x:col min="4" max="4" width="17.33203125" style="52" customWidth="1"/>
    <x:col min="5" max="5" width="25" style="52" customWidth="1"/>
    <x:col min="6" max="6" width="50.109375" style="52" customWidth="1"/>
    <x:col min="7" max="7" width="97.6640625" style="52" customWidth="1"/>
    <x:col min="8" max="8" width="58" style="52" hidden="0" customWidth="1"/>
    <x:col min="9" max="16384" width="9.109375" style="52" customWidth="0"/>
  </x:cols>
  <x:sheetData>
    <x:row r="1" ht="16.799999237060547" customHeight="1">
      <x:c r="A1" s="507" t="s">
        <x:v>2640</x:v>
      </x:c>
      <x:c r="B1" s="508"/>
      <x:c r="C1" s="447"/>
      <x:c r="D1" s="447"/>
      <x:c r="E1" s="447"/>
      <x:c r="F1" s="447"/>
      <x:c r="G1" s="447"/>
    </x:row>
    <x:row r="2" ht="14.399999618530273" customHeight="1">
      <x:c r="A2" s="509" t="s">
        <x:v>2641</x:v>
      </x:c>
      <x:c r="B2" s="508"/>
      <x:c r="C2" s="447"/>
      <x:c r="D2" s="447"/>
      <x:c r="E2" s="447"/>
      <x:c r="F2" s="447"/>
      <x:c r="G2" s="447"/>
    </x:row>
    <x:row r="3" s="55" customFormat="1" ht="24" customHeight="1">
      <x:c r="A3" s="56" t="s">
        <x:v>2</x:v>
      </x:c>
      <x:c r="B3" s="56" t="s">
        <x:v>3</x:v>
      </x:c>
      <x:c r="C3" s="56" t="s">
        <x:v>4</x:v>
      </x:c>
      <x:c r="D3" s="56" t="s">
        <x:v>5</x:v>
      </x:c>
      <x:c r="E3" s="56" t="s">
        <x:v>6</x:v>
      </x:c>
      <x:c r="F3" s="56" t="s">
        <x:v>7</x:v>
      </x:c>
      <x:c r="G3" s="56" t="s">
        <x:v>8</x:v>
      </x:c>
      <x:c r="H3" t="str">
        <x:v>CONDICIÓN RF65 (NO MVP)</x:v>
      </x:c>
    </x:row>
    <x:row r="4" ht="14.399999618530273" customHeight="1">
      <x:c r="A4" s="510" t="s">
        <x:v>2424</x:v>
      </x:c>
      <x:c r="B4" s="508"/>
      <x:c r="C4" s="447"/>
      <x:c r="D4" s="447"/>
      <x:c r="E4" s="447"/>
      <x:c r="F4" s="447"/>
      <x:c r="G4" s="447"/>
    </x:row>
    <x:row r="5" ht="14.399999618530273" customHeight="1">
      <x:c r="A5" s="57">
        <x:v>1</x:v>
      </x:c>
      <x:c r="B5" s="58" t="s">
        <x:v>10</x:v>
      </x:c>
      <x:c r="C5" s="59" t="s">
        <x:v>11</x:v>
      </x:c>
      <x:c r="D5" s="59" t="s">
        <x:v>319</x:v>
      </x:c>
      <x:c r="E5" s="59" t="s">
        <x:v>674</x:v>
      </x:c>
      <x:c r="F5" s="59" t="s">
        <x:v>2484</x:v>
      </x:c>
      <x:c r="G5" s="59" t="s">
        <x:v>2642</x:v>
      </x:c>
      <x:c r="H5" s="1071" t="str">
        <x:v>RF65 POST-MVP · CONDICIONADO A APROBACIÓN. Imagen vehículo: eliminar foto no es eliminar vehículo; impedir operaciones ordinarias sobre foto de vehículo ELIMINADO. Sin aprobación no aplicar filtros ni cambios de BD por RF65.</x:v>
      </x:c>
    </x:row>
    <x:row r="6" ht="14.399999618530273" customHeight="1">
      <x:c r="A6" s="60">
        <x:v>2</x:v>
      </x:c>
      <x:c r="B6" s="61" t="s">
        <x:v>10</x:v>
      </x:c>
      <x:c r="C6" s="59" t="s">
        <x:v>674</x:v>
      </x:c>
      <x:c r="D6" s="59" t="s">
        <x:v>319</x:v>
      </x:c>
      <x:c r="E6" s="59" t="s">
        <x:v>488</x:v>
      </x:c>
      <x:c r="F6" s="59" t="s">
        <x:v>2643</x:v>
      </x:c>
      <x:c r="G6" s="59" t="s">
        <x:v>2644</x:v>
      </x:c>
    </x:row>
    <x:row r="7" ht="14.399999618530273" customHeight="1">
      <x:c r="A7" s="60">
        <x:v>3</x:v>
      </x:c>
      <x:c r="B7" s="61" t="s">
        <x:v>10</x:v>
      </x:c>
      <x:c r="C7" s="59" t="s">
        <x:v>488</x:v>
      </x:c>
      <x:c r="D7" s="59" t="s">
        <x:v>319</x:v>
      </x:c>
      <x:c r="E7" s="59" t="s">
        <x:v>665</x:v>
      </x:c>
      <x:c r="F7" s="59" t="s">
        <x:v>666</x:v>
      </x:c>
      <x:c r="G7" s="59" t="s">
        <x:v>2645</x:v>
      </x:c>
    </x:row>
    <x:row r="8" ht="14.399999618530273" customHeight="1">
      <x:c r="A8" s="60">
        <x:v>4</x:v>
      </x:c>
      <x:c r="B8" s="61" t="s">
        <x:v>10</x:v>
      </x:c>
      <x:c r="C8" s="59" t="s">
        <x:v>665</x:v>
      </x:c>
      <x:c r="D8" s="59" t="s">
        <x:v>323</x:v>
      </x:c>
      <x:c r="E8" s="59" t="s">
        <x:v>488</x:v>
      </x:c>
      <x:c r="F8" s="59" t="s">
        <x:v>2489</x:v>
      </x:c>
      <x:c r="G8" s="59" t="s">
        <x:v>2646</x:v>
      </x:c>
    </x:row>
    <x:row r="9" ht="24" customHeight="1">
      <x:c r="A9" s="60">
        <x:v>5</x:v>
      </x:c>
      <x:c r="B9" s="61" t="s">
        <x:v>10</x:v>
      </x:c>
      <x:c r="C9" s="59" t="s">
        <x:v>488</x:v>
      </x:c>
      <x:c r="D9" s="59" t="s">
        <x:v>404</x:v>
      </x:c>
      <x:c r="E9" s="59" t="s">
        <x:v>488</x:v>
      </x:c>
      <x:c r="F9" s="59" t="s">
        <x:v>2647</x:v>
      </x:c>
      <x:c r="G9" s="59" t="s">
        <x:v>2648</x:v>
      </x:c>
    </x:row>
    <x:row r="10" ht="14.399999618530273" customHeight="1">
      <x:c r="A10" s="60">
        <x:v>6</x:v>
      </x:c>
      <x:c r="B10" s="61" t="s">
        <x:v>10</x:v>
      </x:c>
      <x:c r="C10" s="59" t="s">
        <x:v>488</x:v>
      </x:c>
      <x:c r="D10" s="59" t="s">
        <x:v>319</x:v>
      </x:c>
      <x:c r="E10" s="59" t="s">
        <x:v>2649</x:v>
      </x:c>
      <x:c r="F10" s="59" t="s">
        <x:v>2650</x:v>
      </x:c>
      <x:c r="G10" s="59" t="s">
        <x:v>2651</x:v>
      </x:c>
    </x:row>
    <x:row r="11" ht="14.399999618530273" customHeight="1">
      <x:c r="A11" s="60">
        <x:v>7</x:v>
      </x:c>
      <x:c r="B11" s="61" t="s">
        <x:v>10</x:v>
      </x:c>
      <x:c r="C11" s="59" t="s">
        <x:v>2649</x:v>
      </x:c>
      <x:c r="D11" s="59" t="s">
        <x:v>319</x:v>
      </x:c>
      <x:c r="E11" s="59" t="s">
        <x:v>11</x:v>
      </x:c>
      <x:c r="F11" s="59" t="s">
        <x:v>2652</x:v>
      </x:c>
      <x:c r="G11" s="59" t="s">
        <x:v>2653</x:v>
      </x:c>
    </x:row>
    <x:row r="12" ht="14.399999618530273" customHeight="1">
      <x:c r="A12" s="504" t="s">
        <x:v>2654</x:v>
      </x:c>
      <x:c r="B12" s="505"/>
      <x:c r="C12" s="506"/>
      <x:c r="D12" s="506"/>
      <x:c r="E12" s="506"/>
      <x:c r="F12" s="506"/>
      <x:c r="G12" s="506"/>
    </x:row>
    <x:row r="13" ht="14.399999618530273" customHeight="1">
      <x:c r="A13" s="60">
        <x:v>8</x:v>
      </x:c>
      <x:c r="B13" s="61" t="s">
        <x:v>33</x:v>
      </x:c>
      <x:c r="C13" s="59" t="s">
        <x:v>11</x:v>
      </x:c>
      <x:c r="D13" s="59" t="s">
        <x:v>319</x:v>
      </x:c>
      <x:c r="E13" s="59" t="s">
        <x:v>2649</x:v>
      </x:c>
      <x:c r="F13" s="59" t="s">
        <x:v>2655</x:v>
      </x:c>
      <x:c r="G13" s="59" t="s">
        <x:v>2656</x:v>
      </x:c>
    </x:row>
    <x:row r="14" ht="14.399999618530273" customHeight="1">
      <x:c r="A14" s="60">
        <x:v>9</x:v>
      </x:c>
      <x:c r="B14" s="61" t="s">
        <x:v>33</x:v>
      </x:c>
      <x:c r="C14" s="59" t="s">
        <x:v>2649</x:v>
      </x:c>
      <x:c r="D14" s="59" t="s">
        <x:v>319</x:v>
      </x:c>
      <x:c r="E14" s="59" t="s">
        <x:v>488</x:v>
      </x:c>
      <x:c r="F14" s="59" t="s">
        <x:v>2657</x:v>
      </x:c>
      <x:c r="G14" s="59" t="s">
        <x:v>2658</x:v>
      </x:c>
    </x:row>
    <x:row r="15" ht="14.399999618530273" customHeight="1">
      <x:c r="A15" s="60">
        <x:v>10</x:v>
      </x:c>
      <x:c r="B15" s="61" t="s">
        <x:v>33</x:v>
      </x:c>
      <x:c r="C15" s="59" t="s">
        <x:v>488</x:v>
      </x:c>
      <x:c r="D15" s="59" t="s">
        <x:v>319</x:v>
      </x:c>
      <x:c r="E15" s="59" t="s">
        <x:v>156</x:v>
      </x:c>
      <x:c r="F15" s="59" t="s">
        <x:v>2659</x:v>
      </x:c>
      <x:c r="G15" s="59" t="s">
        <x:v>2660</x:v>
      </x:c>
    </x:row>
    <x:row r="16" ht="14.399999618530273" customHeight="1">
      <x:c r="A16" s="56">
        <x:v>11</x:v>
      </x:c>
      <x:c r="B16" s="55" t="s">
        <x:v>33</x:v>
      </x:c>
      <x:c r="C16" s="52" t="s">
        <x:v>156</x:v>
      </x:c>
      <x:c r="D16" s="52" t="s">
        <x:v>319</x:v>
      </x:c>
      <x:c r="E16" s="52" t="s">
        <x:v>11</x:v>
      </x:c>
      <x:c r="F16" s="52" t="s">
        <x:v>2661</x:v>
      </x:c>
      <x:c r="G16" s="52" t="s">
        <x:v>2662</x:v>
      </x:c>
    </x:row>
    <x:row r="17" ht="14.399999618530273" customHeight="1">
      <x:c r="A17" s="57">
        <x:v>12</x:v>
      </x:c>
      <x:c r="B17" s="58" t="s">
        <x:v>33</x:v>
      </x:c>
      <x:c r="C17" s="59" t="s">
        <x:v>11</x:v>
      </x:c>
      <x:c r="D17" s="59" t="s">
        <x:v>319</x:v>
      </x:c>
      <x:c r="E17" s="59" t="s">
        <x:v>156</x:v>
      </x:c>
      <x:c r="F17" s="59" t="s">
        <x:v>2663</x:v>
      </x:c>
      <x:c r="G17" s="59" t="s">
        <x:v>2664</x:v>
      </x:c>
    </x:row>
    <x:row r="18" ht="14.399999618530273" customHeight="1">
      <x:c r="A18" s="60">
        <x:v>13</x:v>
      </x:c>
      <x:c r="B18" s="61" t="s">
        <x:v>33</x:v>
      </x:c>
      <x:c r="C18" s="59" t="s">
        <x:v>156</x:v>
      </x:c>
      <x:c r="D18" s="59" t="s">
        <x:v>319</x:v>
      </x:c>
      <x:c r="E18" s="59" t="s">
        <x:v>488</x:v>
      </x:c>
      <x:c r="F18" s="59" t="s">
        <x:v>2665</x:v>
      </x:c>
      <x:c r="G18" s="59" t="s">
        <x:v>2666</x:v>
      </x:c>
    </x:row>
    <x:row r="19" ht="14.399999618530273" customHeight="1">
      <x:c r="A19" s="504" t="s">
        <x:v>2667</x:v>
      </x:c>
      <x:c r="B19" s="505"/>
      <x:c r="C19" s="506"/>
      <x:c r="D19" s="506"/>
      <x:c r="E19" s="506"/>
      <x:c r="F19" s="506"/>
      <x:c r="G19" s="506"/>
    </x:row>
    <x:row r="20" ht="14.399999618530273" customHeight="1">
      <x:c r="A20" s="60">
        <x:v>14</x:v>
      </x:c>
      <x:c r="B20" s="61" t="s">
        <x:v>63</x:v>
      </x:c>
      <x:c r="C20" s="59" t="s">
        <x:v>488</x:v>
      </x:c>
      <x:c r="D20" s="59" t="s">
        <x:v>319</x:v>
      </x:c>
      <x:c r="E20" s="59" t="s">
        <x:v>665</x:v>
      </x:c>
      <x:c r="F20" s="59" t="s">
        <x:v>2668</x:v>
      </x:c>
      <x:c r="G20" s="59" t="s">
        <x:v>2669</x:v>
      </x:c>
    </x:row>
    <x:row r="21" ht="14.399999618530273" customHeight="1">
      <x:c r="A21" s="60">
        <x:v>15</x:v>
      </x:c>
      <x:c r="B21" s="61" t="s">
        <x:v>63</x:v>
      </x:c>
      <x:c r="C21" s="59" t="s">
        <x:v>665</x:v>
      </x:c>
      <x:c r="D21" s="59" t="s">
        <x:v>323</x:v>
      </x:c>
      <x:c r="E21" s="59" t="s">
        <x:v>488</x:v>
      </x:c>
      <x:c r="F21" s="59" t="s">
        <x:v>2670</x:v>
      </x:c>
      <x:c r="G21" s="59" t="s">
        <x:v>2671</x:v>
      </x:c>
    </x:row>
    <x:row r="22" ht="14.399999618530273" customHeight="1">
      <x:c r="A22" s="60">
        <x:v>16</x:v>
      </x:c>
      <x:c r="B22" s="61" t="s">
        <x:v>63</x:v>
      </x:c>
      <x:c r="C22" s="59" t="s">
        <x:v>488</x:v>
      </x:c>
      <x:c r="D22" s="59" t="s">
        <x:v>404</x:v>
      </x:c>
      <x:c r="E22" s="59" t="s">
        <x:v>488</x:v>
      </x:c>
      <x:c r="F22" s="59" t="s">
        <x:v>2672</x:v>
      </x:c>
      <x:c r="G22" s="59" t="s">
        <x:v>2673</x:v>
      </x:c>
    </x:row>
    <x:row r="23" ht="14.399999618530273" customHeight="1">
      <x:c r="A23" s="56">
        <x:v>17</x:v>
      </x:c>
      <x:c r="B23" s="55" t="s">
        <x:v>63</x:v>
      </x:c>
      <x:c r="C23" s="52" t="s">
        <x:v>488</x:v>
      </x:c>
      <x:c r="D23" s="52" t="s">
        <x:v>319</x:v>
      </x:c>
      <x:c r="E23" s="52" t="s">
        <x:v>156</x:v>
      </x:c>
      <x:c r="F23" s="52" t="s">
        <x:v>2674</x:v>
      </x:c>
      <x:c r="G23" s="52" t="s">
        <x:v>2675</x:v>
      </x:c>
    </x:row>
    <x:row r="24" ht="14.399999618530273" customHeight="1">
      <x:c r="A24" s="57">
        <x:v>18</x:v>
      </x:c>
      <x:c r="B24" s="58" t="s">
        <x:v>63</x:v>
      </x:c>
      <x:c r="C24" s="59" t="s">
        <x:v>156</x:v>
      </x:c>
      <x:c r="D24" s="59" t="s">
        <x:v>319</x:v>
      </x:c>
      <x:c r="E24" s="59" t="s">
        <x:v>11</x:v>
      </x:c>
      <x:c r="F24" s="59" t="s">
        <x:v>2676</x:v>
      </x:c>
      <x:c r="G24" s="59" t="s">
        <x:v>2677</x:v>
      </x:c>
    </x:row>
    <x:row r="25" ht="14.399999618530273" customHeight="1">
      <x:c r="A25" s="60">
        <x:v>19</x:v>
      </x:c>
      <x:c r="B25" s="61" t="s">
        <x:v>63</x:v>
      </x:c>
      <x:c r="C25" s="59" t="s">
        <x:v>11</x:v>
      </x:c>
      <x:c r="D25" s="59" t="s">
        <x:v>319</x:v>
      </x:c>
      <x:c r="E25" s="59" t="s">
        <x:v>156</x:v>
      </x:c>
      <x:c r="F25" s="59" t="s">
        <x:v>812</x:v>
      </x:c>
      <x:c r="G25" s="59" t="s">
        <x:v>2678</x:v>
      </x:c>
    </x:row>
    <x:row r="26" ht="14.399999618530273" customHeight="1">
      <x:c r="A26" s="60">
        <x:v>20</x:v>
      </x:c>
      <x:c r="B26" s="61" t="s">
        <x:v>63</x:v>
      </x:c>
      <x:c r="C26" s="59" t="s">
        <x:v>156</x:v>
      </x:c>
      <x:c r="D26" s="59" t="s">
        <x:v>319</x:v>
      </x:c>
      <x:c r="E26" s="59" t="s">
        <x:v>488</x:v>
      </x:c>
      <x:c r="F26" s="59" t="s">
        <x:v>2474</x:v>
      </x:c>
      <x:c r="G26" s="59" t="s">
        <x:v>2679</x:v>
      </x:c>
    </x:row>
    <x:row r="27" ht="14.399999618530273" customHeight="1">
      <x:c r="A27" s="504" t="s">
        <x:v>2680</x:v>
      </x:c>
      <x:c r="B27" s="505"/>
      <x:c r="C27" s="506"/>
      <x:c r="D27" s="506"/>
      <x:c r="E27" s="506"/>
      <x:c r="F27" s="506"/>
      <x:c r="G27" s="506"/>
    </x:row>
    <x:row r="28" ht="14.399999618530273" customHeight="1">
      <x:c r="A28" s="60">
        <x:v>21</x:v>
      </x:c>
      <x:c r="B28" s="61" t="s">
        <x:v>81</x:v>
      </x:c>
      <x:c r="C28" s="59" t="s">
        <x:v>488</x:v>
      </x:c>
      <x:c r="D28" s="59" t="s">
        <x:v>319</x:v>
      </x:c>
      <x:c r="E28" s="59" t="s">
        <x:v>629</x:v>
      </x:c>
      <x:c r="F28" s="59" t="s">
        <x:v>2476</x:v>
      </x:c>
      <x:c r="G28" s="59" t="s">
        <x:v>2681</x:v>
      </x:c>
    </x:row>
    <x:row r="29" ht="14.399999618530273" customHeight="1">
      <x:c r="A29" s="60">
        <x:v>22</x:v>
      </x:c>
      <x:c r="B29" s="61" t="s">
        <x:v>81</x:v>
      </x:c>
      <x:c r="C29" s="59" t="s">
        <x:v>629</x:v>
      </x:c>
      <x:c r="D29" s="59" t="s">
        <x:v>323</x:v>
      </x:c>
      <x:c r="E29" s="59" t="s">
        <x:v>488</x:v>
      </x:c>
      <x:c r="F29" s="59" t="s">
        <x:v>728</x:v>
      </x:c>
      <x:c r="G29" s="59" t="s">
        <x:v>2682</x:v>
      </x:c>
    </x:row>
    <x:row r="30" ht="26.399999618530273" customHeight="1">
      <x:c r="A30" s="56">
        <x:v>23</x:v>
      </x:c>
      <x:c r="B30" s="55" t="s">
        <x:v>81</x:v>
      </x:c>
      <x:c r="C30" s="52" t="s">
        <x:v>488</x:v>
      </x:c>
      <x:c r="D30" s="52" t="s">
        <x:v>319</x:v>
      </x:c>
      <x:c r="E30" s="52" t="s">
        <x:v>674</x:v>
      </x:c>
      <x:c r="F30" s="52" t="s">
        <x:v>730</x:v>
      </x:c>
      <x:c r="G30" s="52" t="s">
        <x:v>2683</x:v>
      </x:c>
    </x:row>
    <x:row r="31" ht="14.399999618530273" customHeight="1">
      <x:c r="A31" s="57">
        <x:v>24</x:v>
      </x:c>
      <x:c r="B31" s="58" t="s">
        <x:v>81</x:v>
      </x:c>
      <x:c r="C31" s="59" t="s">
        <x:v>674</x:v>
      </x:c>
      <x:c r="D31" s="59" t="s">
        <x:v>319</x:v>
      </x:c>
      <x:c r="E31" s="59" t="s">
        <x:v>11</x:v>
      </x:c>
      <x:c r="F31" s="59" t="s">
        <x:v>2684</x:v>
      </x:c>
      <x:c r="G31" s="59" t="s">
        <x:v>2685</x:v>
      </x:c>
    </x:row>
    <x:row r="32">
      <x:c r="A32" s="60"/>
      <x:c r="B32" s="61"/>
      <x:c r="C32" s="59"/>
      <x:c r="D32" s="59"/>
      <x:c r="E32" s="59"/>
      <x:c r="F32" s="59"/>
      <x:c r="G32" s="59"/>
    </x:row>
    <x:row r="33" ht="26.399999618530273" customHeight="1">
      <x:c r="A33" s="60"/>
      <x:c r="B33" s="61"/>
      <x:c r="C33" s="59"/>
      <x:c r="D33" s="59"/>
      <x:c r="E33" s="59"/>
      <x:c r="F33" s="59"/>
      <x:c r="G33" s="59"/>
    </x:row>
    <x:row r="34">
      <x:c r="A34" s="60"/>
      <x:c r="B34" s="61"/>
      <x:c r="C34" s="59"/>
      <x:c r="D34" s="59"/>
      <x:c r="E34" s="59"/>
      <x:c r="F34" s="59"/>
      <x:c r="G34" s="59"/>
    </x:row>
    <x:row r="35">
      <x:c r="A35" s="60"/>
      <x:c r="B35" s="61"/>
      <x:c r="C35" s="59"/>
      <x:c r="D35" s="59"/>
      <x:c r="E35" s="59"/>
      <x:c r="F35" s="59"/>
      <x:c r="G35" s="59"/>
    </x:row>
    <x:row r="36">
      <x:c r="A36" s="60"/>
      <x:c r="B36" s="61"/>
      <x:c r="C36" s="59"/>
      <x:c r="D36" s="59"/>
      <x:c r="E36" s="59"/>
      <x:c r="F36" s="59"/>
      <x:c r="G36" s="59"/>
    </x:row>
    <x:row r="37">
      <x:c r="A37" s="60"/>
      <x:c r="B37" s="61"/>
      <x:c r="C37" s="59"/>
      <x:c r="D37" s="59"/>
      <x:c r="E37" s="59"/>
      <x:c r="F37" s="59"/>
      <x:c r="G37" s="59"/>
    </x:row>
    <x:row r="38">
      <x:c r="A38" s="104"/>
    </x:row>
    <x:row r="39">
      <x:c r="A39" s="57"/>
      <x:c r="B39" s="58"/>
      <x:c r="C39" s="59"/>
      <x:c r="D39" s="59"/>
      <x:c r="E39" s="59"/>
      <x:c r="F39" s="59"/>
      <x:c r="G39" s="59"/>
    </x:row>
    <x:row r="40">
      <x:c r="A40" s="60"/>
      <x:c r="B40" s="61"/>
      <x:c r="C40" s="59"/>
      <x:c r="D40" s="59"/>
      <x:c r="E40" s="59"/>
      <x:c r="F40" s="59"/>
      <x:c r="G40" s="59"/>
    </x:row>
    <x:row r="41">
      <x:c r="A41" s="60"/>
      <x:c r="B41" s="61"/>
      <x:c r="C41" s="59"/>
      <x:c r="D41" s="59"/>
      <x:c r="E41" s="59"/>
      <x:c r="F41" s="59"/>
      <x:c r="G41" s="59"/>
    </x:row>
    <x:row r="42">
      <x:c r="A42" s="60"/>
      <x:c r="B42" s="61"/>
      <x:c r="C42" s="59"/>
      <x:c r="D42" s="59"/>
      <x:c r="E42" s="59"/>
      <x:c r="F42" s="59"/>
      <x:c r="G42" s="59"/>
    </x:row>
    <x:row r="43">
      <x:c r="A43" s="60"/>
      <x:c r="B43" s="61"/>
      <x:c r="C43" s="59"/>
      <x:c r="D43" s="59"/>
      <x:c r="E43" s="59"/>
      <x:c r="F43" s="59"/>
      <x:c r="G43" s="59"/>
    </x:row>
    <x:row r="44" ht="26.399999618530273" customHeight="1">
      <x:c r="A44" s="60"/>
      <x:c r="B44" s="61"/>
      <x:c r="C44" s="59"/>
      <x:c r="D44" s="59"/>
      <x:c r="E44" s="59"/>
      <x:c r="F44" s="59"/>
      <x:c r="G44" s="59"/>
    </x:row>
    <x:row r="45">
      <x:c r="A45" s="60"/>
      <x:c r="B45" s="61"/>
      <x:c r="C45" s="59"/>
      <x:c r="D45" s="59"/>
      <x:c r="E45" s="59"/>
      <x:c r="F45" s="59"/>
      <x:c r="G45" s="59"/>
    </x:row>
    <x:row r="46" ht="26.399999618530273" customHeight="1">
      <x:c r="A46" s="60"/>
      <x:c r="B46" s="61"/>
      <x:c r="C46" s="59"/>
      <x:c r="D46" s="59"/>
      <x:c r="E46" s="59"/>
      <x:c r="F46" s="59"/>
      <x:c r="G46" s="59"/>
    </x:row>
    <x:row r="47" ht="26.399999618530273" customHeight="1">
      <x:c r="A47" s="60"/>
      <x:c r="B47" s="61"/>
      <x:c r="C47" s="59"/>
      <x:c r="D47" s="59"/>
      <x:c r="E47" s="59"/>
      <x:c r="F47" s="59"/>
      <x:c r="G47" s="59"/>
    </x:row>
    <x:row r="48">
      <x:c r="A48" s="60"/>
      <x:c r="B48" s="61"/>
      <x:c r="C48" s="59"/>
      <x:c r="D48" s="59"/>
      <x:c r="E48" s="59"/>
      <x:c r="F48" s="59"/>
      <x:c r="G48" s="59"/>
    </x:row>
  </x:sheetData>
  <x:mergeCells>
    <x:mergeCell ref="A27:G27"/>
    <x:mergeCell ref="A1:G1"/>
    <x:mergeCell ref="A2:G2"/>
    <x:mergeCell ref="A4:G4"/>
    <x:mergeCell ref="A12:G12"/>
    <x:mergeCell ref="A19:G19"/>
  </x:mergeCells>
  <x:pageMargins left="0.7" right="0.7" top="0.75" bottom="0.75" header="0.3" footer="0.3"/>
</x:worksheet>
</file>

<file path=xl/worksheets/sheet43.xml><?xml version="1.0" encoding="utf-8"?>
<x:worksheet xmlns:x="http://schemas.openxmlformats.org/spreadsheetml/2006/main">
  <x:sheetFormatPr baseColWidth="10" defaultColWidth="8.88671875" defaultRowHeight="14.399999618530273"/>
  <x:cols>
    <x:col min="1" max="1" width="7" customWidth="1"/>
    <x:col min="2" max="2" width="8" customWidth="1"/>
    <x:col min="3" max="3" width="27" customWidth="1"/>
    <x:col min="4" max="4" width="18" customWidth="1"/>
    <x:col min="5" max="5" width="30" customWidth="1"/>
    <x:col min="6" max="6" width="48" customWidth="1"/>
    <x:col min="7" max="7" width="92" customWidth="1"/>
    <x:col min="8" max="8" width="58" hidden="0" customWidth="1"/>
  </x:cols>
  <x:sheetData>
    <x:row r="1" ht="3.9000000953674316" customHeight="1">
      <x:c r="A1" s="470" t="s">
        <x:v>2686</x:v>
      </x:c>
      <x:c r="B1" s="451"/>
      <x:c r="C1" s="451"/>
      <x:c r="D1" s="451"/>
      <x:c r="E1" s="451"/>
      <x:c r="F1" s="451"/>
      <x:c r="G1" s="451"/>
    </x:row>
    <x:row r="2" ht="3.9000000953674316" customHeight="1">
      <x:c r="A2" s="471" t="s">
        <x:v>2687</x:v>
      </x:c>
      <x:c r="B2" s="451"/>
      <x:c r="C2" s="451"/>
      <x:c r="D2" s="451"/>
      <x:c r="E2" s="451"/>
      <x:c r="F2" s="451"/>
      <x:c r="G2" s="451"/>
    </x:row>
    <x:row r="3" ht="3.9000000953674316" customHeight="1">
      <x:c r="A3" s="120" t="s">
        <x:v>2</x:v>
      </x:c>
      <x:c r="B3" s="120" t="s">
        <x:v>3</x:v>
      </x:c>
      <x:c r="C3" s="120" t="s">
        <x:v>4</x:v>
      </x:c>
      <x:c r="D3" s="120" t="s">
        <x:v>5</x:v>
      </x:c>
      <x:c r="E3" s="120" t="s">
        <x:v>6</x:v>
      </x:c>
      <x:c r="F3" s="120" t="s">
        <x:v>7</x:v>
      </x:c>
      <x:c r="G3" s="121" t="s">
        <x:v>8</x:v>
      </x:c>
      <x:c r="H3" t="str">
        <x:v>CONDICIÓN RF65 (NO MVP)</x:v>
      </x:c>
    </x:row>
    <x:row r="4" ht="3.9000000953674316" customHeight="1">
      <x:c r="A4" s="472" t="s">
        <x:v>2688</x:v>
      </x:c>
      <x:c r="B4" s="454"/>
      <x:c r="C4" s="454"/>
      <x:c r="D4" s="454"/>
      <x:c r="E4" s="454"/>
      <x:c r="F4" s="454"/>
      <x:c r="G4" s="454"/>
    </x:row>
    <x:row r="5" ht="3.9000000953674316" customHeight="1">
      <x:c r="A5" s="139">
        <x:v>1</x:v>
      </x:c>
      <x:c r="B5" s="139" t="s">
        <x:v>10</x:v>
      </x:c>
      <x:c r="C5" s="124" t="s">
        <x:v>11</x:v>
      </x:c>
      <x:c r="D5" s="110" t="s">
        <x:v>12</x:v>
      </x:c>
      <x:c r="E5" s="124" t="s">
        <x:v>164</x:v>
      </x:c>
      <x:c r="F5" s="125" t="s">
        <x:v>2689</x:v>
      </x:c>
      <x:c r="G5" s="126" t="s">
        <x:v>2690</x:v>
      </x:c>
      <x:c r="H5" s="1071" t="str">
        <x:v>RF65 POST-MVP · CONDICIONADO A APROBACIÓN. Notificaciones: no emitir avisos de vehículos ELIMINADOS; separar licencias personales. En MVP no existe motor autónomo de RF23 ni E_Notificacion. Sin aprobación no aplicar filtros ni cambios de BD por RF65.</x:v>
      </x:c>
    </x:row>
    <x:row r="6" ht="3.9000000953674316" customHeight="1">
      <x:c r="A6" s="139">
        <x:v>2</x:v>
      </x:c>
      <x:c r="B6" s="139" t="s">
        <x:v>10</x:v>
      </x:c>
      <x:c r="C6" s="127" t="s">
        <x:v>164</x:v>
      </x:c>
      <x:c r="D6" s="111" t="s">
        <x:v>12</x:v>
      </x:c>
      <x:c r="E6" s="127" t="s">
        <x:v>380</x:v>
      </x:c>
      <x:c r="F6" s="128" t="s">
        <x:v>2691</x:v>
      </x:c>
      <x:c r="G6" s="129" t="s">
        <x:v>2692</x:v>
      </x:c>
    </x:row>
    <x:row r="7" ht="3.9000000953674316" customHeight="1">
      <x:c r="A7" s="139">
        <x:v>3</x:v>
      </x:c>
      <x:c r="B7" s="139" t="s">
        <x:v>10</x:v>
      </x:c>
      <x:c r="C7" s="127" t="s">
        <x:v>380</x:v>
      </x:c>
      <x:c r="D7" s="112" t="s">
        <x:v>12</x:v>
      </x:c>
      <x:c r="E7" s="127" t="s">
        <x:v>802</x:v>
      </x:c>
      <x:c r="F7" s="128" t="s">
        <x:v>2693</x:v>
      </x:c>
      <x:c r="G7" s="129" t="s">
        <x:v>2694</x:v>
      </x:c>
    </x:row>
    <x:row r="8" ht="3.9000000953674316" customHeight="1">
      <x:c r="A8" s="139">
        <x:v>4</x:v>
      </x:c>
      <x:c r="B8" s="139" t="s">
        <x:v>10</x:v>
      </x:c>
      <x:c r="C8" s="127" t="s">
        <x:v>802</x:v>
      </x:c>
      <x:c r="D8" s="114" t="s">
        <x:v>53</x:v>
      </x:c>
      <x:c r="E8" s="127" t="s">
        <x:v>380</x:v>
      </x:c>
      <x:c r="F8" s="128" t="s">
        <x:v>2695</x:v>
      </x:c>
      <x:c r="G8" s="129" t="s">
        <x:v>2696</x:v>
      </x:c>
    </x:row>
    <x:row r="9" ht="3.9000000953674316" customHeight="1">
      <x:c r="A9" s="500" t="s">
        <x:v>2697</x:v>
      </x:c>
      <x:c r="B9" s="501"/>
      <x:c r="C9" s="501"/>
      <x:c r="D9" s="501"/>
      <x:c r="E9" s="501"/>
      <x:c r="F9" s="501"/>
      <x:c r="G9" s="502"/>
    </x:row>
    <x:row r="10" ht="6.300000190734863" customHeight="1">
      <x:c r="A10" s="139">
        <x:v>5</x:v>
      </x:c>
      <x:c r="B10" s="139" t="s">
        <x:v>33</x:v>
      </x:c>
      <x:c r="C10" s="127" t="s">
        <x:v>380</x:v>
      </x:c>
      <x:c r="D10" s="112" t="s">
        <x:v>12</x:v>
      </x:c>
      <x:c r="E10" s="127" t="s">
        <x:v>373</x:v>
      </x:c>
      <x:c r="F10" s="128" t="s">
        <x:v>2698</x:v>
      </x:c>
      <x:c r="G10" s="129" t="s">
        <x:v>2699</x:v>
      </x:c>
    </x:row>
    <x:row r="11" ht="3.9000000953674316" customHeight="1">
      <x:c r="A11" s="139">
        <x:v>6</x:v>
      </x:c>
      <x:c r="B11" s="139" t="s">
        <x:v>33</x:v>
      </x:c>
      <x:c r="C11" s="127" t="s">
        <x:v>373</x:v>
      </x:c>
      <x:c r="D11" s="112" t="s">
        <x:v>12</x:v>
      </x:c>
      <x:c r="E11" s="127" t="s">
        <x:v>791</x:v>
      </x:c>
      <x:c r="F11" s="128" t="s">
        <x:v>2700</x:v>
      </x:c>
      <x:c r="G11" s="129" t="s">
        <x:v>2701</x:v>
      </x:c>
    </x:row>
    <x:row r="12" ht="3.9000000953674316" customHeight="1">
      <x:c r="A12" s="139">
        <x:v>7</x:v>
      </x:c>
      <x:c r="B12" s="139" t="s">
        <x:v>33</x:v>
      </x:c>
      <x:c r="C12" s="127" t="s">
        <x:v>791</x:v>
      </x:c>
      <x:c r="D12" s="114" t="s">
        <x:v>53</x:v>
      </x:c>
      <x:c r="E12" s="127" t="s">
        <x:v>373</x:v>
      </x:c>
      <x:c r="F12" s="128" t="s">
        <x:v>2702</x:v>
      </x:c>
      <x:c r="G12" s="129" t="s">
        <x:v>2703</x:v>
      </x:c>
    </x:row>
    <x:row r="13" ht="3.9000000953674316" customHeight="1">
      <x:c r="A13" s="139">
        <x:v>8</x:v>
      </x:c>
      <x:c r="B13" s="139" t="s">
        <x:v>33</x:v>
      </x:c>
      <x:c r="C13" s="130" t="s">
        <x:v>373</x:v>
      </x:c>
      <x:c r="D13" s="131" t="s">
        <x:v>53</x:v>
      </x:c>
      <x:c r="E13" s="130" t="s">
        <x:v>380</x:v>
      </x:c>
      <x:c r="F13" s="130" t="s">
        <x:v>2704</x:v>
      </x:c>
      <x:c r="G13" s="130" t="s">
        <x:v>2705</x:v>
      </x:c>
    </x:row>
    <x:row r="14" ht="9.300000190734863" customHeight="1">
      <x:c r="A14" s="139">
        <x:v>9</x:v>
      </x:c>
      <x:c r="B14" s="139" t="s">
        <x:v>33</x:v>
      </x:c>
      <x:c r="C14" s="124" t="s">
        <x:v>380</x:v>
      </x:c>
      <x:c r="D14" s="112" t="s">
        <x:v>19</x:v>
      </x:c>
      <x:c r="E14" s="124" t="s">
        <x:v>380</x:v>
      </x:c>
      <x:c r="F14" s="125" t="s">
        <x:v>2706</x:v>
      </x:c>
      <x:c r="G14" s="126" t="s">
        <x:v>2707</x:v>
      </x:c>
    </x:row>
    <x:row r="15" ht="9.300000190734863" customHeight="1">
      <x:c r="A15" s="139">
        <x:v>10</x:v>
      </x:c>
      <x:c r="B15" s="139" t="s">
        <x:v>33</x:v>
      </x:c>
      <x:c r="C15" s="127" t="s">
        <x:v>380</x:v>
      </x:c>
      <x:c r="D15" s="112" t="s">
        <x:v>12</x:v>
      </x:c>
      <x:c r="E15" s="127" t="s">
        <x:v>802</x:v>
      </x:c>
      <x:c r="F15" s="128" t="s">
        <x:v>2708</x:v>
      </x:c>
      <x:c r="G15" s="129" t="s">
        <x:v>2709</x:v>
      </x:c>
    </x:row>
    <x:row r="16" ht="3.9000000953674316" customHeight="1">
      <x:c r="A16" s="139">
        <x:v>11</x:v>
      </x:c>
      <x:c r="B16" s="139" t="s">
        <x:v>33</x:v>
      </x:c>
      <x:c r="C16" s="127" t="s">
        <x:v>802</x:v>
      </x:c>
      <x:c r="D16" s="114" t="s">
        <x:v>53</x:v>
      </x:c>
      <x:c r="E16" s="127" t="s">
        <x:v>380</x:v>
      </x:c>
      <x:c r="F16" s="128" t="s">
        <x:v>2710</x:v>
      </x:c>
      <x:c r="G16" s="129" t="s">
        <x:v>2711</x:v>
      </x:c>
    </x:row>
    <x:row r="17" ht="3.9000000953674316" customHeight="1">
      <x:c r="A17" s="500" t="s">
        <x:v>2712</x:v>
      </x:c>
      <x:c r="B17" s="501"/>
      <x:c r="C17" s="501"/>
      <x:c r="D17" s="501"/>
      <x:c r="E17" s="501"/>
      <x:c r="F17" s="501"/>
      <x:c r="G17" s="502"/>
    </x:row>
    <x:row r="18" ht="3.9000000953674316" customHeight="1">
      <x:c r="A18" s="139">
        <x:v>12</x:v>
      </x:c>
      <x:c r="B18" s="139" t="s">
        <x:v>63</x:v>
      </x:c>
      <x:c r="C18" s="127" t="s">
        <x:v>380</x:v>
      </x:c>
      <x:c r="D18" s="112" t="s">
        <x:v>12</x:v>
      </x:c>
      <x:c r="E18" s="127" t="s">
        <x:v>802</x:v>
      </x:c>
      <x:c r="F18" s="128" t="s">
        <x:v>2713</x:v>
      </x:c>
      <x:c r="G18" s="129" t="s">
        <x:v>2714</x:v>
      </x:c>
    </x:row>
    <x:row r="19" ht="3.9000000953674316" customHeight="1">
      <x:c r="A19" s="139">
        <x:v>13</x:v>
      </x:c>
      <x:c r="B19" s="139" t="s">
        <x:v>63</x:v>
      </x:c>
      <x:c r="C19" s="127" t="s">
        <x:v>802</x:v>
      </x:c>
      <x:c r="D19" s="114" t="s">
        <x:v>53</x:v>
      </x:c>
      <x:c r="E19" s="127" t="s">
        <x:v>380</x:v>
      </x:c>
      <x:c r="F19" s="128" t="s">
        <x:v>2715</x:v>
      </x:c>
      <x:c r="G19" s="129" t="s">
        <x:v>2716</x:v>
      </x:c>
    </x:row>
    <x:row r="20" ht="3.9000000953674316" customHeight="1">
      <x:c r="A20" s="139">
        <x:v>14</x:v>
      </x:c>
      <x:c r="B20" s="139" t="s">
        <x:v>63</x:v>
      </x:c>
      <x:c r="C20" s="127" t="s">
        <x:v>380</x:v>
      </x:c>
      <x:c r="D20" s="112" t="s">
        <x:v>19</x:v>
      </x:c>
      <x:c r="E20" s="127" t="s">
        <x:v>380</x:v>
      </x:c>
      <x:c r="F20" s="128" t="s">
        <x:v>2717</x:v>
      </x:c>
      <x:c r="G20" s="129" t="s">
        <x:v>2718</x:v>
      </x:c>
    </x:row>
    <x:row r="21" ht="6.300000190734863" customHeight="1">
      <x:c r="A21" s="139">
        <x:v>15</x:v>
      </x:c>
      <x:c r="B21" s="139" t="s">
        <x:v>63</x:v>
      </x:c>
      <x:c r="C21" s="127" t="s">
        <x:v>380</x:v>
      </x:c>
      <x:c r="D21" s="112" t="s">
        <x:v>12</x:v>
      </x:c>
      <x:c r="E21" s="127" t="s">
        <x:v>2719</x:v>
      </x:c>
      <x:c r="F21" s="128" t="s">
        <x:v>2720</x:v>
      </x:c>
      <x:c r="G21" s="129" t="s">
        <x:v>2721</x:v>
      </x:c>
    </x:row>
    <x:row r="22" ht="3.9000000953674316" customHeight="1">
      <x:c r="A22" s="139">
        <x:v>16</x:v>
      </x:c>
      <x:c r="B22" s="139" t="s">
        <x:v>63</x:v>
      </x:c>
      <x:c r="C22" s="127" t="s">
        <x:v>2719</x:v>
      </x:c>
      <x:c r="D22" s="111" t="s">
        <x:v>12</x:v>
      </x:c>
      <x:c r="E22" s="127" t="s">
        <x:v>11</x:v>
      </x:c>
      <x:c r="F22" s="128" t="s">
        <x:v>2722</x:v>
      </x:c>
      <x:c r="G22" s="129" t="s">
        <x:v>2723</x:v>
      </x:c>
    </x:row>
    <x:row r="23" ht="3.9000000953674316" customHeight="1">
      <x:c r="A23" s="500" t="s">
        <x:v>2724</x:v>
      </x:c>
      <x:c r="B23" s="501"/>
      <x:c r="C23" s="501"/>
      <x:c r="D23" s="501"/>
      <x:c r="E23" s="501"/>
      <x:c r="F23" s="501"/>
      <x:c r="G23" s="502"/>
    </x:row>
    <x:row r="24" ht="3.9000000953674316" customHeight="1">
      <x:c r="A24" s="139">
        <x:v>17</x:v>
      </x:c>
      <x:c r="B24" s="139" t="s">
        <x:v>81</x:v>
      </x:c>
      <x:c r="C24" s="130" t="s">
        <x:v>11</x:v>
      </x:c>
      <x:c r="D24" s="130" t="s">
        <x:v>12</x:v>
      </x:c>
      <x:c r="E24" s="130" t="s">
        <x:v>2719</x:v>
      </x:c>
      <x:c r="F24" s="130" t="s">
        <x:v>2725</x:v>
      </x:c>
      <x:c r="G24" s="130" t="s">
        <x:v>2726</x:v>
      </x:c>
    </x:row>
    <x:row r="25" ht="3.9000000953674316" customHeight="1">
      <x:c r="A25" s="139">
        <x:v>18</x:v>
      </x:c>
      <x:c r="B25" s="139" t="s">
        <x:v>81</x:v>
      </x:c>
      <x:c r="C25" s="124" t="s">
        <x:v>2719</x:v>
      </x:c>
      <x:c r="D25" s="111" t="s">
        <x:v>12</x:v>
      </x:c>
      <x:c r="E25" s="124" t="s">
        <x:v>380</x:v>
      </x:c>
      <x:c r="F25" s="125" t="s">
        <x:v>2727</x:v>
      </x:c>
      <x:c r="G25" s="126" t="s">
        <x:v>2728</x:v>
      </x:c>
    </x:row>
    <x:row r="26" ht="3.9000000953674316" customHeight="1">
      <x:c r="A26" s="139">
        <x:v>19</x:v>
      </x:c>
      <x:c r="B26" s="139" t="s">
        <x:v>81</x:v>
      </x:c>
      <x:c r="C26" s="127" t="s">
        <x:v>380</x:v>
      </x:c>
      <x:c r="D26" s="112" t="s">
        <x:v>12</x:v>
      </x:c>
      <x:c r="E26" s="127" t="s">
        <x:v>802</x:v>
      </x:c>
      <x:c r="F26" s="128" t="s">
        <x:v>2729</x:v>
      </x:c>
      <x:c r="G26" s="129" t="s">
        <x:v>2730</x:v>
      </x:c>
    </x:row>
    <x:row r="27" ht="3.9000000953674316" customHeight="1">
      <x:c r="A27" s="139">
        <x:v>20</x:v>
      </x:c>
      <x:c r="B27" s="139" t="s">
        <x:v>81</x:v>
      </x:c>
      <x:c r="C27" s="127" t="s">
        <x:v>802</x:v>
      </x:c>
      <x:c r="D27" s="114" t="s">
        <x:v>53</x:v>
      </x:c>
      <x:c r="E27" s="127" t="s">
        <x:v>380</x:v>
      </x:c>
      <x:c r="F27" s="128" t="s">
        <x:v>2731</x:v>
      </x:c>
      <x:c r="G27" s="129" t="s">
        <x:v>2732</x:v>
      </x:c>
    </x:row>
    <x:row r="28" ht="3.9000000953674316" customHeight="1">
      <x:c r="A28" s="139">
        <x:v>21</x:v>
      </x:c>
      <x:c r="B28" s="139" t="s">
        <x:v>81</x:v>
      </x:c>
      <x:c r="C28" s="127" t="s">
        <x:v>380</x:v>
      </x:c>
      <x:c r="D28" s="112" t="s">
        <x:v>12</x:v>
      </x:c>
      <x:c r="E28" s="127" t="s">
        <x:v>2719</x:v>
      </x:c>
      <x:c r="F28" s="128" t="s">
        <x:v>2733</x:v>
      </x:c>
      <x:c r="G28" s="129" t="s">
        <x:v>2734</x:v>
      </x:c>
    </x:row>
    <x:row r="29" ht="3.9000000953674316" customHeight="1">
      <x:c r="A29" s="139">
        <x:v>22</x:v>
      </x:c>
      <x:c r="B29" s="139" t="s">
        <x:v>81</x:v>
      </x:c>
      <x:c r="C29" s="113" t="s">
        <x:v>2719</x:v>
      </x:c>
      <x:c r="D29" s="111" t="s">
        <x:v>12</x:v>
      </x:c>
      <x:c r="E29" s="113" t="s">
        <x:v>11</x:v>
      </x:c>
      <x:c r="F29" s="113" t="s">
        <x:v>2735</x:v>
      </x:c>
      <x:c r="G29" s="113" t="s">
        <x:v>2736</x:v>
      </x:c>
    </x:row>
    <x:row r="30" ht="3.9000000953674316" customHeight="1">
      <x:c r="A30" s="503" t="s">
        <x:v>2737</x:v>
      </x:c>
      <x:c r="B30" s="451"/>
      <x:c r="C30" s="451"/>
      <x:c r="D30" s="451"/>
      <x:c r="E30" s="451"/>
      <x:c r="F30" s="451"/>
      <x:c r="G30" s="451"/>
    </x:row>
    <x:row r="31" ht="6.300000190734863" customHeight="1">
      <x:c r="A31" s="139">
        <x:v>23</x:v>
      </x:c>
      <x:c r="B31" s="139" t="s">
        <x:v>110</x:v>
      </x:c>
      <x:c r="C31" s="113" t="s">
        <x:v>380</x:v>
      </x:c>
      <x:c r="D31" s="112" t="s">
        <x:v>19</x:v>
      </x:c>
      <x:c r="E31" s="113" t="s">
        <x:v>380</x:v>
      </x:c>
      <x:c r="F31" s="113" t="s">
        <x:v>2738</x:v>
      </x:c>
      <x:c r="G31" s="113" t="s">
        <x:v>2739</x:v>
      </x:c>
    </x:row>
    <x:row r="32" ht="3.9000000953674316" customHeight="1">
      <x:c r="A32" s="139">
        <x:v>24</x:v>
      </x:c>
      <x:c r="B32" s="139" t="s">
        <x:v>110</x:v>
      </x:c>
      <x:c r="C32" s="113" t="s">
        <x:v>380</x:v>
      </x:c>
      <x:c r="D32" s="112" t="s">
        <x:v>12</x:v>
      </x:c>
      <x:c r="E32" s="113" t="s">
        <x:v>802</x:v>
      </x:c>
      <x:c r="F32" s="113" t="s">
        <x:v>2740</x:v>
      </x:c>
      <x:c r="G32" s="113" t="s">
        <x:v>2741</x:v>
      </x:c>
    </x:row>
    <x:row r="33" ht="3.9000000953674316" customHeight="1">
      <x:c r="A33" s="139">
        <x:v>25</x:v>
      </x:c>
      <x:c r="B33" s="139" t="s">
        <x:v>110</x:v>
      </x:c>
      <x:c r="C33" s="113" t="s">
        <x:v>802</x:v>
      </x:c>
      <x:c r="D33" s="114" t="s">
        <x:v>53</x:v>
      </x:c>
      <x:c r="E33" s="113" t="s">
        <x:v>380</x:v>
      </x:c>
      <x:c r="F33" s="113" t="s">
        <x:v>2742</x:v>
      </x:c>
      <x:c r="G33" s="113" t="s">
        <x:v>2743</x:v>
      </x:c>
    </x:row>
    <x:row r="34" ht="3.9000000953674316" customHeight="1">
      <x:c r="A34" s="139">
        <x:v>26</x:v>
      </x:c>
      <x:c r="B34" s="139" t="s">
        <x:v>110</x:v>
      </x:c>
      <x:c r="C34" s="113" t="s">
        <x:v>380</x:v>
      </x:c>
      <x:c r="D34" s="112" t="s">
        <x:v>19</x:v>
      </x:c>
      <x:c r="E34" s="113" t="s">
        <x:v>380</x:v>
      </x:c>
      <x:c r="F34" s="113" t="s">
        <x:v>2744</x:v>
      </x:c>
      <x:c r="G34" s="113" t="s">
        <x:v>2745</x:v>
      </x:c>
    </x:row>
    <x:row r="35" ht="3.9000000953674316" customHeight="1">
      <x:c r="A35" s="503" t="s">
        <x:v>2746</x:v>
      </x:c>
      <x:c r="B35" s="451"/>
      <x:c r="C35" s="451"/>
      <x:c r="D35" s="451"/>
      <x:c r="E35" s="451"/>
      <x:c r="F35" s="451"/>
      <x:c r="G35" s="451"/>
    </x:row>
    <x:row r="36" ht="3.9000000953674316" customHeight="1">
      <x:c r="A36" s="139">
        <x:v>27</x:v>
      </x:c>
      <x:c r="B36" s="139" t="s">
        <x:v>143</x:v>
      </x:c>
      <x:c r="C36" s="113" t="s">
        <x:v>380</x:v>
      </x:c>
      <x:c r="D36" s="112" t="s">
        <x:v>12</x:v>
      </x:c>
      <x:c r="E36" s="113" t="s">
        <x:v>373</x:v>
      </x:c>
      <x:c r="F36" s="113" t="s">
        <x:v>2698</x:v>
      </x:c>
      <x:c r="G36" s="113" t="s">
        <x:v>2747</x:v>
      </x:c>
    </x:row>
    <x:row r="37" ht="3.9000000953674316" customHeight="1">
      <x:c r="A37" s="139">
        <x:v>28</x:v>
      </x:c>
      <x:c r="B37" s="139" t="s">
        <x:v>143</x:v>
      </x:c>
      <x:c r="C37" s="113" t="s">
        <x:v>373</x:v>
      </x:c>
      <x:c r="D37" s="112" t="s">
        <x:v>12</x:v>
      </x:c>
      <x:c r="E37" s="113" t="s">
        <x:v>791</x:v>
      </x:c>
      <x:c r="F37" s="113" t="s">
        <x:v>2700</x:v>
      </x:c>
      <x:c r="G37" s="113" t="s">
        <x:v>2701</x:v>
      </x:c>
    </x:row>
    <x:row r="38" ht="3.9000000953674316" customHeight="1">
      <x:c r="A38" s="139">
        <x:v>29</x:v>
      </x:c>
      <x:c r="B38" s="139" t="s">
        <x:v>143</x:v>
      </x:c>
      <x:c r="C38" s="113" t="s">
        <x:v>791</x:v>
      </x:c>
      <x:c r="D38" s="114" t="s">
        <x:v>53</x:v>
      </x:c>
      <x:c r="E38" s="113" t="s">
        <x:v>373</x:v>
      </x:c>
      <x:c r="F38" s="113" t="s">
        <x:v>2702</x:v>
      </x:c>
      <x:c r="G38" s="113" t="s">
        <x:v>2748</x:v>
      </x:c>
    </x:row>
    <x:row r="39" ht="3.9000000953674316" customHeight="1">
      <x:c r="A39" s="139">
        <x:v>30</x:v>
      </x:c>
      <x:c r="B39" s="139" t="s">
        <x:v>143</x:v>
      </x:c>
      <x:c r="C39" s="113" t="s">
        <x:v>373</x:v>
      </x:c>
      <x:c r="D39" s="112" t="s">
        <x:v>53</x:v>
      </x:c>
      <x:c r="E39" s="113" t="s">
        <x:v>380</x:v>
      </x:c>
      <x:c r="F39" s="113" t="s">
        <x:v>2704</x:v>
      </x:c>
      <x:c r="G39" s="113" t="s">
        <x:v>2705</x:v>
      </x:c>
    </x:row>
    <x:row r="40" ht="3.9000000953674316" customHeight="1">
      <x:c r="A40" s="139">
        <x:v>31</x:v>
      </x:c>
      <x:c r="B40" s="139" t="s">
        <x:v>143</x:v>
      </x:c>
      <x:c r="C40" s="113" t="s">
        <x:v>380</x:v>
      </x:c>
      <x:c r="D40" s="112" t="s">
        <x:v>12</x:v>
      </x:c>
      <x:c r="E40" s="113" t="s">
        <x:v>908</x:v>
      </x:c>
      <x:c r="F40" s="113" t="s">
        <x:v>2623</x:v>
      </x:c>
      <x:c r="G40" s="113" t="s">
        <x:v>2749</x:v>
      </x:c>
    </x:row>
    <x:row r="41" ht="3.9000000953674316" customHeight="1">
      <x:c r="A41" s="139">
        <x:v>32</x:v>
      </x:c>
      <x:c r="B41" s="139" t="s">
        <x:v>143</x:v>
      </x:c>
      <x:c r="C41" s="113" t="s">
        <x:v>908</x:v>
      </x:c>
      <x:c r="D41" s="112" t="s">
        <x:v>12</x:v>
      </x:c>
      <x:c r="E41" s="113" t="s">
        <x:v>440</x:v>
      </x:c>
      <x:c r="F41" s="113" t="s">
        <x:v>2625</x:v>
      </x:c>
      <x:c r="G41" s="113" t="s">
        <x:v>2750</x:v>
      </x:c>
    </x:row>
    <x:row r="42" ht="3.9000000953674316" customHeight="1">
      <x:c r="A42" s="139">
        <x:v>33</x:v>
      </x:c>
      <x:c r="B42" s="139" t="s">
        <x:v>143</x:v>
      </x:c>
      <x:c r="C42" s="113" t="s">
        <x:v>440</x:v>
      </x:c>
      <x:c r="D42" s="114" t="s">
        <x:v>53</x:v>
      </x:c>
      <x:c r="E42" s="113" t="s">
        <x:v>908</x:v>
      </x:c>
      <x:c r="F42" s="113" t="s">
        <x:v>2627</x:v>
      </x:c>
      <x:c r="G42" s="113" t="s">
        <x:v>2748</x:v>
      </x:c>
    </x:row>
    <x:row r="43" ht="3.9000000953674316" customHeight="1">
      <x:c r="A43" s="139">
        <x:v>34</x:v>
      </x:c>
      <x:c r="B43" s="139" t="s">
        <x:v>143</x:v>
      </x:c>
      <x:c r="C43" s="113" t="s">
        <x:v>908</x:v>
      </x:c>
      <x:c r="D43" s="112" t="s">
        <x:v>53</x:v>
      </x:c>
      <x:c r="E43" s="113" t="s">
        <x:v>380</x:v>
      </x:c>
      <x:c r="F43" s="113" t="s">
        <x:v>2627</x:v>
      </x:c>
      <x:c r="G43" s="113" t="s">
        <x:v>2705</x:v>
      </x:c>
    </x:row>
    <x:row r="44" ht="3.9000000953674316" customHeight="1">
      <x:c r="A44" s="139">
        <x:v>35</x:v>
      </x:c>
      <x:c r="B44" s="139" t="s">
        <x:v>143</x:v>
      </x:c>
      <x:c r="C44" s="113" t="s">
        <x:v>380</x:v>
      </x:c>
      <x:c r="D44" s="112" t="s">
        <x:v>12</x:v>
      </x:c>
      <x:c r="E44" s="113" t="s">
        <x:v>366</x:v>
      </x:c>
      <x:c r="F44" s="113" t="s">
        <x:v>2751</x:v>
      </x:c>
      <x:c r="G44" s="113" t="s">
        <x:v>2752</x:v>
      </x:c>
    </x:row>
    <x:row r="45" ht="3.9000000953674316" customHeight="1">
      <x:c r="A45" s="139">
        <x:v>36</x:v>
      </x:c>
      <x:c r="B45" s="139" t="s">
        <x:v>143</x:v>
      </x:c>
      <x:c r="C45" s="113" t="s">
        <x:v>366</x:v>
      </x:c>
      <x:c r="D45" s="112" t="s">
        <x:v>12</x:v>
      </x:c>
      <x:c r="E45" s="113" t="s">
        <x:v>2531</x:v>
      </x:c>
      <x:c r="F45" s="113" t="s">
        <x:v>2753</x:v>
      </x:c>
      <x:c r="G45" s="113" t="s">
        <x:v>2754</x:v>
      </x:c>
    </x:row>
    <x:row r="46" ht="3.9000000953674316" customHeight="1">
      <x:c r="A46" s="139">
        <x:v>37</x:v>
      </x:c>
      <x:c r="B46" s="139" t="s">
        <x:v>143</x:v>
      </x:c>
      <x:c r="C46" s="113" t="s">
        <x:v>2531</x:v>
      </x:c>
      <x:c r="D46" s="114" t="s">
        <x:v>53</x:v>
      </x:c>
      <x:c r="E46" s="113" t="s">
        <x:v>366</x:v>
      </x:c>
      <x:c r="F46" s="113" t="s">
        <x:v>2755</x:v>
      </x:c>
      <x:c r="G46" s="113" t="s">
        <x:v>2756</x:v>
      </x:c>
    </x:row>
    <x:row r="47" ht="3.9000000953674316" customHeight="1">
      <x:c r="A47" s="139">
        <x:v>38</x:v>
      </x:c>
      <x:c r="B47" s="139" t="s">
        <x:v>143</x:v>
      </x:c>
      <x:c r="C47" s="113" t="s">
        <x:v>366</x:v>
      </x:c>
      <x:c r="D47" s="112" t="s">
        <x:v>12</x:v>
      </x:c>
      <x:c r="E47" s="113" t="s">
        <x:v>512</x:v>
      </x:c>
      <x:c r="F47" s="113" t="s">
        <x:v>2757</x:v>
      </x:c>
      <x:c r="G47" s="113" t="s">
        <x:v>2758</x:v>
      </x:c>
    </x:row>
    <x:row r="48" ht="3.9000000953674316" customHeight="1">
      <x:c r="A48" s="115">
        <x:v>39</x:v>
      </x:c>
      <x:c r="B48" s="8" t="s">
        <x:v>143</x:v>
      </x:c>
      <x:c r="C48" s="8" t="s">
        <x:v>512</x:v>
      </x:c>
      <x:c r="D48" s="8" t="s">
        <x:v>53</x:v>
      </x:c>
      <x:c r="E48" s="8" t="s">
        <x:v>366</x:v>
      </x:c>
      <x:c r="F48" s="8" t="s">
        <x:v>2759</x:v>
      </x:c>
      <x:c r="G48" s="8" t="s">
        <x:v>2760</x:v>
      </x:c>
    </x:row>
    <x:row r="49" ht="3.9000000953674316" customHeight="1">
      <x:c r="A49" s="139">
        <x:v>40</x:v>
      </x:c>
      <x:c r="B49" s="139" t="s">
        <x:v>143</x:v>
      </x:c>
      <x:c r="C49" s="113" t="s">
        <x:v>366</x:v>
      </x:c>
      <x:c r="D49" s="112" t="s">
        <x:v>53</x:v>
      </x:c>
      <x:c r="E49" s="113" t="s">
        <x:v>380</x:v>
      </x:c>
      <x:c r="F49" s="113" t="s">
        <x:v>2761</x:v>
      </x:c>
      <x:c r="G49" s="113" t="s">
        <x:v>2762</x:v>
      </x:c>
    </x:row>
    <x:row r="50" ht="3.9000000953674316" customHeight="1">
      <x:c r="A50" s="511" t="s">
        <x:v>2763</x:v>
      </x:c>
      <x:c r="B50" s="511"/>
      <x:c r="C50" s="475"/>
      <x:c r="D50" s="476"/>
      <x:c r="E50" s="475"/>
      <x:c r="F50" s="475"/>
      <x:c r="G50" s="475"/>
    </x:row>
    <x:row r="51" ht="6.300000190734863" customHeight="1">
      <x:c r="A51" s="139">
        <x:v>41</x:v>
      </x:c>
      <x:c r="B51" s="139" t="s">
        <x:v>155</x:v>
      </x:c>
      <x:c r="C51" s="113" t="s">
        <x:v>380</x:v>
      </x:c>
      <x:c r="D51" s="114" t="s">
        <x:v>19</x:v>
      </x:c>
      <x:c r="E51" s="113" t="s">
        <x:v>380</x:v>
      </x:c>
      <x:c r="F51" s="113" t="s">
        <x:v>2764</x:v>
      </x:c>
      <x:c r="G51" s="113" t="s">
        <x:v>2765</x:v>
      </x:c>
    </x:row>
    <x:row r="52" ht="6.300000190734863" customHeight="1">
      <x:c r="A52" s="139">
        <x:v>42</x:v>
      </x:c>
      <x:c r="B52" s="139" t="s">
        <x:v>155</x:v>
      </x:c>
      <x:c r="C52" s="113" t="s">
        <x:v>380</x:v>
      </x:c>
      <x:c r="D52" s="112" t="s">
        <x:v>12</x:v>
      </x:c>
      <x:c r="E52" s="113" t="s">
        <x:v>802</x:v>
      </x:c>
      <x:c r="F52" s="113" t="s">
        <x:v>2766</x:v>
      </x:c>
      <x:c r="G52" s="113" t="s">
        <x:v>2767</x:v>
      </x:c>
    </x:row>
    <x:row r="53" ht="3.9000000953674316" customHeight="1">
      <x:c r="A53" s="139">
        <x:v>43</x:v>
      </x:c>
      <x:c r="B53" s="139" t="s">
        <x:v>155</x:v>
      </x:c>
      <x:c r="C53" s="113" t="s">
        <x:v>802</x:v>
      </x:c>
      <x:c r="D53" s="114" t="s">
        <x:v>53</x:v>
      </x:c>
      <x:c r="E53" s="113" t="s">
        <x:v>380</x:v>
      </x:c>
      <x:c r="F53" s="113" t="s">
        <x:v>2768</x:v>
      </x:c>
      <x:c r="G53" s="113" t="s">
        <x:v>2769</x:v>
      </x:c>
    </x:row>
    <x:row r="54" ht="3.9000000953674316" customHeight="1">
      <x:c r="A54" s="115">
        <x:v>44</x:v>
      </x:c>
      <x:c r="B54" s="8" t="s">
        <x:v>155</x:v>
      </x:c>
      <x:c r="C54" s="8" t="s">
        <x:v>380</x:v>
      </x:c>
      <x:c r="D54" s="8" t="s">
        <x:v>12</x:v>
      </x:c>
      <x:c r="E54" s="8" t="s">
        <x:v>802</x:v>
      </x:c>
      <x:c r="F54" s="8" t="s">
        <x:v>2770</x:v>
      </x:c>
      <x:c r="G54" s="8" t="s">
        <x:v>2771</x:v>
      </x:c>
    </x:row>
    <x:row r="55" ht="3.9000000953674316" customHeight="1">
      <x:c r="A55" s="139">
        <x:v>45</x:v>
      </x:c>
      <x:c r="B55" s="139" t="s">
        <x:v>155</x:v>
      </x:c>
      <x:c r="C55" s="113" t="s">
        <x:v>802</x:v>
      </x:c>
      <x:c r="D55" s="112" t="s">
        <x:v>53</x:v>
      </x:c>
      <x:c r="E55" s="113" t="s">
        <x:v>380</x:v>
      </x:c>
      <x:c r="F55" s="113" t="s">
        <x:v>2772</x:v>
      </x:c>
      <x:c r="G55" s="113" t="s">
        <x:v>2773</x:v>
      </x:c>
    </x:row>
    <x:row r="56" ht="3.9000000953674316" customHeight="1">
      <x:c r="A56" s="511" t="s">
        <x:v>2774</x:v>
      </x:c>
      <x:c r="B56" s="511"/>
      <x:c r="C56" s="475"/>
      <x:c r="D56" s="474"/>
      <x:c r="E56" s="475"/>
      <x:c r="F56" s="475"/>
      <x:c r="G56" s="475"/>
    </x:row>
    <x:row r="57" ht="3.9000000953674316" customHeight="1">
      <x:c r="A57" s="139">
        <x:v>46</x:v>
      </x:c>
      <x:c r="B57" s="139" t="s">
        <x:v>397</x:v>
      </x:c>
      <x:c r="C57" s="113" t="s">
        <x:v>380</x:v>
      </x:c>
      <x:c r="D57" s="112" t="s">
        <x:v>12</x:v>
      </x:c>
      <x:c r="E57" s="113" t="s">
        <x:v>2775</x:v>
      </x:c>
      <x:c r="F57" s="113" t="s">
        <x:v>2776</x:v>
      </x:c>
      <x:c r="G57" s="113" t="s">
        <x:v>2777</x:v>
      </x:c>
    </x:row>
    <x:row r="58" ht="3.9000000953674316" customHeight="1">
      <x:c r="A58" s="8">
        <x:v>47</x:v>
      </x:c>
      <x:c r="B58" s="8" t="s">
        <x:v>397</x:v>
      </x:c>
      <x:c r="C58" s="8" t="s">
        <x:v>2775</x:v>
      </x:c>
      <x:c r="D58" s="8" t="s">
        <x:v>53</x:v>
      </x:c>
      <x:c r="E58" s="8" t="s">
        <x:v>380</x:v>
      </x:c>
      <x:c r="F58" s="8" t="s">
        <x:v>2778</x:v>
      </x:c>
      <x:c r="G58" s="8" t="s">
        <x:v>2779</x:v>
      </x:c>
    </x:row>
    <x:row r="59" ht="6.900000095367432" customHeight="1">
      <x:c r="A59" s="8">
        <x:v>48</x:v>
      </x:c>
      <x:c r="B59" s="8" t="s">
        <x:v>397</x:v>
      </x:c>
      <x:c r="C59" s="8" t="s">
        <x:v>380</x:v>
      </x:c>
      <x:c r="D59" s="8" t="s">
        <x:v>19</x:v>
      </x:c>
      <x:c r="E59" s="8" t="s">
        <x:v>380</x:v>
      </x:c>
      <x:c r="F59" s="8" t="s">
        <x:v>2780</x:v>
      </x:c>
      <x:c r="G59" s="8" t="s">
        <x:v>2781</x:v>
      </x:c>
    </x:row>
    <x:row r="60">
      <x:c r="A60">
        <x:v>49</x:v>
      </x:c>
      <x:c r="B60" t="s">
        <x:v>397</x:v>
      </x:c>
      <x:c r="C60" t="s">
        <x:v>380</x:v>
      </x:c>
      <x:c r="D60" t="s">
        <x:v>12</x:v>
      </x:c>
      <x:c r="E60" t="s">
        <x:v>2782</x:v>
      </x:c>
      <x:c r="F60" t="s">
        <x:v>2783</x:v>
      </x:c>
      <x:c r="G60" t="s">
        <x:v>2784</x:v>
      </x:c>
    </x:row>
    <x:row r="61">
      <x:c r="A61">
        <x:v>50</x:v>
      </x:c>
      <x:c r="B61" t="s">
        <x:v>397</x:v>
      </x:c>
      <x:c r="C61" t="s">
        <x:v>2782</x:v>
      </x:c>
      <x:c r="D61" t="s">
        <x:v>12</x:v>
      </x:c>
      <x:c r="E61" t="s">
        <x:v>11</x:v>
      </x:c>
      <x:c r="F61" t="s">
        <x:v>2785</x:v>
      </x:c>
      <x:c r="G61" t="s">
        <x:v>2786</x:v>
      </x:c>
    </x:row>
  </x:sheetData>
  <x:mergeCells>
    <x:mergeCell ref="A23:G23"/>
    <x:mergeCell ref="A30:G30"/>
    <x:mergeCell ref="A35:G35"/>
    <x:mergeCell ref="A50:G50"/>
    <x:mergeCell ref="A56:G56"/>
    <x:mergeCell ref="A1:G1"/>
    <x:mergeCell ref="A2:G2"/>
    <x:mergeCell ref="A4:G4"/>
    <x:mergeCell ref="A9:G9"/>
    <x:mergeCell ref="A17:G17"/>
  </x:mergeCells>
  <x:pageMargins left="0.7" right="0.7" top="0.75" bottom="0.75" header="0.3" footer="0.3"/>
</x:worksheet>
</file>

<file path=xl/worksheets/sheet44.xml><?xml version="1.0" encoding="utf-8"?>
<x:worksheet xmlns:x="http://schemas.openxmlformats.org/spreadsheetml/2006/main">
  <x:sheetFormatPr baseColWidth="10" defaultColWidth="9.109375" defaultRowHeight="14.399999618530273"/>
  <x:cols>
    <x:col min="1" max="1" width="7" customWidth="1"/>
    <x:col min="2" max="2" width="8" customWidth="1"/>
    <x:col min="3" max="3" width="27" style="8" customWidth="1"/>
    <x:col min="4" max="4" width="18" style="8" customWidth="1"/>
    <x:col min="5" max="5" width="30" style="8" customWidth="1"/>
    <x:col min="6" max="6" width="48" style="8" customWidth="1"/>
    <x:col min="7" max="7" width="92" style="8" customWidth="1"/>
    <x:col min="8" max="8" width="58" style="8" hidden="0" customWidth="1"/>
    <x:col min="9" max="16384" width="9.109375" style="8" customWidth="0"/>
  </x:cols>
  <x:sheetData>
    <x:row r="1" ht="5.849999904632568" customHeight="1">
      <x:c r="A1" s="514" t="s">
        <x:v>2787</x:v>
      </x:c>
      <x:c r="B1" s="423"/>
      <x:c r="C1" s="451"/>
      <x:c r="D1" s="451"/>
      <x:c r="E1" s="451"/>
      <x:c r="F1" s="451"/>
      <x:c r="G1" s="451"/>
    </x:row>
    <x:row r="2" ht="5.099999904632568" customHeight="1">
      <x:c r="A2" s="516" t="s">
        <x:v>2788</x:v>
      </x:c>
      <x:c r="B2" s="423"/>
      <x:c r="C2" s="451"/>
      <x:c r="D2" s="451"/>
      <x:c r="E2" s="451"/>
      <x:c r="F2" s="451"/>
      <x:c r="G2" s="451"/>
    </x:row>
    <x:row r="3" ht="5.099999904632568" customHeight="1">
      <x:c r="A3" s="92" t="s">
        <x:v>2</x:v>
      </x:c>
      <x:c r="B3" s="92" t="s">
        <x:v>3</x:v>
      </x:c>
      <x:c r="C3" s="92" t="s">
        <x:v>4</x:v>
      </x:c>
      <x:c r="D3" s="92" t="s">
        <x:v>5</x:v>
      </x:c>
      <x:c r="E3" s="92" t="s">
        <x:v>6</x:v>
      </x:c>
      <x:c r="F3" s="92" t="s">
        <x:v>7</x:v>
      </x:c>
      <x:c r="G3" s="93" t="s">
        <x:v>8</x:v>
      </x:c>
      <x:c r="H3" t="str">
        <x:v>CONDICIÓN RF65 (NO MVP)</x:v>
      </x:c>
    </x:row>
    <x:row r="4" ht="5.099999904632568" customHeight="1">
      <x:c r="A4" s="515" t="s">
        <x:v>2789</x:v>
      </x:c>
      <x:c r="B4" s="449"/>
      <x:c r="C4" s="449"/>
      <x:c r="D4" s="449"/>
      <x:c r="E4" s="449"/>
      <x:c r="F4" s="449"/>
      <x:c r="G4" s="449"/>
    </x:row>
    <x:row r="5" ht="9.300000190734863" customHeight="1">
      <x:c r="A5" s="100">
        <x:v>1</x:v>
      </x:c>
      <x:c r="B5" s="100" t="s">
        <x:v>10</x:v>
      </x:c>
      <x:c r="C5" s="86" t="s">
        <x:v>11</x:v>
      </x:c>
      <x:c r="D5" s="79" t="s">
        <x:v>12</x:v>
      </x:c>
      <x:c r="E5" s="86" t="s">
        <x:v>2719</x:v>
      </x:c>
      <x:c r="F5" s="87" t="s">
        <x:v>2790</x:v>
      </x:c>
      <x:c r="G5" s="90" t="s">
        <x:v>2791</x:v>
      </x:c>
      <x:c r="H5" s="1071" t="str">
        <x:v>RF65 POST-MVP · CONDICIONADO A APROBACIÓN. Consulta/gestión notificaciones: excluir avisos operativos de ELIMINADOS; conservar trazabilidad histórica y licencias personales. Sin aprobación no aplicar filtros ni cambios de BD por RF65.</x:v>
      </x:c>
    </x:row>
    <x:row r="6" ht="9.300000190734863" customHeight="1">
      <x:c r="A6" s="100">
        <x:v>2</x:v>
      </x:c>
      <x:c r="B6" s="100" t="s">
        <x:v>10</x:v>
      </x:c>
      <x:c r="C6" s="88" t="s">
        <x:v>2719</x:v>
      </x:c>
      <x:c r="D6" s="80" t="s">
        <x:v>12</x:v>
      </x:c>
      <x:c r="E6" s="88" t="s">
        <x:v>380</x:v>
      </x:c>
      <x:c r="F6" s="89" t="s">
        <x:v>2792</x:v>
      </x:c>
      <x:c r="G6" s="91" t="s">
        <x:v>2793</x:v>
      </x:c>
    </x:row>
    <x:row r="7" ht="9.300000190734863" customHeight="1">
      <x:c r="A7" s="100">
        <x:v>3</x:v>
      </x:c>
      <x:c r="B7" s="100" t="s">
        <x:v>10</x:v>
      </x:c>
      <x:c r="C7" s="88" t="s">
        <x:v>380</x:v>
      </x:c>
      <x:c r="D7" s="81" t="s">
        <x:v>12</x:v>
      </x:c>
      <x:c r="E7" s="88" t="s">
        <x:v>802</x:v>
      </x:c>
      <x:c r="F7" s="89" t="s">
        <x:v>2794</x:v>
      </x:c>
      <x:c r="G7" s="91" t="s">
        <x:v>2795</x:v>
      </x:c>
    </x:row>
    <x:row r="8" ht="9.300000190734863" customHeight="1">
      <x:c r="A8" s="100">
        <x:v>4</x:v>
      </x:c>
      <x:c r="B8" s="100" t="s">
        <x:v>10</x:v>
      </x:c>
      <x:c r="C8" s="88" t="s">
        <x:v>802</x:v>
      </x:c>
      <x:c r="D8" s="82" t="s">
        <x:v>53</x:v>
      </x:c>
      <x:c r="E8" s="88" t="s">
        <x:v>380</x:v>
      </x:c>
      <x:c r="F8" s="89" t="s">
        <x:v>2796</x:v>
      </x:c>
      <x:c r="G8" s="91" t="s">
        <x:v>2797</x:v>
      </x:c>
    </x:row>
    <x:row r="9" ht="9.300000190734863" customHeight="1">
      <x:c r="A9" s="100">
        <x:v>5</x:v>
      </x:c>
      <x:c r="B9" s="100" t="s">
        <x:v>10</x:v>
      </x:c>
      <x:c r="C9" s="88" t="s">
        <x:v>380</x:v>
      </x:c>
      <x:c r="D9" s="81" t="s">
        <x:v>19</x:v>
      </x:c>
      <x:c r="E9" s="88" t="s">
        <x:v>380</x:v>
      </x:c>
      <x:c r="F9" s="89" t="s">
        <x:v>2798</x:v>
      </x:c>
      <x:c r="G9" s="91" t="s">
        <x:v>2799</x:v>
      </x:c>
    </x:row>
    <x:row r="10" ht="9.300000190734863" customHeight="1">
      <x:c r="A10" s="100">
        <x:v>6</x:v>
      </x:c>
      <x:c r="B10" s="100" t="s">
        <x:v>10</x:v>
      </x:c>
      <x:c r="C10" s="88" t="s">
        <x:v>380</x:v>
      </x:c>
      <x:c r="D10" s="81" t="s">
        <x:v>12</x:v>
      </x:c>
      <x:c r="E10" s="88" t="s">
        <x:v>373</x:v>
      </x:c>
      <x:c r="F10" s="89" t="s">
        <x:v>2800</x:v>
      </x:c>
      <x:c r="G10" s="91" t="s">
        <x:v>2801</x:v>
      </x:c>
    </x:row>
    <x:row r="11" ht="9.300000190734863" customHeight="1">
      <x:c r="A11" s="100">
        <x:v>7</x:v>
      </x:c>
      <x:c r="B11" s="100" t="s">
        <x:v>10</x:v>
      </x:c>
      <x:c r="C11" s="88" t="s">
        <x:v>373</x:v>
      </x:c>
      <x:c r="D11" s="81" t="s">
        <x:v>12</x:v>
      </x:c>
      <x:c r="E11" s="88" t="s">
        <x:v>791</x:v>
      </x:c>
      <x:c r="F11" s="89" t="s">
        <x:v>2802</x:v>
      </x:c>
      <x:c r="G11" s="91" t="s">
        <x:v>2803</x:v>
      </x:c>
    </x:row>
    <x:row r="12" ht="9.300000190734863" customHeight="1">
      <x:c r="A12" s="100">
        <x:v>8</x:v>
      </x:c>
      <x:c r="B12" s="100" t="s">
        <x:v>10</x:v>
      </x:c>
      <x:c r="C12" s="88" t="s">
        <x:v>791</x:v>
      </x:c>
      <x:c r="D12" s="82" t="s">
        <x:v>53</x:v>
      </x:c>
      <x:c r="E12" s="88" t="s">
        <x:v>373</x:v>
      </x:c>
      <x:c r="F12" s="89" t="s">
        <x:v>2804</x:v>
      </x:c>
      <x:c r="G12" s="91" t="s">
        <x:v>2805</x:v>
      </x:c>
    </x:row>
    <x:row r="13" ht="9.300000190734863" customHeight="1">
      <x:c r="A13" s="100">
        <x:v>9</x:v>
      </x:c>
      <x:c r="B13" s="100" t="s">
        <x:v>10</x:v>
      </x:c>
      <x:c r="C13" s="88" t="s">
        <x:v>373</x:v>
      </x:c>
      <x:c r="D13" s="81" t="s">
        <x:v>53</x:v>
      </x:c>
      <x:c r="E13" s="88" t="s">
        <x:v>380</x:v>
      </x:c>
      <x:c r="F13" s="89" t="s">
        <x:v>2806</x:v>
      </x:c>
      <x:c r="G13" s="91" t="s">
        <x:v>2807</x:v>
      </x:c>
    </x:row>
    <x:row r="14" ht="9.300000190734863" customHeight="1">
      <x:c r="A14" s="100">
        <x:v>10</x:v>
      </x:c>
      <x:c r="B14" s="100" t="s">
        <x:v>10</x:v>
      </x:c>
      <x:c r="C14" s="88" t="s">
        <x:v>380</x:v>
      </x:c>
      <x:c r="D14" s="81" t="s">
        <x:v>19</x:v>
      </x:c>
      <x:c r="E14" s="88" t="s">
        <x:v>380</x:v>
      </x:c>
      <x:c r="F14" s="89" t="s">
        <x:v>2808</x:v>
      </x:c>
      <x:c r="G14" s="91" t="s">
        <x:v>2809</x:v>
      </x:c>
    </x:row>
    <x:row r="15" ht="9.300000190734863" customHeight="1">
      <x:c r="A15" s="100">
        <x:v>11</x:v>
      </x:c>
      <x:c r="B15" s="100" t="s">
        <x:v>10</x:v>
      </x:c>
      <x:c r="C15" s="88" t="s">
        <x:v>380</x:v>
      </x:c>
      <x:c r="D15" s="81" t="s">
        <x:v>12</x:v>
      </x:c>
      <x:c r="E15" s="88" t="s">
        <x:v>802</x:v>
      </x:c>
      <x:c r="F15" s="89" t="s">
        <x:v>2810</x:v>
      </x:c>
      <x:c r="G15" s="91" t="s">
        <x:v>2811</x:v>
      </x:c>
    </x:row>
    <x:row r="16" ht="9.300000190734863" customHeight="1">
      <x:c r="A16" s="100">
        <x:v>12</x:v>
      </x:c>
      <x:c r="B16" s="100" t="s">
        <x:v>10</x:v>
      </x:c>
      <x:c r="C16" s="88" t="s">
        <x:v>802</x:v>
      </x:c>
      <x:c r="D16" s="82" t="s">
        <x:v>53</x:v>
      </x:c>
      <x:c r="E16" s="88" t="s">
        <x:v>380</x:v>
      </x:c>
      <x:c r="F16" s="89" t="s">
        <x:v>2812</x:v>
      </x:c>
      <x:c r="G16" s="91" t="s">
        <x:v>2813</x:v>
      </x:c>
    </x:row>
    <x:row r="17" ht="5.099999904632568" customHeight="1">
      <x:c r="A17" s="513" t="s">
        <x:v>2814</x:v>
      </x:c>
      <x:c r="B17" s="436"/>
      <x:c r="C17" s="436"/>
      <x:c r="D17" s="436"/>
      <x:c r="E17" s="436"/>
      <x:c r="F17" s="436"/>
      <x:c r="G17" s="437"/>
    </x:row>
    <x:row r="18" ht="9.300000190734863" customHeight="1">
      <x:c r="A18" s="100">
        <x:v>13</x:v>
      </x:c>
      <x:c r="B18" s="100" t="s">
        <x:v>33</x:v>
      </x:c>
      <x:c r="C18" s="97" t="s">
        <x:v>380</x:v>
      </x:c>
      <x:c r="D18" s="98" t="s">
        <x:v>19</x:v>
      </x:c>
      <x:c r="E18" s="97" t="s">
        <x:v>380</x:v>
      </x:c>
      <x:c r="F18" s="97" t="s">
        <x:v>2815</x:v>
      </x:c>
      <x:c r="G18" s="97" t="s">
        <x:v>2816</x:v>
      </x:c>
    </x:row>
    <x:row r="19" ht="9.300000190734863" customHeight="1">
      <x:c r="A19" s="100">
        <x:v>14</x:v>
      </x:c>
      <x:c r="B19" s="100" t="s">
        <x:v>33</x:v>
      </x:c>
      <x:c r="C19" s="86" t="s">
        <x:v>380</x:v>
      </x:c>
      <x:c r="D19" s="81" t="s">
        <x:v>12</x:v>
      </x:c>
      <x:c r="E19" s="86" t="s">
        <x:v>500</x:v>
      </x:c>
      <x:c r="F19" s="87" t="s">
        <x:v>2817</x:v>
      </x:c>
      <x:c r="G19" s="90" t="s">
        <x:v>2818</x:v>
      </x:c>
    </x:row>
    <x:row r="20" ht="9.300000190734863" customHeight="1">
      <x:c r="A20" s="100">
        <x:v>15</x:v>
      </x:c>
      <x:c r="B20" s="100" t="s">
        <x:v>33</x:v>
      </x:c>
      <x:c r="C20" s="88" t="s">
        <x:v>500</x:v>
      </x:c>
      <x:c r="D20" s="81" t="s">
        <x:v>12</x:v>
      </x:c>
      <x:c r="E20" s="88" t="s">
        <x:v>503</x:v>
      </x:c>
      <x:c r="F20" s="89" t="s">
        <x:v>697</x:v>
      </x:c>
      <x:c r="G20" s="91" t="s">
        <x:v>2819</x:v>
      </x:c>
    </x:row>
    <x:row r="21" ht="9.300000190734863" customHeight="1">
      <x:c r="A21" s="100">
        <x:v>16</x:v>
      </x:c>
      <x:c r="B21" s="100" t="s">
        <x:v>33</x:v>
      </x:c>
      <x:c r="C21" s="88" t="s">
        <x:v>503</x:v>
      </x:c>
      <x:c r="D21" s="82" t="s">
        <x:v>53</x:v>
      </x:c>
      <x:c r="E21" s="88" t="s">
        <x:v>500</x:v>
      </x:c>
      <x:c r="F21" s="89" t="s">
        <x:v>2820</x:v>
      </x:c>
      <x:c r="G21" s="91" t="s">
        <x:v>2821</x:v>
      </x:c>
    </x:row>
    <x:row r="22" ht="9.300000190734863" customHeight="1">
      <x:c r="A22" s="100">
        <x:v>17</x:v>
      </x:c>
      <x:c r="B22" s="100" t="s">
        <x:v>33</x:v>
      </x:c>
      <x:c r="C22" s="88" t="s">
        <x:v>500</x:v>
      </x:c>
      <x:c r="D22" s="81" t="s">
        <x:v>53</x:v>
      </x:c>
      <x:c r="E22" s="88" t="s">
        <x:v>380</x:v>
      </x:c>
      <x:c r="F22" s="89" t="s">
        <x:v>2822</x:v>
      </x:c>
      <x:c r="G22" s="91" t="s">
        <x:v>2823</x:v>
      </x:c>
    </x:row>
    <x:row r="23" ht="9.300000190734863" customHeight="1">
      <x:c r="A23" s="100">
        <x:v>18</x:v>
      </x:c>
      <x:c r="B23" s="100" t="s">
        <x:v>33</x:v>
      </x:c>
      <x:c r="C23" s="88" t="s">
        <x:v>380</x:v>
      </x:c>
      <x:c r="D23" s="81" t="s">
        <x:v>12</x:v>
      </x:c>
      <x:c r="E23" s="88" t="s">
        <x:v>918</x:v>
      </x:c>
      <x:c r="F23" s="89" t="s">
        <x:v>2824</x:v>
      </x:c>
      <x:c r="G23" s="91" t="s">
        <x:v>2825</x:v>
      </x:c>
    </x:row>
    <x:row r="24" ht="9.300000190734863" customHeight="1">
      <x:c r="A24" s="100">
        <x:v>19</x:v>
      </x:c>
      <x:c r="B24" s="100" t="s">
        <x:v>33</x:v>
      </x:c>
      <x:c r="C24" s="88" t="s">
        <x:v>918</x:v>
      </x:c>
      <x:c r="D24" s="80" t="s">
        <x:v>12</x:v>
      </x:c>
      <x:c r="E24" s="88" t="s">
        <x:v>11</x:v>
      </x:c>
      <x:c r="F24" s="89" t="s">
        <x:v>2826</x:v>
      </x:c>
      <x:c r="G24" s="91" t="s">
        <x:v>2827</x:v>
      </x:c>
    </x:row>
    <x:row r="25" ht="5.099999904632568" customHeight="1">
      <x:c r="A25" s="515" t="s">
        <x:v>2828</x:v>
      </x:c>
      <x:c r="B25" s="449"/>
      <x:c r="C25" s="449"/>
      <x:c r="D25" s="449"/>
      <x:c r="E25" s="449"/>
      <x:c r="F25" s="449"/>
      <x:c r="G25" s="449"/>
    </x:row>
    <x:row r="26" ht="9.300000190734863" customHeight="1">
      <x:c r="A26" s="100">
        <x:v>20</x:v>
      </x:c>
      <x:c r="B26" s="100" t="s">
        <x:v>63</x:v>
      </x:c>
      <x:c r="C26" s="86" t="s">
        <x:v>380</x:v>
      </x:c>
      <x:c r="D26" s="81" t="s">
        <x:v>19</x:v>
      </x:c>
      <x:c r="E26" s="86" t="s">
        <x:v>380</x:v>
      </x:c>
      <x:c r="F26" s="87" t="s">
        <x:v>2829</x:v>
      </x:c>
      <x:c r="G26" s="90" t="s">
        <x:v>2830</x:v>
      </x:c>
    </x:row>
    <x:row r="27" ht="9.300000190734863" customHeight="1">
      <x:c r="A27" s="100">
        <x:v>21</x:v>
      </x:c>
      <x:c r="B27" s="100" t="s">
        <x:v>63</x:v>
      </x:c>
      <x:c r="C27" s="88" t="s">
        <x:v>380</x:v>
      </x:c>
      <x:c r="D27" s="81" t="s">
        <x:v>12</x:v>
      </x:c>
      <x:c r="E27" s="88" t="s">
        <x:v>373</x:v>
      </x:c>
      <x:c r="F27" s="89" t="s">
        <x:v>2831</x:v>
      </x:c>
      <x:c r="G27" s="91" t="s">
        <x:v>2832</x:v>
      </x:c>
    </x:row>
    <x:row r="28" ht="9.300000190734863" customHeight="1">
      <x:c r="A28" s="100">
        <x:v>22</x:v>
      </x:c>
      <x:c r="B28" s="100" t="s">
        <x:v>63</x:v>
      </x:c>
      <x:c r="C28" s="88" t="s">
        <x:v>373</x:v>
      </x:c>
      <x:c r="D28" s="81" t="s">
        <x:v>12</x:v>
      </x:c>
      <x:c r="E28" s="88" t="s">
        <x:v>791</x:v>
      </x:c>
      <x:c r="F28" s="89" t="s">
        <x:v>2833</x:v>
      </x:c>
      <x:c r="G28" s="91" t="s">
        <x:v>2834</x:v>
      </x:c>
    </x:row>
    <x:row r="29" ht="9.300000190734863" customHeight="1">
      <x:c r="A29" s="100">
        <x:v>23</x:v>
      </x:c>
      <x:c r="B29" s="100" t="s">
        <x:v>63</x:v>
      </x:c>
      <x:c r="C29" s="88" t="s">
        <x:v>791</x:v>
      </x:c>
      <x:c r="D29" s="82" t="s">
        <x:v>53</x:v>
      </x:c>
      <x:c r="E29" s="88" t="s">
        <x:v>373</x:v>
      </x:c>
      <x:c r="F29" s="89" t="s">
        <x:v>2835</x:v>
      </x:c>
      <x:c r="G29" s="91" t="s">
        <x:v>2836</x:v>
      </x:c>
    </x:row>
    <x:row r="30" ht="9.300000190734863" customHeight="1">
      <x:c r="A30" s="100">
        <x:v>24</x:v>
      </x:c>
      <x:c r="B30" s="100" t="s">
        <x:v>63</x:v>
      </x:c>
      <x:c r="C30" s="97" t="s">
        <x:v>373</x:v>
      </x:c>
      <x:c r="D30" s="98" t="s">
        <x:v>53</x:v>
      </x:c>
      <x:c r="E30" s="97" t="s">
        <x:v>380</x:v>
      </x:c>
      <x:c r="F30" s="97" t="s">
        <x:v>2837</x:v>
      </x:c>
      <x:c r="G30" s="97" t="s">
        <x:v>2838</x:v>
      </x:c>
    </x:row>
    <x:row r="31" ht="9.300000190734863" customHeight="1">
      <x:c r="A31" s="100">
        <x:v>25</x:v>
      </x:c>
      <x:c r="B31" s="100" t="s">
        <x:v>63</x:v>
      </x:c>
      <x:c r="C31" s="86" t="s">
        <x:v>380</x:v>
      </x:c>
      <x:c r="D31" s="81" t="s">
        <x:v>12</x:v>
      </x:c>
      <x:c r="E31" s="86" t="s">
        <x:v>1321</x:v>
      </x:c>
      <x:c r="F31" s="87" t="s">
        <x:v>2839</x:v>
      </x:c>
      <x:c r="G31" s="90" t="s">
        <x:v>2840</x:v>
      </x:c>
    </x:row>
    <x:row r="32" ht="9.300000190734863" customHeight="1">
      <x:c r="A32" s="100">
        <x:v>26</x:v>
      </x:c>
      <x:c r="B32" s="100" t="s">
        <x:v>63</x:v>
      </x:c>
      <x:c r="C32" s="88" t="s">
        <x:v>1321</x:v>
      </x:c>
      <x:c r="D32" s="80" t="s">
        <x:v>12</x:v>
      </x:c>
      <x:c r="E32" s="88" t="s">
        <x:v>11</x:v>
      </x:c>
      <x:c r="F32" s="89" t="s">
        <x:v>2841</x:v>
      </x:c>
      <x:c r="G32" s="91" t="s">
        <x:v>2842</x:v>
      </x:c>
    </x:row>
    <x:row r="33" ht="5.099999904632568" customHeight="1">
      <x:c r="A33" s="513" t="s">
        <x:v>2843</x:v>
      </x:c>
      <x:c r="B33" s="436"/>
      <x:c r="C33" s="436"/>
      <x:c r="D33" s="436"/>
      <x:c r="E33" s="436"/>
      <x:c r="F33" s="436"/>
      <x:c r="G33" s="437"/>
    </x:row>
    <x:row r="34" ht="9.300000190734863" customHeight="1">
      <x:c r="A34" s="100">
        <x:v>27</x:v>
      </x:c>
      <x:c r="B34" s="100" t="s">
        <x:v>81</x:v>
      </x:c>
      <x:c r="C34" s="88" t="s">
        <x:v>380</x:v>
      </x:c>
      <x:c r="D34" s="81" t="s">
        <x:v>19</x:v>
      </x:c>
      <x:c r="E34" s="88" t="s">
        <x:v>380</x:v>
      </x:c>
      <x:c r="F34" s="89" t="s">
        <x:v>2844</x:v>
      </x:c>
      <x:c r="G34" s="91" t="s">
        <x:v>2845</x:v>
      </x:c>
    </x:row>
    <x:row r="35" ht="9.300000190734863" customHeight="1">
      <x:c r="A35" s="100">
        <x:v>28</x:v>
      </x:c>
      <x:c r="B35" s="100" t="s">
        <x:v>81</x:v>
      </x:c>
      <x:c r="C35" s="97" t="s">
        <x:v>380</x:v>
      </x:c>
      <x:c r="D35" s="98" t="s">
        <x:v>12</x:v>
      </x:c>
      <x:c r="E35" s="97" t="s">
        <x:v>560</x:v>
      </x:c>
      <x:c r="F35" s="97" t="s">
        <x:v>2846</x:v>
      </x:c>
      <x:c r="G35" s="97" t="s">
        <x:v>2847</x:v>
      </x:c>
    </x:row>
    <x:row r="36" ht="9.300000190734863" customHeight="1">
      <x:c r="A36" s="100">
        <x:v>29</x:v>
      </x:c>
      <x:c r="B36" s="100" t="s">
        <x:v>81</x:v>
      </x:c>
      <x:c r="C36" s="86" t="s">
        <x:v>560</x:v>
      </x:c>
      <x:c r="D36" s="81" t="s">
        <x:v>12</x:v>
      </x:c>
      <x:c r="E36" s="86" t="s">
        <x:v>563</x:v>
      </x:c>
      <x:c r="F36" s="87" t="s">
        <x:v>1909</x:v>
      </x:c>
      <x:c r="G36" s="90" t="s">
        <x:v>2848</x:v>
      </x:c>
    </x:row>
    <x:row r="37" ht="9.300000190734863" customHeight="1">
      <x:c r="A37" s="100">
        <x:v>30</x:v>
      </x:c>
      <x:c r="B37" s="100" t="s">
        <x:v>81</x:v>
      </x:c>
      <x:c r="C37" s="88" t="s">
        <x:v>563</x:v>
      </x:c>
      <x:c r="D37" s="82" t="s">
        <x:v>53</x:v>
      </x:c>
      <x:c r="E37" s="88" t="s">
        <x:v>560</x:v>
      </x:c>
      <x:c r="F37" s="89" t="s">
        <x:v>2849</x:v>
      </x:c>
      <x:c r="G37" s="91" t="s">
        <x:v>2850</x:v>
      </x:c>
    </x:row>
    <x:row r="38" ht="9.300000190734863" customHeight="1">
      <x:c r="A38" s="100">
        <x:v>31</x:v>
      </x:c>
      <x:c r="B38" s="100" t="s">
        <x:v>81</x:v>
      </x:c>
      <x:c r="C38" s="72" t="s">
        <x:v>560</x:v>
      </x:c>
      <x:c r="D38" s="81" t="s">
        <x:v>53</x:v>
      </x:c>
      <x:c r="E38" s="72" t="s">
        <x:v>380</x:v>
      </x:c>
      <x:c r="F38" s="72" t="s">
        <x:v>2851</x:v>
      </x:c>
      <x:c r="G38" s="72" t="s">
        <x:v>2852</x:v>
      </x:c>
    </x:row>
    <x:row r="39" ht="9.300000190734863" customHeight="1">
      <x:c r="A39" s="100">
        <x:v>32</x:v>
      </x:c>
      <x:c r="B39" s="100" t="s">
        <x:v>81</x:v>
      </x:c>
      <x:c r="C39" s="72" t="s">
        <x:v>380</x:v>
      </x:c>
      <x:c r="D39" s="81" t="s">
        <x:v>12</x:v>
      </x:c>
      <x:c r="E39" s="72" t="s">
        <x:v>1912</x:v>
      </x:c>
      <x:c r="F39" s="72" t="s">
        <x:v>2853</x:v>
      </x:c>
      <x:c r="G39" s="72" t="s">
        <x:v>2854</x:v>
      </x:c>
    </x:row>
    <x:row r="40" ht="9.300000190734863" customHeight="1">
      <x:c r="A40" s="100">
        <x:v>33</x:v>
      </x:c>
      <x:c r="B40" s="100" t="s">
        <x:v>81</x:v>
      </x:c>
      <x:c r="C40" s="72" t="s">
        <x:v>1912</x:v>
      </x:c>
      <x:c r="D40" s="80" t="s">
        <x:v>12</x:v>
      </x:c>
      <x:c r="E40" s="72" t="s">
        <x:v>11</x:v>
      </x:c>
      <x:c r="F40" s="72" t="s">
        <x:v>1914</x:v>
      </x:c>
      <x:c r="G40" s="72" t="s">
        <x:v>2855</x:v>
      </x:c>
    </x:row>
    <x:row r="41" ht="5.099999904632568" customHeight="1">
      <x:c r="A41" s="512" t="s">
        <x:v>2856</x:v>
      </x:c>
      <x:c r="B41" s="423"/>
      <x:c r="C41" s="451"/>
      <x:c r="D41" s="451"/>
      <x:c r="E41" s="451"/>
      <x:c r="F41" s="451"/>
      <x:c r="G41" s="451"/>
    </x:row>
    <x:row r="42" ht="10.800000190734863" customHeight="1">
      <x:c r="A42" s="73" t="s">
        <x:v>2857</x:v>
      </x:c>
      <x:c r="B42" s="73" t="s">
        <x:v>110</x:v>
      </x:c>
      <x:c r="C42" s="73" t="s">
        <x:v>2858</x:v>
      </x:c>
      <x:c r="D42" s="73" t="s">
        <x:v>2857</x:v>
      </x:c>
      <x:c r="E42" s="73" t="s">
        <x:v>2857</x:v>
      </x:c>
      <x:c r="F42" s="73" t="s">
        <x:v>2859</x:v>
      </x:c>
      <x:c r="G42" s="73" t="s">
        <x:v>2860</x:v>
      </x:c>
    </x:row>
  </x:sheetData>
  <x:mergeCells>
    <x:mergeCell ref="A41:G41"/>
    <x:mergeCell ref="A33:G33"/>
    <x:mergeCell ref="A1:G1"/>
    <x:mergeCell ref="A17:G17"/>
    <x:mergeCell ref="A4:G4"/>
    <x:mergeCell ref="A2:G2"/>
    <x:mergeCell ref="A25:G25"/>
  </x:mergeCells>
  <x:pageMargins left="0.7" right="0.7" top="0.75" bottom="0.75" header="0.3" footer="0.3"/>
</x:worksheet>
</file>

<file path=xl/worksheets/sheet45.xml><?xml version="1.0" encoding="utf-8"?>
<x:worksheet xmlns:x="http://schemas.openxmlformats.org/spreadsheetml/2006/main">
  <x:sheetFormatPr baseColWidth="10" defaultColWidth="8.88671875" defaultRowHeight="14.399999618530273"/>
  <x:cols>
    <x:col min="1" max="1" width="7" customWidth="1"/>
    <x:col min="2" max="2" width="8" customWidth="1"/>
    <x:col min="3" max="3" width="27" customWidth="1"/>
    <x:col min="4" max="4" width="18" customWidth="1"/>
    <x:col min="5" max="5" width="30" customWidth="1"/>
    <x:col min="6" max="6" width="48" customWidth="1"/>
    <x:col min="7" max="7" width="92" customWidth="1"/>
    <x:col min="8" max="8" width="58" hidden="0" customWidth="1"/>
  </x:cols>
  <x:sheetData>
    <x:row r="1" ht="3.9000000953674316" customHeight="1">
      <x:c r="A1" s="470" t="s">
        <x:v>2861</x:v>
      </x:c>
      <x:c r="B1" s="451"/>
      <x:c r="C1" s="451"/>
      <x:c r="D1" s="451"/>
      <x:c r="E1" s="451"/>
      <x:c r="F1" s="451"/>
      <x:c r="G1" s="451"/>
    </x:row>
    <x:row r="2" ht="3.9000000953674316" customHeight="1">
      <x:c r="A2" s="471" t="s">
        <x:v>2862</x:v>
      </x:c>
      <x:c r="B2" s="451"/>
      <x:c r="C2" s="451"/>
      <x:c r="D2" s="451"/>
      <x:c r="E2" s="451"/>
      <x:c r="F2" s="451"/>
      <x:c r="G2" s="451"/>
    </x:row>
    <x:row r="3" ht="3.9000000953674316" customHeight="1">
      <x:c r="A3" s="120" t="s">
        <x:v>2</x:v>
      </x:c>
      <x:c r="B3" s="120" t="s">
        <x:v>3</x:v>
      </x:c>
      <x:c r="C3" s="120" t="s">
        <x:v>4</x:v>
      </x:c>
      <x:c r="D3" s="120" t="s">
        <x:v>5</x:v>
      </x:c>
      <x:c r="E3" s="120" t="s">
        <x:v>6</x:v>
      </x:c>
      <x:c r="F3" s="120" t="s">
        <x:v>7</x:v>
      </x:c>
      <x:c r="G3" s="121" t="s">
        <x:v>8</x:v>
      </x:c>
      <x:c r="H3" t="str">
        <x:v>CONDICIÓN RF65 (NO MVP)</x:v>
      </x:c>
    </x:row>
    <x:row r="4" ht="3.9000000953674316" customHeight="1">
      <x:c r="A4" s="472" t="s">
        <x:v>2863</x:v>
      </x:c>
      <x:c r="B4" s="454"/>
      <x:c r="C4" s="454"/>
      <x:c r="D4" s="454"/>
      <x:c r="E4" s="454"/>
      <x:c r="F4" s="454"/>
      <x:c r="G4" s="454"/>
    </x:row>
    <x:row r="5" ht="3.9000000953674316" customHeight="1">
      <x:c r="A5" s="139">
        <x:v>1</x:v>
      </x:c>
      <x:c r="B5" s="139" t="s">
        <x:v>10</x:v>
      </x:c>
      <x:c r="C5" s="124" t="s">
        <x:v>11</x:v>
      </x:c>
      <x:c r="D5" s="110" t="s">
        <x:v>12</x:v>
      </x:c>
      <x:c r="E5" s="124" t="s">
        <x:v>164</x:v>
      </x:c>
      <x:c r="F5" s="125" t="s">
        <x:v>165</x:v>
      </x:c>
      <x:c r="G5" s="126" t="s">
        <x:v>1782</x:v>
      </x:c>
      <x:c r="H5" s="1071" t="str">
        <x:v>RF65 POST-MVP · CONDICIONADO A APROBACIÓN. Notificaciones: omitir eventos futuros para vehículo ELIMINADO, sin reescribir estados pasados. Sin aprobación no aplicar filtros ni cambios de BD por RF65.</x:v>
      </x:c>
    </x:row>
    <x:row r="6" ht="3.9000000953674316" customHeight="1">
      <x:c r="A6" s="139">
        <x:v>2</x:v>
      </x:c>
      <x:c r="B6" s="139" t="s">
        <x:v>10</x:v>
      </x:c>
      <x:c r="C6" s="127" t="s">
        <x:v>164</x:v>
      </x:c>
      <x:c r="D6" s="111" t="s">
        <x:v>12</x:v>
      </x:c>
      <x:c r="E6" s="127" t="s">
        <x:v>167</x:v>
      </x:c>
      <x:c r="F6" s="128" t="s">
        <x:v>168</x:v>
      </x:c>
      <x:c r="G6" s="129" t="s">
        <x:v>2864</x:v>
      </x:c>
    </x:row>
    <x:row r="7" ht="3.9000000953674316" customHeight="1">
      <x:c r="A7" s="139">
        <x:v>3</x:v>
      </x:c>
      <x:c r="B7" s="139" t="s">
        <x:v>10</x:v>
      </x:c>
      <x:c r="C7" s="127" t="s">
        <x:v>167</x:v>
      </x:c>
      <x:c r="D7" s="112" t="s">
        <x:v>12</x:v>
      </x:c>
      <x:c r="E7" s="127" t="s">
        <x:v>179</x:v>
      </x:c>
      <x:c r="F7" s="128" t="s">
        <x:v>1784</x:v>
      </x:c>
      <x:c r="G7" s="129" t="s">
        <x:v>2865</x:v>
      </x:c>
    </x:row>
    <x:row r="8" ht="3.9000000953674316" customHeight="1">
      <x:c r="A8" s="139">
        <x:v>4</x:v>
      </x:c>
      <x:c r="B8" s="139" t="s">
        <x:v>10</x:v>
      </x:c>
      <x:c r="C8" s="127" t="s">
        <x:v>179</x:v>
      </x:c>
      <x:c r="D8" s="111" t="s">
        <x:v>12</x:v>
      </x:c>
      <x:c r="E8" s="127" t="s">
        <x:v>11</x:v>
      </x:c>
      <x:c r="F8" s="128" t="s">
        <x:v>182</x:v>
      </x:c>
      <x:c r="G8" s="129" t="s">
        <x:v>2866</x:v>
      </x:c>
    </x:row>
    <x:row r="9" ht="3.9000000953674316" customHeight="1">
      <x:c r="A9" s="139">
        <x:v>5</x:v>
      </x:c>
      <x:c r="B9" s="139" t="s">
        <x:v>10</x:v>
      </x:c>
      <x:c r="C9" s="127" t="s">
        <x:v>11</x:v>
      </x:c>
      <x:c r="D9" s="110" t="s">
        <x:v>12</x:v>
      </x:c>
      <x:c r="E9" s="127" t="s">
        <x:v>179</x:v>
      </x:c>
      <x:c r="F9" s="128" t="s">
        <x:v>2867</x:v>
      </x:c>
      <x:c r="G9" s="129" t="s">
        <x:v>2868</x:v>
      </x:c>
    </x:row>
    <x:row r="10" ht="3.9000000953674316" customHeight="1">
      <x:c r="A10" s="139">
        <x:v>6</x:v>
      </x:c>
      <x:c r="B10" s="139" t="s">
        <x:v>10</x:v>
      </x:c>
      <x:c r="C10" s="127" t="s">
        <x:v>179</x:v>
      </x:c>
      <x:c r="D10" s="111" t="s">
        <x:v>12</x:v>
      </x:c>
      <x:c r="E10" s="127" t="s">
        <x:v>167</x:v>
      </x:c>
      <x:c r="F10" s="128" t="s">
        <x:v>2869</x:v>
      </x:c>
      <x:c r="G10" s="129" t="s">
        <x:v>2870</x:v>
      </x:c>
    </x:row>
    <x:row r="11" ht="3.9000000953674316" customHeight="1">
      <x:c r="A11" s="139">
        <x:v>7</x:v>
      </x:c>
      <x:c r="B11" s="139" t="s">
        <x:v>10</x:v>
      </x:c>
      <x:c r="C11" s="127" t="s">
        <x:v>167</x:v>
      </x:c>
      <x:c r="D11" s="112" t="s">
        <x:v>12</x:v>
      </x:c>
      <x:c r="E11" s="127" t="s">
        <x:v>2871</x:v>
      </x:c>
      <x:c r="F11" s="128" t="s">
        <x:v>2872</x:v>
      </x:c>
      <x:c r="G11" s="129" t="s">
        <x:v>2873</x:v>
      </x:c>
    </x:row>
    <x:row r="12" ht="3.9000000953674316" customHeight="1">
      <x:c r="A12" s="472" t="s">
        <x:v>2874</x:v>
      </x:c>
      <x:c r="B12" s="454"/>
      <x:c r="C12" s="454"/>
      <x:c r="D12" s="454"/>
      <x:c r="E12" s="454"/>
      <x:c r="F12" s="454"/>
      <x:c r="G12" s="454"/>
    </x:row>
    <x:row r="13" ht="3.9000000953674316" customHeight="1">
      <x:c r="A13" s="139">
        <x:v>8</x:v>
      </x:c>
      <x:c r="B13" s="139" t="s">
        <x:v>33</x:v>
      </x:c>
      <x:c r="C13" s="124" t="s">
        <x:v>2871</x:v>
      </x:c>
      <x:c r="D13" s="111" t="s">
        <x:v>12</x:v>
      </x:c>
      <x:c r="E13" s="124" t="s">
        <x:v>380</x:v>
      </x:c>
      <x:c r="F13" s="125" t="s">
        <x:v>2875</x:v>
      </x:c>
      <x:c r="G13" s="126" t="s">
        <x:v>2876</x:v>
      </x:c>
    </x:row>
    <x:row r="14" ht="6.300000190734863" customHeight="1">
      <x:c r="A14" s="139">
        <x:v>9</x:v>
      </x:c>
      <x:c r="B14" s="139" t="s">
        <x:v>33</x:v>
      </x:c>
      <x:c r="C14" s="127" t="s">
        <x:v>380</x:v>
      </x:c>
      <x:c r="D14" s="112" t="s">
        <x:v>12</x:v>
      </x:c>
      <x:c r="E14" s="127" t="s">
        <x:v>2775</x:v>
      </x:c>
      <x:c r="F14" s="128" t="s">
        <x:v>2877</x:v>
      </x:c>
      <x:c r="G14" s="129" t="s">
        <x:v>2878</x:v>
      </x:c>
    </x:row>
    <x:row r="15" ht="6.300000190734863" customHeight="1">
      <x:c r="A15" s="139">
        <x:v>10</x:v>
      </x:c>
      <x:c r="B15" s="139" t="s">
        <x:v>33</x:v>
      </x:c>
      <x:c r="C15" s="127" t="s">
        <x:v>2775</x:v>
      </x:c>
      <x:c r="D15" s="114" t="s">
        <x:v>53</x:v>
      </x:c>
      <x:c r="E15" s="127" t="s">
        <x:v>380</x:v>
      </x:c>
      <x:c r="F15" s="128" t="s">
        <x:v>2879</x:v>
      </x:c>
      <x:c r="G15" s="129" t="s">
        <x:v>2880</x:v>
      </x:c>
    </x:row>
    <x:row r="16" ht="3.9000000953674316" customHeight="1">
      <x:c r="A16" s="139">
        <x:v>11</x:v>
      </x:c>
      <x:c r="B16" s="139" t="s">
        <x:v>33</x:v>
      </x:c>
      <x:c r="C16" s="127" t="s">
        <x:v>380</x:v>
      </x:c>
      <x:c r="D16" s="112" t="s">
        <x:v>12</x:v>
      </x:c>
      <x:c r="E16" s="127" t="s">
        <x:v>2871</x:v>
      </x:c>
      <x:c r="F16" s="128" t="s">
        <x:v>2881</x:v>
      </x:c>
      <x:c r="G16" s="129" t="s">
        <x:v>2882</x:v>
      </x:c>
    </x:row>
    <x:row r="17" ht="3.9000000953674316" customHeight="1">
      <x:c r="A17" s="139">
        <x:v>12</x:v>
      </x:c>
      <x:c r="B17" s="139" t="s">
        <x:v>33</x:v>
      </x:c>
      <x:c r="C17" s="127" t="s">
        <x:v>2871</x:v>
      </x:c>
      <x:c r="D17" s="111" t="s">
        <x:v>12</x:v>
      </x:c>
      <x:c r="E17" s="127" t="s">
        <x:v>11</x:v>
      </x:c>
      <x:c r="F17" s="128" t="s">
        <x:v>2883</x:v>
      </x:c>
      <x:c r="G17" s="129" t="s">
        <x:v>2884</x:v>
      </x:c>
    </x:row>
    <x:row r="18" ht="3.9000000953674316" customHeight="1">
      <x:c r="A18" s="472" t="s">
        <x:v>2885</x:v>
      </x:c>
      <x:c r="B18" s="454"/>
      <x:c r="C18" s="454"/>
      <x:c r="D18" s="454"/>
      <x:c r="E18" s="454"/>
      <x:c r="F18" s="454"/>
      <x:c r="G18" s="454"/>
    </x:row>
    <x:row r="19" ht="3.9000000953674316" customHeight="1">
      <x:c r="A19" s="139">
        <x:v>13</x:v>
      </x:c>
      <x:c r="B19" s="139" t="s">
        <x:v>63</x:v>
      </x:c>
      <x:c r="C19" s="124" t="s">
        <x:v>11</x:v>
      </x:c>
      <x:c r="D19" s="110" t="s">
        <x:v>12</x:v>
      </x:c>
      <x:c r="E19" s="124" t="s">
        <x:v>2871</x:v>
      </x:c>
      <x:c r="F19" s="125" t="s">
        <x:v>2886</x:v>
      </x:c>
      <x:c r="G19" s="126" t="s">
        <x:v>2887</x:v>
      </x:c>
    </x:row>
    <x:row r="20" ht="3.9000000953674316" customHeight="1">
      <x:c r="A20" s="139">
        <x:v>14</x:v>
      </x:c>
      <x:c r="B20" s="139" t="s">
        <x:v>63</x:v>
      </x:c>
      <x:c r="C20" s="127" t="s">
        <x:v>2871</x:v>
      </x:c>
      <x:c r="D20" s="111" t="s">
        <x:v>12</x:v>
      </x:c>
      <x:c r="E20" s="127" t="s">
        <x:v>380</x:v>
      </x:c>
      <x:c r="F20" s="128" t="s">
        <x:v>2888</x:v>
      </x:c>
      <x:c r="G20" s="129" t="s">
        <x:v>2889</x:v>
      </x:c>
    </x:row>
    <x:row r="21" ht="3.9000000953674316" customHeight="1">
      <x:c r="A21" s="139">
        <x:v>15</x:v>
      </x:c>
      <x:c r="B21" s="139" t="s">
        <x:v>63</x:v>
      </x:c>
      <x:c r="C21" s="127" t="s">
        <x:v>380</x:v>
      </x:c>
      <x:c r="D21" s="112" t="s">
        <x:v>19</x:v>
      </x:c>
      <x:c r="E21" s="127" t="s">
        <x:v>380</x:v>
      </x:c>
      <x:c r="F21" s="128" t="s">
        <x:v>2890</x:v>
      </x:c>
      <x:c r="G21" s="129" t="s">
        <x:v>2891</x:v>
      </x:c>
    </x:row>
    <x:row r="22" ht="3.9000000953674316" customHeight="1">
      <x:c r="A22" s="500" t="s">
        <x:v>2892</x:v>
      </x:c>
      <x:c r="B22" s="501"/>
      <x:c r="C22" s="501"/>
      <x:c r="D22" s="501"/>
      <x:c r="E22" s="501"/>
      <x:c r="F22" s="501"/>
      <x:c r="G22" s="502"/>
    </x:row>
    <x:row r="23" ht="6.300000190734863" customHeight="1">
      <x:c r="A23" s="139">
        <x:v>16</x:v>
      </x:c>
      <x:c r="B23" s="139" t="s">
        <x:v>81</x:v>
      </x:c>
      <x:c r="C23" s="127" t="s">
        <x:v>380</x:v>
      </x:c>
      <x:c r="D23" s="112" t="s">
        <x:v>12</x:v>
      </x:c>
      <x:c r="E23" s="127" t="s">
        <x:v>2893</x:v>
      </x:c>
      <x:c r="F23" s="128" t="s">
        <x:v>2894</x:v>
      </x:c>
      <x:c r="G23" s="129" t="s">
        <x:v>2895</x:v>
      </x:c>
    </x:row>
    <x:row r="24" s="101" customFormat="1" ht="6.900000095367432" customHeight="1">
      <x:c r="A24" s="139">
        <x:v>17</x:v>
      </x:c>
      <x:c r="B24" s="139" t="s">
        <x:v>81</x:v>
      </x:c>
      <x:c r="C24" s="140" t="s">
        <x:v>2893</x:v>
      </x:c>
      <x:c r="D24" s="140" t="s">
        <x:v>53</x:v>
      </x:c>
      <x:c r="E24" s="140" t="s">
        <x:v>380</x:v>
      </x:c>
      <x:c r="F24" s="140" t="s">
        <x:v>2896</x:v>
      </x:c>
      <x:c r="G24" s="140" t="s">
        <x:v>2897</x:v>
      </x:c>
    </x:row>
    <x:row r="25" ht="6.300000190734863" customHeight="1">
      <x:c r="A25" s="139">
        <x:v>18</x:v>
      </x:c>
      <x:c r="B25" s="139" t="s">
        <x:v>81</x:v>
      </x:c>
      <x:c r="C25" s="124" t="s">
        <x:v>380</x:v>
      </x:c>
      <x:c r="D25" s="112" t="s">
        <x:v>12</x:v>
      </x:c>
      <x:c r="E25" s="124" t="s">
        <x:v>2775</x:v>
      </x:c>
      <x:c r="F25" s="125" t="s">
        <x:v>2898</x:v>
      </x:c>
      <x:c r="G25" s="126" t="s">
        <x:v>2899</x:v>
      </x:c>
    </x:row>
    <x:row r="26" ht="3.9000000953674316" customHeight="1">
      <x:c r="A26" s="139">
        <x:v>19</x:v>
      </x:c>
      <x:c r="B26" s="139" t="s">
        <x:v>81</x:v>
      </x:c>
      <x:c r="C26" s="127" t="s">
        <x:v>2775</x:v>
      </x:c>
      <x:c r="D26" s="114" t="s">
        <x:v>53</x:v>
      </x:c>
      <x:c r="E26" s="127" t="s">
        <x:v>380</x:v>
      </x:c>
      <x:c r="F26" s="128" t="s">
        <x:v>2900</x:v>
      </x:c>
      <x:c r="G26" s="129" t="s">
        <x:v>2901</x:v>
      </x:c>
    </x:row>
    <x:row r="27" ht="3.9000000953674316" customHeight="1">
      <x:c r="A27" s="500" t="s">
        <x:v>2902</x:v>
      </x:c>
      <x:c r="B27" s="501"/>
      <x:c r="C27" s="501"/>
      <x:c r="D27" s="501"/>
      <x:c r="E27" s="501"/>
      <x:c r="F27" s="501"/>
      <x:c r="G27" s="502"/>
    </x:row>
    <x:row r="28" ht="3.9000000953674316" customHeight="1">
      <x:c r="A28" s="139">
        <x:v>20</x:v>
      </x:c>
      <x:c r="B28" s="139" t="s">
        <x:v>110</x:v>
      </x:c>
      <x:c r="C28" s="127" t="s">
        <x:v>380</x:v>
      </x:c>
      <x:c r="D28" s="112" t="s">
        <x:v>12</x:v>
      </x:c>
      <x:c r="E28" s="127" t="s">
        <x:v>2871</x:v>
      </x:c>
      <x:c r="F28" s="128" t="s">
        <x:v>2903</x:v>
      </x:c>
      <x:c r="G28" s="129" t="s">
        <x:v>2904</x:v>
      </x:c>
    </x:row>
    <x:row r="29" ht="3.9000000953674316" customHeight="1">
      <x:c r="A29" s="139">
        <x:v>21</x:v>
      </x:c>
      <x:c r="B29" s="139" t="s">
        <x:v>110</x:v>
      </x:c>
      <x:c r="C29" s="141" t="s">
        <x:v>2871</x:v>
      </x:c>
      <x:c r="D29" s="141" t="s">
        <x:v>12</x:v>
      </x:c>
      <x:c r="E29" s="141" t="s">
        <x:v>11</x:v>
      </x:c>
      <x:c r="F29" s="141" t="s">
        <x:v>2905</x:v>
      </x:c>
      <x:c r="G29" s="141" t="s">
        <x:v>2906</x:v>
      </x:c>
    </x:row>
    <x:row r="30">
      <x:c r="A30" s="39"/>
      <x:c r="B30" s="40"/>
      <x:c r="C30" s="41"/>
      <x:c r="D30" s="42"/>
      <x:c r="E30" s="41"/>
      <x:c r="F30" s="43"/>
      <x:c r="G30" s="43"/>
    </x:row>
    <x:row r="31">
      <x:c r="A31" s="39"/>
      <x:c r="B31" s="40"/>
      <x:c r="C31" s="44"/>
      <x:c r="D31" s="42"/>
      <x:c r="E31" s="44"/>
      <x:c r="F31" s="45"/>
      <x:c r="G31" s="45"/>
    </x:row>
  </x:sheetData>
  <x:mergeCells>
    <x:mergeCell ref="A22:G22"/>
    <x:mergeCell ref="A27:G27"/>
    <x:mergeCell ref="A1:G1"/>
    <x:mergeCell ref="A2:G2"/>
    <x:mergeCell ref="A4:G4"/>
    <x:mergeCell ref="A12:G12"/>
    <x:mergeCell ref="A18:G18"/>
  </x:mergeCells>
  <x:pageMargins left="0.7" right="0.7" top="0.75" bottom="0.75" header="0.3" footer="0.3"/>
</x:worksheet>
</file>

<file path=xl/worksheets/sheet46.xml><?xml version="1.0" encoding="utf-8"?>
<x:worksheet xmlns:x="http://schemas.openxmlformats.org/spreadsheetml/2006/main">
  <x:sheetFormatPr baseColWidth="10" defaultColWidth="8.88671875" defaultRowHeight="14.399999618530273"/>
  <x:cols>
    <x:col min="1" max="1" width="7" customWidth="1"/>
    <x:col min="2" max="2" width="8" customWidth="1"/>
    <x:col min="3" max="3" width="27" customWidth="1"/>
    <x:col min="4" max="4" width="18" customWidth="1"/>
    <x:col min="5" max="5" width="30" customWidth="1"/>
    <x:col min="6" max="6" width="48" customWidth="1"/>
    <x:col min="7" max="7" width="92" customWidth="1"/>
    <x:col min="8" max="8" width="58" hidden="0" customWidth="1"/>
  </x:cols>
  <x:sheetData>
    <x:row r="1" ht="5.849999904632568" customHeight="1">
      <x:c r="A1" s="514" t="s">
        <x:v>2907</x:v>
      </x:c>
      <x:c r="B1" s="423"/>
      <x:c r="C1" s="423"/>
      <x:c r="D1" s="423"/>
      <x:c r="E1" s="423"/>
      <x:c r="F1" s="423"/>
      <x:c r="G1" s="423"/>
    </x:row>
    <x:row r="2" ht="5.099999904632568" customHeight="1">
      <x:c r="A2" s="516" t="s">
        <x:v>2908</x:v>
      </x:c>
      <x:c r="B2" s="423"/>
      <x:c r="C2" s="423"/>
      <x:c r="D2" s="423"/>
      <x:c r="E2" s="423"/>
      <x:c r="F2" s="423"/>
      <x:c r="G2" s="423"/>
    </x:row>
    <x:row r="3" ht="5.099999904632568" customHeight="1">
      <x:c r="A3" s="92" t="s">
        <x:v>2</x:v>
      </x:c>
      <x:c r="B3" s="92" t="s">
        <x:v>3</x:v>
      </x:c>
      <x:c r="C3" s="92" t="s">
        <x:v>4</x:v>
      </x:c>
      <x:c r="D3" s="92" t="s">
        <x:v>5</x:v>
      </x:c>
      <x:c r="E3" s="92" t="s">
        <x:v>6</x:v>
      </x:c>
      <x:c r="F3" s="92" t="s">
        <x:v>7</x:v>
      </x:c>
      <x:c r="G3" s="93" t="s">
        <x:v>8</x:v>
      </x:c>
      <x:c r="H3" t="str">
        <x:v>CONDICIÓN RF65 (NO MVP)</x:v>
      </x:c>
    </x:row>
    <x:row r="4" ht="5.099999904632568" customHeight="1">
      <x:c r="A4" s="515" t="s">
        <x:v>2909</x:v>
      </x:c>
      <x:c r="B4" s="449"/>
      <x:c r="C4" s="449"/>
      <x:c r="D4" s="449"/>
      <x:c r="E4" s="449"/>
      <x:c r="F4" s="449"/>
      <x:c r="G4" s="449"/>
    </x:row>
    <x:row r="5" ht="9.300000190734863" customHeight="1">
      <x:c r="A5" s="100">
        <x:v>1</x:v>
      </x:c>
      <x:c r="B5" s="100" t="s">
        <x:v>10</x:v>
      </x:c>
      <x:c r="C5" s="86" t="s">
        <x:v>11</x:v>
      </x:c>
      <x:c r="D5" s="79" t="s">
        <x:v>12</x:v>
      </x:c>
      <x:c r="E5" s="86" t="s">
        <x:v>2719</x:v>
      </x:c>
      <x:c r="F5" s="87" t="s">
        <x:v>2910</x:v>
      </x:c>
      <x:c r="G5" s="90" t="s">
        <x:v>2911</x:v>
      </x:c>
      <x:c r="H5" s="1071" t="str">
        <x:v>RF65 POST-MVP · CONDICIONADO A APROBACIÓN. Preferencias/avisos: no reactivar mensajes de vehículos ELIMINADOS; licencias de conductor no quedan afectadas. Sin aprobación no aplicar filtros ni cambios de BD por RF65.</x:v>
      </x:c>
    </x:row>
    <x:row r="6" ht="9.300000190734863" customHeight="1">
      <x:c r="A6" s="100">
        <x:v>2</x:v>
      </x:c>
      <x:c r="B6" s="100" t="s">
        <x:v>10</x:v>
      </x:c>
      <x:c r="C6" s="88" t="s">
        <x:v>2719</x:v>
      </x:c>
      <x:c r="D6" s="80" t="s">
        <x:v>12</x:v>
      </x:c>
      <x:c r="E6" s="88" t="s">
        <x:v>380</x:v>
      </x:c>
      <x:c r="F6" s="89" t="s">
        <x:v>2912</x:v>
      </x:c>
      <x:c r="G6" s="91" t="s">
        <x:v>2913</x:v>
      </x:c>
    </x:row>
    <x:row r="7" ht="9.300000190734863" customHeight="1">
      <x:c r="A7" s="100">
        <x:v>3</x:v>
      </x:c>
      <x:c r="B7" s="100" t="s">
        <x:v>10</x:v>
      </x:c>
      <x:c r="C7" s="88" t="s">
        <x:v>380</x:v>
      </x:c>
      <x:c r="D7" s="81" t="s">
        <x:v>12</x:v>
      </x:c>
      <x:c r="E7" s="88" t="s">
        <x:v>802</x:v>
      </x:c>
      <x:c r="F7" s="89" t="s">
        <x:v>2914</x:v>
      </x:c>
      <x:c r="G7" s="91" t="s">
        <x:v>2915</x:v>
      </x:c>
    </x:row>
    <x:row r="8" ht="9.300000190734863" customHeight="1">
      <x:c r="A8" s="100">
        <x:v>4</x:v>
      </x:c>
      <x:c r="B8" s="100" t="s">
        <x:v>10</x:v>
      </x:c>
      <x:c r="C8" s="88" t="s">
        <x:v>802</x:v>
      </x:c>
      <x:c r="D8" s="82" t="s">
        <x:v>53</x:v>
      </x:c>
      <x:c r="E8" s="88" t="s">
        <x:v>380</x:v>
      </x:c>
      <x:c r="F8" s="89" t="s">
        <x:v>2916</x:v>
      </x:c>
      <x:c r="G8" s="91" t="s">
        <x:v>2917</x:v>
      </x:c>
    </x:row>
    <x:row r="9" ht="9.300000190734863" customHeight="1">
      <x:c r="A9" s="100">
        <x:v>5</x:v>
      </x:c>
      <x:c r="B9" s="100" t="s">
        <x:v>10</x:v>
      </x:c>
      <x:c r="C9" s="88" t="s">
        <x:v>380</x:v>
      </x:c>
      <x:c r="D9" s="81" t="s">
        <x:v>19</x:v>
      </x:c>
      <x:c r="E9" s="88" t="s">
        <x:v>380</x:v>
      </x:c>
      <x:c r="F9" s="89" t="s">
        <x:v>2918</x:v>
      </x:c>
      <x:c r="G9" s="91" t="s">
        <x:v>2919</x:v>
      </x:c>
    </x:row>
    <x:row r="10" ht="9.300000190734863" customHeight="1">
      <x:c r="A10" s="100">
        <x:v>6</x:v>
      </x:c>
      <x:c r="B10" s="100" t="s">
        <x:v>10</x:v>
      </x:c>
      <x:c r="C10" s="88" t="s">
        <x:v>380</x:v>
      </x:c>
      <x:c r="D10" s="81" t="s">
        <x:v>12</x:v>
      </x:c>
      <x:c r="E10" s="88" t="s">
        <x:v>2719</x:v>
      </x:c>
      <x:c r="F10" s="89" t="s">
        <x:v>2920</x:v>
      </x:c>
      <x:c r="G10" s="91" t="s">
        <x:v>2921</x:v>
      </x:c>
    </x:row>
    <x:row r="11" ht="9.300000190734863" customHeight="1">
      <x:c r="A11" s="100">
        <x:v>7</x:v>
      </x:c>
      <x:c r="B11" s="100" t="s">
        <x:v>10</x:v>
      </x:c>
      <x:c r="C11" s="88" t="s">
        <x:v>2719</x:v>
      </x:c>
      <x:c r="D11" s="80" t="s">
        <x:v>12</x:v>
      </x:c>
      <x:c r="E11" s="88" t="s">
        <x:v>11</x:v>
      </x:c>
      <x:c r="F11" s="89" t="s">
        <x:v>2922</x:v>
      </x:c>
      <x:c r="G11" s="91" t="s">
        <x:v>2923</x:v>
      </x:c>
    </x:row>
    <x:row r="12" ht="5.099999904632568" customHeight="1">
      <x:c r="A12" s="513" t="s">
        <x:v>2924</x:v>
      </x:c>
      <x:c r="B12" s="436"/>
      <x:c r="C12" s="436"/>
      <x:c r="D12" s="436"/>
      <x:c r="E12" s="436"/>
      <x:c r="F12" s="436"/>
      <x:c r="G12" s="437"/>
    </x:row>
    <x:row r="13" ht="9.300000190734863" customHeight="1">
      <x:c r="A13" s="100">
        <x:v>8</x:v>
      </x:c>
      <x:c r="B13" s="100" t="s">
        <x:v>33</x:v>
      </x:c>
      <x:c r="C13" s="97" t="s">
        <x:v>11</x:v>
      </x:c>
      <x:c r="D13" s="97" t="s">
        <x:v>12</x:v>
      </x:c>
      <x:c r="E13" s="97" t="s">
        <x:v>2719</x:v>
      </x:c>
      <x:c r="F13" s="97" t="s">
        <x:v>2725</x:v>
      </x:c>
      <x:c r="G13" s="97" t="s">
        <x:v>2925</x:v>
      </x:c>
    </x:row>
    <x:row r="14" ht="9.300000190734863" customHeight="1">
      <x:c r="A14" s="100">
        <x:v>9</x:v>
      </x:c>
      <x:c r="B14" s="100" t="s">
        <x:v>33</x:v>
      </x:c>
      <x:c r="C14" s="86" t="s">
        <x:v>2719</x:v>
      </x:c>
      <x:c r="D14" s="80" t="s">
        <x:v>12</x:v>
      </x:c>
      <x:c r="E14" s="86" t="s">
        <x:v>380</x:v>
      </x:c>
      <x:c r="F14" s="87" t="s">
        <x:v>2926</x:v>
      </x:c>
      <x:c r="G14" s="90" t="s">
        <x:v>2927</x:v>
      </x:c>
    </x:row>
    <x:row r="15" ht="9.300000190734863" customHeight="1">
      <x:c r="A15" s="100">
        <x:v>10</x:v>
      </x:c>
      <x:c r="B15" s="100" t="s">
        <x:v>33</x:v>
      </x:c>
      <x:c r="C15" s="88" t="s">
        <x:v>380</x:v>
      </x:c>
      <x:c r="D15" s="81" t="s">
        <x:v>12</x:v>
      </x:c>
      <x:c r="E15" s="88" t="s">
        <x:v>802</x:v>
      </x:c>
      <x:c r="F15" s="89" t="s">
        <x:v>2928</x:v>
      </x:c>
      <x:c r="G15" s="91" t="s">
        <x:v>2929</x:v>
      </x:c>
    </x:row>
    <x:row r="16" ht="9.300000190734863" customHeight="1">
      <x:c r="A16" s="100">
        <x:v>11</x:v>
      </x:c>
      <x:c r="B16" s="100" t="s">
        <x:v>33</x:v>
      </x:c>
      <x:c r="C16" s="88" t="s">
        <x:v>802</x:v>
      </x:c>
      <x:c r="D16" s="82" t="s">
        <x:v>53</x:v>
      </x:c>
      <x:c r="E16" s="88" t="s">
        <x:v>380</x:v>
      </x:c>
      <x:c r="F16" s="89" t="s">
        <x:v>2916</x:v>
      </x:c>
      <x:c r="G16" s="91" t="s">
        <x:v>2930</x:v>
      </x:c>
    </x:row>
    <x:row r="17" ht="9.300000190734863" customHeight="1">
      <x:c r="A17" s="100">
        <x:v>12</x:v>
      </x:c>
      <x:c r="B17" s="100" t="s">
        <x:v>33</x:v>
      </x:c>
      <x:c r="C17" s="88" t="s">
        <x:v>380</x:v>
      </x:c>
      <x:c r="D17" s="81" t="s">
        <x:v>19</x:v>
      </x:c>
      <x:c r="E17" s="88" t="s">
        <x:v>380</x:v>
      </x:c>
      <x:c r="F17" s="89" t="s">
        <x:v>2918</x:v>
      </x:c>
      <x:c r="G17" s="91" t="s">
        <x:v>2931</x:v>
      </x:c>
    </x:row>
    <x:row r="18" ht="9.300000190734863" customHeight="1">
      <x:c r="A18" s="100">
        <x:v>13</x:v>
      </x:c>
      <x:c r="B18" s="100" t="s">
        <x:v>33</x:v>
      </x:c>
      <x:c r="C18" s="88" t="s">
        <x:v>380</x:v>
      </x:c>
      <x:c r="D18" s="81" t="s">
        <x:v>12</x:v>
      </x:c>
      <x:c r="E18" s="88" t="s">
        <x:v>2719</x:v>
      </x:c>
      <x:c r="F18" s="89" t="s">
        <x:v>2932</x:v>
      </x:c>
      <x:c r="G18" s="91" t="s">
        <x:v>2933</x:v>
      </x:c>
    </x:row>
    <x:row r="19" ht="9.300000190734863" customHeight="1">
      <x:c r="A19" s="100">
        <x:v>14</x:v>
      </x:c>
      <x:c r="B19" s="100" t="s">
        <x:v>33</x:v>
      </x:c>
      <x:c r="C19" s="94" t="s">
        <x:v>2719</x:v>
      </x:c>
      <x:c r="D19" s="85" t="s">
        <x:v>12</x:v>
      </x:c>
      <x:c r="E19" s="94" t="s">
        <x:v>11</x:v>
      </x:c>
      <x:c r="F19" s="95" t="s">
        <x:v>2934</x:v>
      </x:c>
      <x:c r="G19" s="96" t="s">
        <x:v>2935</x:v>
      </x:c>
    </x:row>
    <x:row r="20">
      <x:c r="A20" s="100"/>
      <x:c r="B20" s="100"/>
      <x:c r="C20" s="46"/>
      <x:c r="D20" s="42"/>
      <x:c r="E20" s="46"/>
      <x:c r="F20" s="47"/>
      <x:c r="G20" s="47"/>
    </x:row>
    <x:row r="21">
      <x:c r="A21" s="448"/>
      <x:c r="B21" s="449"/>
      <x:c r="C21" s="449"/>
      <x:c r="D21" s="449"/>
      <x:c r="E21" s="449"/>
      <x:c r="F21" s="449"/>
      <x:c r="G21" s="450"/>
    </x:row>
    <x:row r="22">
      <x:c r="A22" s="39"/>
      <x:c r="B22" s="40"/>
      <x:c r="C22" s="41"/>
      <x:c r="D22" s="42"/>
      <x:c r="E22" s="41"/>
      <x:c r="F22" s="43"/>
      <x:c r="G22" s="43"/>
    </x:row>
    <x:row r="23">
      <x:c r="A23" s="39"/>
      <x:c r="B23" s="40"/>
      <x:c r="C23" s="44"/>
      <x:c r="D23" s="42"/>
      <x:c r="E23" s="44"/>
      <x:c r="F23" s="45"/>
      <x:c r="G23" s="45"/>
    </x:row>
    <x:row r="24">
      <x:c r="A24" s="39"/>
      <x:c r="B24" s="40"/>
      <x:c r="C24" s="46"/>
      <x:c r="D24" s="42"/>
      <x:c r="E24" s="46"/>
      <x:c r="F24" s="47"/>
      <x:c r="G24" s="47"/>
    </x:row>
    <x:row r="25">
      <x:c r="A25" s="39"/>
      <x:c r="B25" s="40"/>
      <x:c r="C25" s="44"/>
      <x:c r="D25" s="42"/>
      <x:c r="E25" s="44"/>
      <x:c r="F25" s="45"/>
      <x:c r="G25" s="45"/>
    </x:row>
    <x:row r="26">
      <x:c r="A26" s="39"/>
      <x:c r="B26" s="40"/>
      <x:c r="C26" s="46"/>
      <x:c r="D26" s="42"/>
      <x:c r="E26" s="46"/>
      <x:c r="F26" s="47"/>
      <x:c r="G26" s="47"/>
    </x:row>
    <x:row r="27">
      <x:c r="A27" s="39"/>
      <x:c r="B27" s="40"/>
      <x:c r="C27" s="44"/>
      <x:c r="D27" s="42"/>
      <x:c r="E27" s="44"/>
      <x:c r="F27" s="45"/>
      <x:c r="G27" s="45"/>
    </x:row>
  </x:sheetData>
  <x:mergeCells>
    <x:mergeCell ref="A1:G1"/>
    <x:mergeCell ref="A21:G21"/>
    <x:mergeCell ref="A12:G12"/>
    <x:mergeCell ref="A4:G4"/>
    <x:mergeCell ref="A2:G2"/>
  </x:mergeCells>
  <x:pageMargins left="0.7" right="0.7" top="0.75" bottom="0.75" header="0.3" footer="0.3"/>
</x:worksheet>
</file>

<file path=xl/worksheets/sheet47.xml><?xml version="1.0" encoding="utf-8"?>
<x:worksheet xmlns:x="http://schemas.openxmlformats.org/spreadsheetml/2006/main">
  <x:sheetFormatPr baseColWidth="10" defaultColWidth="8.88671875" defaultRowHeight="14.399999618530273"/>
  <x:cols>
    <x:col min="1" max="1" width="7" customWidth="1"/>
    <x:col min="2" max="2" width="8" customWidth="1"/>
    <x:col min="3" max="3" width="27" customWidth="1"/>
    <x:col min="4" max="4" width="18" customWidth="1"/>
    <x:col min="5" max="5" width="30" customWidth="1"/>
    <x:col min="6" max="6" width="48" customWidth="1"/>
    <x:col min="7" max="7" width="92" customWidth="1"/>
    <x:col min="8" max="8" width="58" hidden="0" customWidth="1"/>
  </x:cols>
  <x:sheetData>
    <x:row r="1" ht="5.849999904632568" customHeight="1">
      <x:c r="A1" s="514" t="s">
        <x:v>2936</x:v>
      </x:c>
      <x:c r="B1" s="423"/>
      <x:c r="C1" s="423"/>
      <x:c r="D1" s="423"/>
      <x:c r="E1" s="423"/>
      <x:c r="F1" s="423"/>
      <x:c r="G1" s="423"/>
    </x:row>
    <x:row r="2" ht="5.099999904632568" customHeight="1">
      <x:c r="A2" s="516" t="s">
        <x:v>2937</x:v>
      </x:c>
      <x:c r="B2" s="423"/>
      <x:c r="C2" s="423"/>
      <x:c r="D2" s="423"/>
      <x:c r="E2" s="423"/>
      <x:c r="F2" s="423"/>
      <x:c r="G2" s="423"/>
    </x:row>
    <x:row r="3" ht="5.099999904632568" customHeight="1">
      <x:c r="A3" s="78" t="s">
        <x:v>2</x:v>
      </x:c>
      <x:c r="B3" s="78" t="s">
        <x:v>3</x:v>
      </x:c>
      <x:c r="C3" s="78" t="s">
        <x:v>4</x:v>
      </x:c>
      <x:c r="D3" s="78" t="s">
        <x:v>5</x:v>
      </x:c>
      <x:c r="E3" s="78" t="s">
        <x:v>6</x:v>
      </x:c>
      <x:c r="F3" s="78" t="s">
        <x:v>7</x:v>
      </x:c>
      <x:c r="G3" s="78" t="s">
        <x:v>8</x:v>
      </x:c>
      <x:c r="H3" t="str">
        <x:v>CONDICIÓN RF65 (NO MVP)</x:v>
      </x:c>
    </x:row>
    <x:row r="4" ht="5.099999904632568" customHeight="1">
      <x:c r="A4" s="520" t="s">
        <x:v>2938</x:v>
      </x:c>
      <x:c r="B4" s="423"/>
      <x:c r="C4" s="423"/>
      <x:c r="D4" s="423"/>
      <x:c r="E4" s="423"/>
      <x:c r="F4" s="423"/>
      <x:c r="G4" s="423"/>
    </x:row>
    <x:row r="5" ht="9.300000190734863" customHeight="1">
      <x:c r="A5" s="100">
        <x:v>1</x:v>
      </x:c>
      <x:c r="B5" s="100" t="s">
        <x:v>10</x:v>
      </x:c>
      <x:c r="C5" s="71" t="s">
        <x:v>11</x:v>
      </x:c>
      <x:c r="D5" s="74" t="s">
        <x:v>2939</x:v>
      </x:c>
      <x:c r="E5" s="71" t="s">
        <x:v>164</x:v>
      </x:c>
      <x:c r="F5" s="71" t="s">
        <x:v>2940</x:v>
      </x:c>
      <x:c r="G5" s="71" t="s">
        <x:v>2941</x:v>
      </x:c>
      <x:c r="H5" s="1071" t="str">
        <x:v>RF65 POST-MVP · CONDICIONADO A APROBACIÓN. Inicio: solo vehículos propios ACTIVOS y VIGENTES; resumen alertas es lectura sin UPDATE de estados y el MVP sincroniza solo en RF23. Sin aprobación no aplicar filtros ni cambios de BD por RF65.</x:v>
      </x:c>
    </x:row>
    <x:row r="6" ht="9.300000190734863" customHeight="1">
      <x:c r="A6" s="100">
        <x:v>2</x:v>
      </x:c>
      <x:c r="B6" s="100" t="s">
        <x:v>10</x:v>
      </x:c>
      <x:c r="C6" s="71" t="s">
        <x:v>164</x:v>
      </x:c>
      <x:c r="D6" s="83" t="s">
        <x:v>2939</x:v>
      </x:c>
      <x:c r="E6" s="71" t="s">
        <x:v>2942</x:v>
      </x:c>
      <x:c r="F6" s="71" t="s">
        <x:v>2943</x:v>
      </x:c>
      <x:c r="G6" s="71" t="s">
        <x:v>2944</x:v>
      </x:c>
    </x:row>
    <x:row r="7" ht="9.300000190734863" customHeight="1">
      <x:c r="A7" s="100">
        <x:v>3</x:v>
      </x:c>
      <x:c r="B7" s="100" t="s">
        <x:v>10</x:v>
      </x:c>
      <x:c r="C7" s="71" t="s">
        <x:v>2942</x:v>
      </x:c>
      <x:c r="D7" s="75" t="s">
        <x:v>2939</x:v>
      </x:c>
      <x:c r="E7" s="71" t="s">
        <x:v>2945</x:v>
      </x:c>
      <x:c r="F7" s="71" t="s">
        <x:v>2946</x:v>
      </x:c>
      <x:c r="G7" s="71" t="s">
        <x:v>2947</x:v>
      </x:c>
    </x:row>
    <x:row r="8" ht="9.300000190734863" customHeight="1">
      <x:c r="A8" s="100">
        <x:v>4</x:v>
      </x:c>
      <x:c r="B8" s="100" t="s">
        <x:v>10</x:v>
      </x:c>
      <x:c r="C8" s="71" t="s">
        <x:v>2945</x:v>
      </x:c>
      <x:c r="D8" s="75" t="s">
        <x:v>19</x:v>
      </x:c>
      <x:c r="E8" s="71" t="s">
        <x:v>2945</x:v>
      </x:c>
      <x:c r="F8" s="71" t="s">
        <x:v>2948</x:v>
      </x:c>
      <x:c r="G8" s="71" t="s">
        <x:v>2949</x:v>
      </x:c>
    </x:row>
    <x:row r="9" ht="9.300000190734863" customHeight="1">
      <x:c r="A9" s="100">
        <x:v>5</x:v>
      </x:c>
      <x:c r="B9" s="100" t="s">
        <x:v>10</x:v>
      </x:c>
      <x:c r="C9" s="71" t="s">
        <x:v>2945</x:v>
      </x:c>
      <x:c r="D9" s="75" t="s">
        <x:v>2939</x:v>
      </x:c>
      <x:c r="E9" s="71" t="s">
        <x:v>50</x:v>
      </x:c>
      <x:c r="F9" s="71" t="s">
        <x:v>189</x:v>
      </x:c>
      <x:c r="G9" s="71" t="s">
        <x:v>2950</x:v>
      </x:c>
    </x:row>
    <x:row r="10" ht="9.300000190734863" customHeight="1">
      <x:c r="A10" s="100">
        <x:v>6</x:v>
      </x:c>
      <x:c r="B10" s="100" t="s">
        <x:v>10</x:v>
      </x:c>
      <x:c r="C10" s="71" t="s">
        <x:v>50</x:v>
      </x:c>
      <x:c r="D10" s="76" t="s">
        <x:v>2951</x:v>
      </x:c>
      <x:c r="E10" s="71" t="s">
        <x:v>2945</x:v>
      </x:c>
      <x:c r="F10" s="71" t="s">
        <x:v>2952</x:v>
      </x:c>
      <x:c r="G10" s="71" t="s">
        <x:v>2953</x:v>
      </x:c>
    </x:row>
    <x:row r="11" ht="9.300000190734863" customHeight="1">
      <x:c r="A11" s="100">
        <x:v>7</x:v>
      </x:c>
      <x:c r="B11" s="100" t="s">
        <x:v>10</x:v>
      </x:c>
      <x:c r="C11" s="71" t="s">
        <x:v>2945</x:v>
      </x:c>
      <x:c r="D11" s="75" t="s">
        <x:v>19</x:v>
      </x:c>
      <x:c r="E11" s="71" t="s">
        <x:v>2945</x:v>
      </x:c>
      <x:c r="F11" s="71" t="s">
        <x:v>2954</x:v>
      </x:c>
      <x:c r="G11" s="71" t="s">
        <x:v>2955</x:v>
      </x:c>
    </x:row>
    <x:row r="12" ht="9.300000190734863" customHeight="1">
      <x:c r="A12" s="100">
        <x:v>8</x:v>
      </x:c>
      <x:c r="B12" s="100" t="s">
        <x:v>10</x:v>
      </x:c>
      <x:c r="C12" s="71" t="s">
        <x:v>2945</x:v>
      </x:c>
      <x:c r="D12" s="75" t="s">
        <x:v>2951</x:v>
      </x:c>
      <x:c r="E12" s="71" t="s">
        <x:v>2942</x:v>
      </x:c>
      <x:c r="F12" s="71" t="s">
        <x:v>2956</x:v>
      </x:c>
      <x:c r="G12" s="71" t="s">
        <x:v>2957</x:v>
      </x:c>
    </x:row>
    <x:row r="13" ht="9.300000190734863" customHeight="1">
      <x:c r="A13" s="520" t="s">
        <x:v>2958</x:v>
      </x:c>
      <x:c r="B13" s="423"/>
      <x:c r="C13" s="423"/>
      <x:c r="D13" s="423"/>
      <x:c r="E13" s="423"/>
      <x:c r="F13" s="423"/>
      <x:c r="G13" s="423"/>
    </x:row>
    <x:row r="14" ht="9.300000190734863" customHeight="1">
      <x:c r="A14" s="100">
        <x:v>9</x:v>
      </x:c>
      <x:c r="B14" s="100" t="s">
        <x:v>33</x:v>
      </x:c>
      <x:c r="C14" s="71" t="s">
        <x:v>2942</x:v>
      </x:c>
      <x:c r="D14" s="75" t="s">
        <x:v>2939</x:v>
      </x:c>
      <x:c r="E14" s="71" t="s">
        <x:v>908</x:v>
      </x:c>
      <x:c r="F14" s="71" t="s">
        <x:v>2959</x:v>
      </x:c>
      <x:c r="G14" s="213" t="s">
        <x:v>2960</x:v>
      </x:c>
    </x:row>
    <x:row r="15" ht="9.300000190734863" customHeight="1">
      <x:c r="A15" s="100">
        <x:v>10</x:v>
      </x:c>
      <x:c r="B15" s="100" t="s">
        <x:v>33</x:v>
      </x:c>
      <x:c r="C15" s="71" t="s">
        <x:v>908</x:v>
      </x:c>
      <x:c r="D15" s="75" t="s">
        <x:v>2939</x:v>
      </x:c>
      <x:c r="E15" s="71" t="s">
        <x:v>440</x:v>
      </x:c>
      <x:c r="F15" s="71" t="s">
        <x:v>2961</x:v>
      </x:c>
      <x:c r="G15" s="71" t="str">
        <x:v>Consulta exclusivamente vehículos propios con estado operativo ACTIVO. Si RF65 se aprueba e implementa, requiere además estado_registro=VIGENTE. Esta consulta nunca regulariza ni escribe datos.</x:v>
      </x:c>
    </x:row>
    <x:row r="16" ht="9.300000190734863" customHeight="1">
      <x:c r="A16" s="100">
        <x:v>11</x:v>
      </x:c>
      <x:c r="B16" s="100" t="s">
        <x:v>33</x:v>
      </x:c>
      <x:c r="C16" s="71" t="s">
        <x:v>440</x:v>
      </x:c>
      <x:c r="D16" s="76" t="s">
        <x:v>2951</x:v>
      </x:c>
      <x:c r="E16" s="71" t="s">
        <x:v>908</x:v>
      </x:c>
      <x:c r="F16" s="71" t="s">
        <x:v>2566</x:v>
      </x:c>
      <x:c r="G16" s="71" t="s">
        <x:v>2962</x:v>
      </x:c>
    </x:row>
    <x:row r="17" ht="9.300000190734863" customHeight="1">
      <x:c r="A17" s="100">
        <x:v>12</x:v>
      </x:c>
      <x:c r="B17" s="100" t="s">
        <x:v>33</x:v>
      </x:c>
      <x:c r="C17" s="71" t="s">
        <x:v>908</x:v>
      </x:c>
      <x:c r="D17" s="75" t="s">
        <x:v>19</x:v>
      </x:c>
      <x:c r="E17" s="71" t="s">
        <x:v>908</x:v>
      </x:c>
      <x:c r="F17" s="71" t="s">
        <x:v>2963</x:v>
      </x:c>
      <x:c r="G17" s="71" t="s">
        <x:v>2964</x:v>
      </x:c>
    </x:row>
    <x:row r="18" ht="9.300000190734863" customHeight="1">
      <x:c r="A18" s="100">
        <x:v>13</x:v>
      </x:c>
      <x:c r="B18" s="100" t="s">
        <x:v>33</x:v>
      </x:c>
      <x:c r="C18" s="71" t="s">
        <x:v>908</x:v>
      </x:c>
      <x:c r="D18" s="75" t="s">
        <x:v>19</x:v>
      </x:c>
      <x:c r="E18" s="71" t="s">
        <x:v>908</x:v>
      </x:c>
      <x:c r="F18" s="71" t="s">
        <x:v>2965</x:v>
      </x:c>
      <x:c r="G18" s="71" t="s">
        <x:v>2966</x:v>
      </x:c>
    </x:row>
    <x:row r="19" ht="9.300000190734863" customHeight="1">
      <x:c r="A19" s="100">
        <x:v>14</x:v>
      </x:c>
      <x:c r="B19" s="100" t="s">
        <x:v>33</x:v>
      </x:c>
      <x:c r="C19" s="71" t="s">
        <x:v>908</x:v>
      </x:c>
      <x:c r="D19" s="75" t="s">
        <x:v>2951</x:v>
      </x:c>
      <x:c r="E19" s="71" t="s">
        <x:v>2942</x:v>
      </x:c>
      <x:c r="F19" s="71" t="s">
        <x:v>2967</x:v>
      </x:c>
      <x:c r="G19" s="71" t="s">
        <x:v>2968</x:v>
      </x:c>
    </x:row>
    <x:row r="20" ht="9.300000190734863" customHeight="1">
      <x:c r="A20" s="100">
        <x:v>15</x:v>
      </x:c>
      <x:c r="B20" s="100" t="s">
        <x:v>33</x:v>
      </x:c>
      <x:c r="C20" s="71" t="s">
        <x:v>2942</x:v>
      </x:c>
      <x:c r="D20" s="75" t="s">
        <x:v>19</x:v>
      </x:c>
      <x:c r="E20" s="71" t="s">
        <x:v>2942</x:v>
      </x:c>
      <x:c r="F20" s="71" t="s">
        <x:v>2969</x:v>
      </x:c>
      <x:c r="G20" s="213" t="s">
        <x:v>2970</x:v>
      </x:c>
    </x:row>
    <x:row r="21" ht="9.300000190734863" customHeight="1">
      <x:c r="A21" s="521" t="s">
        <x:v>2971</x:v>
      </x:c>
      <x:c r="B21" s="423"/>
      <x:c r="C21" s="423"/>
      <x:c r="D21" s="423"/>
      <x:c r="E21" s="423"/>
      <x:c r="F21" s="423"/>
      <x:c r="G21" s="423"/>
    </x:row>
    <x:row r="22" ht="9.300000190734863" customHeight="1">
      <x:c r="A22" s="100">
        <x:v>16</x:v>
      </x:c>
      <x:c r="B22" s="100" t="s">
        <x:v>63</x:v>
      </x:c>
      <x:c r="C22" s="71" t="s">
        <x:v>2942</x:v>
      </x:c>
      <x:c r="D22" s="75" t="s">
        <x:v>2939</x:v>
      </x:c>
      <x:c r="E22" s="71" t="s">
        <x:v>488</x:v>
      </x:c>
      <x:c r="F22" s="71" t="s">
        <x:v>2972</x:v>
      </x:c>
      <x:c r="G22" s="71" t="s">
        <x:v>2973</x:v>
      </x:c>
    </x:row>
    <x:row r="23" ht="9.300000190734863" customHeight="1">
      <x:c r="A23" s="100">
        <x:v>17</x:v>
      </x:c>
      <x:c r="B23" s="100" t="s">
        <x:v>63</x:v>
      </x:c>
      <x:c r="C23" s="71" t="s">
        <x:v>488</x:v>
      </x:c>
      <x:c r="D23" s="75" t="s">
        <x:v>2939</x:v>
      </x:c>
      <x:c r="E23" s="71" t="s">
        <x:v>665</x:v>
      </x:c>
      <x:c r="F23" s="71" t="s">
        <x:v>2974</x:v>
      </x:c>
      <x:c r="G23" s="71" t="s">
        <x:v>2975</x:v>
      </x:c>
    </x:row>
    <x:row r="24" ht="9.300000190734863" customHeight="1">
      <x:c r="A24" s="100">
        <x:v>18</x:v>
      </x:c>
      <x:c r="B24" s="100" t="s">
        <x:v>63</x:v>
      </x:c>
      <x:c r="C24" s="71" t="s">
        <x:v>665</x:v>
      </x:c>
      <x:c r="D24" s="76" t="s">
        <x:v>2951</x:v>
      </x:c>
      <x:c r="E24" s="71" t="s">
        <x:v>488</x:v>
      </x:c>
      <x:c r="F24" s="71" t="s">
        <x:v>668</x:v>
      </x:c>
      <x:c r="G24" s="71" t="s">
        <x:v>2976</x:v>
      </x:c>
    </x:row>
    <x:row r="25" ht="9.300000190734863" customHeight="1">
      <x:c r="A25" s="100">
        <x:v>19</x:v>
      </x:c>
      <x:c r="B25" s="100" t="s">
        <x:v>63</x:v>
      </x:c>
      <x:c r="C25" s="71" t="s">
        <x:v>488</x:v>
      </x:c>
      <x:c r="D25" s="75" t="s">
        <x:v>2951</x:v>
      </x:c>
      <x:c r="E25" s="71" t="s">
        <x:v>2942</x:v>
      </x:c>
      <x:c r="F25" s="71" t="s">
        <x:v>668</x:v>
      </x:c>
      <x:c r="G25" s="71" t="s">
        <x:v>2977</x:v>
      </x:c>
    </x:row>
    <x:row r="26" ht="9.300000190734863" customHeight="1">
      <x:c r="A26" s="100">
        <x:v>20</x:v>
      </x:c>
      <x:c r="B26" s="100" t="s">
        <x:v>63</x:v>
      </x:c>
      <x:c r="C26" s="71" t="s">
        <x:v>2942</x:v>
      </x:c>
      <x:c r="D26" s="75" t="s">
        <x:v>2939</x:v>
      </x:c>
      <x:c r="E26" s="71" t="s">
        <x:v>500</x:v>
      </x:c>
      <x:c r="F26" s="71" t="s">
        <x:v>2978</x:v>
      </x:c>
      <x:c r="G26" s="71" t="s">
        <x:v>2979</x:v>
      </x:c>
    </x:row>
    <x:row r="27" ht="9.300000190734863" customHeight="1">
      <x:c r="A27" s="100">
        <x:v>21</x:v>
      </x:c>
      <x:c r="B27" s="100" t="s">
        <x:v>63</x:v>
      </x:c>
      <x:c r="C27" s="71" t="s">
        <x:v>500</x:v>
      </x:c>
      <x:c r="D27" s="75" t="s">
        <x:v>2939</x:v>
      </x:c>
      <x:c r="E27" s="71" t="s">
        <x:v>503</x:v>
      </x:c>
      <x:c r="F27" s="71" t="s">
        <x:v>2980</x:v>
      </x:c>
      <x:c r="G27" s="71" t="s">
        <x:v>2981</x:v>
      </x:c>
    </x:row>
    <x:row r="28" ht="9.300000190734863" customHeight="1">
      <x:c r="A28" s="100">
        <x:v>22</x:v>
      </x:c>
      <x:c r="B28" s="100" t="s">
        <x:v>63</x:v>
      </x:c>
      <x:c r="C28" s="71" t="s">
        <x:v>503</x:v>
      </x:c>
      <x:c r="D28" s="76" t="s">
        <x:v>2951</x:v>
      </x:c>
      <x:c r="E28" s="71" t="s">
        <x:v>500</x:v>
      </x:c>
      <x:c r="F28" s="71" t="s">
        <x:v>641</x:v>
      </x:c>
      <x:c r="G28" s="71" t="s">
        <x:v>2982</x:v>
      </x:c>
    </x:row>
    <x:row r="29" ht="9.300000190734863" customHeight="1">
      <x:c r="A29" s="100">
        <x:v>23</x:v>
      </x:c>
      <x:c r="B29" s="100" t="s">
        <x:v>63</x:v>
      </x:c>
      <x:c r="C29" s="71" t="s">
        <x:v>500</x:v>
      </x:c>
      <x:c r="D29" s="75" t="s">
        <x:v>2951</x:v>
      </x:c>
      <x:c r="E29" s="71" t="s">
        <x:v>2942</x:v>
      </x:c>
      <x:c r="F29" s="71" t="s">
        <x:v>641</x:v>
      </x:c>
      <x:c r="G29" s="71" t="s">
        <x:v>2983</x:v>
      </x:c>
    </x:row>
    <x:row r="30" ht="9.300000190734863" customHeight="1">
      <x:c r="A30" s="521" t="str">
        <x:v>BLOQUE 4 · CONSULTA SIN ESCRITURAS DEL RESUMEN DE ALERTAS (Pasos 24–33)</x:v>
      </x:c>
      <x:c r="B30" s="423"/>
      <x:c r="C30" s="423"/>
      <x:c r="D30" s="423"/>
      <x:c r="E30" s="423"/>
      <x:c r="F30" s="423"/>
      <x:c r="G30" s="423"/>
    </x:row>
    <x:row r="31" ht="9.300000190734863" customHeight="1">
      <x:c r="A31" s="100">
        <x:v>24</x:v>
      </x:c>
      <x:c r="B31" s="100" t="s">
        <x:v>81</x:v>
      </x:c>
      <x:c r="C31" s="71" t="s">
        <x:v>2942</x:v>
      </x:c>
      <x:c r="D31" s="75" t="s">
        <x:v>2939</x:v>
      </x:c>
      <x:c r="E31" s="71" t="s">
        <x:v>373</x:v>
      </x:c>
      <x:c r="F31" s="71" t="s">
        <x:v>2984</x:v>
      </x:c>
      <x:c r="G31" s="71" t="str">
        <x:v>RF50 consulta el último estado persistido de alertas del vehículo ACTIVO; la sincronización del MVP ocurre exclusivamente cuando se abre RF23 «Mis alertas». RF50 no evalúa ni persiste transiciones.</x:v>
      </x:c>
    </x:row>
    <x:row r="32" ht="9.300000190734863" customHeight="1">
      <x:c r="A32" s="100">
        <x:v>25</x:v>
      </x:c>
      <x:c r="B32" s="100" t="s">
        <x:v>81</x:v>
      </x:c>
      <x:c r="C32" s="71" t="s">
        <x:v>373</x:v>
      </x:c>
      <x:c r="D32" s="75" t="s">
        <x:v>2939</x:v>
      </x:c>
      <x:c r="E32" s="71" t="s">
        <x:v>791</x:v>
      </x:c>
      <x:c r="F32" s="71" t="str">
        <x:v>consultarAlertasResumenPersistidas(idUsuario,idVehiculoSeleccionado)</x:v>
      </x:c>
      <x:c r="G32" s="71" t="str">
        <x:v>Consulta SOLO LECTURA de E_Alerta, filtrando titular y vehículo ACTIVO. No realiza UPDATE ni INSERT, ni escribe E_HistorialAlerta. El estado puede estar pendiente de sincronizar hasta abrir RF23.</x:v>
      </x:c>
    </x:row>
    <x:row r="33" ht="9.300000190734863" customHeight="1">
      <x:c r="A33" s="100">
        <x:v>26</x:v>
      </x:c>
      <x:c r="B33" s="100" t="s">
        <x:v>81</x:v>
      </x:c>
      <x:c r="C33" s="71" t="s">
        <x:v>791</x:v>
      </x:c>
      <x:c r="D33" s="76" t="s">
        <x:v>2951</x:v>
      </x:c>
      <x:c r="E33" s="71" t="s">
        <x:v>373</x:v>
      </x:c>
      <x:c r="F33" s="71" t="str">
        <x:v>retornarAlertasResumenPersistidas(listaAlertasVigentes)</x:v>
      </x:c>
      <x:c r="G33" s="71" t="str">
        <x:v>Devuelve los estados ya persistidos para el resumen; no devuelve transiciones recién aplicadas ni identificadores anulados por esta consulta.</x:v>
      </x:c>
    </x:row>
    <x:row r="34" ht="9.300000190734863" customHeight="1">
      <x:c r="A34" s="100">
        <x:v>27</x:v>
      </x:c>
      <x:c r="B34" s="100" t="s">
        <x:v>81</x:v>
      </x:c>
      <x:c r="C34" s="71" t="s">
        <x:v>373</x:v>
      </x:c>
      <x:c r="D34" s="75" t="s">
        <x:v>12</x:v>
      </x:c>
      <x:c r="E34" s="71" t="s">
        <x:v>797</x:v>
      </x:c>
      <x:c r="F34" s="71" t="str">
        <x:v>consultarHistorialAlertasSoloLectura(idsAlertas)</x:v>
      </x:c>
      <x:c r="G34" s="71" t="str">
        <x:v>Consulta opcional de trazabilidad YA EXISTENTE en E_HistorialAlerta, sin crear entradas. En MVP puede omitirse si el resumen no muestra historial.</x:v>
      </x:c>
    </x:row>
    <x:row r="35" ht="9.300000190734863" customHeight="1">
      <x:c r="A35" s="100">
        <x:v>28</x:v>
      </x:c>
      <x:c r="B35" s="100" t="s">
        <x:v>81</x:v>
      </x:c>
      <x:c r="C35" s="71" t="s">
        <x:v>797</x:v>
      </x:c>
      <x:c r="D35" s="75" t="s">
        <x:v>53</x:v>
      </x:c>
      <x:c r="E35" s="71" t="s">
        <x:v>373</x:v>
      </x:c>
      <x:c r="F35" s="71" t="str">
        <x:v>retornarHistorialAlertasConsultado(historialAlertas)</x:v>
      </x:c>
      <x:c r="G35" s="71" t="str">
        <x:v>Devuelve historial ya almacenado o conjunto vacío. No confirma registro nuevo, porque RF50 no escribe historial.</x:v>
      </x:c>
    </x:row>
    <x:row r="36" ht="9.300000190734863" customHeight="1">
      <x:c r="A36" s="100">
        <x:v>29</x:v>
      </x:c>
      <x:c r="B36" s="100" t="s">
        <x:v>81</x:v>
      </x:c>
      <x:c r="C36" s="71" t="s">
        <x:v>373</x:v>
      </x:c>
      <x:c r="D36" s="76" t="s">
        <x:v>2939</x:v>
      </x:c>
      <x:c r="E36" s="71" t="s">
        <x:v>380</x:v>
      </x:c>
      <x:c r="F36" s="71" t="str">
        <x:v>solicitarAvisosPersistidosSoloLectura(idUsuario,idVehiculoSeleccionado)</x:v>
      </x:c>
      <x:c r="G36" s="71" t="str">
        <x:v>SOLO VERSIÓN FUTURA con E_Notificacion: solicita los avisos ya almacenados para lectura; NO concilia, crea ni cierra notificaciones. En MVP omitir pasos 29–32.</x:v>
      </x:c>
    </x:row>
    <x:row r="37" ht="9.300000190734863" customHeight="1">
      <x:c r="A37" s="100">
        <x:v>30</x:v>
      </x:c>
      <x:c r="B37" s="100" t="s">
        <x:v>81</x:v>
      </x:c>
      <x:c r="C37" s="71" t="s">
        <x:v>380</x:v>
      </x:c>
      <x:c r="D37" s="75" t="s">
        <x:v>2939</x:v>
      </x:c>
      <x:c r="E37" s="71" t="s">
        <x:v>802</x:v>
      </x:c>
      <x:c r="F37" s="71" t="str">
        <x:v>consultarAvisosPersistidosSinCambios(idUsuario,idVehiculoSeleccionado)</x:v>
      </x:c>
      <x:c r="G37" s="71" t="str">
        <x:v>SOLO FUTURO: consulta en E_Notificacion sin escrituras. En MVP no se ejecuta esta llamada porque E_Notificacion no participa.</x:v>
      </x:c>
    </x:row>
    <x:row r="38" ht="9.300000190734863" customHeight="1">
      <x:c r="A38" s="100">
        <x:v>31</x:v>
      </x:c>
      <x:c r="B38" s="100" t="s">
        <x:v>81</x:v>
      </x:c>
      <x:c r="C38" s="71" t="s">
        <x:v>802</x:v>
      </x:c>
      <x:c r="D38" s="75" t="s">
        <x:v>2951</x:v>
      </x:c>
      <x:c r="E38" s="71" t="s">
        <x:v>380</x:v>
      </x:c>
      <x:c r="F38" s="71" t="str">
        <x:v>retornarAvisosPersistidos(listaAvisos)</x:v>
      </x:c>
      <x:c r="G38" s="71" t="str">
        <x:v>SOLO FUTURO: retorna avisos persistidos sin modificar estados ni historial. OMITIR en MVP.</x:v>
      </x:c>
    </x:row>
    <x:row r="39" ht="9.300000190734863" customHeight="1">
      <x:c r="A39" s="105">
        <x:v>32</x:v>
      </x:c>
      <x:c r="B39" t="s">
        <x:v>81</x:v>
      </x:c>
      <x:c r="C39" t="s">
        <x:v>380</x:v>
      </x:c>
      <x:c r="D39" t="s">
        <x:v>2951</x:v>
      </x:c>
      <x:c r="E39" t="s">
        <x:v>373</x:v>
      </x:c>
      <x:c r="F39" t="str">
        <x:v>retornarAvisosResumenSoloLectura(listaAvisos)</x:v>
      </x:c>
      <x:c r="G39" t="str">
        <x:v>SOLO FUTURO: retorna el resultado consultado, sin activar ningún motor. OMITIR en MVP.</x:v>
      </x:c>
    </x:row>
    <x:row r="40" ht="9.300000190734863" customHeight="1">
      <x:c r="A40" s="100">
        <x:v>33</x:v>
      </x:c>
      <x:c r="B40" s="100" t="s">
        <x:v>81</x:v>
      </x:c>
      <x:c r="C40" s="71" t="s">
        <x:v>373</x:v>
      </x:c>
      <x:c r="D40" s="75" t="s">
        <x:v>2951</x:v>
      </x:c>
      <x:c r="E40" s="71" t="s">
        <x:v>2942</x:v>
      </x:c>
      <x:c r="F40" s="71" t="s">
        <x:v>2985</x:v>
      </x:c>
      <x:c r="G40" s="71" t="str">
        <x:v>Ordena SOLO las alertas del vehículo activo según los estados previamente guardados: VENCIDAS → PENDIENTES → PRÓXIMAS, sin ANULADAS. No calcula ni actualiza estados; RF23 es responsable del refresco de estados.</x:v>
      </x:c>
    </x:row>
    <x:row r="41" ht="9.300000190734863" customHeight="1">
      <x:c r="A41" s="517" t="s">
        <x:v>2986</x:v>
      </x:c>
      <x:c r="B41" s="517"/>
      <x:c r="C41" s="518"/>
      <x:c r="D41" s="519"/>
      <x:c r="E41" s="518"/>
      <x:c r="F41" s="518"/>
      <x:c r="G41" s="518"/>
    </x:row>
    <x:row r="42" ht="9.300000190734863" customHeight="1">
      <x:c r="A42" s="100">
        <x:v>34</x:v>
      </x:c>
      <x:c r="B42" s="100" t="s">
        <x:v>110</x:v>
      </x:c>
      <x:c r="C42" s="71" t="s">
        <x:v>2942</x:v>
      </x:c>
      <x:c r="D42" s="76" t="s">
        <x:v>2939</x:v>
      </x:c>
      <x:c r="E42" s="71" t="s">
        <x:v>1010</x:v>
      </x:c>
      <x:c r="F42" s="71" t="s">
        <x:v>2987</x:v>
      </x:c>
      <x:c r="G42" s="71" t="s">
        <x:v>2988</x:v>
      </x:c>
    </x:row>
    <x:row r="43" ht="9.300000190734863" customHeight="1">
      <x:c r="A43" s="100">
        <x:v>35</x:v>
      </x:c>
      <x:c r="B43" s="100" t="s">
        <x:v>110</x:v>
      </x:c>
      <x:c r="C43" s="71" t="s">
        <x:v>1010</x:v>
      </x:c>
      <x:c r="D43" s="75" t="s">
        <x:v>2939</x:v>
      </x:c>
      <x:c r="E43" s="71" t="s">
        <x:v>1099</x:v>
      </x:c>
      <x:c r="F43" s="71" t="s">
        <x:v>2989</x:v>
      </x:c>
      <x:c r="G43" s="71" t="s">
        <x:v>2990</x:v>
      </x:c>
    </x:row>
    <x:row r="44" ht="9.300000190734863" customHeight="1">
      <x:c r="A44" s="105">
        <x:v>36</x:v>
      </x:c>
      <x:c r="B44" t="s">
        <x:v>110</x:v>
      </x:c>
      <x:c r="C44" t="s">
        <x:v>1099</x:v>
      </x:c>
      <x:c r="D44" t="s">
        <x:v>2951</x:v>
      </x:c>
      <x:c r="E44" t="s">
        <x:v>1010</x:v>
      </x:c>
      <x:c r="F44" t="s">
        <x:v>2991</x:v>
      </x:c>
      <x:c r="G44" t="s">
        <x:v>2992</x:v>
      </x:c>
    </x:row>
    <x:row r="45" ht="9.300000190734863" customHeight="1">
      <x:c r="A45" s="100">
        <x:v>37</x:v>
      </x:c>
      <x:c r="B45" s="100" t="s">
        <x:v>110</x:v>
      </x:c>
      <x:c r="C45" s="71" t="s">
        <x:v>1010</x:v>
      </x:c>
      <x:c r="D45" s="75" t="s">
        <x:v>2951</x:v>
      </x:c>
      <x:c r="E45" s="71" t="s">
        <x:v>2942</x:v>
      </x:c>
      <x:c r="F45" s="71" t="s">
        <x:v>2991</x:v>
      </x:c>
      <x:c r="G45" s="71" t="s">
        <x:v>2993</x:v>
      </x:c>
    </x:row>
    <x:row r="46" ht="9.300000190734863" customHeight="1">
      <x:c r="A46" s="517" t="s">
        <x:v>2994</x:v>
      </x:c>
      <x:c r="B46" s="517"/>
      <x:c r="C46" s="518"/>
      <x:c r="D46" s="519"/>
      <x:c r="E46" s="518"/>
      <x:c r="F46" s="518"/>
      <x:c r="G46" s="518"/>
    </x:row>
    <x:row r="47" ht="9.300000190734863" customHeight="1">
      <x:c r="A47" s="100">
        <x:v>38</x:v>
      </x:c>
      <x:c r="B47" s="100" t="s">
        <x:v>143</x:v>
      </x:c>
      <x:c r="C47" s="71" t="s">
        <x:v>2942</x:v>
      </x:c>
      <x:c r="D47" s="76" t="s">
        <x:v>2939</x:v>
      </x:c>
      <x:c r="E47" s="71" t="s">
        <x:v>380</x:v>
      </x:c>
      <x:c r="F47" s="71" t="s">
        <x:v>2995</x:v>
      </x:c>
      <x:c r="G47" s="71" t="s">
        <x:v>2996</x:v>
      </x:c>
    </x:row>
    <x:row r="48" ht="9.300000190734863" customHeight="1">
      <x:c r="A48" s="100">
        <x:v>39</x:v>
      </x:c>
      <x:c r="B48" s="100" t="s">
        <x:v>143</x:v>
      </x:c>
      <x:c r="C48" s="71" t="s">
        <x:v>380</x:v>
      </x:c>
      <x:c r="D48" s="75" t="s">
        <x:v>2939</x:v>
      </x:c>
      <x:c r="E48" s="71" t="s">
        <x:v>802</x:v>
      </x:c>
      <x:c r="F48" s="71" t="s">
        <x:v>2997</x:v>
      </x:c>
      <x:c r="G48" s="71" t="str">
        <x:v>Contador GLOBAL solo de avisos previamente persistidos y vigentes, si el módulo existe; no inicia E_Notificacion en el MVP. Excluye avisos de vehículos inactivos y, bajo RF65 aprobado, ELIMINADOS. RF50 no crea notificaciones.</x:v>
      </x:c>
    </x:row>
    <x:row r="49" ht="9.300000190734863" customHeight="1">
      <x:c r="A49" s="105">
        <x:v>40</x:v>
      </x:c>
      <x:c r="B49" t="s">
        <x:v>143</x:v>
      </x:c>
      <x:c r="C49" t="s">
        <x:v>802</x:v>
      </x:c>
      <x:c r="D49" t="s">
        <x:v>2951</x:v>
      </x:c>
      <x:c r="E49" t="s">
        <x:v>380</x:v>
      </x:c>
      <x:c r="F49" t="s">
        <x:v>2998</x:v>
      </x:c>
      <x:c r="G49" t="s">
        <x:v>2999</x:v>
      </x:c>
    </x:row>
    <x:row r="50" ht="9.300000190734863" customHeight="1">
      <x:c r="A50" s="100">
        <x:v>41</x:v>
      </x:c>
      <x:c r="B50" s="100" t="s">
        <x:v>143</x:v>
      </x:c>
      <x:c r="C50" s="71" t="s">
        <x:v>380</x:v>
      </x:c>
      <x:c r="D50" s="75" t="s">
        <x:v>2951</x:v>
      </x:c>
      <x:c r="E50" s="71" t="s">
        <x:v>2942</x:v>
      </x:c>
      <x:c r="F50" s="71" t="s">
        <x:v>2998</x:v>
      </x:c>
      <x:c r="G50" s="71" t="s">
        <x:v>3000</x:v>
      </x:c>
    </x:row>
    <x:row r="51" ht="9.300000190734863" customHeight="1">
      <x:c r="A51" s="517" t="s">
        <x:v>3001</x:v>
      </x:c>
      <x:c r="B51" s="517"/>
      <x:c r="C51" s="518"/>
      <x:c r="D51" s="519"/>
      <x:c r="E51" s="518"/>
      <x:c r="F51" s="518"/>
      <x:c r="G51" s="518"/>
    </x:row>
    <x:row r="52" ht="9.300000190734863" customHeight="1">
      <x:c r="A52" s="100">
        <x:v>42</x:v>
      </x:c>
      <x:c r="B52" s="100" t="s">
        <x:v>155</x:v>
      </x:c>
      <x:c r="C52" s="77" t="s">
        <x:v>2942</x:v>
      </x:c>
      <x:c r="D52" s="84" t="s">
        <x:v>19</x:v>
      </x:c>
      <x:c r="E52" s="77" t="s">
        <x:v>2942</x:v>
      </x:c>
      <x:c r="F52" s="77" t="s">
        <x:v>3002</x:v>
      </x:c>
      <x:c r="G52" s="77" t="str">
        <x:v>Integra lecturas del vehículo ACTIVO y principal, la última información persistida de alertas y el mantenimiento histórico. No modifica registros. En futura RF65 solo vehículos VIGENTES.</x:v>
      </x:c>
    </x:row>
    <x:row r="53" ht="42">
      <x:c r="A53" s="54">
        <x:v>43</x:v>
      </x:c>
      <x:c r="B53" s="54" t="s">
        <x:v>155</x:v>
      </x:c>
      <x:c r="C53" s="54" t="s">
        <x:v>2942</x:v>
      </x:c>
      <x:c r="D53" s="54" t="s">
        <x:v>2939</x:v>
      </x:c>
      <x:c r="E53" s="54" t="s">
        <x:v>164</x:v>
      </x:c>
      <x:c r="F53" s="54" t="s">
        <x:v>3003</x:v>
      </x:c>
      <x:c r="G53" s="54" t="str">
        <x:v>Muestra la vista Inicio con datos obtenidos en lectura; el botón «Ver alertas» abre RF23, donde ocurre la única evaluación/sincronización del MVP.</x:v>
      </x:c>
    </x:row>
    <x:row r="54" ht="28.200000762939453">
      <x:c r="A54" s="54">
        <x:v>44</x:v>
      </x:c>
      <x:c r="B54" s="54" t="s">
        <x:v>155</x:v>
      </x:c>
      <x:c r="C54" s="54" t="s">
        <x:v>164</x:v>
      </x:c>
      <x:c r="D54" s="54" t="s">
        <x:v>2939</x:v>
      </x:c>
      <x:c r="E54" s="54" t="s">
        <x:v>11</x:v>
      </x:c>
      <x:c r="F54" s="54" t="s">
        <x:v>3004</x:v>
      </x:c>
      <x:c r="G54" s="54" t="s">
        <x:v>3005</x:v>
      </x:c>
    </x:row>
    <x:row r="55">
      <x:c r="A55" s="54"/>
      <x:c r="B55" s="54"/>
      <x:c r="C55" s="54"/>
      <x:c r="D55" s="54"/>
      <x:c r="E55" s="54"/>
      <x:c r="F55" s="54"/>
      <x:c r="G55" s="54"/>
    </x:row>
  </x:sheetData>
  <x:mergeCells>
    <x:mergeCell ref="A41:G41"/>
    <x:mergeCell ref="A46:G46"/>
    <x:mergeCell ref="A51:G51"/>
    <x:mergeCell ref="A13:G13"/>
    <x:mergeCell ref="A1:G1"/>
    <x:mergeCell ref="A21:G21"/>
    <x:mergeCell ref="A4:G4"/>
    <x:mergeCell ref="A30:G30"/>
    <x:mergeCell ref="A2:G2"/>
  </x:mergeCells>
  <x:pageMargins left="0.7" right="0.7" top="0.75" bottom="0.75" header="0.3" footer="0.3"/>
</x:worksheet>
</file>

<file path=xl/worksheets/sheet48.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7" customWidth="1"/>
    <x:col min="2" max="2" width="9" customWidth="1"/>
    <x:col min="3" max="3" width="24" customWidth="1"/>
    <x:col min="4" max="4" width="21" customWidth="1"/>
    <x:col min="5" max="5" width="25" customWidth="1"/>
    <x:col min="6" max="6" width="61" customWidth="1"/>
    <x:col min="7" max="7" width="108" customWidth="1"/>
  </x:cols>
  <x:sheetData>
    <x:row r="1" ht="31.049999237060547" customHeight="1">
      <x:c r="A1" s="523" t="s">
        <x:v>3006</x:v>
      </x:c>
      <x:c r="B1" s="523"/>
      <x:c r="C1" s="523"/>
      <x:c r="D1" s="523"/>
      <x:c r="E1" s="523"/>
      <x:c r="F1" s="523"/>
      <x:c r="G1" s="523"/>
    </x:row>
    <x:row r="2" ht="27" customHeight="1">
      <x:c r="A2" s="524" t="s">
        <x:v>3007</x:v>
      </x:c>
      <x:c r="B2" s="524"/>
      <x:c r="C2" s="524"/>
      <x:c r="D2" s="524"/>
      <x:c r="E2" s="524"/>
      <x:c r="F2" s="524"/>
      <x:c r="G2" s="524"/>
    </x:row>
    <x:row r="3" ht="28.049999237060547" customHeight="1">
      <x:c r="A3" s="264" t="s">
        <x:v>2</x:v>
      </x:c>
      <x:c r="B3" s="264" t="s">
        <x:v>3</x:v>
      </x:c>
      <x:c r="C3" s="264" t="s">
        <x:v>4</x:v>
      </x:c>
      <x:c r="D3" s="264" t="s">
        <x:v>5</x:v>
      </x:c>
      <x:c r="E3" s="264" t="s">
        <x:v>6</x:v>
      </x:c>
      <x:c r="F3" s="264" t="s">
        <x:v>7</x:v>
      </x:c>
      <x:c r="G3" s="264" t="s">
        <x:v>8</x:v>
      </x:c>
    </x:row>
    <x:row r="4" ht="28.799999237060547" customHeight="1">
      <x:c r="A4" s="522" t="s">
        <x:v>3008</x:v>
      </x:c>
      <x:c r="B4" s="522"/>
      <x:c r="C4" s="522"/>
      <x:c r="D4" s="522"/>
      <x:c r="E4" s="522"/>
      <x:c r="F4" s="522"/>
      <x:c r="G4" s="522"/>
    </x:row>
    <x:row r="5" ht="45" customHeight="1">
      <x:c r="A5" s="265">
        <x:v>1</x:v>
      </x:c>
      <x:c r="B5" s="265" t="s">
        <x:v>10</x:v>
      </x:c>
      <x:c r="C5" s="267" t="s">
        <x:v>11</x:v>
      </x:c>
      <x:c r="D5" s="266" t="s">
        <x:v>12</x:v>
      </x:c>
      <x:c r="E5" s="268" t="s">
        <x:v>164</x:v>
      </x:c>
      <x:c r="F5" s="269" t="s">
        <x:v>165</x:v>
      </x:c>
      <x:c r="G5" s="266" t="s">
        <x:v>3009</x:v>
      </x:c>
    </x:row>
    <x:row r="6" ht="45" customHeight="1">
      <x:c r="A6" s="265">
        <x:v>2</x:v>
      </x:c>
      <x:c r="B6" s="265" t="s">
        <x:v>10</x:v>
      </x:c>
      <x:c r="C6" s="268" t="s">
        <x:v>164</x:v>
      </x:c>
      <x:c r="D6" s="266" t="s">
        <x:v>12</x:v>
      </x:c>
      <x:c r="E6" s="270" t="s">
        <x:v>167</x:v>
      </x:c>
      <x:c r="F6" s="269" t="s">
        <x:v>168</x:v>
      </x:c>
      <x:c r="G6" s="266" t="s">
        <x:v>3010</x:v>
      </x:c>
    </x:row>
    <x:row r="7" ht="45" customHeight="1">
      <x:c r="A7" s="265">
        <x:v>3</x:v>
      </x:c>
      <x:c r="B7" s="265" t="s">
        <x:v>10</x:v>
      </x:c>
      <x:c r="C7" s="270" t="s">
        <x:v>167</x:v>
      </x:c>
      <x:c r="D7" s="266" t="s">
        <x:v>12</x:v>
      </x:c>
      <x:c r="E7" s="268" t="s">
        <x:v>179</x:v>
      </x:c>
      <x:c r="F7" s="269" t="s">
        <x:v>1784</x:v>
      </x:c>
      <x:c r="G7" s="266" t="s">
        <x:v>3011</x:v>
      </x:c>
    </x:row>
    <x:row r="8" ht="45" customHeight="1">
      <x:c r="A8" s="265">
        <x:v>4</x:v>
      </x:c>
      <x:c r="B8" s="265" t="s">
        <x:v>10</x:v>
      </x:c>
      <x:c r="C8" s="268" t="s">
        <x:v>179</x:v>
      </x:c>
      <x:c r="D8" s="266" t="s">
        <x:v>12</x:v>
      </x:c>
      <x:c r="E8" s="267" t="s">
        <x:v>11</x:v>
      </x:c>
      <x:c r="F8" s="269" t="s">
        <x:v>182</x:v>
      </x:c>
      <x:c r="G8" s="266" t="s">
        <x:v>3012</x:v>
      </x:c>
    </x:row>
    <x:row r="9" ht="45" customHeight="1">
      <x:c r="A9" s="265">
        <x:v>5</x:v>
      </x:c>
      <x:c r="B9" s="265" t="s">
        <x:v>10</x:v>
      </x:c>
      <x:c r="C9" s="267" t="s">
        <x:v>11</x:v>
      </x:c>
      <x:c r="D9" s="266" t="s">
        <x:v>12</x:v>
      </x:c>
      <x:c r="E9" s="268" t="s">
        <x:v>179</x:v>
      </x:c>
      <x:c r="F9" s="269" t="s">
        <x:v>3013</x:v>
      </x:c>
      <x:c r="G9" s="266" t="s">
        <x:v>3014</x:v>
      </x:c>
    </x:row>
    <x:row r="10" ht="45" customHeight="1">
      <x:c r="A10" s="265">
        <x:v>6</x:v>
      </x:c>
      <x:c r="B10" s="265" t="s">
        <x:v>10</x:v>
      </x:c>
      <x:c r="C10" s="268" t="s">
        <x:v>179</x:v>
      </x:c>
      <x:c r="D10" s="266" t="s">
        <x:v>12</x:v>
      </x:c>
      <x:c r="E10" s="270" t="s">
        <x:v>3015</x:v>
      </x:c>
      <x:c r="F10" s="269" t="s">
        <x:v>3016</x:v>
      </x:c>
      <x:c r="G10" s="266" t="s">
        <x:v>3017</x:v>
      </x:c>
    </x:row>
    <x:row r="11" ht="45" customHeight="1">
      <x:c r="A11" s="265">
        <x:v>7</x:v>
      </x:c>
      <x:c r="B11" s="265" t="s">
        <x:v>10</x:v>
      </x:c>
      <x:c r="C11" s="270" t="s">
        <x:v>3015</x:v>
      </x:c>
      <x:c r="D11" s="266" t="s">
        <x:v>12</x:v>
      </x:c>
      <x:c r="E11" s="270" t="s">
        <x:v>751</x:v>
      </x:c>
      <x:c r="F11" s="269" t="s">
        <x:v>3018</x:v>
      </x:c>
      <x:c r="G11" s="266" t="s">
        <x:v>3019</x:v>
      </x:c>
    </x:row>
    <x:row r="12" ht="45" customHeight="1">
      <x:c r="A12" s="265">
        <x:v>8</x:v>
      </x:c>
      <x:c r="B12" s="265" t="s">
        <x:v>10</x:v>
      </x:c>
      <x:c r="C12" s="270" t="s">
        <x:v>751</x:v>
      </x:c>
      <x:c r="D12" s="266" t="s">
        <x:v>12</x:v>
      </x:c>
      <x:c r="E12" s="271" t="s">
        <x:v>754</x:v>
      </x:c>
      <x:c r="F12" s="269" t="s">
        <x:v>1710</x:v>
      </x:c>
      <x:c r="G12" s="266" t="s">
        <x:v>3020</x:v>
      </x:c>
    </x:row>
    <x:row r="13" ht="45" customHeight="1">
      <x:c r="A13" s="265">
        <x:v>9</x:v>
      </x:c>
      <x:c r="B13" s="265" t="s">
        <x:v>10</x:v>
      </x:c>
      <x:c r="C13" s="271" t="s">
        <x:v>754</x:v>
      </x:c>
      <x:c r="D13" s="266" t="s">
        <x:v>53</x:v>
      </x:c>
      <x:c r="E13" s="270" t="s">
        <x:v>751</x:v>
      </x:c>
      <x:c r="F13" s="269" t="s">
        <x:v>3021</x:v>
      </x:c>
      <x:c r="G13" s="266" t="s">
        <x:v>3022</x:v>
      </x:c>
    </x:row>
    <x:row r="14" ht="45" customHeight="1">
      <x:c r="A14" s="265">
        <x:v>10</x:v>
      </x:c>
      <x:c r="B14" s="265" t="s">
        <x:v>10</x:v>
      </x:c>
      <x:c r="C14" s="270" t="s">
        <x:v>751</x:v>
      </x:c>
      <x:c r="D14" s="266" t="s">
        <x:v>53</x:v>
      </x:c>
      <x:c r="E14" s="270" t="s">
        <x:v>3015</x:v>
      </x:c>
      <x:c r="F14" s="269" t="s">
        <x:v>3023</x:v>
      </x:c>
      <x:c r="G14" s="266" t="s">
        <x:v>3024</x:v>
      </x:c>
    </x:row>
    <x:row r="15" ht="45" customHeight="1">
      <x:c r="A15" s="265">
        <x:v>11</x:v>
      </x:c>
      <x:c r="B15" s="265" t="s">
        <x:v>10</x:v>
      </x:c>
      <x:c r="C15" s="270" t="s">
        <x:v>3015</x:v>
      </x:c>
      <x:c r="D15" s="266" t="s">
        <x:v>12</x:v>
      </x:c>
      <x:c r="E15" s="271" t="s">
        <x:v>3025</x:v>
      </x:c>
      <x:c r="F15" s="269" t="s">
        <x:v>3026</x:v>
      </x:c>
      <x:c r="G15" s="266" t="s">
        <x:v>3027</x:v>
      </x:c>
    </x:row>
    <x:row r="16" ht="45" customHeight="1">
      <x:c r="A16" s="265">
        <x:v>12</x:v>
      </x:c>
      <x:c r="B16" s="265" t="s">
        <x:v>10</x:v>
      </x:c>
      <x:c r="C16" s="271" t="s">
        <x:v>3025</x:v>
      </x:c>
      <x:c r="D16" s="266" t="s">
        <x:v>53</x:v>
      </x:c>
      <x:c r="E16" s="270" t="s">
        <x:v>3015</x:v>
      </x:c>
      <x:c r="F16" s="269" t="s">
        <x:v>3028</x:v>
      </x:c>
      <x:c r="G16" s="266" t="s">
        <x:v>3029</x:v>
      </x:c>
    </x:row>
    <x:row r="17" ht="45" customHeight="1">
      <x:c r="A17" s="265">
        <x:v>13</x:v>
      </x:c>
      <x:c r="B17" s="265" t="s">
        <x:v>10</x:v>
      </x:c>
      <x:c r="C17" s="270" t="s">
        <x:v>3015</x:v>
      </x:c>
      <x:c r="D17" s="266" t="s">
        <x:v>19</x:v>
      </x:c>
      <x:c r="E17" s="270" t="s">
        <x:v>3015</x:v>
      </x:c>
      <x:c r="F17" s="269" t="s">
        <x:v>3030</x:v>
      </x:c>
      <x:c r="G17" s="266" t="s">
        <x:v>3031</x:v>
      </x:c>
    </x:row>
    <x:row r="18" ht="45" customHeight="1">
      <x:c r="A18" s="265">
        <x:v>14</x:v>
      </x:c>
      <x:c r="B18" s="265" t="s">
        <x:v>10</x:v>
      </x:c>
      <x:c r="C18" s="270" t="s">
        <x:v>3015</x:v>
      </x:c>
      <x:c r="D18" s="266" t="s">
        <x:v>12</x:v>
      </x:c>
      <x:c r="E18" s="271" t="s">
        <x:v>3032</x:v>
      </x:c>
      <x:c r="F18" s="269" t="s">
        <x:v>3033</x:v>
      </x:c>
      <x:c r="G18" s="266" t="s">
        <x:v>3034</x:v>
      </x:c>
    </x:row>
    <x:row r="19" ht="45" customHeight="1">
      <x:c r="A19" s="265">
        <x:v>15</x:v>
      </x:c>
      <x:c r="B19" s="265" t="s">
        <x:v>10</x:v>
      </x:c>
      <x:c r="C19" s="271" t="s">
        <x:v>3032</x:v>
      </x:c>
      <x:c r="D19" s="266" t="s">
        <x:v>53</x:v>
      </x:c>
      <x:c r="E19" s="270" t="s">
        <x:v>3015</x:v>
      </x:c>
      <x:c r="F19" s="269" t="s">
        <x:v>3035</x:v>
      </x:c>
      <x:c r="G19" s="266" t="s">
        <x:v>3036</x:v>
      </x:c>
    </x:row>
    <x:row r="20" ht="45" customHeight="1">
      <x:c r="A20" s="265">
        <x:v>16</x:v>
      </x:c>
      <x:c r="B20" s="265" t="s">
        <x:v>10</x:v>
      </x:c>
      <x:c r="C20" s="270" t="s">
        <x:v>3015</x:v>
      </x:c>
      <x:c r="D20" s="266" t="s">
        <x:v>12</x:v>
      </x:c>
      <x:c r="E20" s="268" t="s">
        <x:v>3037</x:v>
      </x:c>
      <x:c r="F20" s="269" t="s">
        <x:v>3038</x:v>
      </x:c>
      <x:c r="G20" s="266" t="s">
        <x:v>3039</x:v>
      </x:c>
    </x:row>
    <x:row r="21" ht="45" customHeight="1">
      <x:c r="A21" s="265">
        <x:v>17</x:v>
      </x:c>
      <x:c r="B21" s="265" t="s">
        <x:v>10</x:v>
      </x:c>
      <x:c r="C21" s="268" t="s">
        <x:v>3037</x:v>
      </x:c>
      <x:c r="D21" s="266" t="s">
        <x:v>12</x:v>
      </x:c>
      <x:c r="E21" s="267" t="s">
        <x:v>11</x:v>
      </x:c>
      <x:c r="F21" s="269" t="s">
        <x:v>3040</x:v>
      </x:c>
      <x:c r="G21" s="266" t="s">
        <x:v>3041</x:v>
      </x:c>
    </x:row>
    <x:row r="22" ht="28.799999237060547" customHeight="1">
      <x:c r="A22" s="522" t="s">
        <x:v>3042</x:v>
      </x:c>
      <x:c r="B22" s="522"/>
      <x:c r="C22" s="522"/>
      <x:c r="D22" s="522"/>
      <x:c r="E22" s="522"/>
      <x:c r="F22" s="522"/>
      <x:c r="G22" s="522"/>
    </x:row>
    <x:row r="23" ht="45" customHeight="1">
      <x:c r="A23" s="272">
        <x:v>18</x:v>
      </x:c>
      <x:c r="B23" s="272" t="s">
        <x:v>33</x:v>
      </x:c>
      <x:c r="C23" s="274" t="s">
        <x:v>11</x:v>
      </x:c>
      <x:c r="D23" s="273" t="s">
        <x:v>12</x:v>
      </x:c>
      <x:c r="E23" s="275" t="s">
        <x:v>3037</x:v>
      </x:c>
      <x:c r="F23" s="276" t="s">
        <x:v>3043</x:v>
      </x:c>
      <x:c r="G23" s="273" t="s">
        <x:v>3044</x:v>
      </x:c>
    </x:row>
    <x:row r="24" ht="45" customHeight="1">
      <x:c r="A24" s="272">
        <x:v>19</x:v>
      </x:c>
      <x:c r="B24" s="272" t="s">
        <x:v>33</x:v>
      </x:c>
      <x:c r="C24" s="275" t="s">
        <x:v>3037</x:v>
      </x:c>
      <x:c r="D24" s="273" t="s">
        <x:v>12</x:v>
      </x:c>
      <x:c r="E24" s="277" t="s">
        <x:v>3015</x:v>
      </x:c>
      <x:c r="F24" s="276" t="s">
        <x:v>3045</x:v>
      </x:c>
      <x:c r="G24" s="273" t="s">
        <x:v>3046</x:v>
      </x:c>
    </x:row>
    <x:row r="25" ht="45" customHeight="1">
      <x:c r="A25" s="272">
        <x:v>20</x:v>
      </x:c>
      <x:c r="B25" s="272" t="s">
        <x:v>33</x:v>
      </x:c>
      <x:c r="C25" s="277" t="s">
        <x:v>3015</x:v>
      </x:c>
      <x:c r="D25" s="273" t="s">
        <x:v>19</x:v>
      </x:c>
      <x:c r="E25" s="277" t="s">
        <x:v>3015</x:v>
      </x:c>
      <x:c r="F25" s="276" t="s">
        <x:v>3047</x:v>
      </x:c>
      <x:c r="G25" s="273" t="s">
        <x:v>3048</x:v>
      </x:c>
    </x:row>
    <x:row r="26" ht="45" customHeight="1">
      <x:c r="A26" s="272">
        <x:v>21</x:v>
      </x:c>
      <x:c r="B26" s="272" t="s">
        <x:v>33</x:v>
      </x:c>
      <x:c r="C26" s="277" t="s">
        <x:v>3015</x:v>
      </x:c>
      <x:c r="D26" s="273" t="s">
        <x:v>19</x:v>
      </x:c>
      <x:c r="E26" s="277" t="s">
        <x:v>3015</x:v>
      </x:c>
      <x:c r="F26" s="276" t="s">
        <x:v>3049</x:v>
      </x:c>
      <x:c r="G26" s="273" t="s">
        <x:v>3050</x:v>
      </x:c>
    </x:row>
    <x:row r="27" ht="45" customHeight="1">
      <x:c r="A27" s="272">
        <x:v>22</x:v>
      </x:c>
      <x:c r="B27" s="272" t="s">
        <x:v>33</x:v>
      </x:c>
      <x:c r="C27" s="277" t="s">
        <x:v>3015</x:v>
      </x:c>
      <x:c r="D27" s="273" t="s">
        <x:v>19</x:v>
      </x:c>
      <x:c r="E27" s="277" t="s">
        <x:v>3015</x:v>
      </x:c>
      <x:c r="F27" s="276" t="str">
        <x:v>consultarProveedorDNIConfigurado(dni)</x:v>
      </x:c>
      <x:c r="G27" s="273" t="str">
        <x:v>Consulta DNI a través de ADAPTADOR de proveedor autorizado previamente contratado, con permiso de uso y esquema de respuesta verificados. Los nombres de endpoint /dni y proveedor JSON.pe del borrador son hipótesis: NO están certificados para producción.</x:v>
      </x:c>
    </x:row>
    <x:row r="28" ht="45" customHeight="1">
      <x:c r="A28" s="272">
        <x:v>23</x:v>
      </x:c>
      <x:c r="B28" s="272" t="s">
        <x:v>33</x:v>
      </x:c>
      <x:c r="C28" s="277" t="s">
        <x:v>3015</x:v>
      </x:c>
      <x:c r="D28" s="273" t="s">
        <x:v>19</x:v>
      </x:c>
      <x:c r="E28" s="277" t="s">
        <x:v>3015</x:v>
      </x:c>
      <x:c r="F28" s="276" t="s">
        <x:v>3051</x:v>
      </x:c>
      <x:c r="G28" s="273" t="str">
        <x:v>Valida DNI coincidente, nombre y datos disponibles según contrato real. El dígito verificador SOLO se usa si el proveedor lo entrega expresamente y permite ese uso; no constituye por sí solo prueba fehaciente de identidad. Este EF es condicional a esa disponibilidad.</x:v>
      </x:c>
    </x:row>
    <x:row r="29" ht="45" customHeight="1">
      <x:c r="A29" s="272">
        <x:v>24</x:v>
      </x:c>
      <x:c r="B29" s="272" t="s">
        <x:v>33</x:v>
      </x:c>
      <x:c r="C29" s="277" t="s">
        <x:v>3015</x:v>
      </x:c>
      <x:c r="D29" s="273" t="s">
        <x:v>12</x:v>
      </x:c>
      <x:c r="E29" s="275" t="s">
        <x:v>3052</x:v>
      </x:c>
      <x:c r="F29" s="276" t="s">
        <x:v>3053</x:v>
      </x:c>
      <x:c r="G29" s="273" t="s">
        <x:v>3054</x:v>
      </x:c>
    </x:row>
    <x:row r="30" ht="45" customHeight="1">
      <x:c r="A30" s="272">
        <x:v>25</x:v>
      </x:c>
      <x:c r="B30" s="272" t="s">
        <x:v>33</x:v>
      </x:c>
      <x:c r="C30" s="275" t="s">
        <x:v>3052</x:v>
      </x:c>
      <x:c r="D30" s="273" t="s">
        <x:v>12</x:v>
      </x:c>
      <x:c r="E30" s="274" t="s">
        <x:v>11</x:v>
      </x:c>
      <x:c r="F30" s="276" t="s">
        <x:v>3055</x:v>
      </x:c>
      <x:c r="G30" s="273" t="s">
        <x:v>3056</x:v>
      </x:c>
    </x:row>
    <x:row r="31" ht="28.799999237060547" customHeight="1">
      <x:c r="A31" s="522" t="s">
        <x:v>3057</x:v>
      </x:c>
      <x:c r="B31" s="522"/>
      <x:c r="C31" s="522"/>
      <x:c r="D31" s="522"/>
      <x:c r="E31" s="522"/>
      <x:c r="F31" s="522"/>
      <x:c r="G31" s="522"/>
    </x:row>
    <x:row r="32" ht="45" customHeight="1">
      <x:c r="A32" s="265">
        <x:v>26</x:v>
      </x:c>
      <x:c r="B32" s="265" t="s">
        <x:v>63</x:v>
      </x:c>
      <x:c r="C32" s="267" t="s">
        <x:v>11</x:v>
      </x:c>
      <x:c r="D32" s="266" t="s">
        <x:v>12</x:v>
      </x:c>
      <x:c r="E32" s="268" t="s">
        <x:v>3052</x:v>
      </x:c>
      <x:c r="F32" s="269" t="s">
        <x:v>3058</x:v>
      </x:c>
      <x:c r="G32" s="266" t="s">
        <x:v>3059</x:v>
      </x:c>
    </x:row>
    <x:row r="33" ht="45" customHeight="1">
      <x:c r="A33" s="265">
        <x:v>27</x:v>
      </x:c>
      <x:c r="B33" s="265" t="s">
        <x:v>63</x:v>
      </x:c>
      <x:c r="C33" s="268" t="s">
        <x:v>3052</x:v>
      </x:c>
      <x:c r="D33" s="266" t="s">
        <x:v>12</x:v>
      </x:c>
      <x:c r="E33" s="270" t="s">
        <x:v>3015</x:v>
      </x:c>
      <x:c r="F33" s="269" t="s">
        <x:v>3060</x:v>
      </x:c>
      <x:c r="G33" s="266" t="s">
        <x:v>3061</x:v>
      </x:c>
    </x:row>
    <x:row r="34" ht="45" customHeight="1">
      <x:c r="A34" s="265">
        <x:v>28</x:v>
      </x:c>
      <x:c r="B34" s="265" t="s">
        <x:v>63</x:v>
      </x:c>
      <x:c r="C34" s="270" t="s">
        <x:v>3015</x:v>
      </x:c>
      <x:c r="D34" s="266" t="s">
        <x:v>19</x:v>
      </x:c>
      <x:c r="E34" s="270" t="s">
        <x:v>3015</x:v>
      </x:c>
      <x:c r="F34" s="269" t="s">
        <x:v>3062</x:v>
      </x:c>
      <x:c r="G34" s="266" t="s">
        <x:v>3063</x:v>
      </x:c>
    </x:row>
    <x:row r="35" ht="45" customHeight="1">
      <x:c r="A35" s="265">
        <x:v>29</x:v>
      </x:c>
      <x:c r="B35" s="265" t="s">
        <x:v>63</x:v>
      </x:c>
      <x:c r="C35" s="270" t="s">
        <x:v>3015</x:v>
      </x:c>
      <x:c r="D35" s="266" t="s">
        <x:v>19</x:v>
      </x:c>
      <x:c r="E35" s="270" t="s">
        <x:v>3015</x:v>
      </x:c>
      <x:c r="F35" s="269" t="s">
        <x:v>3064</x:v>
      </x:c>
      <x:c r="G35" s="266" t="str">
        <x:v>Compara el dígito ingresado con un campo verificador solo SI se encuentra definido y entregado en el contrato del proveedor. Si no existe esa capacidad, el procedimiento requiere rediseño antes de implementar RF51; no inventar respuesta.</x:v>
      </x:c>
    </x:row>
    <x:row r="36" ht="45" customHeight="1">
      <x:c r="A36" s="265">
        <x:v>30</x:v>
      </x:c>
      <x:c r="B36" s="265" t="s">
        <x:v>63</x:v>
      </x:c>
      <x:c r="C36" s="270" t="s">
        <x:v>3015</x:v>
      </x:c>
      <x:c r="D36" s="266" t="s">
        <x:v>19</x:v>
      </x:c>
      <x:c r="E36" s="270" t="s">
        <x:v>3015</x:v>
      </x:c>
      <x:c r="F36" s="269" t="str">
        <x:v>consultarProveedorLicenciaConfigurado(dni)</x:v>
      </x:c>
      <x:c r="G36" s="266" t="str">
        <x:v>Consulta al proveedor autorizado de licencias mediante adaptador de backend y operación confirmada contractualmente. URL, endpoint y estructura de JSON.pe no se asumen disponibles; la implementación del RF51 queda BLOQUEADA hasta validar servicio, permisos, campos y respuestas reales.</x:v>
      </x:c>
    </x:row>
    <x:row r="37" ht="45" customHeight="1">
      <x:c r="A37" s="265">
        <x:v>31</x:v>
      </x:c>
      <x:c r="B37" s="265" t="s">
        <x:v>63</x:v>
      </x:c>
      <x:c r="C37" s="270" t="s">
        <x:v>3015</x:v>
      </x:c>
      <x:c r="D37" s="266" t="s">
        <x:v>19</x:v>
      </x:c>
      <x:c r="E37" s="270" t="s">
        <x:v>3015</x:v>
      </x:c>
      <x:c r="F37" s="269" t="s">
        <x:v>3065</x:v>
      </x:c>
      <x:c r="G37" s="266" t="s">
        <x:v>3066</x:v>
      </x:c>
    </x:row>
    <x:row r="38" ht="45" customHeight="1">
      <x:c r="A38" s="265">
        <x:v>32</x:v>
      </x:c>
      <x:c r="B38" s="265" t="s">
        <x:v>63</x:v>
      </x:c>
      <x:c r="C38" s="270" t="s">
        <x:v>3015</x:v>
      </x:c>
      <x:c r="D38" s="266" t="s">
        <x:v>19</x:v>
      </x:c>
      <x:c r="E38" s="270" t="s">
        <x:v>3015</x:v>
      </x:c>
      <x:c r="F38" s="269" t="s">
        <x:v>3067</x:v>
      </x:c>
      <x:c r="G38" s="266" t="s">
        <x:v>3068</x:v>
      </x:c>
    </x:row>
    <x:row r="39" ht="45" customHeight="1">
      <x:c r="A39" s="265">
        <x:v>33</x:v>
      </x:c>
      <x:c r="B39" s="265" t="s">
        <x:v>63</x:v>
      </x:c>
      <x:c r="C39" s="270" t="s">
        <x:v>3015</x:v>
      </x:c>
      <x:c r="D39" s="266" t="s">
        <x:v>12</x:v>
      </x:c>
      <x:c r="E39" s="268" t="s">
        <x:v>3069</x:v>
      </x:c>
      <x:c r="F39" s="269" t="s">
        <x:v>3070</x:v>
      </x:c>
      <x:c r="G39" s="266" t="s">
        <x:v>3071</x:v>
      </x:c>
    </x:row>
    <x:row r="40" ht="45" customHeight="1">
      <x:c r="A40" s="265">
        <x:v>34</x:v>
      </x:c>
      <x:c r="B40" s="265" t="s">
        <x:v>63</x:v>
      </x:c>
      <x:c r="C40" s="268" t="s">
        <x:v>3069</x:v>
      </x:c>
      <x:c r="D40" s="266" t="s">
        <x:v>12</x:v>
      </x:c>
      <x:c r="E40" s="267" t="s">
        <x:v>11</x:v>
      </x:c>
      <x:c r="F40" s="269" t="s">
        <x:v>3072</x:v>
      </x:c>
      <x:c r="G40" s="266" t="s">
        <x:v>3073</x:v>
      </x:c>
    </x:row>
    <x:row r="41" ht="28.799999237060547" customHeight="1">
      <x:c r="A41" s="522" t="s">
        <x:v>3074</x:v>
      </x:c>
      <x:c r="B41" s="522"/>
      <x:c r="C41" s="522"/>
      <x:c r="D41" s="522"/>
      <x:c r="E41" s="522"/>
      <x:c r="F41" s="522"/>
      <x:c r="G41" s="522"/>
    </x:row>
    <x:row r="42" ht="45" customHeight="1">
      <x:c r="A42" s="272">
        <x:v>35</x:v>
      </x:c>
      <x:c r="B42" s="272" t="s">
        <x:v>81</x:v>
      </x:c>
      <x:c r="C42" s="274" t="s">
        <x:v>11</x:v>
      </x:c>
      <x:c r="D42" s="273" t="s">
        <x:v>12</x:v>
      </x:c>
      <x:c r="E42" s="275" t="s">
        <x:v>3069</x:v>
      </x:c>
      <x:c r="F42" s="276" t="s">
        <x:v>3075</x:v>
      </x:c>
      <x:c r="G42" s="273" t="s">
        <x:v>3076</x:v>
      </x:c>
    </x:row>
    <x:row r="43" ht="45" customHeight="1">
      <x:c r="A43" s="272">
        <x:v>36</x:v>
      </x:c>
      <x:c r="B43" s="272" t="s">
        <x:v>81</x:v>
      </x:c>
      <x:c r="C43" s="275" t="s">
        <x:v>3069</x:v>
      </x:c>
      <x:c r="D43" s="273" t="s">
        <x:v>12</x:v>
      </x:c>
      <x:c r="E43" s="277" t="s">
        <x:v>3015</x:v>
      </x:c>
      <x:c r="F43" s="276" t="s">
        <x:v>3077</x:v>
      </x:c>
      <x:c r="G43" s="273" t="s">
        <x:v>3078</x:v>
      </x:c>
    </x:row>
    <x:row r="44" ht="45" customHeight="1">
      <x:c r="A44" s="272">
        <x:v>37</x:v>
      </x:c>
      <x:c r="B44" s="272" t="s">
        <x:v>81</x:v>
      </x:c>
      <x:c r="C44" s="277" t="s">
        <x:v>3015</x:v>
      </x:c>
      <x:c r="D44" s="273" t="s">
        <x:v>19</x:v>
      </x:c>
      <x:c r="E44" s="277" t="s">
        <x:v>3015</x:v>
      </x:c>
      <x:c r="F44" s="276" t="s">
        <x:v>3079</x:v>
      </x:c>
      <x:c r="G44" s="273" t="s">
        <x:v>3080</x:v>
      </x:c>
    </x:row>
    <x:row r="45" ht="45" customHeight="1">
      <x:c r="A45" s="272">
        <x:v>38</x:v>
      </x:c>
      <x:c r="B45" s="272" t="s">
        <x:v>81</x:v>
      </x:c>
      <x:c r="C45" s="277" t="s">
        <x:v>3015</x:v>
      </x:c>
      <x:c r="D45" s="273" t="s">
        <x:v>19</x:v>
      </x:c>
      <x:c r="E45" s="277" t="s">
        <x:v>3015</x:v>
      </x:c>
      <x:c r="F45" s="276" t="s">
        <x:v>3081</x:v>
      </x:c>
      <x:c r="G45" s="273" t="s">
        <x:v>3082</x:v>
      </x:c>
    </x:row>
    <x:row r="46" ht="45" customHeight="1">
      <x:c r="A46" s="272">
        <x:v>39</x:v>
      </x:c>
      <x:c r="B46" s="272" t="s">
        <x:v>81</x:v>
      </x:c>
      <x:c r="C46" s="277" t="s">
        <x:v>3015</x:v>
      </x:c>
      <x:c r="D46" s="273" t="s">
        <x:v>19</x:v>
      </x:c>
      <x:c r="E46" s="277" t="s">
        <x:v>3015</x:v>
      </x:c>
      <x:c r="F46" s="276" t="s">
        <x:v>3083</x:v>
      </x:c>
      <x:c r="G46" s="273" t="s">
        <x:v>3084</x:v>
      </x:c>
    </x:row>
    <x:row r="47" ht="45" customHeight="1">
      <x:c r="A47" s="272">
        <x:v>40</x:v>
      </x:c>
      <x:c r="B47" s="272" t="s">
        <x:v>81</x:v>
      </x:c>
      <x:c r="C47" s="277" t="s">
        <x:v>3015</x:v>
      </x:c>
      <x:c r="D47" s="273" t="s">
        <x:v>12</x:v>
      </x:c>
      <x:c r="E47" s="278" t="s">
        <x:v>3025</x:v>
      </x:c>
      <x:c r="F47" s="276" t="s">
        <x:v>3085</x:v>
      </x:c>
      <x:c r="G47" s="273" t="s">
        <x:v>3086</x:v>
      </x:c>
    </x:row>
    <x:row r="48" ht="45" customHeight="1">
      <x:c r="A48" s="272">
        <x:v>41</x:v>
      </x:c>
      <x:c r="B48" s="272" t="s">
        <x:v>81</x:v>
      </x:c>
      <x:c r="C48" s="278" t="s">
        <x:v>3025</x:v>
      </x:c>
      <x:c r="D48" s="273" t="s">
        <x:v>53</x:v>
      </x:c>
      <x:c r="E48" s="277" t="s">
        <x:v>3015</x:v>
      </x:c>
      <x:c r="F48" s="276" t="s">
        <x:v>3087</x:v>
      </x:c>
      <x:c r="G48" s="273" t="s">
        <x:v>3088</x:v>
      </x:c>
    </x:row>
    <x:row r="49" ht="45" customHeight="1">
      <x:c r="A49" s="272">
        <x:v>42</x:v>
      </x:c>
      <x:c r="B49" s="272" t="s">
        <x:v>81</x:v>
      </x:c>
      <x:c r="C49" s="277" t="s">
        <x:v>3015</x:v>
      </x:c>
      <x:c r="D49" s="273" t="s">
        <x:v>12</x:v>
      </x:c>
      <x:c r="E49" s="278" t="s">
        <x:v>3032</x:v>
      </x:c>
      <x:c r="F49" s="276" t="s">
        <x:v>3089</x:v>
      </x:c>
      <x:c r="G49" s="273" t="s">
        <x:v>3090</x:v>
      </x:c>
    </x:row>
    <x:row r="50" ht="45" customHeight="1">
      <x:c r="A50" s="272">
        <x:v>43</x:v>
      </x:c>
      <x:c r="B50" s="272" t="s">
        <x:v>81</x:v>
      </x:c>
      <x:c r="C50" s="278" t="s">
        <x:v>3032</x:v>
      </x:c>
      <x:c r="D50" s="273" t="s">
        <x:v>53</x:v>
      </x:c>
      <x:c r="E50" s="277" t="s">
        <x:v>3015</x:v>
      </x:c>
      <x:c r="F50" s="276" t="s">
        <x:v>3091</x:v>
      </x:c>
      <x:c r="G50" s="273" t="s">
        <x:v>3092</x:v>
      </x:c>
    </x:row>
    <x:row r="51" ht="28.799999237060547" customHeight="1">
      <x:c r="A51" s="522" t="s">
        <x:v>3093</x:v>
      </x:c>
      <x:c r="B51" s="522"/>
      <x:c r="C51" s="522"/>
      <x:c r="D51" s="522"/>
      <x:c r="E51" s="522"/>
      <x:c r="F51" s="522"/>
      <x:c r="G51" s="522"/>
    </x:row>
    <x:row r="52" ht="45" customHeight="1">
      <x:c r="A52" s="265">
        <x:v>44</x:v>
      </x:c>
      <x:c r="B52" s="265" t="s">
        <x:v>110</x:v>
      </x:c>
      <x:c r="C52" s="270" t="s">
        <x:v>3015</x:v>
      </x:c>
      <x:c r="D52" s="266" t="s">
        <x:v>12</x:v>
      </x:c>
      <x:c r="E52" s="270" t="s">
        <x:v>373</x:v>
      </x:c>
      <x:c r="F52" s="269" t="s">
        <x:v>3094</x:v>
      </x:c>
      <x:c r="G52" s="266" t="s">
        <x:v>3095</x:v>
      </x:c>
    </x:row>
    <x:row r="53" ht="45" customHeight="1">
      <x:c r="A53" s="265">
        <x:v>45</x:v>
      </x:c>
      <x:c r="B53" s="265" t="s">
        <x:v>110</x:v>
      </x:c>
      <x:c r="C53" s="270" t="s">
        <x:v>373</x:v>
      </x:c>
      <x:c r="D53" s="266" t="s">
        <x:v>19</x:v>
      </x:c>
      <x:c r="E53" s="270" t="s">
        <x:v>373</x:v>
      </x:c>
      <x:c r="F53" s="269" t="s">
        <x:v>3096</x:v>
      </x:c>
      <x:c r="G53" s="266" t="s">
        <x:v>3097</x:v>
      </x:c>
    </x:row>
    <x:row r="54" ht="45" customHeight="1">
      <x:c r="A54" s="265">
        <x:v>46</x:v>
      </x:c>
      <x:c r="B54" s="265" t="s">
        <x:v>110</x:v>
      </x:c>
      <x:c r="C54" s="270" t="s">
        <x:v>373</x:v>
      </x:c>
      <x:c r="D54" s="266" t="s">
        <x:v>12</x:v>
      </x:c>
      <x:c r="E54" s="271" t="s">
        <x:v>791</x:v>
      </x:c>
      <x:c r="F54" s="269" t="s">
        <x:v>3098</x:v>
      </x:c>
      <x:c r="G54" s="266" t="s">
        <x:v>3099</x:v>
      </x:c>
    </x:row>
    <x:row r="55" ht="45" customHeight="1">
      <x:c r="A55" s="265">
        <x:v>47</x:v>
      </x:c>
      <x:c r="B55" s="265" t="s">
        <x:v>110</x:v>
      </x:c>
      <x:c r="C55" s="271" t="s">
        <x:v>791</x:v>
      </x:c>
      <x:c r="D55" s="266" t="s">
        <x:v>53</x:v>
      </x:c>
      <x:c r="E55" s="270" t="s">
        <x:v>373</x:v>
      </x:c>
      <x:c r="F55" s="269" t="s">
        <x:v>3100</x:v>
      </x:c>
      <x:c r="G55" s="266" t="s">
        <x:v>3101</x:v>
      </x:c>
    </x:row>
    <x:row r="56" ht="45" customHeight="1">
      <x:c r="A56" s="265">
        <x:v>48</x:v>
      </x:c>
      <x:c r="B56" s="265" t="s">
        <x:v>110</x:v>
      </x:c>
      <x:c r="C56" s="270" t="s">
        <x:v>373</x:v>
      </x:c>
      <x:c r="D56" s="266" t="s">
        <x:v>12</x:v>
      </x:c>
      <x:c r="E56" s="271" t="s">
        <x:v>797</x:v>
      </x:c>
      <x:c r="F56" s="269" t="s">
        <x:v>3102</x:v>
      </x:c>
      <x:c r="G56" s="266" t="s">
        <x:v>3103</x:v>
      </x:c>
    </x:row>
    <x:row r="57" ht="45" customHeight="1">
      <x:c r="A57" s="265">
        <x:v>49</x:v>
      </x:c>
      <x:c r="B57" s="265" t="s">
        <x:v>110</x:v>
      </x:c>
      <x:c r="C57" s="271" t="s">
        <x:v>797</x:v>
      </x:c>
      <x:c r="D57" s="266" t="s">
        <x:v>53</x:v>
      </x:c>
      <x:c r="E57" s="270" t="s">
        <x:v>373</x:v>
      </x:c>
      <x:c r="F57" s="269" t="s">
        <x:v>3104</x:v>
      </x:c>
      <x:c r="G57" s="266" t="s">
        <x:v>3105</x:v>
      </x:c>
    </x:row>
    <x:row r="58" ht="45" customHeight="1">
      <x:c r="A58" s="265">
        <x:v>50</x:v>
      </x:c>
      <x:c r="B58" s="265" t="s">
        <x:v>110</x:v>
      </x:c>
      <x:c r="C58" s="270" t="s">
        <x:v>373</x:v>
      </x:c>
      <x:c r="D58" s="266" t="s">
        <x:v>53</x:v>
      </x:c>
      <x:c r="E58" s="270" t="s">
        <x:v>3015</x:v>
      </x:c>
      <x:c r="F58" s="269" t="s">
        <x:v>3106</x:v>
      </x:c>
      <x:c r="G58" s="266" t="s">
        <x:v>3107</x:v>
      </x:c>
    </x:row>
    <x:row r="59" ht="45" customHeight="1">
      <x:c r="A59" s="265">
        <x:v>51</x:v>
      </x:c>
      <x:c r="B59" s="265" t="s">
        <x:v>110</x:v>
      </x:c>
      <x:c r="C59" s="270" t="s">
        <x:v>3015</x:v>
      </x:c>
      <x:c r="D59" s="266" t="s">
        <x:v>19</x:v>
      </x:c>
      <x:c r="E59" s="270" t="s">
        <x:v>3015</x:v>
      </x:c>
      <x:c r="F59" s="269" t="s">
        <x:v>3108</x:v>
      </x:c>
      <x:c r="G59" s="266" t="s">
        <x:v>3109</x:v>
      </x:c>
    </x:row>
    <x:row r="60" ht="45" customHeight="1">
      <x:c r="A60" s="265">
        <x:v>52</x:v>
      </x:c>
      <x:c r="B60" s="265" t="s">
        <x:v>110</x:v>
      </x:c>
      <x:c r="C60" s="270" t="s">
        <x:v>3015</x:v>
      </x:c>
      <x:c r="D60" s="266" t="s">
        <x:v>12</x:v>
      </x:c>
      <x:c r="E60" s="268" t="s">
        <x:v>156</x:v>
      </x:c>
      <x:c r="F60" s="269" t="s">
        <x:v>3110</x:v>
      </x:c>
      <x:c r="G60" s="266" t="s">
        <x:v>3111</x:v>
      </x:c>
    </x:row>
    <x:row r="61" ht="45" customHeight="1">
      <x:c r="A61" s="265">
        <x:v>53</x:v>
      </x:c>
      <x:c r="B61" s="265" t="s">
        <x:v>110</x:v>
      </x:c>
      <x:c r="C61" s="268" t="s">
        <x:v>156</x:v>
      </x:c>
      <x:c r="D61" s="266" t="s">
        <x:v>12</x:v>
      </x:c>
      <x:c r="E61" s="267" t="s">
        <x:v>11</x:v>
      </x:c>
      <x:c r="F61" s="269" t="s">
        <x:v>3112</x:v>
      </x:c>
      <x:c r="G61" s="266" t="s">
        <x:v>3113</x:v>
      </x:c>
    </x:row>
  </x:sheetData>
  <x:mergeCells>
    <x:mergeCell ref="A41:G41"/>
    <x:mergeCell ref="A51:G51"/>
    <x:mergeCell ref="A1:G1"/>
    <x:mergeCell ref="A2:G2"/>
    <x:mergeCell ref="A4:G4"/>
    <x:mergeCell ref="A22:G22"/>
    <x:mergeCell ref="A31:G31"/>
  </x:mergeCells>
  <x:pageMargins left="0.7" right="0.7" top="0.75" bottom="0.75" header="0.3" footer="0.3"/>
</x:worksheet>
</file>

<file path=xl/worksheets/sheet49.xml><?xml version="1.0" encoding="utf-8"?>
<x:worksheet xmlns:x="http://schemas.openxmlformats.org/spreadsheetml/2006/main">
  <x:sheetFormatPr baseColWidth="10" defaultColWidth="8.88671875" defaultRowHeight="14.399999618530273"/>
  <x:cols>
    <x:col min="1" max="1" width="7" customWidth="1"/>
    <x:col min="2" max="2" width="9" customWidth="1"/>
    <x:col min="3" max="3" width="24" customWidth="1"/>
    <x:col min="4" max="4" width="21" customWidth="1"/>
    <x:col min="5" max="5" width="25" customWidth="1"/>
    <x:col min="6" max="6" width="61" customWidth="1"/>
    <x:col min="7" max="7" width="108" customWidth="1"/>
  </x:cols>
  <x:sheetData>
    <x:row r="1" ht="15.899999618530273" customHeight="1">
      <x:c r="A1" s="423" t="s">
        <x:v>3114</x:v>
      </x:c>
      <x:c r="B1" s="423"/>
      <x:c r="C1" s="423"/>
      <x:c r="D1" s="423"/>
      <x:c r="E1" s="423"/>
      <x:c r="F1" s="423"/>
      <x:c r="G1" s="423"/>
    </x:row>
    <x:row r="2" ht="13.800000190734863" customHeight="1">
      <x:c r="A2" s="423" t="s">
        <x:v>3115</x:v>
      </x:c>
      <x:c r="B2" s="423"/>
      <x:c r="C2" s="423"/>
      <x:c r="D2" s="423"/>
      <x:c r="E2" s="423"/>
      <x:c r="F2" s="423"/>
      <x:c r="G2" s="423"/>
    </x:row>
    <x:row r="3" ht="14.25" customHeight="1">
      <x:c r="A3" t="s">
        <x:v>2</x:v>
      </x:c>
      <x:c r="B3" t="s">
        <x:v>3</x:v>
      </x:c>
      <x:c r="C3" t="s">
        <x:v>4</x:v>
      </x:c>
      <x:c r="D3" t="s">
        <x:v>5</x:v>
      </x:c>
      <x:c r="E3" t="s">
        <x:v>6</x:v>
      </x:c>
      <x:c r="F3" t="s">
        <x:v>7</x:v>
      </x:c>
      <x:c r="G3" t="s">
        <x:v>8</x:v>
      </x:c>
    </x:row>
    <x:row r="4" ht="14.850000381469727" customHeight="1">
      <x:c r="A4" s="423" t="s">
        <x:v>3116</x:v>
      </x:c>
      <x:c r="B4" s="423"/>
      <x:c r="C4" s="423"/>
      <x:c r="D4" s="423"/>
      <x:c r="E4" s="423"/>
      <x:c r="F4" s="423"/>
      <x:c r="G4" s="423"/>
    </x:row>
    <x:row r="5" ht="23.100000381469727" customHeight="1">
      <x:c r="A5">
        <x:v>1</x:v>
      </x:c>
      <x:c r="B5" t="s">
        <x:v>10</x:v>
      </x:c>
      <x:c r="C5" t="s">
        <x:v>11</x:v>
      </x:c>
      <x:c r="D5" t="s">
        <x:v>12</x:v>
      </x:c>
      <x:c r="E5" t="s">
        <x:v>164</x:v>
      </x:c>
      <x:c r="F5" t="s">
        <x:v>165</x:v>
      </x:c>
      <x:c r="G5" t="s">
        <x:v>3117</x:v>
      </x:c>
    </x:row>
    <x:row r="6" ht="23.100000381469727" customHeight="1">
      <x:c r="A6">
        <x:v>2</x:v>
      </x:c>
      <x:c r="B6" t="s">
        <x:v>10</x:v>
      </x:c>
      <x:c r="C6" t="s">
        <x:v>164</x:v>
      </x:c>
      <x:c r="D6" t="s">
        <x:v>12</x:v>
      </x:c>
      <x:c r="E6" t="s">
        <x:v>167</x:v>
      </x:c>
      <x:c r="F6" t="s">
        <x:v>168</x:v>
      </x:c>
      <x:c r="G6" t="s">
        <x:v>3118</x:v>
      </x:c>
    </x:row>
    <x:row r="7" ht="23.100000381469727" customHeight="1">
      <x:c r="A7">
        <x:v>3</x:v>
      </x:c>
      <x:c r="B7" t="s">
        <x:v>10</x:v>
      </x:c>
      <x:c r="C7" t="s">
        <x:v>167</x:v>
      </x:c>
      <x:c r="D7" t="s">
        <x:v>12</x:v>
      </x:c>
      <x:c r="E7" t="s">
        <x:v>179</x:v>
      </x:c>
      <x:c r="F7" t="s">
        <x:v>1784</x:v>
      </x:c>
      <x:c r="G7" t="s">
        <x:v>3119</x:v>
      </x:c>
    </x:row>
    <x:row r="8" ht="23.100000381469727" customHeight="1">
      <x:c r="A8">
        <x:v>4</x:v>
      </x:c>
      <x:c r="B8" t="s">
        <x:v>10</x:v>
      </x:c>
      <x:c r="C8" t="s">
        <x:v>179</x:v>
      </x:c>
      <x:c r="D8" t="s">
        <x:v>12</x:v>
      </x:c>
      <x:c r="E8" t="s">
        <x:v>11</x:v>
      </x:c>
      <x:c r="F8" t="s">
        <x:v>182</x:v>
      </x:c>
      <x:c r="G8" t="s">
        <x:v>3120</x:v>
      </x:c>
    </x:row>
    <x:row r="9" ht="23.100000381469727" customHeight="1">
      <x:c r="A9">
        <x:v>5</x:v>
      </x:c>
      <x:c r="B9" t="s">
        <x:v>10</x:v>
      </x:c>
      <x:c r="C9" t="s">
        <x:v>11</x:v>
      </x:c>
      <x:c r="D9" t="s">
        <x:v>12</x:v>
      </x:c>
      <x:c r="E9" t="s">
        <x:v>179</x:v>
      </x:c>
      <x:c r="F9" t="s">
        <x:v>3013</x:v>
      </x:c>
      <x:c r="G9" t="s">
        <x:v>3121</x:v>
      </x:c>
    </x:row>
    <x:row r="10" ht="23.100000381469727" customHeight="1">
      <x:c r="A10">
        <x:v>6</x:v>
      </x:c>
      <x:c r="B10" t="s">
        <x:v>10</x:v>
      </x:c>
      <x:c r="C10" t="s">
        <x:v>179</x:v>
      </x:c>
      <x:c r="D10" t="s">
        <x:v>12</x:v>
      </x:c>
      <x:c r="E10" t="s">
        <x:v>3015</x:v>
      </x:c>
      <x:c r="F10" t="s">
        <x:v>3122</x:v>
      </x:c>
      <x:c r="G10" t="s">
        <x:v>3123</x:v>
      </x:c>
    </x:row>
    <x:row r="11" ht="23.100000381469727" customHeight="1">
      <x:c r="A11">
        <x:v>7</x:v>
      </x:c>
      <x:c r="B11" t="s">
        <x:v>10</x:v>
      </x:c>
      <x:c r="C11" t="s">
        <x:v>3015</x:v>
      </x:c>
      <x:c r="D11" t="s">
        <x:v>12</x:v>
      </x:c>
      <x:c r="E11" t="s">
        <x:v>751</x:v>
      </x:c>
      <x:c r="F11" t="s">
        <x:v>3124</x:v>
      </x:c>
      <x:c r="G11" t="s">
        <x:v>3125</x:v>
      </x:c>
    </x:row>
    <x:row r="12" ht="23.100000381469727" customHeight="1">
      <x:c r="A12">
        <x:v>8</x:v>
      </x:c>
      <x:c r="B12" t="s">
        <x:v>10</x:v>
      </x:c>
      <x:c r="C12" t="s">
        <x:v>751</x:v>
      </x:c>
      <x:c r="D12" t="s">
        <x:v>12</x:v>
      </x:c>
      <x:c r="E12" t="s">
        <x:v>754</x:v>
      </x:c>
      <x:c r="F12" t="s">
        <x:v>3126</x:v>
      </x:c>
      <x:c r="G12" t="s">
        <x:v>3127</x:v>
      </x:c>
    </x:row>
    <x:row r="13" ht="23.100000381469727" customHeight="1">
      <x:c r="A13">
        <x:v>9</x:v>
      </x:c>
      <x:c r="B13" t="s">
        <x:v>10</x:v>
      </x:c>
      <x:c r="C13" t="s">
        <x:v>754</x:v>
      </x:c>
      <x:c r="D13" t="s">
        <x:v>53</x:v>
      </x:c>
      <x:c r="E13" t="s">
        <x:v>751</x:v>
      </x:c>
      <x:c r="F13" t="s">
        <x:v>3128</x:v>
      </x:c>
      <x:c r="G13" t="s">
        <x:v>3129</x:v>
      </x:c>
    </x:row>
    <x:row r="14" ht="23.100000381469727" customHeight="1">
      <x:c r="A14">
        <x:v>10</x:v>
      </x:c>
      <x:c r="B14" t="s">
        <x:v>10</x:v>
      </x:c>
      <x:c r="C14" t="s">
        <x:v>751</x:v>
      </x:c>
      <x:c r="D14" t="s">
        <x:v>53</x:v>
      </x:c>
      <x:c r="E14" t="s">
        <x:v>3015</x:v>
      </x:c>
      <x:c r="F14" t="s">
        <x:v>3130</x:v>
      </x:c>
      <x:c r="G14" t="s">
        <x:v>3131</x:v>
      </x:c>
    </x:row>
    <x:row r="15" ht="14.850000381469727" customHeight="1">
      <x:c r="A15" s="423" t="s">
        <x:v>3132</x:v>
      </x:c>
      <x:c r="B15" s="423"/>
      <x:c r="C15" s="423"/>
      <x:c r="D15" s="423"/>
      <x:c r="E15" s="423"/>
      <x:c r="F15" s="423"/>
      <x:c r="G15" s="423"/>
    </x:row>
    <x:row r="16" ht="23.100000381469727" customHeight="1">
      <x:c r="A16">
        <x:v>11</x:v>
      </x:c>
      <x:c r="B16" t="s">
        <x:v>33</x:v>
      </x:c>
      <x:c r="C16" t="s">
        <x:v>3015</x:v>
      </x:c>
      <x:c r="D16" t="s">
        <x:v>12</x:v>
      </x:c>
      <x:c r="E16" t="s">
        <x:v>3025</x:v>
      </x:c>
      <x:c r="F16" t="s">
        <x:v>3026</x:v>
      </x:c>
      <x:c r="G16" t="s">
        <x:v>3133</x:v>
      </x:c>
    </x:row>
    <x:row r="17" ht="23.100000381469727" customHeight="1">
      <x:c r="A17">
        <x:v>12</x:v>
      </x:c>
      <x:c r="B17" t="s">
        <x:v>33</x:v>
      </x:c>
      <x:c r="C17" t="s">
        <x:v>3025</x:v>
      </x:c>
      <x:c r="D17" t="s">
        <x:v>53</x:v>
      </x:c>
      <x:c r="E17" t="s">
        <x:v>3015</x:v>
      </x:c>
      <x:c r="F17" t="s">
        <x:v>3134</x:v>
      </x:c>
      <x:c r="G17" t="s">
        <x:v>3135</x:v>
      </x:c>
    </x:row>
    <x:row r="18" ht="23.100000381469727" customHeight="1">
      <x:c r="A18">
        <x:v>13</x:v>
      </x:c>
      <x:c r="B18" t="s">
        <x:v>33</x:v>
      </x:c>
      <x:c r="C18" t="s">
        <x:v>3015</x:v>
      </x:c>
      <x:c r="D18" t="s">
        <x:v>12</x:v>
      </x:c>
      <x:c r="E18" t="s">
        <x:v>3032</x:v>
      </x:c>
      <x:c r="F18" t="s">
        <x:v>3136</x:v>
      </x:c>
      <x:c r="G18" t="s">
        <x:v>3137</x:v>
      </x:c>
    </x:row>
    <x:row r="19" ht="23.100000381469727" customHeight="1">
      <x:c r="A19">
        <x:v>14</x:v>
      </x:c>
      <x:c r="B19" t="s">
        <x:v>33</x:v>
      </x:c>
      <x:c r="C19" t="s">
        <x:v>3032</x:v>
      </x:c>
      <x:c r="D19" t="s">
        <x:v>53</x:v>
      </x:c>
      <x:c r="E19" t="s">
        <x:v>3015</x:v>
      </x:c>
      <x:c r="F19" t="s">
        <x:v>3138</x:v>
      </x:c>
      <x:c r="G19" t="s">
        <x:v>3139</x:v>
      </x:c>
    </x:row>
    <x:row r="20" ht="14.850000381469727" customHeight="1">
      <x:c r="A20" s="423" t="s">
        <x:v>3140</x:v>
      </x:c>
      <x:c r="B20" s="423"/>
      <x:c r="C20" s="423"/>
      <x:c r="D20" s="423"/>
      <x:c r="E20" s="423"/>
      <x:c r="F20" s="423"/>
      <x:c r="G20" s="423"/>
    </x:row>
    <x:row r="21" ht="23.100000381469727" customHeight="1">
      <x:c r="A21">
        <x:v>15</x:v>
      </x:c>
      <x:c r="B21" t="s">
        <x:v>63</x:v>
      </x:c>
      <x:c r="C21" t="s">
        <x:v>3015</x:v>
      </x:c>
      <x:c r="D21" t="s">
        <x:v>12</x:v>
      </x:c>
      <x:c r="E21" t="s">
        <x:v>791</x:v>
      </x:c>
      <x:c r="F21" t="s">
        <x:v>3141</x:v>
      </x:c>
      <x:c r="G21" t="s">
        <x:v>3142</x:v>
      </x:c>
    </x:row>
    <x:row r="22" ht="23.100000381469727" customHeight="1">
      <x:c r="A22">
        <x:v>16</x:v>
      </x:c>
      <x:c r="B22" t="s">
        <x:v>63</x:v>
      </x:c>
      <x:c r="C22" t="s">
        <x:v>791</x:v>
      </x:c>
      <x:c r="D22" t="s">
        <x:v>53</x:v>
      </x:c>
      <x:c r="E22" t="s">
        <x:v>3015</x:v>
      </x:c>
      <x:c r="F22" t="s">
        <x:v>3143</x:v>
      </x:c>
      <x:c r="G22" t="s">
        <x:v>3144</x:v>
      </x:c>
    </x:row>
    <x:row r="23" ht="23.100000381469727" customHeight="1">
      <x:c r="A23">
        <x:v>17</x:v>
      </x:c>
      <x:c r="B23" t="s">
        <x:v>63</x:v>
      </x:c>
      <x:c r="C23" t="s">
        <x:v>3015</x:v>
      </x:c>
      <x:c r="D23" t="s">
        <x:v>19</x:v>
      </x:c>
      <x:c r="E23" t="s">
        <x:v>3015</x:v>
      </x:c>
      <x:c r="F23" t="s">
        <x:v>3145</x:v>
      </x:c>
      <x:c r="G23" t="s">
        <x:v>3146</x:v>
      </x:c>
    </x:row>
    <x:row r="24" ht="14.850000381469727" customHeight="1">
      <x:c r="A24" s="423" t="s">
        <x:v>3147</x:v>
      </x:c>
      <x:c r="B24" s="423"/>
      <x:c r="C24" s="423"/>
      <x:c r="D24" s="423"/>
      <x:c r="E24" s="423"/>
      <x:c r="F24" s="423"/>
      <x:c r="G24" s="423"/>
    </x:row>
    <x:row r="25" ht="23.100000381469727" customHeight="1">
      <x:c r="A25">
        <x:v>18</x:v>
      </x:c>
      <x:c r="B25" t="s">
        <x:v>81</x:v>
      </x:c>
      <x:c r="C25" t="s">
        <x:v>3015</x:v>
      </x:c>
      <x:c r="D25" t="s">
        <x:v>12</x:v>
      </x:c>
      <x:c r="E25" t="s">
        <x:v>3148</x:v>
      </x:c>
      <x:c r="F25" t="s">
        <x:v>3149</x:v>
      </x:c>
      <x:c r="G25" t="s">
        <x:v>3150</x:v>
      </x:c>
    </x:row>
    <x:row r="26" ht="23.100000381469727" customHeight="1">
      <x:c r="A26">
        <x:v>19</x:v>
      </x:c>
      <x:c r="B26" t="s">
        <x:v>81</x:v>
      </x:c>
      <x:c r="C26" t="s">
        <x:v>3148</x:v>
      </x:c>
      <x:c r="D26" t="s">
        <x:v>12</x:v>
      </x:c>
      <x:c r="E26" t="s">
        <x:v>11</x:v>
      </x:c>
      <x:c r="F26" t="s">
        <x:v>3151</x:v>
      </x:c>
      <x:c r="G26" t="s">
        <x:v>3152</x:v>
      </x:c>
    </x:row>
    <x:row r="27" ht="23.100000381469727" customHeight="1"/>
    <x:row r="28" ht="23.100000381469727" customHeight="1"/>
    <x:row r="29" ht="23.100000381469727" customHeight="1"/>
    <x:row r="30" ht="23.100000381469727" customHeight="1"/>
    <x:row r="31" ht="23.100000381469727" customHeight="1"/>
    <x:row r="32" ht="23.100000381469727" customHeight="1"/>
    <x:row r="33" ht="23.100000381469727" customHeight="1"/>
    <x:row r="34" ht="23.100000381469727" customHeight="1"/>
    <x:row r="35" ht="23.100000381469727" customHeight="1"/>
    <x:row r="36" ht="23.100000381469727" customHeight="1"/>
    <x:row r="37" ht="23.100000381469727" customHeight="1"/>
    <x:row r="38" ht="23.100000381469727" customHeight="1"/>
    <x:row r="39" ht="23.100000381469727" customHeight="1"/>
    <x:row r="40" ht="23.100000381469727" customHeight="1"/>
    <x:row r="41" ht="23.100000381469727" customHeight="1"/>
    <x:row r="42" ht="23.100000381469727" customHeight="1"/>
    <x:row r="43" ht="23.100000381469727" customHeight="1"/>
    <x:row r="44" ht="23.100000381469727" customHeight="1"/>
  </x:sheetData>
  <x:mergeCells>
    <x:mergeCell ref="A24:G24"/>
    <x:mergeCell ref="A1:G1"/>
    <x:mergeCell ref="A2:G2"/>
    <x:mergeCell ref="A4:G4"/>
    <x:mergeCell ref="A15:G15"/>
    <x:mergeCell ref="A20:G20"/>
  </x:mergeCells>
  <x:pageMargins left="0.7" right="0.7" top="0.75" bottom="0.75" header="0.3" footer="0.3"/>
</x:worksheet>
</file>

<file path=xl/worksheets/sheet50.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8.21875" customWidth="1"/>
    <x:col min="2" max="2" width="6.33203125" customWidth="1"/>
    <x:col min="3" max="3" width="30" customWidth="1"/>
    <x:col min="4" max="4" width="20" customWidth="1"/>
    <x:col min="5" max="5" width="33" customWidth="1"/>
    <x:col min="6" max="6" width="57" customWidth="1"/>
    <x:col min="7" max="7" width="100" customWidth="1"/>
  </x:cols>
  <x:sheetData>
    <x:row r="1" ht="36" customHeight="1">
      <x:c r="A1" s="528" t="s">
        <x:v>3153</x:v>
      </x:c>
      <x:c r="B1" s="528"/>
      <x:c r="C1" s="528"/>
      <x:c r="D1" s="528"/>
      <x:c r="E1" s="528"/>
      <x:c r="F1" s="528"/>
      <x:c r="G1" s="528"/>
    </x:row>
    <x:row r="2" ht="72" customHeight="1">
      <x:c r="A2" s="529" t="s">
        <x:v>3154</x:v>
      </x:c>
      <x:c r="B2" s="529"/>
      <x:c r="C2" s="529"/>
      <x:c r="D2" s="529"/>
      <x:c r="E2" s="529"/>
      <x:c r="F2" s="529"/>
      <x:c r="G2" s="529"/>
    </x:row>
    <x:row r="3">
      <x:c r="A3" s="343" t="s">
        <x:v>3155</x:v>
      </x:c>
      <x:c r="B3" s="344" t="s">
        <x:v>3</x:v>
      </x:c>
      <x:c r="C3" s="344" t="s">
        <x:v>3156</x:v>
      </x:c>
      <x:c r="D3" s="344" t="s">
        <x:v>3157</x:v>
      </x:c>
      <x:c r="E3" s="344" t="s">
        <x:v>3158</x:v>
      </x:c>
      <x:c r="F3" s="344" t="s">
        <x:v>3159</x:v>
      </x:c>
      <x:c r="G3" s="345" t="s">
        <x:v>3160</x:v>
      </x:c>
    </x:row>
    <x:row r="4">
      <x:c r="A4" s="571" t="s">
        <x:v>3161</x:v>
      </x:c>
      <x:c r="B4" s="572"/>
      <x:c r="C4" s="573"/>
      <x:c r="D4" s="574"/>
      <x:c r="E4" s="571"/>
      <x:c r="F4" s="574"/>
      <x:c r="G4" s="572"/>
    </x:row>
    <x:row r="5" ht="4.949999809265137" customHeight="1">
      <x:c r="A5" s="144">
        <x:v>1</x:v>
      </x:c>
      <x:c r="B5" s="145" t="s">
        <x:v>10</x:v>
      </x:c>
      <x:c r="C5" s="148" t="s">
        <x:v>11</x:v>
      </x:c>
      <x:c r="D5" s="150" t="s">
        <x:v>319</x:v>
      </x:c>
      <x:c r="E5" s="151" t="str">
        <x:v>I_InicioSesion</x:v>
      </x:c>
      <x:c r="F5" s="152" t="s">
        <x:v>3162</x:v>
      </x:c>
      <x:c r="G5" s="153" t="s">
        <x:v>3163</x:v>
      </x:c>
    </x:row>
    <x:row r="6" ht="4.949999809265137" customHeight="1">
      <x:c r="A6" s="144">
        <x:v>2</x:v>
      </x:c>
      <x:c r="B6" s="145" t="s">
        <x:v>10</x:v>
      </x:c>
      <x:c r="C6" s="148" t="str">
        <x:v>I_InicioSesion</x:v>
      </x:c>
      <x:c r="D6" s="150" t="s">
        <x:v>319</x:v>
      </x:c>
      <x:c r="E6" s="151" t="s">
        <x:v>167</x:v>
      </x:c>
      <x:c r="F6" s="152" t="s">
        <x:v>30</x:v>
      </x:c>
      <x:c r="G6" s="153" t="s">
        <x:v>3164</x:v>
      </x:c>
    </x:row>
    <x:row r="7" ht="7.949999809265137" customHeight="1">
      <x:c r="A7" s="144">
        <x:v>3</x:v>
      </x:c>
      <x:c r="B7" s="145" t="s">
        <x:v>10</x:v>
      </x:c>
      <x:c r="C7" s="148" t="s">
        <x:v>167</x:v>
      </x:c>
      <x:c r="D7" s="150" t="s">
        <x:v>319</x:v>
      </x:c>
      <x:c r="E7" s="151" t="s">
        <x:v>3165</x:v>
      </x:c>
      <x:c r="F7" s="152" t="s">
        <x:v>3166</x:v>
      </x:c>
      <x:c r="G7" s="153" t="s">
        <x:v>3167</x:v>
      </x:c>
    </x:row>
    <x:row r="8" ht="7.949999809265137" customHeight="1">
      <x:c r="A8" s="144">
        <x:v>4</x:v>
      </x:c>
      <x:c r="B8" s="145" t="s">
        <x:v>10</x:v>
      </x:c>
      <x:c r="C8" s="148" t="s">
        <x:v>3165</x:v>
      </x:c>
      <x:c r="D8" s="150" t="s">
        <x:v>319</x:v>
      </x:c>
      <x:c r="E8" s="151" t="s">
        <x:v>3168</x:v>
      </x:c>
      <x:c r="F8" s="152" t="s">
        <x:v>3169</x:v>
      </x:c>
      <x:c r="G8" s="153" t="s">
        <x:v>3170</x:v>
      </x:c>
    </x:row>
    <x:row r="9" ht="7.949999809265137" customHeight="1">
      <x:c r="A9" s="144">
        <x:v>5</x:v>
      </x:c>
      <x:c r="B9" s="145" t="s">
        <x:v>10</x:v>
      </x:c>
      <x:c r="C9" s="148" t="s">
        <x:v>3168</x:v>
      </x:c>
      <x:c r="D9" s="150" t="s">
        <x:v>319</x:v>
      </x:c>
      <x:c r="E9" s="151" t="s">
        <x:v>11</x:v>
      </x:c>
      <x:c r="F9" s="152" t="s">
        <x:v>3171</x:v>
      </x:c>
      <x:c r="G9" s="153" t="s">
        <x:v>3172</x:v>
      </x:c>
    </x:row>
    <x:row r="10" ht="4.949999809265137" customHeight="1">
      <x:c r="A10" s="336" t="s">
        <x:v>3173</x:v>
      </x:c>
      <x:c r="B10" s="337"/>
      <x:c r="C10" s="338"/>
      <x:c r="D10" s="339"/>
      <x:c r="E10" s="340"/>
      <x:c r="F10" s="341"/>
      <x:c r="G10" s="342"/>
    </x:row>
    <x:row r="11" ht="7.949999809265137" customHeight="1">
      <x:c r="A11" s="144">
        <x:v>6</x:v>
      </x:c>
      <x:c r="B11" s="145" t="s">
        <x:v>33</x:v>
      </x:c>
      <x:c r="C11" s="148" t="s">
        <x:v>11</x:v>
      </x:c>
      <x:c r="D11" s="150" t="s">
        <x:v>319</x:v>
      </x:c>
      <x:c r="E11" s="151" t="s">
        <x:v>3168</x:v>
      </x:c>
      <x:c r="F11" s="152" t="s">
        <x:v>3174</x:v>
      </x:c>
      <x:c r="G11" s="153" t="s">
        <x:v>3175</x:v>
      </x:c>
    </x:row>
    <x:row r="12" ht="4.949999809265137" customHeight="1">
      <x:c r="A12" s="144">
        <x:v>7</x:v>
      </x:c>
      <x:c r="B12" s="145" t="s">
        <x:v>33</x:v>
      </x:c>
      <x:c r="C12" s="148" t="s">
        <x:v>3168</x:v>
      </x:c>
      <x:c r="D12" s="150" t="s">
        <x:v>319</x:v>
      </x:c>
      <x:c r="E12" s="151" t="s">
        <x:v>3165</x:v>
      </x:c>
      <x:c r="F12" s="152" t="s">
        <x:v>3176</x:v>
      </x:c>
      <x:c r="G12" s="153" t="s">
        <x:v>3177</x:v>
      </x:c>
    </x:row>
    <x:row r="13" ht="4.949999809265137" customHeight="1">
      <x:c r="A13" s="525">
        <x:v>8</x:v>
      </x:c>
      <x:c r="B13" s="526" t="s">
        <x:v>33</x:v>
      </x:c>
      <x:c r="C13" s="448" t="s">
        <x:v>3165</x:v>
      </x:c>
      <x:c r="D13" s="527" t="s">
        <x:v>319</x:v>
      </x:c>
      <x:c r="E13" s="525" t="s">
        <x:v>3178</x:v>
      </x:c>
      <x:c r="F13" s="527" t="s">
        <x:v>3179</x:v>
      </x:c>
      <x:c r="G13" s="526" t="s">
        <x:v>3180</x:v>
      </x:c>
    </x:row>
    <x:row r="14" ht="11.550000190734863" customHeight="1">
      <x:c r="A14" s="144">
        <x:v>9</x:v>
      </x:c>
      <x:c r="B14" s="145" t="s">
        <x:v>33</x:v>
      </x:c>
      <x:c r="C14" s="148" t="s">
        <x:v>3178</x:v>
      </x:c>
      <x:c r="D14" s="150" t="s">
        <x:v>319</x:v>
      </x:c>
      <x:c r="E14" s="151" t="s">
        <x:v>11</x:v>
      </x:c>
      <x:c r="F14" s="152" t="s">
        <x:v>3181</x:v>
      </x:c>
      <x:c r="G14" s="153" t="s">
        <x:v>3182</x:v>
      </x:c>
    </x:row>
    <x:row r="15" ht="4.949999809265137" customHeight="1">
      <x:c r="A15" s="144">
        <x:v>10</x:v>
      </x:c>
      <x:c r="B15" s="145" t="s">
        <x:v>33</x:v>
      </x:c>
      <x:c r="C15" s="148" t="s">
        <x:v>11</x:v>
      </x:c>
      <x:c r="D15" s="150" t="s">
        <x:v>319</x:v>
      </x:c>
      <x:c r="E15" s="151" t="s">
        <x:v>3178</x:v>
      </x:c>
      <x:c r="F15" s="152" t="s">
        <x:v>3183</x:v>
      </x:c>
      <x:c r="G15" s="153" t="s">
        <x:v>3184</x:v>
      </x:c>
    </x:row>
    <x:row r="16" ht="4.949999809265137" customHeight="1">
      <x:c r="A16" s="144">
        <x:v>11</x:v>
      </x:c>
      <x:c r="B16" s="145" t="s">
        <x:v>33</x:v>
      </x:c>
      <x:c r="C16" s="148" t="s">
        <x:v>3178</x:v>
      </x:c>
      <x:c r="D16" s="150" t="s">
        <x:v>319</x:v>
      </x:c>
      <x:c r="E16" s="151" t="s">
        <x:v>3165</x:v>
      </x:c>
      <x:c r="F16" s="152" t="s">
        <x:v>3185</x:v>
      </x:c>
      <x:c r="G16" s="153" t="s">
        <x:v>3186</x:v>
      </x:c>
    </x:row>
    <x:row r="17" ht="7.949999809265137" customHeight="1">
      <x:c r="A17" s="336" t="s">
        <x:v>3187</x:v>
      </x:c>
      <x:c r="B17" s="337"/>
      <x:c r="C17" s="338"/>
      <x:c r="D17" s="339"/>
      <x:c r="E17" s="340"/>
      <x:c r="F17" s="341"/>
      <x:c r="G17" s="342"/>
    </x:row>
    <x:row r="18" ht="7.949999809265137" customHeight="1">
      <x:c r="A18" s="144">
        <x:v>12</x:v>
      </x:c>
      <x:c r="B18" s="145" t="s">
        <x:v>63</x:v>
      </x:c>
      <x:c r="C18" s="148" t="s">
        <x:v>3165</x:v>
      </x:c>
      <x:c r="D18" s="150" t="s">
        <x:v>319</x:v>
      </x:c>
      <x:c r="E18" s="151" t="s">
        <x:v>303</x:v>
      </x:c>
      <x:c r="F18" s="152" t="s">
        <x:v>3188</x:v>
      </x:c>
      <x:c r="G18" s="153" t="s">
        <x:v>3189</x:v>
      </x:c>
    </x:row>
    <x:row r="19" ht="7.949999809265137" customHeight="1">
      <x:c r="A19" s="144">
        <x:v>13</x:v>
      </x:c>
      <x:c r="B19" s="145" t="s">
        <x:v>63</x:v>
      </x:c>
      <x:c r="C19" s="148" t="s">
        <x:v>303</x:v>
      </x:c>
      <x:c r="D19" s="150" t="s">
        <x:v>319</x:v>
      </x:c>
      <x:c r="E19" s="151" t="s">
        <x:v>50</x:v>
      </x:c>
      <x:c r="F19" s="152" t="s">
        <x:v>3190</x:v>
      </x:c>
      <x:c r="G19" s="153" t="s">
        <x:v>3191</x:v>
      </x:c>
    </x:row>
    <x:row r="20" ht="7.949999809265137" customHeight="1">
      <x:c r="A20" s="144">
        <x:v>14</x:v>
      </x:c>
      <x:c r="B20" s="145" t="s">
        <x:v>63</x:v>
      </x:c>
      <x:c r="C20" s="148" t="s">
        <x:v>50</x:v>
      </x:c>
      <x:c r="D20" s="150" t="s">
        <x:v>323</x:v>
      </x:c>
      <x:c r="E20" s="151" t="s">
        <x:v>303</x:v>
      </x:c>
      <x:c r="F20" s="152" t="s">
        <x:v>3192</x:v>
      </x:c>
      <x:c r="G20" s="153" t="s">
        <x:v>3193</x:v>
      </x:c>
    </x:row>
    <x:row r="21" ht="7.949999809265137" customHeight="1">
      <x:c r="A21" s="144">
        <x:v>15</x:v>
      </x:c>
      <x:c r="B21" s="145" t="s">
        <x:v>63</x:v>
      </x:c>
      <x:c r="C21" s="148" t="s">
        <x:v>303</x:v>
      </x:c>
      <x:c r="D21" s="150" t="s">
        <x:v>404</x:v>
      </x:c>
      <x:c r="E21" s="151" t="s">
        <x:v>303</x:v>
      </x:c>
      <x:c r="F21" s="152" t="s">
        <x:v>3194</x:v>
      </x:c>
      <x:c r="G21" s="153" t="s">
        <x:v>3195</x:v>
      </x:c>
    </x:row>
    <x:row r="22" ht="4.949999809265137" customHeight="1">
      <x:c r="A22" s="525">
        <x:v>16</x:v>
      </x:c>
      <x:c r="B22" s="526" t="s">
        <x:v>63</x:v>
      </x:c>
      <x:c r="C22" s="448" t="s">
        <x:v>303</x:v>
      </x:c>
      <x:c r="D22" s="527" t="s">
        <x:v>319</x:v>
      </x:c>
      <x:c r="E22" s="525" t="s">
        <x:v>361</x:v>
      </x:c>
      <x:c r="F22" s="527" t="s">
        <x:v>3196</x:v>
      </x:c>
      <x:c r="G22" s="526" t="s">
        <x:v>3197</x:v>
      </x:c>
    </x:row>
    <x:row r="23" ht="7.949999809265137" customHeight="1">
      <x:c r="A23" s="144">
        <x:v>17</x:v>
      </x:c>
      <x:c r="B23" s="145" t="s">
        <x:v>63</x:v>
      </x:c>
      <x:c r="C23" s="148" t="s">
        <x:v>361</x:v>
      </x:c>
      <x:c r="D23" s="150" t="s">
        <x:v>323</x:v>
      </x:c>
      <x:c r="E23" s="151" t="s">
        <x:v>303</x:v>
      </x:c>
      <x:c r="F23" s="152" t="s">
        <x:v>3198</x:v>
      </x:c>
      <x:c r="G23" s="153" t="s">
        <x:v>3199</x:v>
      </x:c>
    </x:row>
    <x:row r="24" ht="4.949999809265137" customHeight="1">
      <x:c r="A24" s="144">
        <x:v>18</x:v>
      </x:c>
      <x:c r="B24" s="145" t="s">
        <x:v>63</x:v>
      </x:c>
      <x:c r="C24" s="148" t="s">
        <x:v>303</x:v>
      </x:c>
      <x:c r="D24" s="150" t="s">
        <x:v>404</x:v>
      </x:c>
      <x:c r="E24" s="151" t="s">
        <x:v>303</x:v>
      </x:c>
      <x:c r="F24" s="152" t="s">
        <x:v>3200</x:v>
      </x:c>
      <x:c r="G24" s="153" t="s">
        <x:v>3201</x:v>
      </x:c>
    </x:row>
    <x:row r="25" ht="7.949999809265137" customHeight="1">
      <x:c r="A25" s="144">
        <x:v>19</x:v>
      </x:c>
      <x:c r="B25" s="145" t="s">
        <x:v>63</x:v>
      </x:c>
      <x:c r="C25" s="148" t="s">
        <x:v>303</x:v>
      </x:c>
      <x:c r="D25" s="150" t="s">
        <x:v>323</x:v>
      </x:c>
      <x:c r="E25" s="151" t="s">
        <x:v>3165</x:v>
      </x:c>
      <x:c r="F25" s="152" t="s">
        <x:v>3202</x:v>
      </x:c>
      <x:c r="G25" s="153" t="s">
        <x:v>3203</x:v>
      </x:c>
    </x:row>
    <x:row r="26" ht="4.949999809265137" customHeight="1">
      <x:c r="A26" s="336" t="s">
        <x:v>3204</x:v>
      </x:c>
      <x:c r="B26" s="337"/>
      <x:c r="C26" s="338"/>
      <x:c r="D26" s="339"/>
      <x:c r="E26" s="340"/>
      <x:c r="F26" s="341"/>
      <x:c r="G26" s="342"/>
    </x:row>
    <x:row r="27" ht="7.949999809265137" customHeight="1">
      <x:c r="A27" s="144">
        <x:v>20</x:v>
      </x:c>
      <x:c r="B27" s="145" t="s">
        <x:v>81</x:v>
      </x:c>
      <x:c r="C27" s="148" t="s">
        <x:v>3165</x:v>
      </x:c>
      <x:c r="D27" s="150" t="s">
        <x:v>319</x:v>
      </x:c>
      <x:c r="E27" s="151" t="s">
        <x:v>71</x:v>
      </x:c>
      <x:c r="F27" s="152" t="s">
        <x:v>3205</x:v>
      </x:c>
      <x:c r="G27" s="153" t="s">
        <x:v>3206</x:v>
      </x:c>
    </x:row>
    <x:row r="28" ht="7.949999809265137" customHeight="1">
      <x:c r="A28" s="144">
        <x:v>21</x:v>
      </x:c>
      <x:c r="B28" s="145" t="s">
        <x:v>81</x:v>
      </x:c>
      <x:c r="C28" s="148" t="s">
        <x:v>71</x:v>
      </x:c>
      <x:c r="D28" s="150" t="s">
        <x:v>323</x:v>
      </x:c>
      <x:c r="E28" s="151" t="s">
        <x:v>3165</x:v>
      </x:c>
      <x:c r="F28" s="152" t="s">
        <x:v>3207</x:v>
      </x:c>
      <x:c r="G28" s="153" t="s">
        <x:v>3208</x:v>
      </x:c>
    </x:row>
    <x:row r="29" ht="11.550000190734863" customHeight="1">
      <x:c r="A29" s="144">
        <x:v>22</x:v>
      </x:c>
      <x:c r="B29" s="145" t="s">
        <x:v>81</x:v>
      </x:c>
      <x:c r="C29" s="148" t="s">
        <x:v>3165</x:v>
      </x:c>
      <x:c r="D29" s="150" t="s">
        <x:v>404</x:v>
      </x:c>
      <x:c r="E29" s="151" t="s">
        <x:v>3165</x:v>
      </x:c>
      <x:c r="F29" s="152" t="s">
        <x:v>3209</x:v>
      </x:c>
      <x:c r="G29" s="153" t="s">
        <x:v>3210</x:v>
      </x:c>
    </x:row>
    <x:row r="30" ht="7.949999809265137" customHeight="1">
      <x:c r="A30" s="144">
        <x:v>23</x:v>
      </x:c>
      <x:c r="B30" s="145" t="s">
        <x:v>81</x:v>
      </x:c>
      <x:c r="C30" s="148" t="s">
        <x:v>3165</x:v>
      </x:c>
      <x:c r="D30" s="150" t="s">
        <x:v>319</x:v>
      </x:c>
      <x:c r="E30" s="151" t="s">
        <x:v>71</x:v>
      </x:c>
      <x:c r="F30" s="152" t="s">
        <x:v>3211</x:v>
      </x:c>
      <x:c r="G30" s="153" t="s">
        <x:v>3212</x:v>
      </x:c>
    </x:row>
    <x:row r="31" ht="4.949999809265137" customHeight="1">
      <x:c r="A31" s="525">
        <x:v>24</x:v>
      </x:c>
      <x:c r="B31" s="526" t="s">
        <x:v>81</x:v>
      </x:c>
      <x:c r="C31" s="448" t="s">
        <x:v>71</x:v>
      </x:c>
      <x:c r="D31" s="527" t="s">
        <x:v>323</x:v>
      </x:c>
      <x:c r="E31" s="525" t="s">
        <x:v>3165</x:v>
      </x:c>
      <x:c r="F31" s="527" t="s">
        <x:v>317</x:v>
      </x:c>
      <x:c r="G31" s="526" t="s">
        <x:v>3213</x:v>
      </x:c>
    </x:row>
    <x:row r="32" ht="7.949999809265137" customHeight="1">
      <x:c r="A32" s="144">
        <x:v>25</x:v>
      </x:c>
      <x:c r="B32" s="145" t="s">
        <x:v>81</x:v>
      </x:c>
      <x:c r="C32" s="148" t="s">
        <x:v>3165</x:v>
      </x:c>
      <x:c r="D32" s="150" t="s">
        <x:v>319</x:v>
      </x:c>
      <x:c r="E32" s="151" t="s">
        <x:v>320</x:v>
      </x:c>
      <x:c r="F32" s="152" t="s">
        <x:v>3214</x:v>
      </x:c>
      <x:c r="G32" s="153" t="s">
        <x:v>3215</x:v>
      </x:c>
    </x:row>
    <x:row r="33" ht="7.949999809265137" customHeight="1">
      <x:c r="A33" s="144">
        <x:v>26</x:v>
      </x:c>
      <x:c r="B33" s="145" t="s">
        <x:v>81</x:v>
      </x:c>
      <x:c r="C33" s="148" t="s">
        <x:v>320</x:v>
      </x:c>
      <x:c r="D33" s="150" t="s">
        <x:v>323</x:v>
      </x:c>
      <x:c r="E33" s="151" t="s">
        <x:v>3165</x:v>
      </x:c>
      <x:c r="F33" s="152" t="s">
        <x:v>3216</x:v>
      </x:c>
      <x:c r="G33" s="153" t="s">
        <x:v>3217</x:v>
      </x:c>
    </x:row>
    <x:row r="34" ht="7.949999809265137" customHeight="1">
      <x:c r="A34" s="144">
        <x:v>27</x:v>
      </x:c>
      <x:c r="B34" s="145" t="s">
        <x:v>81</x:v>
      </x:c>
      <x:c r="C34" s="148" t="s">
        <x:v>3165</x:v>
      </x:c>
      <x:c r="D34" s="150" t="s">
        <x:v>319</x:v>
      </x:c>
      <x:c r="E34" s="151" t="s">
        <x:v>3218</x:v>
      </x:c>
      <x:c r="F34" s="152" t="str">
        <x:v>confirmarOTPEncoladoYMostrarFormulario(correoEnmascarado,60segundos)</x:v>
      </x:c>
      <x:c r="G34" s="153" t="str">
        <x:v>C_RecuperarCuenta realiza COMMIT de OTP protegido + correo pendiente ANTES de enviar la orden de mostrar el formulario. El envío real del correo ocurre fuera de la transacción. Si falla el COMMIT, NO presentar el formulario de verificación.</x:v>
      </x:c>
    </x:row>
    <x:row r="35" ht="7.949999809265137" customHeight="1">
      <x:c r="A35" s="144">
        <x:v>28</x:v>
      </x:c>
      <x:c r="B35" s="145" t="s">
        <x:v>81</x:v>
      </x:c>
      <x:c r="C35" s="148" t="s">
        <x:v>3218</x:v>
      </x:c>
      <x:c r="D35" s="150" t="s">
        <x:v>319</x:v>
      </x:c>
      <x:c r="E35" s="151" t="s">
        <x:v>11</x:v>
      </x:c>
      <x:c r="F35" s="152" t="s">
        <x:v>3219</x:v>
      </x:c>
      <x:c r="G35" s="153" t="s">
        <x:v>3220</x:v>
      </x:c>
    </x:row>
    <x:row r="36" ht="7.949999809265137" customHeight="1">
      <x:c r="A36" s="336" t="s">
        <x:v>3221</x:v>
      </x:c>
      <x:c r="B36" s="337"/>
      <x:c r="C36" s="338"/>
      <x:c r="D36" s="339"/>
      <x:c r="E36" s="340"/>
      <x:c r="F36" s="341"/>
      <x:c r="G36" s="342"/>
    </x:row>
    <x:row r="37" ht="4.949999809265137" customHeight="1">
      <x:c r="A37" s="144">
        <x:v>29</x:v>
      </x:c>
      <x:c r="B37" s="145" t="s">
        <x:v>110</x:v>
      </x:c>
      <x:c r="C37" s="148" t="s">
        <x:v>11</x:v>
      </x:c>
      <x:c r="D37" s="150" t="s">
        <x:v>319</x:v>
      </x:c>
      <x:c r="E37" s="151" t="s">
        <x:v>3218</x:v>
      </x:c>
      <x:c r="F37" s="152" t="s">
        <x:v>3222</x:v>
      </x:c>
      <x:c r="G37" s="153" t="s">
        <x:v>3223</x:v>
      </x:c>
    </x:row>
    <x:row r="38" ht="7.949999809265137" customHeight="1">
      <x:c r="A38" s="144">
        <x:v>30</x:v>
      </x:c>
      <x:c r="B38" s="145" t="s">
        <x:v>110</x:v>
      </x:c>
      <x:c r="C38" s="148" t="s">
        <x:v>3218</x:v>
      </x:c>
      <x:c r="D38" s="150" t="s">
        <x:v>319</x:v>
      </x:c>
      <x:c r="E38" s="151" t="s">
        <x:v>3165</x:v>
      </x:c>
      <x:c r="F38" s="152" t="s">
        <x:v>3224</x:v>
      </x:c>
      <x:c r="G38" s="153" t="s">
        <x:v>3225</x:v>
      </x:c>
    </x:row>
    <x:row r="39" ht="4.949999809265137" customHeight="1">
      <x:c r="A39" s="146">
        <x:v>31</x:v>
      </x:c>
      <x:c r="B39" s="147" t="s">
        <x:v>110</x:v>
      </x:c>
      <x:c r="C39" s="149" t="s">
        <x:v>3165</x:v>
      </x:c>
      <x:c r="D39" s="150" t="s">
        <x:v>319</x:v>
      </x:c>
      <x:c r="E39" s="154" t="s">
        <x:v>71</x:v>
      </x:c>
      <x:c r="F39" s="155" t="s">
        <x:v>3226</x:v>
      </x:c>
      <x:c r="G39" s="156" t="str">
        <x:v>El backend abre UNA transacción de reactivación antes del bloqueo SELECT ... FOR UPDATE del OTP vigente. Mantiene la transacción hasta el COMMIT del mensaje 45; incluye consumir OTP, revalidar la solicitud, activar la cuenta y cancelar eliminación. Si falla, ROLLBACK integral.</x:v>
      </x:c>
    </x:row>
    <x:row r="40">
      <x:c r="A40" s="8">
        <x:v>32</x:v>
      </x:c>
      <x:c r="B40" s="8" t="s">
        <x:v>110</x:v>
      </x:c>
      <x:c r="C40" s="8" t="s">
        <x:v>71</x:v>
      </x:c>
      <x:c r="D40" s="8" t="s">
        <x:v>323</x:v>
      </x:c>
      <x:c r="E40" s="8" t="s">
        <x:v>3165</x:v>
      </x:c>
      <x:c r="F40" s="8" t="s">
        <x:v>3227</x:v>
      </x:c>
      <x:c r="G40" s="8" t="s">
        <x:v>3228</x:v>
      </x:c>
    </x:row>
    <x:row r="41">
      <x:c r="A41" s="8">
        <x:v>33</x:v>
      </x:c>
      <x:c r="B41" s="8" t="s">
        <x:v>110</x:v>
      </x:c>
      <x:c r="C41" s="8" t="s">
        <x:v>3165</x:v>
      </x:c>
      <x:c r="D41" s="8" t="s">
        <x:v>404</x:v>
      </x:c>
      <x:c r="E41" s="8" t="s">
        <x:v>3165</x:v>
      </x:c>
      <x:c r="F41" s="8" t="s">
        <x:v>3229</x:v>
      </x:c>
      <x:c r="G41" s="8" t="s">
        <x:v>3230</x:v>
      </x:c>
    </x:row>
    <x:row r="42">
      <x:c r="A42" s="8">
        <x:v>34</x:v>
      </x:c>
      <x:c r="B42" s="8" t="s">
        <x:v>110</x:v>
      </x:c>
      <x:c r="C42" s="8" t="s">
        <x:v>3165</x:v>
      </x:c>
      <x:c r="D42" s="8" t="s">
        <x:v>319</x:v>
      </x:c>
      <x:c r="E42" s="8" t="s">
        <x:v>71</x:v>
      </x:c>
      <x:c r="F42" s="8" t="s">
        <x:v>3231</x:v>
      </x:c>
      <x:c r="G42" s="8" t="s">
        <x:v>3232</x:v>
      </x:c>
    </x:row>
    <x:row r="43">
      <x:c r="A43" s="8">
        <x:v>35</x:v>
      </x:c>
      <x:c r="B43" s="8" t="s">
        <x:v>110</x:v>
      </x:c>
      <x:c r="C43" s="8" t="s">
        <x:v>71</x:v>
      </x:c>
      <x:c r="D43" s="8" t="s">
        <x:v>323</x:v>
      </x:c>
      <x:c r="E43" s="8" t="s">
        <x:v>3165</x:v>
      </x:c>
      <x:c r="F43" s="8" t="s">
        <x:v>3233</x:v>
      </x:c>
      <x:c r="G43" s="8" t="s">
        <x:v>3234</x:v>
      </x:c>
    </x:row>
    <x:row r="44" ht="28.799999237060547">
      <x:c r="A44" s="346" t="s">
        <x:v>3235</x:v>
      </x:c>
      <x:c r="B44" s="346"/>
      <x:c r="C44" s="346"/>
      <x:c r="D44" s="346"/>
      <x:c r="E44" s="346"/>
      <x:c r="F44" s="346"/>
      <x:c r="G44" s="346"/>
    </x:row>
    <x:row r="45">
      <x:c r="A45" s="8">
        <x:v>36</x:v>
      </x:c>
      <x:c r="B45" s="8" t="s">
        <x:v>143</x:v>
      </x:c>
      <x:c r="C45" s="8" t="s">
        <x:v>3165</x:v>
      </x:c>
      <x:c r="D45" s="8" t="s">
        <x:v>319</x:v>
      </x:c>
      <x:c r="E45" s="8" t="s">
        <x:v>361</x:v>
      </x:c>
      <x:c r="F45" s="8" t="s">
        <x:v>3236</x:v>
      </x:c>
      <x:c r="G45" s="8" t="s">
        <x:v>3237</x:v>
      </x:c>
    </x:row>
    <x:row r="46">
      <x:c r="A46" s="8">
        <x:v>37</x:v>
      </x:c>
      <x:c r="B46" s="8" t="s">
        <x:v>143</x:v>
      </x:c>
      <x:c r="C46" s="8" t="s">
        <x:v>361</x:v>
      </x:c>
      <x:c r="D46" s="8" t="s">
        <x:v>323</x:v>
      </x:c>
      <x:c r="E46" s="8" t="s">
        <x:v>3165</x:v>
      </x:c>
      <x:c r="F46" s="8" t="s">
        <x:v>3238</x:v>
      </x:c>
      <x:c r="G46" s="8" t="s">
        <x:v>3239</x:v>
      </x:c>
    </x:row>
    <x:row r="47">
      <x:c r="A47" s="8">
        <x:v>38</x:v>
      </x:c>
      <x:c r="B47" s="8" t="s">
        <x:v>143</x:v>
      </x:c>
      <x:c r="C47" s="8" t="s">
        <x:v>3165</x:v>
      </x:c>
      <x:c r="D47" s="8" t="s">
        <x:v>404</x:v>
      </x:c>
      <x:c r="E47" s="8" t="s">
        <x:v>3165</x:v>
      </x:c>
      <x:c r="F47" s="8" t="s">
        <x:v>3240</x:v>
      </x:c>
      <x:c r="G47" s="8" t="s">
        <x:v>3241</x:v>
      </x:c>
    </x:row>
    <x:row r="48">
      <x:c r="A48" s="8">
        <x:v>39</x:v>
      </x:c>
      <x:c r="B48" s="8" t="s">
        <x:v>143</x:v>
      </x:c>
      <x:c r="C48" s="8" t="s">
        <x:v>3165</x:v>
      </x:c>
      <x:c r="D48" s="8" t="s">
        <x:v>319</x:v>
      </x:c>
      <x:c r="E48" s="8" t="s">
        <x:v>50</x:v>
      </x:c>
      <x:c r="F48" s="8" t="s">
        <x:v>3242</x:v>
      </x:c>
      <x:c r="G48" s="8" t="s">
        <x:v>3243</x:v>
      </x:c>
    </x:row>
    <x:row r="49">
      <x:c r="A49" s="8">
        <x:v>40</x:v>
      </x:c>
      <x:c r="B49" s="8" t="s">
        <x:v>143</x:v>
      </x:c>
      <x:c r="C49" s="8" t="s">
        <x:v>50</x:v>
      </x:c>
      <x:c r="D49" s="8" t="s">
        <x:v>323</x:v>
      </x:c>
      <x:c r="E49" s="8" t="s">
        <x:v>3165</x:v>
      </x:c>
      <x:c r="F49" s="8" t="s">
        <x:v>3244</x:v>
      </x:c>
      <x:c r="G49" s="8" t="s">
        <x:v>3245</x:v>
      </x:c>
    </x:row>
    <x:row r="50">
      <x:c r="A50" s="8">
        <x:v>41</x:v>
      </x:c>
      <x:c r="B50" s="8" t="s">
        <x:v>143</x:v>
      </x:c>
      <x:c r="C50" s="8" t="s">
        <x:v>3165</x:v>
      </x:c>
      <x:c r="D50" s="8" t="s">
        <x:v>319</x:v>
      </x:c>
      <x:c r="E50" s="8" t="s">
        <x:v>361</x:v>
      </x:c>
      <x:c r="F50" s="8" t="s">
        <x:v>3246</x:v>
      </x:c>
      <x:c r="G50" s="8" t="s">
        <x:v>3247</x:v>
      </x:c>
    </x:row>
    <x:row r="51">
      <x:c r="A51" s="8">
        <x:v>42</x:v>
      </x:c>
      <x:c r="B51" s="8" t="s">
        <x:v>143</x:v>
      </x:c>
      <x:c r="C51" s="8" t="s">
        <x:v>361</x:v>
      </x:c>
      <x:c r="D51" s="8" t="s">
        <x:v>323</x:v>
      </x:c>
      <x:c r="E51" s="8" t="s">
        <x:v>3165</x:v>
      </x:c>
      <x:c r="F51" s="8" t="s">
        <x:v>3248</x:v>
      </x:c>
      <x:c r="G51" s="8" t="s">
        <x:v>3249</x:v>
      </x:c>
    </x:row>
    <x:row r="52">
      <x:c r="A52" s="8">
        <x:v>43</x:v>
      </x:c>
      <x:c r="B52" s="8" t="s">
        <x:v>143</x:v>
      </x:c>
      <x:c r="C52" s="8" t="s">
        <x:v>3165</x:v>
      </x:c>
      <x:c r="D52" s="8" t="s">
        <x:v>319</x:v>
      </x:c>
      <x:c r="E52" s="8" t="s">
        <x:v>3250</x:v>
      </x:c>
      <x:c r="F52" s="8" t="s">
        <x:v>3251</x:v>
      </x:c>
      <x:c r="G52" s="8" t="s">
        <x:v>3252</x:v>
      </x:c>
    </x:row>
    <x:row r="53">
      <x:c r="A53" s="8">
        <x:v>44</x:v>
      </x:c>
      <x:c r="B53" s="8" t="s">
        <x:v>143</x:v>
      </x:c>
      <x:c r="C53" s="8" t="s">
        <x:v>3250</x:v>
      </x:c>
      <x:c r="D53" s="8" t="s">
        <x:v>323</x:v>
      </x:c>
      <x:c r="E53" s="8" t="s">
        <x:v>3165</x:v>
      </x:c>
      <x:c r="F53" s="8" t="s">
        <x:v>3253</x:v>
      </x:c>
      <x:c r="G53" s="8" t="s">
        <x:v>3254</x:v>
      </x:c>
    </x:row>
    <x:row r="54">
      <x:c r="A54" s="8">
        <x:v>45</x:v>
      </x:c>
      <x:c r="B54" s="8" t="s">
        <x:v>143</x:v>
      </x:c>
      <x:c r="C54" s="8" t="s">
        <x:v>3165</x:v>
      </x:c>
      <x:c r="D54" s="8" t="s">
        <x:v>404</x:v>
      </x:c>
      <x:c r="E54" s="8" t="s">
        <x:v>3165</x:v>
      </x:c>
      <x:c r="F54" s="8" t="s">
        <x:v>3255</x:v>
      </x:c>
      <x:c r="G54" s="8" t="s">
        <x:v>3256</x:v>
      </x:c>
    </x:row>
    <x:row r="55" ht="28.799999237060547">
      <x:c r="A55" s="346" t="s">
        <x:v>3257</x:v>
      </x:c>
      <x:c r="B55" s="346"/>
      <x:c r="C55" s="346"/>
      <x:c r="D55" s="346"/>
      <x:c r="E55" s="346"/>
      <x:c r="F55" s="346"/>
      <x:c r="G55" s="346"/>
    </x:row>
    <x:row r="56">
      <x:c r="A56" s="8">
        <x:v>46</x:v>
      </x:c>
      <x:c r="B56" s="8" t="s">
        <x:v>155</x:v>
      </x:c>
      <x:c r="C56" s="8" t="s">
        <x:v>3165</x:v>
      </x:c>
      <x:c r="D56" s="8" t="s">
        <x:v>319</x:v>
      </x:c>
      <x:c r="E56" s="8" t="s">
        <x:v>3258</x:v>
      </x:c>
      <x:c r="F56" s="8" t="s">
        <x:v>3259</x:v>
      </x:c>
      <x:c r="G56" s="8" t="s">
        <x:v>3260</x:v>
      </x:c>
    </x:row>
    <x:row r="57">
      <x:c r="A57" s="8">
        <x:v>47</x:v>
      </x:c>
      <x:c r="B57" s="8" t="s">
        <x:v>155</x:v>
      </x:c>
      <x:c r="C57" s="8" t="s">
        <x:v>3258</x:v>
      </x:c>
      <x:c r="D57" s="8" t="s">
        <x:v>319</x:v>
      </x:c>
      <x:c r="E57" s="8" t="s">
        <x:v>11</x:v>
      </x:c>
      <x:c r="F57" s="8" t="s">
        <x:v>3261</x:v>
      </x:c>
      <x:c r="G57" s="8" t="s">
        <x:v>3262</x:v>
      </x:c>
    </x:row>
    <x:row r="58">
      <x:c r="A58" s="8">
        <x:v>48</x:v>
      </x:c>
      <x:c r="B58" s="8" t="s">
        <x:v>155</x:v>
      </x:c>
      <x:c r="C58" s="8" t="s">
        <x:v>11</x:v>
      </x:c>
      <x:c r="D58" s="8" t="s">
        <x:v>319</x:v>
      </x:c>
      <x:c r="E58" s="8" t="s">
        <x:v>3258</x:v>
      </x:c>
      <x:c r="F58" s="8" t="s">
        <x:v>3263</x:v>
      </x:c>
      <x:c r="G58" s="8" t="s">
        <x:v>3264</x:v>
      </x:c>
    </x:row>
    <x:row r="59">
      <x:c r="A59" s="8">
        <x:v>49</x:v>
      </x:c>
      <x:c r="B59" s="8" t="s">
        <x:v>155</x:v>
      </x:c>
      <x:c r="C59" s="8" t="s">
        <x:v>3258</x:v>
      </x:c>
      <x:c r="D59" s="8" t="s">
        <x:v>319</x:v>
      </x:c>
      <x:c r="E59" s="8" t="s">
        <x:v>167</x:v>
      </x:c>
      <x:c r="F59" s="8" t="s">
        <x:v>3265</x:v>
      </x:c>
      <x:c r="G59" s="8" t="s">
        <x:v>3266</x:v>
      </x:c>
    </x:row>
    <x:row r="60">
      <x:c r="A60" s="8">
        <x:v>50</x:v>
      </x:c>
      <x:c r="B60" s="8" t="s">
        <x:v>155</x:v>
      </x:c>
      <x:c r="C60" s="8" t="s">
        <x:v>167</x:v>
      </x:c>
      <x:c r="D60" s="8" t="s">
        <x:v>319</x:v>
      </x:c>
      <x:c r="E60" s="8" t="str">
        <x:v>I_InicioSesion</x:v>
      </x:c>
      <x:c r="F60" s="8" t="s">
        <x:v>3267</x:v>
      </x:c>
      <x:c r="G60" s="8" t="s">
        <x:v>3268</x:v>
      </x:c>
    </x:row>
    <x:row r="61">
      <x:c r="A61" s="8">
        <x:v>51</x:v>
      </x:c>
      <x:c r="B61" s="8" t="s">
        <x:v>155</x:v>
      </x:c>
      <x:c r="C61" s="8" t="str">
        <x:v>I_InicioSesion</x:v>
      </x:c>
      <x:c r="D61" s="8" t="s">
        <x:v>319</x:v>
      </x:c>
      <x:c r="E61" s="8" t="s">
        <x:v>11</x:v>
      </x:c>
      <x:c r="F61" s="8" t="s">
        <x:v>3269</x:v>
      </x:c>
      <x:c r="G61" s="8" t="s">
        <x:v>3270</x:v>
      </x:c>
    </x:row>
    <x:row r="62">
      <x:c r="A62" s="8"/>
      <x:c r="B62" s="8"/>
      <x:c r="C62" s="8"/>
      <x:c r="D62" s="8"/>
      <x:c r="E62" s="8"/>
      <x:c r="F62" s="8"/>
      <x:c r="G62" s="8"/>
    </x:row>
  </x:sheetData>
  <x:mergeCells>
    <x:mergeCell ref="A31:G31"/>
    <x:mergeCell ref="A1:G1"/>
    <x:mergeCell ref="A2:G2"/>
    <x:mergeCell ref="A4:G4"/>
    <x:mergeCell ref="A13:G13"/>
    <x:mergeCell ref="A22:G22"/>
  </x:mergeCells>
  <x:pageMargins left="0.7" right="0.7" top="0.75" bottom="0.75" header="0.3" footer="0.3"/>
</x:worksheet>
</file>

<file path=xl/worksheets/sheet51.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9" customWidth="1"/>
    <x:col min="2" max="2" width="14" customWidth="1"/>
    <x:col min="3" max="3" width="23" customWidth="1"/>
    <x:col min="4" max="4" width="18" customWidth="1"/>
    <x:col min="5" max="5" width="24" customWidth="1"/>
    <x:col min="6" max="6" width="46" customWidth="1"/>
    <x:col min="7" max="7" width="83" customWidth="1"/>
    <x:col min="8" max="8" width="58" hidden="0" customWidth="1"/>
  </x:cols>
  <x:sheetData>
    <x:row r="1" ht="34.20000076293945" customHeight="1">
      <x:c r="A1" s="538" t="s">
        <x:v>3271</x:v>
      </x:c>
      <x:c r="B1" s="538"/>
      <x:c r="C1" s="538"/>
      <x:c r="D1" s="538"/>
      <x:c r="E1" s="538"/>
      <x:c r="F1" s="538"/>
      <x:c r="G1" s="538"/>
    </x:row>
    <x:row r="2" ht="33" customHeight="1">
      <x:c r="A2" s="539" t="s">
        <x:v>3272</x:v>
      </x:c>
      <x:c r="B2" s="539"/>
      <x:c r="C2" s="539"/>
      <x:c r="D2" s="539"/>
      <x:c r="E2" s="539"/>
      <x:c r="F2" s="539"/>
      <x:c r="G2" s="539"/>
    </x:row>
    <x:row r="3" ht="28.049999237060547" customHeight="1">
      <x:c r="A3" s="198" t="s">
        <x:v>2</x:v>
      </x:c>
      <x:c r="B3" s="199" t="s">
        <x:v>3</x:v>
      </x:c>
      <x:c r="C3" s="199" t="s">
        <x:v>4</x:v>
      </x:c>
      <x:c r="D3" s="199" t="s">
        <x:v>5</x:v>
      </x:c>
      <x:c r="E3" s="199" t="s">
        <x:v>6</x:v>
      </x:c>
      <x:c r="F3" s="199" t="s">
        <x:v>7</x:v>
      </x:c>
      <x:c r="G3" s="200" t="s">
        <x:v>8</x:v>
      </x:c>
      <x:c r="H3" t="str">
        <x:v>CONDICIÓN RF65 (NO MVP)</x:v>
      </x:c>
    </x:row>
    <x:row r="4" ht="28.049999237060547" customHeight="1">
      <x:c r="A4" s="540" t="s">
        <x:v>3273</x:v>
      </x:c>
      <x:c r="B4" s="541"/>
      <x:c r="C4" s="542"/>
      <x:c r="D4" s="543"/>
      <x:c r="E4" s="540"/>
      <x:c r="F4" s="543"/>
      <x:c r="G4" s="541"/>
    </x:row>
    <x:row r="5" ht="49.20000076293945" customHeight="1">
      <x:c r="A5" s="201">
        <x:v>1</x:v>
      </x:c>
      <x:c r="B5" s="145" t="s">
        <x:v>10</x:v>
      </x:c>
      <x:c r="C5" s="148" t="s">
        <x:v>11</x:v>
      </x:c>
      <x:c r="D5" s="150" t="s">
        <x:v>319</x:v>
      </x:c>
      <x:c r="E5" s="151" t="s">
        <x:v>674</x:v>
      </x:c>
      <x:c r="F5" s="152" t="s">
        <x:v>3274</x:v>
      </x:c>
      <x:c r="G5" s="153" t="s">
        <x:v>3275</x:v>
      </x:c>
      <x:c r="H5" s="1071" t="str">
        <x:v>RF65 POST-MVP · CONDICIONADO A APROBACIÓN. TIVE: preservar ficha 1:0..1 y FK idVehiculo; no operar TIVE de vehículo ELIMINADO. Sin aprobación no aplicar filtros ni cambios de BD por RF65.</x:v>
      </x:c>
    </x:row>
    <x:row r="6" ht="49.20000076293945" customHeight="1">
      <x:c r="A6" s="201">
        <x:v>2</x:v>
      </x:c>
      <x:c r="B6" s="145" t="s">
        <x:v>10</x:v>
      </x:c>
      <x:c r="C6" s="148" t="s">
        <x:v>674</x:v>
      </x:c>
      <x:c r="D6" s="150" t="s">
        <x:v>319</x:v>
      </x:c>
      <x:c r="E6" s="151" t="s">
        <x:v>569</x:v>
      </x:c>
      <x:c r="F6" s="152" t="s">
        <x:v>3276</x:v>
      </x:c>
      <x:c r="G6" s="153" t="s">
        <x:v>3277</x:v>
      </x:c>
    </x:row>
    <x:row r="7" ht="49.20000076293945" customHeight="1">
      <x:c r="A7" s="201">
        <x:v>3</x:v>
      </x:c>
      <x:c r="B7" s="145" t="s">
        <x:v>10</x:v>
      </x:c>
      <x:c r="C7" s="148" t="s">
        <x:v>569</x:v>
      </x:c>
      <x:c r="D7" s="150" t="s">
        <x:v>319</x:v>
      </x:c>
      <x:c r="E7" s="151" t="s">
        <x:v>908</x:v>
      </x:c>
      <x:c r="F7" s="152" t="s">
        <x:v>2028</x:v>
      </x:c>
      <x:c r="G7" s="153" t="s">
        <x:v>3278</x:v>
      </x:c>
    </x:row>
    <x:row r="8" ht="49.20000076293945" customHeight="1">
      <x:c r="A8" s="201">
        <x:v>4</x:v>
      </x:c>
      <x:c r="B8" s="145" t="s">
        <x:v>10</x:v>
      </x:c>
      <x:c r="C8" s="148" t="s">
        <x:v>908</x:v>
      </x:c>
      <x:c r="D8" s="150" t="s">
        <x:v>319</x:v>
      </x:c>
      <x:c r="E8" s="151" t="s">
        <x:v>440</x:v>
      </x:c>
      <x:c r="F8" s="152" t="s">
        <x:v>630</x:v>
      </x:c>
      <x:c r="G8" s="153" t="s">
        <x:v>3279</x:v>
      </x:c>
    </x:row>
    <x:row r="9" ht="49.20000076293945" customHeight="1">
      <x:c r="A9" s="201">
        <x:v>5</x:v>
      </x:c>
      <x:c r="B9" s="145" t="s">
        <x:v>10</x:v>
      </x:c>
      <x:c r="C9" s="148" t="s">
        <x:v>440</x:v>
      </x:c>
      <x:c r="D9" s="150" t="s">
        <x:v>323</x:v>
      </x:c>
      <x:c r="E9" s="151" t="s">
        <x:v>908</x:v>
      </x:c>
      <x:c r="F9" s="152" t="s">
        <x:v>632</x:v>
      </x:c>
      <x:c r="G9" s="153" t="s">
        <x:v>3280</x:v>
      </x:c>
    </x:row>
    <x:row r="10" ht="49.20000076293945" customHeight="1">
      <x:c r="A10" s="201">
        <x:v>6</x:v>
      </x:c>
      <x:c r="B10" s="145" t="s">
        <x:v>10</x:v>
      </x:c>
      <x:c r="C10" s="148" t="s">
        <x:v>908</x:v>
      </x:c>
      <x:c r="D10" s="150" t="s">
        <x:v>404</x:v>
      </x:c>
      <x:c r="E10" s="151" t="s">
        <x:v>908</x:v>
      </x:c>
      <x:c r="F10" s="152" t="s">
        <x:v>2032</x:v>
      </x:c>
      <x:c r="G10" s="153" t="s">
        <x:v>3281</x:v>
      </x:c>
    </x:row>
    <x:row r="11" ht="49.20000076293945" customHeight="1">
      <x:c r="A11" s="201">
        <x:v>7</x:v>
      </x:c>
      <x:c r="B11" s="145" t="s">
        <x:v>10</x:v>
      </x:c>
      <x:c r="C11" s="148" t="s">
        <x:v>908</x:v>
      </x:c>
      <x:c r="D11" s="150" t="s">
        <x:v>323</x:v>
      </x:c>
      <x:c r="E11" s="151" t="s">
        <x:v>569</x:v>
      </x:c>
      <x:c r="F11" s="152" t="s">
        <x:v>912</x:v>
      </x:c>
      <x:c r="G11" s="153" t="s">
        <x:v>3282</x:v>
      </x:c>
    </x:row>
    <x:row r="12" ht="49.20000076293945" customHeight="1">
      <x:c r="A12" s="201">
        <x:v>8</x:v>
      </x:c>
      <x:c r="B12" s="145" t="s">
        <x:v>10</x:v>
      </x:c>
      <x:c r="C12" s="148" t="s">
        <x:v>569</x:v>
      </x:c>
      <x:c r="D12" s="150" t="s">
        <x:v>404</x:v>
      </x:c>
      <x:c r="E12" s="151" t="s">
        <x:v>569</x:v>
      </x:c>
      <x:c r="F12" s="152" t="s">
        <x:v>3283</x:v>
      </x:c>
      <x:c r="G12" s="153" t="str">
        <x:v>El VIN debe estar informado para registrar TIVE. Si falta, se solicita completarlo desde RF11. Una vez registrada TIVE, RF11 bloquea cualquier modificación ordinaria de VIN; solo procedimiento excepcional autorizado por Soporte, verificación documental y auditoría podrá corregir simultáneamente el dato de vehículo y su correspondencia documental.</x:v>
      </x:c>
    </x:row>
    <x:row r="13" ht="49.20000076293945" customHeight="1">
      <x:c r="A13" s="201">
        <x:v>9</x:v>
      </x:c>
      <x:c r="B13" s="145" t="s">
        <x:v>10</x:v>
      </x:c>
      <x:c r="C13" s="148" t="s">
        <x:v>569</x:v>
      </x:c>
      <x:c r="D13" s="150" t="s">
        <x:v>319</x:v>
      </x:c>
      <x:c r="E13" s="151" t="s">
        <x:v>572</x:v>
      </x:c>
      <x:c r="F13" s="152" t="str">
        <x:v>consultarTIVEPorIdVehiculo(idVehiculo)</x:v>
      </x:c>
      <x:c r="G13" s="153" t="str">
        <x:v>Comprueba existencia de la ÚNICA TIVE cuyo idVehiculo es PK y FK a VEHICULO.idVehiculo. VIN es requisito previo de alta documental, pero NO clave de búsqueda, PK ni FK de TIVE.</x:v>
      </x:c>
    </x:row>
    <x:row r="14" ht="49.20000076293945" customHeight="1">
      <x:c r="A14" s="201">
        <x:v>10</x:v>
      </x:c>
      <x:c r="B14" s="145" t="s">
        <x:v>10</x:v>
      </x:c>
      <x:c r="C14" s="148" t="s">
        <x:v>572</x:v>
      </x:c>
      <x:c r="D14" s="150" t="s">
        <x:v>323</x:v>
      </x:c>
      <x:c r="E14" s="151" t="s">
        <x:v>569</x:v>
      </x:c>
      <x:c r="F14" s="152" t="s">
        <x:v>3284</x:v>
      </x:c>
      <x:c r="G14" s="153" t="s">
        <x:v>3285</x:v>
      </x:c>
    </x:row>
    <x:row r="15" ht="49.20000076293945" customHeight="1">
      <x:c r="A15" s="201">
        <x:v>11</x:v>
      </x:c>
      <x:c r="B15" s="145" t="s">
        <x:v>10</x:v>
      </x:c>
      <x:c r="C15" s="148" t="s">
        <x:v>569</x:v>
      </x:c>
      <x:c r="D15" s="150" t="s">
        <x:v>319</x:v>
      </x:c>
      <x:c r="E15" s="151" t="s">
        <x:v>3286</x:v>
      </x:c>
      <x:c r="F15" s="152" t="s">
        <x:v>3287</x:v>
      </x:c>
      <x:c r="G15" s="153" t="s">
        <x:v>3288</x:v>
      </x:c>
    </x:row>
    <x:row r="16" ht="49.20000076293945" customHeight="1">
      <x:c r="A16" s="202">
        <x:v>12</x:v>
      </x:c>
      <x:c r="B16" s="38" t="s">
        <x:v>10</x:v>
      </x:c>
      <x:c r="C16" s="37" t="s">
        <x:v>3286</x:v>
      </x:c>
      <x:c r="D16" s="143" t="s">
        <x:v>319</x:v>
      </x:c>
      <x:c r="E16" s="142" t="s">
        <x:v>11</x:v>
      </x:c>
      <x:c r="F16" s="143" t="s">
        <x:v>3289</x:v>
      </x:c>
      <x:c r="G16" s="38" t="s">
        <x:v>3290</x:v>
      </x:c>
    </x:row>
    <x:row r="17" ht="28.049999237060547" customHeight="1">
      <x:c r="A17" s="530" t="s">
        <x:v>3291</x:v>
      </x:c>
      <x:c r="B17" s="531"/>
      <x:c r="C17" s="532"/>
      <x:c r="D17" s="533"/>
      <x:c r="E17" s="534"/>
      <x:c r="F17" s="535"/>
      <x:c r="G17" s="536"/>
    </x:row>
    <x:row r="18" ht="49.20000076293945" customHeight="1">
      <x:c r="A18" s="201">
        <x:v>13</x:v>
      </x:c>
      <x:c r="B18" s="145" t="s">
        <x:v>33</x:v>
      </x:c>
      <x:c r="C18" s="148" t="s">
        <x:v>11</x:v>
      </x:c>
      <x:c r="D18" s="150" t="s">
        <x:v>319</x:v>
      </x:c>
      <x:c r="E18" s="151" t="s">
        <x:v>3286</x:v>
      </x:c>
      <x:c r="F18" s="152" t="s">
        <x:v>3292</x:v>
      </x:c>
      <x:c r="G18" s="153" t="s">
        <x:v>3293</x:v>
      </x:c>
    </x:row>
    <x:row r="19" ht="49.20000076293945" customHeight="1">
      <x:c r="A19" s="201">
        <x:v>14</x:v>
      </x:c>
      <x:c r="B19" s="145" t="s">
        <x:v>33</x:v>
      </x:c>
      <x:c r="C19" s="148" t="s">
        <x:v>11</x:v>
      </x:c>
      <x:c r="D19" s="150" t="s">
        <x:v>319</x:v>
      </x:c>
      <x:c r="E19" s="151" t="s">
        <x:v>3286</x:v>
      </x:c>
      <x:c r="F19" s="152" t="s">
        <x:v>3294</x:v>
      </x:c>
      <x:c r="G19" s="153" t="s">
        <x:v>3295</x:v>
      </x:c>
    </x:row>
    <x:row r="20" ht="49.20000076293945" customHeight="1">
      <x:c r="A20" s="201">
        <x:v>15</x:v>
      </x:c>
      <x:c r="B20" s="145" t="s">
        <x:v>33</x:v>
      </x:c>
      <x:c r="C20" s="148" t="s">
        <x:v>3286</x:v>
      </x:c>
      <x:c r="D20" s="150" t="s">
        <x:v>319</x:v>
      </x:c>
      <x:c r="E20" s="151" t="s">
        <x:v>167</x:v>
      </x:c>
      <x:c r="F20" s="152" t="s">
        <x:v>3296</x:v>
      </x:c>
      <x:c r="G20" s="153" t="s">
        <x:v>3297</x:v>
      </x:c>
    </x:row>
    <x:row r="21" ht="49.20000076293945" customHeight="1">
      <x:c r="A21" s="201">
        <x:v>16</x:v>
      </x:c>
      <x:c r="B21" s="145" t="s">
        <x:v>33</x:v>
      </x:c>
      <x:c r="C21" s="148" t="s">
        <x:v>3298</x:v>
      </x:c>
      <x:c r="D21" s="150" t="s">
        <x:v>319</x:v>
      </x:c>
      <x:c r="E21" s="151" t="s">
        <x:v>11</x:v>
      </x:c>
      <x:c r="F21" s="152" t="s">
        <x:v>3299</x:v>
      </x:c>
      <x:c r="G21" s="153" t="s">
        <x:v>3300</x:v>
      </x:c>
    </x:row>
    <x:row r="22" ht="49.20000076293945" customHeight="1">
      <x:c r="A22" s="201">
        <x:v>17</x:v>
      </x:c>
      <x:c r="B22" s="145" t="s">
        <x:v>33</x:v>
      </x:c>
      <x:c r="C22" s="148" t="s">
        <x:v>11</x:v>
      </x:c>
      <x:c r="D22" s="150" t="s">
        <x:v>319</x:v>
      </x:c>
      <x:c r="E22" s="151" t="s">
        <x:v>3298</x:v>
      </x:c>
      <x:c r="F22" s="152" t="s">
        <x:v>3301</x:v>
      </x:c>
      <x:c r="G22" s="153" t="s">
        <x:v>3302</x:v>
      </x:c>
    </x:row>
    <x:row r="23" ht="49.20000076293945" customHeight="1">
      <x:c r="A23" s="201">
        <x:v>18</x:v>
      </x:c>
      <x:c r="B23" s="145" t="s">
        <x:v>33</x:v>
      </x:c>
      <x:c r="C23" s="148" t="s">
        <x:v>3298</x:v>
      </x:c>
      <x:c r="D23" s="150" t="s">
        <x:v>319</x:v>
      </x:c>
      <x:c r="E23" s="151" t="s">
        <x:v>3303</x:v>
      </x:c>
      <x:c r="F23" s="152" t="s">
        <x:v>3304</x:v>
      </x:c>
      <x:c r="G23" s="153" t="str">
        <x:v>[opt: imagen] Abre únicamente la galería del dispositivo para seleccionar la foto de la TIVE, porque en este escenario se eligió GALERIA. La opción CAMARA tiene su propio recorrido alternativo.</x:v>
      </x:c>
    </x:row>
    <x:row r="24" ht="49.20000076293945" customHeight="1">
      <x:c r="A24" s="202">
        <x:v>19</x:v>
      </x:c>
      <x:c r="B24" s="38" t="s">
        <x:v>33</x:v>
      </x:c>
      <x:c r="C24" s="37" t="s">
        <x:v>3303</x:v>
      </x:c>
      <x:c r="D24" s="143" t="s">
        <x:v>323</x:v>
      </x:c>
      <x:c r="E24" s="142" t="s">
        <x:v>3298</x:v>
      </x:c>
      <x:c r="F24" s="143" t="s">
        <x:v>2446</x:v>
      </x:c>
      <x:c r="G24" s="38" t="s">
        <x:v>3305</x:v>
      </x:c>
    </x:row>
    <x:row r="25" ht="49.20000076293945" customHeight="1">
      <x:c r="A25" s="201">
        <x:v>20</x:v>
      </x:c>
      <x:c r="B25" s="145" t="s">
        <x:v>33</x:v>
      </x:c>
      <x:c r="C25" s="148" t="s">
        <x:v>11</x:v>
      </x:c>
      <x:c r="D25" s="150" t="s">
        <x:v>319</x:v>
      </x:c>
      <x:c r="E25" s="151" t="s">
        <x:v>3298</x:v>
      </x:c>
      <x:c r="F25" s="152" t="s">
        <x:v>3306</x:v>
      </x:c>
      <x:c r="G25" s="153" t="s">
        <x:v>3307</x:v>
      </x:c>
    </x:row>
    <x:row r="26" ht="49.20000076293945" customHeight="1">
      <x:c r="A26" s="201">
        <x:v>21</x:v>
      </x:c>
      <x:c r="B26" s="145" t="s">
        <x:v>33</x:v>
      </x:c>
      <x:c r="C26" s="148" t="s">
        <x:v>3298</x:v>
      </x:c>
      <x:c r="D26" s="150" t="s">
        <x:v>319</x:v>
      </x:c>
      <x:c r="E26" s="151" t="s">
        <x:v>167</x:v>
      </x:c>
      <x:c r="F26" s="152" t="s">
        <x:v>3308</x:v>
      </x:c>
      <x:c r="G26" s="153" t="s">
        <x:v>3309</x:v>
      </x:c>
    </x:row>
    <x:row r="27" ht="49.20000076293945" customHeight="1">
      <x:c r="A27" s="201">
        <x:v>22</x:v>
      </x:c>
      <x:c r="B27" s="145" t="s">
        <x:v>33</x:v>
      </x:c>
      <x:c r="C27" s="148" t="s">
        <x:v>3286</x:v>
      </x:c>
      <x:c r="D27" s="150" t="s">
        <x:v>319</x:v>
      </x:c>
      <x:c r="E27" s="151" t="s">
        <x:v>11</x:v>
      </x:c>
      <x:c r="F27" s="152" t="s">
        <x:v>3310</x:v>
      </x:c>
      <x:c r="G27" s="153" t="s">
        <x:v>3311</x:v>
      </x:c>
    </x:row>
    <x:row r="28" ht="49.20000076293945" customHeight="1">
      <x:c r="A28" s="201">
        <x:v>23</x:v>
      </x:c>
      <x:c r="B28" s="145" t="s">
        <x:v>33</x:v>
      </x:c>
      <x:c r="C28" s="148" t="s">
        <x:v>11</x:v>
      </x:c>
      <x:c r="D28" s="150" t="s">
        <x:v>319</x:v>
      </x:c>
      <x:c r="E28" s="151" t="s">
        <x:v>3286</x:v>
      </x:c>
      <x:c r="F28" s="152" t="s">
        <x:v>3312</x:v>
      </x:c>
      <x:c r="G28" s="153" t="s">
        <x:v>3313</x:v>
      </x:c>
    </x:row>
    <x:row r="29" ht="28.049999237060547" customHeight="1">
      <x:c r="A29" s="540" t="s">
        <x:v>3314</x:v>
      </x:c>
      <x:c r="B29" s="541"/>
      <x:c r="C29" s="542"/>
      <x:c r="D29" s="543"/>
      <x:c r="E29" s="540"/>
      <x:c r="F29" s="543"/>
      <x:c r="G29" s="541"/>
    </x:row>
    <x:row r="30" ht="49.20000076293945" customHeight="1">
      <x:c r="A30" s="201">
        <x:v>24</x:v>
      </x:c>
      <x:c r="B30" s="145" t="s">
        <x:v>63</x:v>
      </x:c>
      <x:c r="C30" s="148" t="s">
        <x:v>3286</x:v>
      </x:c>
      <x:c r="D30" s="150" t="s">
        <x:v>319</x:v>
      </x:c>
      <x:c r="E30" s="151" t="s">
        <x:v>569</x:v>
      </x:c>
      <x:c r="F30" s="152" t="str">
        <x:v>enviarDatosTIVE(idVehiculo,numeroTitulo,codigoVerificacion,fechaTitulo,datosRegistrales?,imagen?)</x:v>
      </x:c>
      <x:c r="G30" s="153" t="str">
        <x:v>Envía idVehiculo del vehículo seleccionado (procede de la sesión y navegación validada), datos del documento y referencia temporal de la imagen opcional. numeroVin se exige previamente desde VEHICULO, pero no identifica el registro TIVE ni la imagen.</x:v>
      </x:c>
    </x:row>
    <x:row r="31" ht="49.20000076293945" customHeight="1">
      <x:c r="A31" s="201">
        <x:v>25</x:v>
      </x:c>
      <x:c r="B31" s="145" t="s">
        <x:v>63</x:v>
      </x:c>
      <x:c r="C31" s="148" t="s">
        <x:v>569</x:v>
      </x:c>
      <x:c r="D31" s="150" t="s">
        <x:v>404</x:v>
      </x:c>
      <x:c r="E31" s="151" t="s">
        <x:v>569</x:v>
      </x:c>
      <x:c r="F31" s="152" t="s">
        <x:v>3315</x:v>
      </x:c>
      <x:c r="G31" s="153" t="s">
        <x:v>3316</x:v>
      </x:c>
    </x:row>
    <x:row r="32" ht="49.20000076293945" customHeight="1">
      <x:c r="A32" s="201">
        <x:v>26</x:v>
      </x:c>
      <x:c r="B32" s="145" t="s">
        <x:v>63</x:v>
      </x:c>
      <x:c r="C32" s="148" t="s">
        <x:v>569</x:v>
      </x:c>
      <x:c r="D32" s="150" t="s">
        <x:v>404</x:v>
      </x:c>
      <x:c r="E32" s="151" t="s">
        <x:v>569</x:v>
      </x:c>
      <x:c r="F32" s="152" t="s">
        <x:v>3317</x:v>
      </x:c>
      <x:c r="G32" s="153" t="s">
        <x:v>3318</x:v>
      </x:c>
    </x:row>
    <x:row r="33" ht="49.20000076293945" customHeight="1">
      <x:c r="A33" s="201">
        <x:v>27</x:v>
      </x:c>
      <x:c r="B33" s="145" t="s">
        <x:v>63</x:v>
      </x:c>
      <x:c r="C33" s="148" t="s">
        <x:v>569</x:v>
      </x:c>
      <x:c r="D33" s="150" t="s">
        <x:v>404</x:v>
      </x:c>
      <x:c r="E33" s="151" t="s">
        <x:v>569</x:v>
      </x:c>
      <x:c r="F33" s="152" t="s">
        <x:v>3319</x:v>
      </x:c>
      <x:c r="G33" s="153" t="s">
        <x:v>3320</x:v>
      </x:c>
    </x:row>
    <x:row r="34" ht="49.20000076293945" customHeight="1">
      <x:c r="A34" s="201">
        <x:v>28</x:v>
      </x:c>
      <x:c r="B34" s="145" t="s">
        <x:v>63</x:v>
      </x:c>
      <x:c r="C34" s="148" t="s">
        <x:v>569</x:v>
      </x:c>
      <x:c r="D34" s="150" t="s">
        <x:v>319</x:v>
      </x:c>
      <x:c r="E34" s="151" t="s">
        <x:v>3321</x:v>
      </x:c>
      <x:c r="F34" s="152" t="s">
        <x:v>471</x:v>
      </x:c>
      <x:c r="G34" s="153" t="s">
        <x:v>3322</x:v>
      </x:c>
    </x:row>
    <x:row r="35" ht="49.20000076293945" customHeight="1">
      <x:c r="A35" s="201">
        <x:v>29</x:v>
      </x:c>
      <x:c r="B35" s="145" t="s">
        <x:v>63</x:v>
      </x:c>
      <x:c r="C35" s="148" t="s">
        <x:v>3321</x:v>
      </x:c>
      <x:c r="D35" s="150" t="s">
        <x:v>323</x:v>
      </x:c>
      <x:c r="E35" s="151" t="s">
        <x:v>569</x:v>
      </x:c>
      <x:c r="F35" s="152" t="s">
        <x:v>3323</x:v>
      </x:c>
      <x:c r="G35" s="153" t="s">
        <x:v>3324</x:v>
      </x:c>
    </x:row>
    <x:row r="36" ht="28.049999237060547" customHeight="1">
      <x:c r="A36" s="530" t="s">
        <x:v>3325</x:v>
      </x:c>
      <x:c r="B36" s="531"/>
      <x:c r="C36" s="532"/>
      <x:c r="D36" s="533"/>
      <x:c r="E36" s="534"/>
      <x:c r="F36" s="535"/>
      <x:c r="G36" s="536"/>
    </x:row>
    <x:row r="37" ht="49.20000076293945" customHeight="1">
      <x:c r="A37" s="203">
        <x:v>30</x:v>
      </x:c>
      <x:c r="B37" s="147" t="s">
        <x:v>81</x:v>
      </x:c>
      <x:c r="C37" s="149" t="s">
        <x:v>569</x:v>
      </x:c>
      <x:c r="D37" s="150" t="s">
        <x:v>319</x:v>
      </x:c>
      <x:c r="E37" s="154" t="s">
        <x:v>572</x:v>
      </x:c>
      <x:c r="F37" s="155" t="str">
        <x:v>consultarCoincidenciasIdentificadoresTIVE(numeroTitulo,codigoVerificacion)</x:v>
      </x:c>
      <x:c r="G37" s="156" t="str">
        <x:v>Consulta coincidencias de numeroTitulo y codigoVerificacion como control informativo y de calidad de datos. SIN contrato oficial validado, esas coincidencias no prueban duplicidad documental ni autorizan fijar UNIQUE global. Unicidad garantizada para la TIVE actual: TIVE.idVehiculo (PK/FK).</x:v>
      </x:c>
    </x:row>
    <x:row r="38" ht="49.20000076293945" customHeight="1">
      <x:c r="A38" s="204">
        <x:v>31</x:v>
      </x:c>
      <x:c r="B38" s="170" t="s">
        <x:v>81</x:v>
      </x:c>
      <x:c r="C38" s="170" t="s">
        <x:v>572</x:v>
      </x:c>
      <x:c r="D38" s="170" t="s">
        <x:v>323</x:v>
      </x:c>
      <x:c r="E38" s="170" t="s">
        <x:v>569</x:v>
      </x:c>
      <x:c r="F38" s="170" t="str">
        <x:v>retornarCoincidenciasIdentificadores(datosCoincidencias)</x:v>
      </x:c>
      <x:c r="G38" s="170" t="str">
        <x:v>Devuelve coincidencias para revisión/registro de trazabilidad; la decisión de imponer UNIQUE sobre codigoVerificacion o numeroTitulo queda PENDIENTE de validar su alcance oficial. Este escenario exitoso presupone documento válido y un idVehiculo sin TIVE.</x:v>
      </x:c>
    </x:row>
    <x:row r="39" ht="49.20000076293945" customHeight="1">
      <x:c r="A39" s="204">
        <x:v>32</x:v>
      </x:c>
      <x:c r="B39" s="170" t="s">
        <x:v>81</x:v>
      </x:c>
      <x:c r="C39" s="170" t="s">
        <x:v>569</x:v>
      </x:c>
      <x:c r="D39" s="170" t="s">
        <x:v>319</x:v>
      </x:c>
      <x:c r="E39" s="170" t="s">
        <x:v>572</x:v>
      </x:c>
      <x:c r="F39" s="170" t="str">
        <x:v>registrarTIVESiVehiculoActivoYDisponible(idVehiculo,datosTIVE)</x:v>
      </x:c>
      <x:c r="G39" s="170" t="str">
        <x:v>En UNA transacción, validar titularidad, vehículo ACTIVO con VIN informado y que no exista TIVE para idVehiculo (PK/FK 1:0..1). Insertar TIVE usando idVehiculo y registrar imagen opcional. No rechazar por coincidencia de codigoVerificacion/numeroTitulo como si fueran UNIQUE oficiales sin regla validada; las coincidencias se auditan. COMMIT solo tras persistencia consistente.</x:v>
      </x:c>
    </x:row>
    <x:row r="40" ht="49.20000076293945" customHeight="1">
      <x:c r="A40" s="204">
        <x:v>33</x:v>
      </x:c>
      <x:c r="B40" s="170" t="s">
        <x:v>81</x:v>
      </x:c>
      <x:c r="C40" s="170" t="s">
        <x:v>572</x:v>
      </x:c>
      <x:c r="D40" s="170" t="s">
        <x:v>323</x:v>
      </x:c>
      <x:c r="E40" s="170" t="s">
        <x:v>569</x:v>
      </x:c>
      <x:c r="F40" s="170" t="str">
        <x:v>retornarTIVERegistrada(idVehiculo,codigoVerificacion,datosTIVE)</x:v>
      </x:c>
      <x:c r="G40" s="170" t="str">
        <x:v>Devuelve idVehiculo (PK/FK del documento), código de verificación como dato documental y el resto de datos; no devuelve el código como identidad técnica.</x:v>
      </x:c>
    </x:row>
    <x:row r="41" ht="49.20000076293945" customHeight="1">
      <x:c r="A41" s="204">
        <x:v>34</x:v>
      </x:c>
      <x:c r="B41" s="170" t="s">
        <x:v>81</x:v>
      </x:c>
      <x:c r="C41" s="170" t="s">
        <x:v>569</x:v>
      </x:c>
      <x:c r="D41" s="170" t="s">
        <x:v>319</x:v>
      </x:c>
      <x:c r="E41" s="170" t="s">
        <x:v>3326</x:v>
      </x:c>
      <x:c r="F41" s="170" t="str">
        <x:v>registrarImagenTIVE(idVehiculo,imagen)</x:v>
      </x:c>
      <x:c r="G41" s="170" t="str">
        <x:v>Con imagen seleccionada, el controlador asocia la imagen al idVehiculo de la TIVE única. La foto no depende del CODIGO_VERIFICACION ni de numeroVin. Sin imagen, continúa la ruta opcional sin referencia de foto.</x:v>
      </x:c>
    </x:row>
    <x:row r="42" ht="49.20000076293945" customHeight="1">
      <x:c r="A42" s="204">
        <x:v>35</x:v>
      </x:c>
      <x:c r="B42" s="170" t="s">
        <x:v>81</x:v>
      </x:c>
      <x:c r="C42" s="170" t="s">
        <x:v>3326</x:v>
      </x:c>
      <x:c r="D42" s="170" t="s">
        <x:v>319</x:v>
      </x:c>
      <x:c r="E42" s="170" t="s">
        <x:v>3327</x:v>
      </x:c>
      <x:c r="F42" s="170" t="str">
        <x:v>guardarReferenciaImagen(idVehiculo,rutaSegura,tipo,tamanio)</x:v>
      </x:c>
      <x:c r="G42" s="170" t="str">
        <x:v>E_ImagenTIVE, si está separada, referencia TIVE(idVehiculo) con FK estable y unicidad si se permite una foto vigente. Guardar la referencia validada en la misma transacción SQL; para archivos externos usar staging/compensación y solo confirmar si el vínculo queda íntegro. Cambiar codigoVerificacion NO requiere migrar la imagen.</x:v>
      </x:c>
    </x:row>
    <x:row r="43" ht="49.20000076293945" customHeight="1">
      <x:c r="A43" s="204">
        <x:v>36</x:v>
      </x:c>
      <x:c r="B43" s="170" t="s">
        <x:v>81</x:v>
      </x:c>
      <x:c r="C43" s="170" t="s">
        <x:v>3327</x:v>
      </x:c>
      <x:c r="D43" s="170" t="s">
        <x:v>323</x:v>
      </x:c>
      <x:c r="E43" s="170" t="s">
        <x:v>3326</x:v>
      </x:c>
      <x:c r="F43" s="170" t="s">
        <x:v>3328</x:v>
      </x:c>
      <x:c r="G43" s="170" t="s">
        <x:v>3329</x:v>
      </x:c>
    </x:row>
    <x:row r="44" ht="49.20000076293945" customHeight="1">
      <x:c r="A44" s="204">
        <x:v>37</x:v>
      </x:c>
      <x:c r="B44" s="170" t="s">
        <x:v>81</x:v>
      </x:c>
      <x:c r="C44" s="170" t="s">
        <x:v>3326</x:v>
      </x:c>
      <x:c r="D44" s="170" t="s">
        <x:v>323</x:v>
      </x:c>
      <x:c r="E44" s="170" t="s">
        <x:v>569</x:v>
      </x:c>
      <x:c r="F44" s="170" t="s">
        <x:v>3330</x:v>
      </x:c>
      <x:c r="G44" s="170" t="s">
        <x:v>3331</x:v>
      </x:c>
    </x:row>
    <x:row r="45" ht="28.049999237060547" customHeight="1">
      <x:c r="A45" s="537" t="s">
        <x:v>3332</x:v>
      </x:c>
      <x:c r="B45" s="537"/>
      <x:c r="C45" s="537"/>
      <x:c r="D45" s="537"/>
      <x:c r="E45" s="537"/>
      <x:c r="F45" s="537"/>
      <x:c r="G45" s="537"/>
    </x:row>
    <x:row r="46" ht="49.20000076293945" customHeight="1">
      <x:c r="A46" s="204">
        <x:v>38</x:v>
      </x:c>
      <x:c r="B46" s="170" t="s">
        <x:v>110</x:v>
      </x:c>
      <x:c r="C46" s="170" t="s">
        <x:v>569</x:v>
      </x:c>
      <x:c r="D46" s="170" t="s">
        <x:v>319</x:v>
      </x:c>
      <x:c r="E46" s="170" t="s">
        <x:v>3333</x:v>
      </x:c>
      <x:c r="F46" s="170" t="str">
        <x:v>confirmarRegistroTIVEYMostrarExito(datosTIVE)</x:v>
      </x:c>
      <x:c r="G46" s="170" t="str">
        <x:v>ANTES de mostrar «¡TIVE registrada!», C_ControlTIVE confirma COMMIT de documento y referencia de imagen (si existe); si falla el guardado de ambos, ROLLBACK y NO mostrar éxito. Si el archivo es externo, finalizar compensación/staging. La interfaz conserva el botón «Ver detalle del vehículo». La operación se considera completa cuando TIVE.idVehiculo e imagen opcional están correctamente vinculados; el código de verificación jamás actúa como FK de imagen.</x:v>
      </x:c>
    </x:row>
    <x:row r="47" ht="49.20000076293945" customHeight="1">
      <x:c r="A47" s="204">
        <x:v>39</x:v>
      </x:c>
      <x:c r="B47" s="170" t="s">
        <x:v>110</x:v>
      </x:c>
      <x:c r="C47" s="170" t="s">
        <x:v>3333</x:v>
      </x:c>
      <x:c r="D47" s="170" t="s">
        <x:v>319</x:v>
      </x:c>
      <x:c r="E47" s="170" t="s">
        <x:v>11</x:v>
      </x:c>
      <x:c r="F47" s="170" t="s">
        <x:v>3334</x:v>
      </x:c>
      <x:c r="G47" s="170" t="s">
        <x:v>3335</x:v>
      </x:c>
    </x:row>
    <x:row r="48" ht="49.20000076293945" customHeight="1">
      <x:c r="A48" s="204">
        <x:v>40</x:v>
      </x:c>
      <x:c r="B48" s="170" t="s">
        <x:v>110</x:v>
      </x:c>
      <x:c r="C48" s="170" t="s">
        <x:v>11</x:v>
      </x:c>
      <x:c r="D48" s="170" t="s">
        <x:v>319</x:v>
      </x:c>
      <x:c r="E48" s="170" t="s">
        <x:v>3333</x:v>
      </x:c>
      <x:c r="F48" s="170" t="s">
        <x:v>3336</x:v>
      </x:c>
      <x:c r="G48" s="170" t="s">
        <x:v>3337</x:v>
      </x:c>
    </x:row>
    <x:row r="49" ht="49.20000076293945" customHeight="1">
      <x:c r="A49" s="204">
        <x:v>41</x:v>
      </x:c>
      <x:c r="B49" s="170" t="s">
        <x:v>110</x:v>
      </x:c>
      <x:c r="C49" s="170" t="s">
        <x:v>3333</x:v>
      </x:c>
      <x:c r="D49" s="170" t="s">
        <x:v>319</x:v>
      </x:c>
      <x:c r="E49" s="170" t="s">
        <x:v>569</x:v>
      </x:c>
      <x:c r="F49" s="170" t="s">
        <x:v>3338</x:v>
      </x:c>
      <x:c r="G49" s="170" t="s">
        <x:v>3339</x:v>
      </x:c>
    </x:row>
    <x:row r="50" ht="49.20000076293945" customHeight="1">
      <x:c r="A50" s="204">
        <x:v>42</x:v>
      </x:c>
      <x:c r="B50" s="170" t="s">
        <x:v>110</x:v>
      </x:c>
      <x:c r="C50" s="170" t="s">
        <x:v>569</x:v>
      </x:c>
      <x:c r="D50" s="170" t="s">
        <x:v>319</x:v>
      </x:c>
      <x:c r="E50" s="170" t="s">
        <x:v>629</x:v>
      </x:c>
      <x:c r="F50" s="170" t="s">
        <x:v>726</x:v>
      </x:c>
      <x:c r="G50" s="170" t="s">
        <x:v>3340</x:v>
      </x:c>
    </x:row>
    <x:row r="51" ht="49.20000076293945" customHeight="1">
      <x:c r="A51" s="204">
        <x:v>43</x:v>
      </x:c>
      <x:c r="B51" s="170" t="s">
        <x:v>110</x:v>
      </x:c>
      <x:c r="C51" s="170" t="s">
        <x:v>629</x:v>
      </x:c>
      <x:c r="D51" s="170" t="s">
        <x:v>323</x:v>
      </x:c>
      <x:c r="E51" s="170" t="s">
        <x:v>569</x:v>
      </x:c>
      <x:c r="F51" s="170" t="s">
        <x:v>728</x:v>
      </x:c>
      <x:c r="G51" s="170" t="s">
        <x:v>3341</x:v>
      </x:c>
    </x:row>
    <x:row r="52" ht="49.20000076293945" customHeight="1">
      <x:c r="A52" s="204">
        <x:v>44</x:v>
      </x:c>
      <x:c r="B52" s="170" t="s">
        <x:v>110</x:v>
      </x:c>
      <x:c r="C52" s="170" t="s">
        <x:v>569</x:v>
      </x:c>
      <x:c r="D52" s="170" t="s">
        <x:v>319</x:v>
      </x:c>
      <x:c r="E52" s="170" t="s">
        <x:v>674</x:v>
      </x:c>
      <x:c r="F52" s="170" t="s">
        <x:v>730</x:v>
      </x:c>
      <x:c r="G52" s="170" t="s">
        <x:v>3342</x:v>
      </x:c>
    </x:row>
    <x:row r="53" ht="49.20000076293945" customHeight="1">
      <x:c r="A53" s="204">
        <x:v>45</x:v>
      </x:c>
      <x:c r="B53" s="170" t="s">
        <x:v>110</x:v>
      </x:c>
      <x:c r="C53" s="170" t="s">
        <x:v>674</x:v>
      </x:c>
      <x:c r="D53" s="170" t="s">
        <x:v>319</x:v>
      </x:c>
      <x:c r="E53" s="170" t="s">
        <x:v>11</x:v>
      </x:c>
      <x:c r="F53" s="170" t="s">
        <x:v>3343</x:v>
      </x:c>
      <x:c r="G53" s="170" t="s">
        <x:v>3344</x:v>
      </x:c>
    </x:row>
  </x:sheetData>
  <x:mergeCells>
    <x:mergeCell ref="A36:G36"/>
    <x:mergeCell ref="A45:G45"/>
    <x:mergeCell ref="A1:G1"/>
    <x:mergeCell ref="A2:G2"/>
    <x:mergeCell ref="A4:G4"/>
    <x:mergeCell ref="A17:G17"/>
    <x:mergeCell ref="A29:G29"/>
  </x:mergeCells>
  <x:pageMargins left="0.7" right="0.7" top="0.75" bottom="0.75" header="0.3" footer="0.3"/>
</x:worksheet>
</file>

<file path=xl/worksheets/sheet52.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9" customWidth="1"/>
    <x:col min="2" max="2" width="14" customWidth="1"/>
    <x:col min="3" max="3" width="23" customWidth="1"/>
    <x:col min="4" max="4" width="18" customWidth="1"/>
    <x:col min="5" max="5" width="24" customWidth="1"/>
    <x:col min="6" max="6" width="46" customWidth="1"/>
    <x:col min="7" max="7" width="83" customWidth="1"/>
    <x:col min="8" max="8" width="58" hidden="0" customWidth="1"/>
  </x:cols>
  <x:sheetData>
    <x:row r="1" ht="34.20000076293945" customHeight="1">
      <x:c r="A1" s="538" t="s">
        <x:v>3345</x:v>
      </x:c>
      <x:c r="B1" s="538"/>
      <x:c r="C1" s="538"/>
      <x:c r="D1" s="538"/>
      <x:c r="E1" s="538"/>
      <x:c r="F1" s="538"/>
      <x:c r="G1" s="538"/>
    </x:row>
    <x:row r="2" ht="33" customHeight="1">
      <x:c r="A2" s="539" t="s">
        <x:v>3346</x:v>
      </x:c>
      <x:c r="B2" s="539"/>
      <x:c r="C2" s="539"/>
      <x:c r="D2" s="539"/>
      <x:c r="E2" s="539"/>
      <x:c r="F2" s="539"/>
      <x:c r="G2" s="539"/>
    </x:row>
    <x:row r="3" ht="28.049999237060547" customHeight="1">
      <x:c r="A3" s="198" t="s">
        <x:v>2</x:v>
      </x:c>
      <x:c r="B3" s="199" t="s">
        <x:v>3</x:v>
      </x:c>
      <x:c r="C3" s="199" t="s">
        <x:v>1268</x:v>
      </x:c>
      <x:c r="D3" s="199" t="s">
        <x:v>5</x:v>
      </x:c>
      <x:c r="E3" s="199" t="s">
        <x:v>1270</x:v>
      </x:c>
      <x:c r="F3" s="199" t="s">
        <x:v>7</x:v>
      </x:c>
      <x:c r="G3" s="200" t="s">
        <x:v>8</x:v>
      </x:c>
      <x:c r="H3" t="str">
        <x:v>CONDICIÓN RF65 (NO MVP)</x:v>
      </x:c>
    </x:row>
    <x:row r="4" ht="28.049999237060547" customHeight="1">
      <x:c r="A4" s="540" t="s">
        <x:v>3347</x:v>
      </x:c>
      <x:c r="B4" s="541"/>
      <x:c r="C4" s="542"/>
      <x:c r="D4" s="543"/>
      <x:c r="E4" s="540"/>
      <x:c r="F4" s="543"/>
      <x:c r="G4" s="541"/>
    </x:row>
    <x:row r="5" ht="49.20000076293945" customHeight="1">
      <x:c r="A5" s="201">
        <x:v>1</x:v>
      </x:c>
      <x:c r="B5" s="145" t="s">
        <x:v>10</x:v>
      </x:c>
      <x:c r="C5" s="148" t="s">
        <x:v>11</x:v>
      </x:c>
      <x:c r="D5" s="150" t="s">
        <x:v>319</x:v>
      </x:c>
      <x:c r="E5" s="151" t="s">
        <x:v>674</x:v>
      </x:c>
      <x:c r="F5" s="152" t="s">
        <x:v>3348</x:v>
      </x:c>
      <x:c r="G5" s="153" t="s">
        <x:v>3349</x:v>
      </x:c>
      <x:c r="H5" s="1071" t="str">
        <x:v>RF65 POST-MVP · CONDICIONADO A APROBACIÓN. TIVE: conservar evidencia vinculada al idVehiculo eliminado; excluir de selección y modificación ordinaria. Sin aprobación no aplicar filtros ni cambios de BD por RF65.</x:v>
      </x:c>
    </x:row>
    <x:row r="6" ht="49.20000076293945" customHeight="1">
      <x:c r="A6" s="201">
        <x:v>2</x:v>
      </x:c>
      <x:c r="B6" s="145" t="s">
        <x:v>10</x:v>
      </x:c>
      <x:c r="C6" s="148" t="s">
        <x:v>674</x:v>
      </x:c>
      <x:c r="D6" s="150" t="s">
        <x:v>319</x:v>
      </x:c>
      <x:c r="E6" s="151" t="s">
        <x:v>569</x:v>
      </x:c>
      <x:c r="F6" s="152" t="s">
        <x:v>3350</x:v>
      </x:c>
      <x:c r="G6" s="153" t="s">
        <x:v>3351</x:v>
      </x:c>
    </x:row>
    <x:row r="7" ht="49.20000076293945" customHeight="1">
      <x:c r="A7" s="201">
        <x:v>3</x:v>
      </x:c>
      <x:c r="B7" s="145" t="s">
        <x:v>10</x:v>
      </x:c>
      <x:c r="C7" s="148" t="s">
        <x:v>569</x:v>
      </x:c>
      <x:c r="D7" s="150" t="s">
        <x:v>319</x:v>
      </x:c>
      <x:c r="E7" s="151" t="s">
        <x:v>908</x:v>
      </x:c>
      <x:c r="F7" s="152" t="s">
        <x:v>3352</x:v>
      </x:c>
      <x:c r="G7" s="153" t="s">
        <x:v>3353</x:v>
      </x:c>
    </x:row>
    <x:row r="8" ht="49.20000076293945" customHeight="1">
      <x:c r="A8" s="201">
        <x:v>4</x:v>
      </x:c>
      <x:c r="B8" s="145" t="s">
        <x:v>10</x:v>
      </x:c>
      <x:c r="C8" s="148" t="s">
        <x:v>908</x:v>
      </x:c>
      <x:c r="D8" s="150" t="s">
        <x:v>319</x:v>
      </x:c>
      <x:c r="E8" s="151" t="s">
        <x:v>440</x:v>
      </x:c>
      <x:c r="F8" s="152" t="s">
        <x:v>630</x:v>
      </x:c>
      <x:c r="G8" s="153" t="str">
        <x:v>Consulta por idVehiculo la identificación y el estado del vehículo propietario; incluye numeroVin como dato documental informativo, pero localiza la TIVE por TIVE.idVehiculo.</x:v>
      </x:c>
    </x:row>
    <x:row r="9" ht="49.20000076293945" customHeight="1">
      <x:c r="A9" s="201">
        <x:v>5</x:v>
      </x:c>
      <x:c r="B9" s="145" t="s">
        <x:v>10</x:v>
      </x:c>
      <x:c r="C9" s="148" t="s">
        <x:v>440</x:v>
      </x:c>
      <x:c r="D9" s="150" t="s">
        <x:v>323</x:v>
      </x:c>
      <x:c r="E9" s="151" t="s">
        <x:v>908</x:v>
      </x:c>
      <x:c r="F9" s="152" t="s">
        <x:v>632</x:v>
      </x:c>
      <x:c r="G9" s="153" t="s">
        <x:v>3354</x:v>
      </x:c>
    </x:row>
    <x:row r="10" ht="49.20000076293945" customHeight="1">
      <x:c r="A10" s="201">
        <x:v>6</x:v>
      </x:c>
      <x:c r="B10" s="145" t="s">
        <x:v>10</x:v>
      </x:c>
      <x:c r="C10" s="148" t="s">
        <x:v>908</x:v>
      </x:c>
      <x:c r="D10" s="150" t="s">
        <x:v>404</x:v>
      </x:c>
      <x:c r="E10" s="151" t="s">
        <x:v>908</x:v>
      </x:c>
      <x:c r="F10" s="152" t="s">
        <x:v>3355</x:v>
      </x:c>
      <x:c r="G10" s="153" t="s">
        <x:v>3356</x:v>
      </x:c>
    </x:row>
    <x:row r="11" ht="49.20000076293945" customHeight="1">
      <x:c r="A11" s="201">
        <x:v>7</x:v>
      </x:c>
      <x:c r="B11" s="145" t="s">
        <x:v>10</x:v>
      </x:c>
      <x:c r="C11" s="148" t="s">
        <x:v>908</x:v>
      </x:c>
      <x:c r="D11" s="150" t="s">
        <x:v>323</x:v>
      </x:c>
      <x:c r="E11" s="151" t="s">
        <x:v>569</x:v>
      </x:c>
      <x:c r="F11" s="152" t="str">
        <x:v>retornarVehiculoConsultable(idVehiculo,estadoVehiculo)</x:v>
      </x:c>
      <x:c r="G11" s="153" t="str">
        <x:v>Devuelve idVehiculo y estado para consulta TIVE, incluso de vehículos INACTIVOS, siempre que pertenezcan a la cuenta; VIN es informativo y no identifica la asociación.</x:v>
      </x:c>
    </x:row>
    <x:row r="12" ht="28.049999237060547" customHeight="1">
      <x:c r="A12" s="540" t="s">
        <x:v>3357</x:v>
      </x:c>
      <x:c r="B12" s="541"/>
      <x:c r="C12" s="542"/>
      <x:c r="D12" s="543"/>
      <x:c r="E12" s="540"/>
      <x:c r="F12" s="543"/>
      <x:c r="G12" s="541"/>
    </x:row>
    <x:row r="13" ht="49.20000076293945" customHeight="1">
      <x:c r="A13" s="201">
        <x:v>8</x:v>
      </x:c>
      <x:c r="B13" s="145" t="s">
        <x:v>33</x:v>
      </x:c>
      <x:c r="C13" s="148" t="s">
        <x:v>569</x:v>
      </x:c>
      <x:c r="D13" s="150" t="s">
        <x:v>319</x:v>
      </x:c>
      <x:c r="E13" s="151" t="s">
        <x:v>572</x:v>
      </x:c>
      <x:c r="F13" s="152" t="str">
        <x:v>consultarTIVEPorIdVehiculo(idVehiculo)</x:v>
      </x:c>
      <x:c r="G13" s="153" t="str">
        <x:v>Localiza la TIVE única por su idVehiculo (PK/FK a VEHICULO), sin depender del VIN. No maneja caducidad ni versiones históricas.</x:v>
      </x:c>
    </x:row>
    <x:row r="14" ht="49.20000076293945" customHeight="1">
      <x:c r="A14" s="201">
        <x:v>9</x:v>
      </x:c>
      <x:c r="B14" s="145" t="s">
        <x:v>33</x:v>
      </x:c>
      <x:c r="C14" s="148" t="s">
        <x:v>572</x:v>
      </x:c>
      <x:c r="D14" s="150" t="s">
        <x:v>323</x:v>
      </x:c>
      <x:c r="E14" s="151" t="s">
        <x:v>569</x:v>
      </x:c>
      <x:c r="F14" s="152" t="s">
        <x:v>3358</x:v>
      </x:c>
      <x:c r="G14" s="153" t="str">
        <x:v>Devuelve idVehiculo (PK/FK), CODIGO_VERIFICACION (campo documental, no PK), NUMERO_TITULO, FECHA_TITULO y registrales opcionales.</x:v>
      </x:c>
    </x:row>
    <x:row r="15" ht="49.20000076293945" customHeight="1">
      <x:c r="A15" s="202">
        <x:v>10</x:v>
      </x:c>
      <x:c r="B15" s="38" t="s">
        <x:v>33</x:v>
      </x:c>
      <x:c r="C15" s="37" t="s">
        <x:v>569</x:v>
      </x:c>
      <x:c r="D15" s="143" t="s">
        <x:v>319</x:v>
      </x:c>
      <x:c r="E15" s="142" t="s">
        <x:v>3326</x:v>
      </x:c>
      <x:c r="F15" s="143" t="str">
        <x:v>solicitarImagenTIVE(idVehiculo)</x:v>
      </x:c>
      <x:c r="G15" s="38" t="str">
        <x:v>En este escenario existe imagen: solicita por idVehiculo la referencia del archivo asociado a la misma TIVE, sin usar codigoVerificacion.</x:v>
      </x:c>
    </x:row>
    <x:row r="16" ht="49.20000076293945" customHeight="1">
      <x:c r="A16" s="201">
        <x:v>11</x:v>
      </x:c>
      <x:c r="B16" s="145" t="s">
        <x:v>33</x:v>
      </x:c>
      <x:c r="C16" s="148" t="s">
        <x:v>3326</x:v>
      </x:c>
      <x:c r="D16" s="150" t="s">
        <x:v>319</x:v>
      </x:c>
      <x:c r="E16" s="151" t="s">
        <x:v>3327</x:v>
      </x:c>
      <x:c r="F16" s="152" t="str">
        <x:v>consultarImagenPorIdVehiculo(idVehiculo)</x:v>
      </x:c>
      <x:c r="G16" s="153" t="str">
        <x:v>Busca la imagen cuyo vínculo estable es idVehiculo de la TIVE única. Cambios de código o correcciones autorizadas de VIN no rompen la consulta.</x:v>
      </x:c>
    </x:row>
    <x:row r="17" ht="49.20000076293945" customHeight="1">
      <x:c r="A17" s="201">
        <x:v>12</x:v>
      </x:c>
      <x:c r="B17" s="145" t="s">
        <x:v>33</x:v>
      </x:c>
      <x:c r="C17" s="148" t="s">
        <x:v>3327</x:v>
      </x:c>
      <x:c r="D17" s="150" t="s">
        <x:v>323</x:v>
      </x:c>
      <x:c r="E17" s="151" t="s">
        <x:v>3326</x:v>
      </x:c>
      <x:c r="F17" s="152" t="s">
        <x:v>3359</x:v>
      </x:c>
      <x:c r="G17" s="153" t="s">
        <x:v>3360</x:v>
      </x:c>
    </x:row>
    <x:row r="18" ht="49.20000076293945" customHeight="1">
      <x:c r="A18" s="203">
        <x:v>13</x:v>
      </x:c>
      <x:c r="B18" s="147" t="s">
        <x:v>33</x:v>
      </x:c>
      <x:c r="C18" s="149" t="s">
        <x:v>3326</x:v>
      </x:c>
      <x:c r="D18" s="150" t="s">
        <x:v>323</x:v>
      </x:c>
      <x:c r="E18" s="154" t="s">
        <x:v>569</x:v>
      </x:c>
      <x:c r="F18" s="155" t="s">
        <x:v>3361</x:v>
      </x:c>
      <x:c r="G18" s="156" t="s">
        <x:v>3362</x:v>
      </x:c>
    </x:row>
    <x:row r="19" ht="49.20000076293945" customHeight="1">
      <x:c r="A19" s="204">
        <x:v>14</x:v>
      </x:c>
      <x:c r="B19" s="170" t="s">
        <x:v>33</x:v>
      </x:c>
      <x:c r="C19" s="170" t="s">
        <x:v>569</x:v>
      </x:c>
      <x:c r="D19" s="170" t="s">
        <x:v>404</x:v>
      </x:c>
      <x:c r="E19" s="170" t="s">
        <x:v>569</x:v>
      </x:c>
      <x:c r="F19" s="170" t="s">
        <x:v>3363</x:v>
      </x:c>
      <x:c r="G19" s="170" t="s">
        <x:v>3364</x:v>
      </x:c>
    </x:row>
    <x:row r="20" ht="28.049999237060547" customHeight="1">
      <x:c r="A20" s="537" t="s">
        <x:v>3365</x:v>
      </x:c>
      <x:c r="B20" s="537"/>
      <x:c r="C20" s="537"/>
      <x:c r="D20" s="537"/>
      <x:c r="E20" s="537"/>
      <x:c r="F20" s="537"/>
      <x:c r="G20" s="537"/>
    </x:row>
    <x:row r="21" ht="49.20000076293945" customHeight="1">
      <x:c r="A21" s="204">
        <x:v>15</x:v>
      </x:c>
      <x:c r="B21" s="170" t="s">
        <x:v>63</x:v>
      </x:c>
      <x:c r="C21" s="170" t="s">
        <x:v>569</x:v>
      </x:c>
      <x:c r="D21" s="170" t="s">
        <x:v>319</x:v>
      </x:c>
      <x:c r="E21" s="170" t="s">
        <x:v>3366</x:v>
      </x:c>
      <x:c r="F21" s="170" t="s">
        <x:v>3367</x:v>
      </x:c>
      <x:c r="G21" s="170" t="s">
        <x:v>3368</x:v>
      </x:c>
    </x:row>
    <x:row r="22" ht="49.20000076293945" customHeight="1">
      <x:c r="A22" s="204">
        <x:v>16</x:v>
      </x:c>
      <x:c r="B22" s="170" t="s">
        <x:v>63</x:v>
      </x:c>
      <x:c r="C22" s="170" t="s">
        <x:v>3366</x:v>
      </x:c>
      <x:c r="D22" s="170" t="s">
        <x:v>319</x:v>
      </x:c>
      <x:c r="E22" s="170" t="s">
        <x:v>11</x:v>
      </x:c>
      <x:c r="F22" s="170" t="s">
        <x:v>3369</x:v>
      </x:c>
      <x:c r="G22" s="170" t="s">
        <x:v>3370</x:v>
      </x:c>
    </x:row>
    <x:row r="23" ht="28.049999237060547" customHeight="1">
      <x:c r="A23" s="537" t="s">
        <x:v>3371</x:v>
      </x:c>
      <x:c r="B23" s="537"/>
      <x:c r="C23" s="537"/>
      <x:c r="D23" s="537"/>
      <x:c r="E23" s="537"/>
      <x:c r="F23" s="537"/>
      <x:c r="G23" s="537"/>
    </x:row>
    <x:row r="24" ht="49.20000076293945" customHeight="1">
      <x:c r="A24" s="204">
        <x:v>17</x:v>
      </x:c>
      <x:c r="B24" s="170" t="s">
        <x:v>81</x:v>
      </x:c>
      <x:c r="C24" s="170" t="s">
        <x:v>11</x:v>
      </x:c>
      <x:c r="D24" s="170" t="s">
        <x:v>319</x:v>
      </x:c>
      <x:c r="E24" s="170" t="s">
        <x:v>3366</x:v>
      </x:c>
      <x:c r="F24" s="170" t="s">
        <x:v>3372</x:v>
      </x:c>
      <x:c r="G24" s="170" t="s">
        <x:v>3373</x:v>
      </x:c>
    </x:row>
    <x:row r="25" ht="49.20000076293945" customHeight="1">
      <x:c r="A25" s="204">
        <x:v>18</x:v>
      </x:c>
      <x:c r="B25" s="170" t="s">
        <x:v>81</x:v>
      </x:c>
      <x:c r="C25" s="170" t="s">
        <x:v>3366</x:v>
      </x:c>
      <x:c r="D25" s="170" t="s">
        <x:v>319</x:v>
      </x:c>
      <x:c r="E25" s="170" t="s">
        <x:v>167</x:v>
      </x:c>
      <x:c r="F25" s="170" t="s">
        <x:v>3374</x:v>
      </x:c>
      <x:c r="G25" s="170" t="s">
        <x:v>3375</x:v>
      </x:c>
    </x:row>
    <x:row r="26" ht="49.20000076293945" customHeight="1">
      <x:c r="A26" s="204">
        <x:v>19</x:v>
      </x:c>
      <x:c r="B26" s="170" t="s">
        <x:v>81</x:v>
      </x:c>
      <x:c r="C26" s="170" t="s">
        <x:v>3376</x:v>
      </x:c>
      <x:c r="D26" s="170" t="s">
        <x:v>319</x:v>
      </x:c>
      <x:c r="E26" s="170" t="s">
        <x:v>11</x:v>
      </x:c>
      <x:c r="F26" s="170" t="s">
        <x:v>3377</x:v>
      </x:c>
      <x:c r="G26" s="170" t="s">
        <x:v>3378</x:v>
      </x:c>
    </x:row>
    <x:row r="27" ht="49.20000076293945" customHeight="1">
      <x:c r="A27" s="204">
        <x:v>20</x:v>
      </x:c>
      <x:c r="B27" s="170" t="s">
        <x:v>81</x:v>
      </x:c>
      <x:c r="C27" s="170" t="s">
        <x:v>11</x:v>
      </x:c>
      <x:c r="D27" s="170" t="s">
        <x:v>319</x:v>
      </x:c>
      <x:c r="E27" s="170" t="s">
        <x:v>3376</x:v>
      </x:c>
      <x:c r="F27" s="170" t="s">
        <x:v>3379</x:v>
      </x:c>
      <x:c r="G27" s="170" t="s">
        <x:v>3380</x:v>
      </x:c>
    </x:row>
    <x:row r="28" ht="49.20000076293945" customHeight="1">
      <x:c r="A28" s="204">
        <x:v>21</x:v>
      </x:c>
      <x:c r="B28" s="170" t="s">
        <x:v>81</x:v>
      </x:c>
      <x:c r="C28" s="170" t="s">
        <x:v>3376</x:v>
      </x:c>
      <x:c r="D28" s="170" t="s">
        <x:v>319</x:v>
      </x:c>
      <x:c r="E28" s="170" t="s">
        <x:v>167</x:v>
      </x:c>
      <x:c r="F28" s="170" t="s">
        <x:v>3381</x:v>
      </x:c>
      <x:c r="G28" s="170" t="s">
        <x:v>3382</x:v>
      </x:c>
    </x:row>
    <x:row r="29" ht="49.20000076293945" customHeight="1">
      <x:c r="A29" s="204">
        <x:v>22</x:v>
      </x:c>
      <x:c r="B29" s="170" t="s">
        <x:v>81</x:v>
      </x:c>
      <x:c r="C29" s="170" t="s">
        <x:v>3366</x:v>
      </x:c>
      <x:c r="D29" s="170" t="s">
        <x:v>319</x:v>
      </x:c>
      <x:c r="E29" s="170" t="s">
        <x:v>11</x:v>
      </x:c>
      <x:c r="F29" s="170" t="s">
        <x:v>3383</x:v>
      </x:c>
      <x:c r="G29" s="170" t="s">
        <x:v>3384</x:v>
      </x:c>
    </x:row>
  </x:sheetData>
  <x:mergeCells>
    <x:mergeCell ref="A23:G23"/>
    <x:mergeCell ref="A1:G1"/>
    <x:mergeCell ref="A2:G2"/>
    <x:mergeCell ref="A4:G4"/>
    <x:mergeCell ref="A12:G12"/>
    <x:mergeCell ref="A20:G20"/>
  </x:mergeCells>
  <x:pageMargins left="0.7" right="0.7" top="0.75" bottom="0.75" header="0.3" footer="0.3"/>
</x:worksheet>
</file>

<file path=xl/worksheets/sheet53.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9" customWidth="1"/>
    <x:col min="2" max="2" width="14" customWidth="1"/>
    <x:col min="3" max="3" width="23" customWidth="1"/>
    <x:col min="4" max="4" width="18" customWidth="1"/>
    <x:col min="5" max="5" width="24" customWidth="1"/>
    <x:col min="6" max="6" width="46" customWidth="1"/>
    <x:col min="7" max="7" width="83" customWidth="1"/>
    <x:col min="8" max="8" width="58" hidden="0" customWidth="1"/>
  </x:cols>
  <x:sheetData>
    <x:row r="1" ht="34.20000076293945" customHeight="1">
      <x:c r="A1" s="538" t="s">
        <x:v>3385</x:v>
      </x:c>
      <x:c r="B1" s="538"/>
      <x:c r="C1" s="538"/>
      <x:c r="D1" s="538"/>
      <x:c r="E1" s="538"/>
      <x:c r="F1" s="538"/>
      <x:c r="G1" s="538"/>
    </x:row>
    <x:row r="2" ht="33" customHeight="1">
      <x:c r="A2" s="539" t="s">
        <x:v>3386</x:v>
      </x:c>
      <x:c r="B2" s="539"/>
      <x:c r="C2" s="539"/>
      <x:c r="D2" s="539"/>
      <x:c r="E2" s="539"/>
      <x:c r="F2" s="539"/>
      <x:c r="G2" s="539"/>
    </x:row>
    <x:row r="3" ht="28.049999237060547" customHeight="1">
      <x:c r="A3" s="198" t="s">
        <x:v>2</x:v>
      </x:c>
      <x:c r="B3" s="199" t="s">
        <x:v>3</x:v>
      </x:c>
      <x:c r="C3" s="199" t="s">
        <x:v>1268</x:v>
      </x:c>
      <x:c r="D3" s="199" t="s">
        <x:v>5</x:v>
      </x:c>
      <x:c r="E3" s="199" t="s">
        <x:v>1270</x:v>
      </x:c>
      <x:c r="F3" s="199" t="s">
        <x:v>7</x:v>
      </x:c>
      <x:c r="G3" s="200" t="s">
        <x:v>8</x:v>
      </x:c>
      <x:c r="H3" t="str">
        <x:v>CONDICIÓN RF65 (NO MVP)</x:v>
      </x:c>
    </x:row>
    <x:row r="4" ht="28.049999237060547" customHeight="1">
      <x:c r="A4" s="540" t="s">
        <x:v>3387</x:v>
      </x:c>
      <x:c r="B4" s="541"/>
      <x:c r="C4" s="542"/>
      <x:c r="D4" s="543"/>
      <x:c r="E4" s="540"/>
      <x:c r="F4" s="543"/>
      <x:c r="G4" s="541"/>
    </x:row>
    <x:row r="5" ht="49.20000076293945" customHeight="1">
      <x:c r="A5" s="201">
        <x:v>1</x:v>
      </x:c>
      <x:c r="B5" s="145" t="s">
        <x:v>10</x:v>
      </x:c>
      <x:c r="C5" s="148" t="s">
        <x:v>11</x:v>
      </x:c>
      <x:c r="D5" s="150" t="s">
        <x:v>319</x:v>
      </x:c>
      <x:c r="E5" s="151" t="s">
        <x:v>674</x:v>
      </x:c>
      <x:c r="F5" s="152" t="s">
        <x:v>3388</x:v>
      </x:c>
      <x:c r="G5" s="153" t="s">
        <x:v>3389</x:v>
      </x:c>
      <x:c r="H5" s="1071" t="str">
        <x:v>RF65 POST-MVP · CONDICIONADO A APROBACIÓN. TIVE: no permitir nuevas actualizaciones o archivos de vehículo ELIMINADO; retención por aprobar. Sin aprobación no aplicar filtros ni cambios de BD por RF65.</x:v>
      </x:c>
    </x:row>
    <x:row r="6" ht="49.20000076293945" customHeight="1">
      <x:c r="A6" s="201">
        <x:v>2</x:v>
      </x:c>
      <x:c r="B6" s="145" t="s">
        <x:v>10</x:v>
      </x:c>
      <x:c r="C6" s="148" t="s">
        <x:v>674</x:v>
      </x:c>
      <x:c r="D6" s="150" t="s">
        <x:v>319</x:v>
      </x:c>
      <x:c r="E6" s="151" t="s">
        <x:v>569</x:v>
      </x:c>
      <x:c r="F6" s="152" t="s">
        <x:v>3390</x:v>
      </x:c>
      <x:c r="G6" s="153" t="s">
        <x:v>3391</x:v>
      </x:c>
    </x:row>
    <x:row r="7" ht="49.20000076293945" customHeight="1">
      <x:c r="A7" s="201">
        <x:v>3</x:v>
      </x:c>
      <x:c r="B7" s="145" t="s">
        <x:v>10</x:v>
      </x:c>
      <x:c r="C7" s="148" t="s">
        <x:v>569</x:v>
      </x:c>
      <x:c r="D7" s="150" t="s">
        <x:v>319</x:v>
      </x:c>
      <x:c r="E7" s="151" t="s">
        <x:v>908</x:v>
      </x:c>
      <x:c r="F7" s="152" t="s">
        <x:v>2028</x:v>
      </x:c>
      <x:c r="G7" s="153" t="s">
        <x:v>3392</x:v>
      </x:c>
    </x:row>
    <x:row r="8" ht="49.20000076293945" customHeight="1">
      <x:c r="A8" s="201">
        <x:v>4</x:v>
      </x:c>
      <x:c r="B8" s="145" t="s">
        <x:v>10</x:v>
      </x:c>
      <x:c r="C8" s="148" t="s">
        <x:v>908</x:v>
      </x:c>
      <x:c r="D8" s="150" t="s">
        <x:v>319</x:v>
      </x:c>
      <x:c r="E8" s="151" t="s">
        <x:v>440</x:v>
      </x:c>
      <x:c r="F8" s="152" t="s">
        <x:v>630</x:v>
      </x:c>
      <x:c r="G8" s="153" t="s">
        <x:v>3393</x:v>
      </x:c>
    </x:row>
    <x:row r="9" ht="49.20000076293945" customHeight="1">
      <x:c r="A9" s="201">
        <x:v>5</x:v>
      </x:c>
      <x:c r="B9" s="145" t="s">
        <x:v>10</x:v>
      </x:c>
      <x:c r="C9" s="148" t="s">
        <x:v>440</x:v>
      </x:c>
      <x:c r="D9" s="150" t="s">
        <x:v>323</x:v>
      </x:c>
      <x:c r="E9" s="151" t="s">
        <x:v>908</x:v>
      </x:c>
      <x:c r="F9" s="152" t="s">
        <x:v>632</x:v>
      </x:c>
      <x:c r="G9" s="153" t="s">
        <x:v>3394</x:v>
      </x:c>
    </x:row>
    <x:row r="10" ht="49.20000076293945" customHeight="1">
      <x:c r="A10" s="201">
        <x:v>6</x:v>
      </x:c>
      <x:c r="B10" s="145" t="s">
        <x:v>10</x:v>
      </x:c>
      <x:c r="C10" s="148" t="s">
        <x:v>908</x:v>
      </x:c>
      <x:c r="D10" s="150" t="s">
        <x:v>404</x:v>
      </x:c>
      <x:c r="E10" s="151" t="s">
        <x:v>908</x:v>
      </x:c>
      <x:c r="F10" s="152" t="s">
        <x:v>2032</x:v>
      </x:c>
      <x:c r="G10" s="153" t="s">
        <x:v>3395</x:v>
      </x:c>
    </x:row>
    <x:row r="11" ht="49.20000076293945" customHeight="1">
      <x:c r="A11" s="201">
        <x:v>7</x:v>
      </x:c>
      <x:c r="B11" s="145" t="s">
        <x:v>10</x:v>
      </x:c>
      <x:c r="C11" s="148" t="s">
        <x:v>908</x:v>
      </x:c>
      <x:c r="D11" s="150" t="s">
        <x:v>323</x:v>
      </x:c>
      <x:c r="E11" s="151" t="s">
        <x:v>569</x:v>
      </x:c>
      <x:c r="F11" s="152" t="str">
        <x:v>retornarVehiculoActivo(idVehiculo,numeroVin,estadoVehiculo)</x:v>
      </x:c>
      <x:c r="G11" s="153" t="str">
        <x:v>Entrega idVehiculo (clave técnica), VIN vigente como dato de comprobación y autorización de edición.</x:v>
      </x:c>
    </x:row>
    <x:row r="12" ht="49.20000076293945" customHeight="1">
      <x:c r="A12" s="201">
        <x:v>8</x:v>
      </x:c>
      <x:c r="B12" s="145" t="s">
        <x:v>10</x:v>
      </x:c>
      <x:c r="C12" s="148" t="s">
        <x:v>569</x:v>
      </x:c>
      <x:c r="D12" s="150" t="s">
        <x:v>319</x:v>
      </x:c>
      <x:c r="E12" s="151" t="s">
        <x:v>572</x:v>
      </x:c>
      <x:c r="F12" s="152" t="str">
        <x:v>consultarTIVEPorIdVehiculo(idVehiculo)</x:v>
      </x:c>
      <x:c r="G12" s="153" t="str">
        <x:v>Obtiene la única TIVE del vehículo por TIVE.idVehiculo (PK/FK). CODIGO_VERIFICACION es campo editable de negocio, NO PK, y VIN no es FK.</x:v>
      </x:c>
    </x:row>
    <x:row r="13" ht="49.20000076293945" customHeight="1">
      <x:c r="A13" s="201">
        <x:v>9</x:v>
      </x:c>
      <x:c r="B13" s="145" t="s">
        <x:v>10</x:v>
      </x:c>
      <x:c r="C13" s="148" t="s">
        <x:v>572</x:v>
      </x:c>
      <x:c r="D13" s="150" t="s">
        <x:v>323</x:v>
      </x:c>
      <x:c r="E13" s="151" t="s">
        <x:v>569</x:v>
      </x:c>
      <x:c r="F13" s="152" t="s">
        <x:v>3396</x:v>
      </x:c>
      <x:c r="G13" s="153" t="s">
        <x:v>3397</x:v>
      </x:c>
    </x:row>
    <x:row r="14" ht="49.20000076293945" customHeight="1">
      <x:c r="A14" s="201">
        <x:v>10</x:v>
      </x:c>
      <x:c r="B14" s="145" t="s">
        <x:v>10</x:v>
      </x:c>
      <x:c r="C14" s="148" t="s">
        <x:v>569</x:v>
      </x:c>
      <x:c r="D14" s="150" t="s">
        <x:v>319</x:v>
      </x:c>
      <x:c r="E14" s="151" t="s">
        <x:v>3326</x:v>
      </x:c>
      <x:c r="F14" s="152" t="str">
        <x:v>solicitarImagenTIVEActual(idVehiculo)</x:v>
      </x:c>
      <x:c r="G14" s="153" t="str">
        <x:v>Solicita la imagen actualmente asociada con TIVE.idVehiculo; no usar codigoVerificacionAnterior como clave de la foto.</x:v>
      </x:c>
    </x:row>
    <x:row r="15" ht="49.20000076293945" customHeight="1">
      <x:c r="A15" s="201">
        <x:v>11</x:v>
      </x:c>
      <x:c r="B15" s="145" t="s">
        <x:v>10</x:v>
      </x:c>
      <x:c r="C15" s="148" t="s">
        <x:v>3326</x:v>
      </x:c>
      <x:c r="D15" s="150" t="s">
        <x:v>319</x:v>
      </x:c>
      <x:c r="E15" s="151" t="s">
        <x:v>3327</x:v>
      </x:c>
      <x:c r="F15" s="152" t="str">
        <x:v>consultarImagenPorIdVehiculo(idVehiculo)</x:v>
      </x:c>
      <x:c r="G15" s="153" t="str">
        <x:v>Consulta E_ImagenTIVE por idVehiculo (FK a TIVE), conservando la misma imagen si se modifica el código de verificación.</x:v>
      </x:c>
    </x:row>
    <x:row r="16" ht="49.20000076293945" customHeight="1">
      <x:c r="A16" s="202">
        <x:v>12</x:v>
      </x:c>
      <x:c r="B16" s="38" t="s">
        <x:v>10</x:v>
      </x:c>
      <x:c r="C16" s="37" t="s">
        <x:v>3327</x:v>
      </x:c>
      <x:c r="D16" s="143" t="s">
        <x:v>323</x:v>
      </x:c>
      <x:c r="E16" s="142" t="s">
        <x:v>3326</x:v>
      </x:c>
      <x:c r="F16" s="143" t="s">
        <x:v>3398</x:v>
      </x:c>
      <x:c r="G16" s="38" t="s">
        <x:v>3399</x:v>
      </x:c>
    </x:row>
    <x:row r="17" ht="49.20000076293945" customHeight="1">
      <x:c r="A17" s="201">
        <x:v>13</x:v>
      </x:c>
      <x:c r="B17" s="145" t="s">
        <x:v>10</x:v>
      </x:c>
      <x:c r="C17" s="148" t="s">
        <x:v>3326</x:v>
      </x:c>
      <x:c r="D17" s="150" t="s">
        <x:v>323</x:v>
      </x:c>
      <x:c r="E17" s="151" t="s">
        <x:v>569</x:v>
      </x:c>
      <x:c r="F17" s="152" t="s">
        <x:v>3400</x:v>
      </x:c>
      <x:c r="G17" s="153" t="s">
        <x:v>3401</x:v>
      </x:c>
    </x:row>
    <x:row r="18" ht="49.20000076293945" customHeight="1">
      <x:c r="A18" s="201">
        <x:v>14</x:v>
      </x:c>
      <x:c r="B18" s="145" t="s">
        <x:v>10</x:v>
      </x:c>
      <x:c r="C18" s="148" t="s">
        <x:v>569</x:v>
      </x:c>
      <x:c r="D18" s="150" t="s">
        <x:v>319</x:v>
      </x:c>
      <x:c r="E18" s="151" t="s">
        <x:v>3402</x:v>
      </x:c>
      <x:c r="F18" s="152" t="s">
        <x:v>3403</x:v>
      </x:c>
      <x:c r="G18" s="153" t="str">
        <x:v>El formulario permite modificar datos documentales autorizados (número de título, código de verificación, fecha de título, datos registrales), pero NO placa ni VIN del vehículo. Una discrepancia de VIN requiere solicitud a Soporte y revisión de evidencia, fuera de RF56.</x:v>
      </x:c>
    </x:row>
    <x:row r="19" ht="49.20000076293945" customHeight="1">
      <x:c r="A19" s="201">
        <x:v>15</x:v>
      </x:c>
      <x:c r="B19" s="145" t="s">
        <x:v>10</x:v>
      </x:c>
      <x:c r="C19" s="148" t="s">
        <x:v>3402</x:v>
      </x:c>
      <x:c r="D19" s="150" t="s">
        <x:v>319</x:v>
      </x:c>
      <x:c r="E19" s="151" t="s">
        <x:v>11</x:v>
      </x:c>
      <x:c r="F19" s="152" t="s">
        <x:v>3404</x:v>
      </x:c>
      <x:c r="G19" s="153" t="s">
        <x:v>3405</x:v>
      </x:c>
    </x:row>
    <x:row r="20" ht="28.049999237060547" customHeight="1">
      <x:c r="A20" s="530" t="s">
        <x:v>3406</x:v>
      </x:c>
      <x:c r="B20" s="531"/>
      <x:c r="C20" s="532"/>
      <x:c r="D20" s="533"/>
      <x:c r="E20" s="534"/>
      <x:c r="F20" s="535"/>
      <x:c r="G20" s="536"/>
    </x:row>
    <x:row r="21" ht="49.20000076293945" customHeight="1">
      <x:c r="A21" s="201">
        <x:v>16</x:v>
      </x:c>
      <x:c r="B21" s="145" t="s">
        <x:v>33</x:v>
      </x:c>
      <x:c r="C21" s="148" t="s">
        <x:v>11</x:v>
      </x:c>
      <x:c r="D21" s="150" t="s">
        <x:v>319</x:v>
      </x:c>
      <x:c r="E21" s="151" t="s">
        <x:v>3402</x:v>
      </x:c>
      <x:c r="F21" s="152" t="s">
        <x:v>3407</x:v>
      </x:c>
      <x:c r="G21" s="153" t="s">
        <x:v>3408</x:v>
      </x:c>
    </x:row>
    <x:row r="22" ht="49.20000076293945" customHeight="1">
      <x:c r="A22" s="201">
        <x:v>17</x:v>
      </x:c>
      <x:c r="B22" s="145" t="s">
        <x:v>33</x:v>
      </x:c>
      <x:c r="C22" s="148" t="s">
        <x:v>3402</x:v>
      </x:c>
      <x:c r="D22" s="150" t="s">
        <x:v>319</x:v>
      </x:c>
      <x:c r="E22" s="151" t="s">
        <x:v>11</x:v>
      </x:c>
      <x:c r="F22" s="152" t="s">
        <x:v>3409</x:v>
      </x:c>
      <x:c r="G22" s="153" t="s">
        <x:v>3410</x:v>
      </x:c>
    </x:row>
    <x:row r="23" ht="49.20000076293945" customHeight="1">
      <x:c r="A23" s="201">
        <x:v>18</x:v>
      </x:c>
      <x:c r="B23" s="145" t="s">
        <x:v>33</x:v>
      </x:c>
      <x:c r="C23" s="148" t="s">
        <x:v>11</x:v>
      </x:c>
      <x:c r="D23" s="150" t="s">
        <x:v>319</x:v>
      </x:c>
      <x:c r="E23" s="151" t="s">
        <x:v>3402</x:v>
      </x:c>
      <x:c r="F23" s="152" t="s">
        <x:v>708</x:v>
      </x:c>
      <x:c r="G23" s="153" t="s">
        <x:v>3411</x:v>
      </x:c>
    </x:row>
    <x:row r="24" ht="28.049999237060547" customHeight="1">
      <x:c r="A24" s="540" t="s">
        <x:v>3412</x:v>
      </x:c>
      <x:c r="B24" s="541"/>
      <x:c r="C24" s="542"/>
      <x:c r="D24" s="543"/>
      <x:c r="E24" s="540"/>
      <x:c r="F24" s="543"/>
      <x:c r="G24" s="541"/>
    </x:row>
    <x:row r="25" ht="49.20000076293945" customHeight="1">
      <x:c r="A25" s="201">
        <x:v>19</x:v>
      </x:c>
      <x:c r="B25" s="145" t="s">
        <x:v>63</x:v>
      </x:c>
      <x:c r="C25" s="148" t="s">
        <x:v>3402</x:v>
      </x:c>
      <x:c r="D25" s="150" t="s">
        <x:v>319</x:v>
      </x:c>
      <x:c r="E25" s="151" t="s">
        <x:v>569</x:v>
      </x:c>
      <x:c r="F25" s="152" t="s">
        <x:v>3413</x:v>
      </x:c>
      <x:c r="G25" s="153" t="s">
        <x:v>3414</x:v>
      </x:c>
    </x:row>
    <x:row r="26" ht="49.20000076293945" customHeight="1">
      <x:c r="A26" s="201">
        <x:v>20</x:v>
      </x:c>
      <x:c r="B26" s="145" t="s">
        <x:v>63</x:v>
      </x:c>
      <x:c r="C26" s="148" t="s">
        <x:v>569</x:v>
      </x:c>
      <x:c r="D26" s="150" t="s">
        <x:v>404</x:v>
      </x:c>
      <x:c r="E26" s="151" t="s">
        <x:v>569</x:v>
      </x:c>
      <x:c r="F26" s="152" t="s">
        <x:v>3415</x:v>
      </x:c>
      <x:c r="G26" s="153" t="s">
        <x:v>3416</x:v>
      </x:c>
    </x:row>
    <x:row r="27" ht="49.20000076293945" customHeight="1">
      <x:c r="A27" s="201">
        <x:v>21</x:v>
      </x:c>
      <x:c r="B27" s="145" t="s">
        <x:v>63</x:v>
      </x:c>
      <x:c r="C27" s="148" t="s">
        <x:v>569</x:v>
      </x:c>
      <x:c r="D27" s="150" t="s">
        <x:v>404</x:v>
      </x:c>
      <x:c r="E27" s="151" t="s">
        <x:v>569</x:v>
      </x:c>
      <x:c r="F27" s="152" t="s">
        <x:v>3319</x:v>
      </x:c>
      <x:c r="G27" s="153" t="s">
        <x:v>3417</x:v>
      </x:c>
    </x:row>
    <x:row r="28" ht="49.20000076293945" customHeight="1">
      <x:c r="A28" s="201">
        <x:v>22</x:v>
      </x:c>
      <x:c r="B28" s="145" t="s">
        <x:v>63</x:v>
      </x:c>
      <x:c r="C28" s="148" t="s">
        <x:v>569</x:v>
      </x:c>
      <x:c r="D28" s="150" t="s">
        <x:v>319</x:v>
      </x:c>
      <x:c r="E28" s="151" t="s">
        <x:v>572</x:v>
      </x:c>
      <x:c r="F28" s="152" t="str">
        <x:v>consultarCoincidenciasDocumentalesExcluyendoActual(idVehiculo,codigoVerificacion,numeroTitulo)</x:v>
      </x:c>
      <x:c r="G28" s="153" t="str">
        <x:v>Compara numeroTitulo y codigoVerificacion con otras TIVE excluyendo idVehiculo actual; las coincidencias se registran para control y no equivalen por sí mismas a duplicidad oficial. Hasta verificar identificadores ante fuente autorizada, NO fijar UNIQUE global por estos dos atributos. VIN y placa no se editan desde RF56.</x:v>
      </x:c>
    </x:row>
    <x:row r="29" ht="49.20000076293945" customHeight="1">
      <x:c r="A29" s="202">
        <x:v>23</x:v>
      </x:c>
      <x:c r="B29" s="38" t="s">
        <x:v>63</x:v>
      </x:c>
      <x:c r="C29" s="37" t="s">
        <x:v>572</x:v>
      </x:c>
      <x:c r="D29" s="143" t="s">
        <x:v>323</x:v>
      </x:c>
      <x:c r="E29" s="142" t="s">
        <x:v>569</x:v>
      </x:c>
      <x:c r="F29" s="143" t="str">
        <x:v>retornarCoincidenciasDocumentales(resultadoConsulta)</x:v>
      </x:c>
      <x:c r="G29" s="38" t="str">
        <x:v>Devuelve el resultado de coincidencias; en el escenario exitoso el documento ya superó las validaciones locales de campos. Unicidad garantizada mediante TIVE.idVehiculo; requisitos de unicidad adicional quedan pendientes de certificación.</x:v>
      </x:c>
    </x:row>
    <x:row r="30" ht="49.20000076293945" customHeight="1">
      <x:c r="A30" s="201">
        <x:v>24</x:v>
      </x:c>
      <x:c r="B30" s="145" t="s">
        <x:v>63</x:v>
      </x:c>
      <x:c r="C30" s="148" t="s">
        <x:v>569</x:v>
      </x:c>
      <x:c r="D30" s="150" t="s">
        <x:v>404</x:v>
      </x:c>
      <x:c r="E30" s="151" t="s">
        <x:v>569</x:v>
      </x:c>
      <x:c r="F30" s="152" t="s">
        <x:v>3418</x:v>
      </x:c>
      <x:c r="G30" s="153" t="str">
        <x:v>Prepara UPDATE de la única TIVE localizable por idVehiculo (PK/FK), sin insertar versiones. Cambiar CODIGO_VERIFICACION no exige modificar la referencia de E_ImagenTIVE porque la imagen depende de idVehiculo; conserva codigoAnterior únicamente como token de concurrencia/versión. VIN solo puede corregirse mediante un procedimiento controlado distinto de RF11.</x:v>
      </x:c>
    </x:row>
    <x:row r="31" ht="28.049999237060547" customHeight="1">
      <x:c r="A31" s="530" t="str">
        <x:v>BLOQUE 4 · Actualizar la TIVE única sin historial de versiones (Pasos 25–26)</x:v>
      </x:c>
      <x:c r="B31" s="531"/>
      <x:c r="C31" s="532"/>
      <x:c r="D31" s="533"/>
      <x:c r="E31" s="534"/>
      <x:c r="F31" s="535"/>
      <x:c r="G31" s="536"/>
    </x:row>
    <x:row r="32" ht="49.20000076293945" customHeight="1">
      <x:c r="A32" s="201">
        <x:v>25</x:v>
      </x:c>
      <x:c r="B32" s="145" t="s">
        <x:v>81</x:v>
      </x:c>
      <x:c r="C32" s="148" t="s">
        <x:v>569</x:v>
      </x:c>
      <x:c r="D32" s="150" t="s">
        <x:v>319</x:v>
      </x:c>
      <x:c r="E32" s="151" t="s">
        <x:v>572</x:v>
      </x:c>
      <x:c r="F32" s="152" t="str">
        <x:v>actualizarTIVEUnicaPorIdVehiculo(idVehiculo,codigoAnterior,datosConsolidados)</x:v>
      </x:c>
      <x:c r="G32" s="153" t="str">
        <x:v>Dentro de UNA transacción, bloquear/revalidar idVehiculo propietario y ACTIVO, VIN requerido y TIVE existente; validar campos y registrar coincidencias documentales para revisión (sin imponer UNIQUE no confirmado) y el codigoAnterior/versión para detectar edición concurrente. UPDATE TIVE WHERE idVehiculo=? sin INSERT de historial. Imagen referenciada por idVehiculo queda INTACTA aunque cambie codigoVerificacion. COMMIT único; ROLLBACK sin mostrar éxito ante fallo.</x:v>
      </x:c>
    </x:row>
    <x:row r="33" ht="49.20000076293945" customHeight="1">
      <x:c r="A33" s="201">
        <x:v>26</x:v>
      </x:c>
      <x:c r="B33" s="145" t="s">
        <x:v>81</x:v>
      </x:c>
      <x:c r="C33" s="148" t="s">
        <x:v>572</x:v>
      </x:c>
      <x:c r="D33" s="150" t="s">
        <x:v>323</x:v>
      </x:c>
      <x:c r="E33" s="151" t="s">
        <x:v>569</x:v>
      </x:c>
      <x:c r="F33" s="152" t="s">
        <x:v>3419</x:v>
      </x:c>
      <x:c r="G33" s="153" t="str">
        <x:v>Tras COMMIT devuelve los datos finales de la TIVE de idVehiculo. El cambio del código de verificación no requiere migrar ni regrabar la imagen, ya que la FK es idVehiculo.</x:v>
      </x:c>
    </x:row>
    <x:row r="34" ht="28.049999237060547" customHeight="1">
      <x:c r="A34" s="530" t="s">
        <x:v>3420</x:v>
      </x:c>
      <x:c r="B34" s="531"/>
      <x:c r="C34" s="532"/>
      <x:c r="D34" s="533"/>
      <x:c r="E34" s="534"/>
      <x:c r="F34" s="535"/>
      <x:c r="G34" s="536"/>
    </x:row>
    <x:row r="35" ht="49.20000076293945" customHeight="1">
      <x:c r="A35" s="201">
        <x:v>27</x:v>
      </x:c>
      <x:c r="B35" s="145" t="s">
        <x:v>110</x:v>
      </x:c>
      <x:c r="C35" s="148" t="s">
        <x:v>569</x:v>
      </x:c>
      <x:c r="D35" s="150" t="s">
        <x:v>319</x:v>
      </x:c>
      <x:c r="E35" s="151" t="s">
        <x:v>3421</x:v>
      </x:c>
      <x:c r="F35" s="152" t="s">
        <x:v>3422</x:v>
      </x:c>
      <x:c r="G35" s="153" t="s">
        <x:v>3423</x:v>
      </x:c>
    </x:row>
    <x:row r="36" ht="49.20000076293945" customHeight="1">
      <x:c r="A36" s="201">
        <x:v>28</x:v>
      </x:c>
      <x:c r="B36" s="145" t="s">
        <x:v>110</x:v>
      </x:c>
      <x:c r="C36" s="148" t="s">
        <x:v>3421</x:v>
      </x:c>
      <x:c r="D36" s="150" t="s">
        <x:v>319</x:v>
      </x:c>
      <x:c r="E36" s="151" t="s">
        <x:v>11</x:v>
      </x:c>
      <x:c r="F36" s="152" t="s">
        <x:v>3424</x:v>
      </x:c>
      <x:c r="G36" s="153" t="s">
        <x:v>3425</x:v>
      </x:c>
    </x:row>
    <x:row r="37" ht="49.20000076293945" customHeight="1">
      <x:c r="A37" s="203">
        <x:v>29</x:v>
      </x:c>
      <x:c r="B37" s="147" t="s">
        <x:v>110</x:v>
      </x:c>
      <x:c r="C37" s="149" t="s">
        <x:v>11</x:v>
      </x:c>
      <x:c r="D37" s="150" t="s">
        <x:v>319</x:v>
      </x:c>
      <x:c r="E37" s="154" t="s">
        <x:v>3421</x:v>
      </x:c>
      <x:c r="F37" s="155" t="s">
        <x:v>3426</x:v>
      </x:c>
      <x:c r="G37" s="156" t="s">
        <x:v>3427</x:v>
      </x:c>
    </x:row>
    <x:row r="38" ht="49.20000076293945" customHeight="1">
      <x:c r="A38" s="204">
        <x:v>30</x:v>
      </x:c>
      <x:c r="B38" s="170" t="s">
        <x:v>110</x:v>
      </x:c>
      <x:c r="C38" s="170" t="s">
        <x:v>3421</x:v>
      </x:c>
      <x:c r="D38" s="170" t="s">
        <x:v>319</x:v>
      </x:c>
      <x:c r="E38" s="170" t="s">
        <x:v>569</x:v>
      </x:c>
      <x:c r="F38" s="170" t="s">
        <x:v>3428</x:v>
      </x:c>
      <x:c r="G38" s="170" t="s">
        <x:v>3429</x:v>
      </x:c>
    </x:row>
    <x:row r="39" ht="49.20000076293945" customHeight="1">
      <x:c r="A39" s="204">
        <x:v>31</x:v>
      </x:c>
      <x:c r="B39" s="170" t="s">
        <x:v>110</x:v>
      </x:c>
      <x:c r="C39" s="170" t="s">
        <x:v>569</x:v>
      </x:c>
      <x:c r="D39" s="170" t="s">
        <x:v>319</x:v>
      </x:c>
      <x:c r="E39" s="170" t="s">
        <x:v>572</x:v>
      </x:c>
      <x:c r="F39" s="170" t="str">
        <x:v>consultarTIVEPorIdVehiculo(idVehiculo)</x:v>
      </x:c>
      <x:c r="G39" s="170" t="str">
        <x:v>Relee la TIVE vigente mediante idVehiculo después de guardar para evitar datos desactualizados; no busca por VIN.</x:v>
      </x:c>
    </x:row>
    <x:row r="40" ht="49.20000076293945" customHeight="1">
      <x:c r="A40" s="204">
        <x:v>32</x:v>
      </x:c>
      <x:c r="B40" s="170" t="s">
        <x:v>110</x:v>
      </x:c>
      <x:c r="C40" s="170" t="s">
        <x:v>572</x:v>
      </x:c>
      <x:c r="D40" s="170" t="s">
        <x:v>323</x:v>
      </x:c>
      <x:c r="E40" s="170" t="s">
        <x:v>569</x:v>
      </x:c>
      <x:c r="F40" s="170" t="s">
        <x:v>3430</x:v>
      </x:c>
      <x:c r="G40" s="170" t="s">
        <x:v>3431</x:v>
      </x:c>
    </x:row>
    <x:row r="41" ht="49.20000076293945" customHeight="1">
      <x:c r="A41" s="204">
        <x:v>33</x:v>
      </x:c>
      <x:c r="B41" s="170" t="s">
        <x:v>110</x:v>
      </x:c>
      <x:c r="C41" s="170" t="s">
        <x:v>569</x:v>
      </x:c>
      <x:c r="D41" s="170" t="s">
        <x:v>319</x:v>
      </x:c>
      <x:c r="E41" s="170" t="s">
        <x:v>3326</x:v>
      </x:c>
      <x:c r="F41" s="170" t="str">
        <x:v>solicitarImagenTIVEActual(idVehiculo)</x:v>
      </x:c>
      <x:c r="G41" s="170" t="str">
        <x:v>Solicita foto de la misma TIVE por idVehiculo; conserva la asociación aunque el código de verificación haya cambiado.</x:v>
      </x:c>
    </x:row>
    <x:row r="42" ht="49.20000076293945" customHeight="1">
      <x:c r="A42" s="204">
        <x:v>34</x:v>
      </x:c>
      <x:c r="B42" s="170" t="s">
        <x:v>110</x:v>
      </x:c>
      <x:c r="C42" s="170" t="s">
        <x:v>3326</x:v>
      </x:c>
      <x:c r="D42" s="170" t="s">
        <x:v>319</x:v>
      </x:c>
      <x:c r="E42" s="170" t="s">
        <x:v>3327</x:v>
      </x:c>
      <x:c r="F42" s="170" t="str">
        <x:v>consultarImagenPorIdVehiculo(idVehiculo)</x:v>
      </x:c>
      <x:c r="G42" s="170" t="str">
        <x:v>Localiza la referencia por idVehiculo (FK a TIVE), sin buscar por codigoVerificacion.</x:v>
      </x:c>
    </x:row>
    <x:row r="43" ht="49.20000076293945" customHeight="1">
      <x:c r="A43" s="204">
        <x:v>35</x:v>
      </x:c>
      <x:c r="B43" s="170" t="s">
        <x:v>110</x:v>
      </x:c>
      <x:c r="C43" s="170" t="s">
        <x:v>3327</x:v>
      </x:c>
      <x:c r="D43" s="170" t="s">
        <x:v>323</x:v>
      </x:c>
      <x:c r="E43" s="170" t="s">
        <x:v>3326</x:v>
      </x:c>
      <x:c r="F43" s="170" t="s">
        <x:v>3398</x:v>
      </x:c>
      <x:c r="G43" s="170" t="s">
        <x:v>3432</x:v>
      </x:c>
    </x:row>
    <x:row r="44" ht="49.20000076293945" customHeight="1">
      <x:c r="A44" s="204">
        <x:v>36</x:v>
      </x:c>
      <x:c r="B44" s="170" t="s">
        <x:v>110</x:v>
      </x:c>
      <x:c r="C44" s="170" t="s">
        <x:v>3326</x:v>
      </x:c>
      <x:c r="D44" s="170" t="s">
        <x:v>323</x:v>
      </x:c>
      <x:c r="E44" s="170" t="s">
        <x:v>569</x:v>
      </x:c>
      <x:c r="F44" s="170" t="s">
        <x:v>3398</x:v>
      </x:c>
      <x:c r="G44" s="170" t="s">
        <x:v>3433</x:v>
      </x:c>
    </x:row>
    <x:row r="45" ht="49.20000076293945" customHeight="1">
      <x:c r="A45" s="204">
        <x:v>37</x:v>
      </x:c>
      <x:c r="B45" s="170" t="s">
        <x:v>110</x:v>
      </x:c>
      <x:c r="C45" s="170" t="s">
        <x:v>569</x:v>
      </x:c>
      <x:c r="D45" s="170" t="s">
        <x:v>319</x:v>
      </x:c>
      <x:c r="E45" s="170" t="s">
        <x:v>3366</x:v>
      </x:c>
      <x:c r="F45" s="170" t="s">
        <x:v>3434</x:v>
      </x:c>
      <x:c r="G45" s="170" t="s">
        <x:v>3435</x:v>
      </x:c>
    </x:row>
    <x:row r="46" ht="49.20000076293945" customHeight="1">
      <x:c r="A46" s="204">
        <x:v>38</x:v>
      </x:c>
      <x:c r="B46" s="170" t="s">
        <x:v>110</x:v>
      </x:c>
      <x:c r="C46" s="170" t="s">
        <x:v>3366</x:v>
      </x:c>
      <x:c r="D46" s="170" t="s">
        <x:v>319</x:v>
      </x:c>
      <x:c r="E46" s="170" t="s">
        <x:v>11</x:v>
      </x:c>
      <x:c r="F46" s="170" t="s">
        <x:v>3436</x:v>
      </x:c>
      <x:c r="G46" s="170" t="s">
        <x:v>3437</x:v>
      </x:c>
    </x:row>
  </x:sheetData>
  <x:mergeCells>
    <x:mergeCell ref="A31:G31"/>
    <x:mergeCell ref="A34:G34"/>
    <x:mergeCell ref="A1:G1"/>
    <x:mergeCell ref="A2:G2"/>
    <x:mergeCell ref="A4:G4"/>
    <x:mergeCell ref="A20:G20"/>
    <x:mergeCell ref="A24:G24"/>
  </x:mergeCells>
  <x:pageMargins left="0.7" right="0.7" top="0.75" bottom="0.75" header="0.3" footer="0.3"/>
</x:worksheet>
</file>

<file path=xl/worksheets/sheet54.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3438</x:v>
      </x:c>
      <x:c r="B1" s="544"/>
      <x:c r="C1" s="544"/>
      <x:c r="D1" s="544"/>
      <x:c r="E1" s="544"/>
      <x:c r="F1" s="544"/>
      <x:c r="G1" s="544"/>
    </x:row>
    <x:row r="2" ht="40.95000076293945" customHeight="1">
      <x:c r="A2" s="545" t="s">
        <x:v>3439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3442</x:v>
      </x:c>
      <x:c r="B4" s="546"/>
      <x:c r="C4" s="546"/>
      <x:c r="D4" s="546"/>
      <x:c r="E4" s="546"/>
      <x:c r="F4" s="546"/>
      <x:c r="G4" s="546"/>
    </x:row>
    <x:row r="5" ht="34.95000076293945" customHeight="1">
      <x:c r="A5" s="280">
        <x:v>1</x:v>
      </x:c>
      <x:c r="B5" s="280" t="s">
        <x:v>10</x:v>
      </x:c>
      <x:c r="C5" s="280" t="s">
        <x:v>3443</x:v>
      </x:c>
      <x:c r="D5" s="280" t="s">
        <x:v>319</x:v>
      </x:c>
      <x:c r="E5" s="280" t="s">
        <x:v>22</x:v>
      </x:c>
      <x:c r="F5" s="280" t="s">
        <x:v>3444</x:v>
      </x:c>
      <x:c r="G5" s="280" t="s">
        <x:v>3445</x:v>
      </x:c>
    </x:row>
    <x:row r="6" ht="34.95000076293945" customHeight="1">
      <x:c r="A6" s="281">
        <x:v>2</x:v>
      </x:c>
      <x:c r="B6" s="281" t="s">
        <x:v>10</x:v>
      </x:c>
      <x:c r="C6" s="281" t="s">
        <x:v>3443</x:v>
      </x:c>
      <x:c r="D6" s="281" t="s">
        <x:v>319</x:v>
      </x:c>
      <x:c r="E6" s="281" t="s">
        <x:v>22</x:v>
      </x:c>
      <x:c r="F6" s="281" t="s">
        <x:v>3446</x:v>
      </x:c>
      <x:c r="G6" s="281" t="s">
        <x:v>3447</x:v>
      </x:c>
    </x:row>
    <x:row r="7" ht="34.95000076293945" customHeight="1">
      <x:c r="A7" s="280">
        <x:v>3</x:v>
      </x:c>
      <x:c r="B7" s="280" t="s">
        <x:v>10</x:v>
      </x:c>
      <x:c r="C7" s="280" t="s">
        <x:v>22</x:v>
      </x:c>
      <x:c r="D7" s="280" t="s">
        <x:v>319</x:v>
      </x:c>
      <x:c r="E7" s="280" t="s">
        <x:v>16</x:v>
      </x:c>
      <x:c r="F7" s="280" t="s">
        <x:v>3448</x:v>
      </x:c>
      <x:c r="G7" s="280" t="s">
        <x:v>3449</x:v>
      </x:c>
    </x:row>
    <x:row r="8" ht="34.95000076293945" customHeight="1">
      <x:c r="A8" s="281">
        <x:v>4</x:v>
      </x:c>
      <x:c r="B8" s="281" t="s">
        <x:v>10</x:v>
      </x:c>
      <x:c r="C8" s="281" t="s">
        <x:v>16</x:v>
      </x:c>
      <x:c r="D8" s="281" t="s">
        <x:v>319</x:v>
      </x:c>
      <x:c r="E8" s="281" t="s">
        <x:v>50</x:v>
      </x:c>
      <x:c r="F8" s="281" t="s">
        <x:v>3450</x:v>
      </x:c>
      <x:c r="G8" s="281" t="s">
        <x:v>3451</x:v>
      </x:c>
    </x:row>
    <x:row r="9" ht="34.95000076293945" customHeight="1">
      <x:c r="A9" s="280">
        <x:v>5</x:v>
      </x:c>
      <x:c r="B9" s="280" t="s">
        <x:v>10</x:v>
      </x:c>
      <x:c r="C9" s="280" t="s">
        <x:v>50</x:v>
      </x:c>
      <x:c r="D9" s="280" t="s">
        <x:v>3452</x:v>
      </x:c>
      <x:c r="E9" s="280" t="s">
        <x:v>16</x:v>
      </x:c>
      <x:c r="F9" s="280" t="s">
        <x:v>3453</x:v>
      </x:c>
      <x:c r="G9" s="280" t="s">
        <x:v>3454</x:v>
      </x:c>
    </x:row>
    <x:row r="10" ht="34.95000076293945" customHeight="1">
      <x:c r="A10" s="281">
        <x:v>6</x:v>
      </x:c>
      <x:c r="B10" s="281" t="s">
        <x:v>10</x:v>
      </x:c>
      <x:c r="C10" s="281" t="s">
        <x:v>16</x:v>
      </x:c>
      <x:c r="D10" s="281" t="s">
        <x:v>404</x:v>
      </x:c>
      <x:c r="E10" s="281" t="s">
        <x:v>16</x:v>
      </x:c>
      <x:c r="F10" s="281" t="s">
        <x:v>3455</x:v>
      </x:c>
      <x:c r="G10" s="281" t="s">
        <x:v>3456</x:v>
      </x:c>
    </x:row>
    <x:row r="11" ht="25.799999237060547" customHeight="1">
      <x:c r="A11" s="546" t="s">
        <x:v>3457</x:v>
      </x:c>
      <x:c r="B11" s="546"/>
      <x:c r="C11" s="546"/>
      <x:c r="D11" s="546"/>
      <x:c r="E11" s="546"/>
      <x:c r="F11" s="546"/>
      <x:c r="G11" s="546"/>
    </x:row>
    <x:row r="12" ht="34.95000076293945" customHeight="1">
      <x:c r="A12" s="281">
        <x:v>7</x:v>
      </x:c>
      <x:c r="B12" s="281" t="s">
        <x:v>33</x:v>
      </x:c>
      <x:c r="C12" s="281" t="s">
        <x:v>16</x:v>
      </x:c>
      <x:c r="D12" s="281" t="s">
        <x:v>319</x:v>
      </x:c>
      <x:c r="E12" s="281" t="s">
        <x:v>3458</x:v>
      </x:c>
      <x:c r="F12" s="281" t="s">
        <x:v>3459</x:v>
      </x:c>
      <x:c r="G12" s="281" t="s">
        <x:v>3460</x:v>
      </x:c>
    </x:row>
    <x:row r="13" ht="34.95000076293945" customHeight="1">
      <x:c r="A13" s="280">
        <x:v>8</x:v>
      </x:c>
      <x:c r="B13" s="280" t="s">
        <x:v>33</x:v>
      </x:c>
      <x:c r="C13" s="280" t="s">
        <x:v>3458</x:v>
      </x:c>
      <x:c r="D13" s="280" t="s">
        <x:v>319</x:v>
      </x:c>
      <x:c r="E13" s="280" t="s">
        <x:v>50</x:v>
      </x:c>
      <x:c r="F13" s="280" t="s">
        <x:v>3461</x:v>
      </x:c>
      <x:c r="G13" s="280" t="s">
        <x:v>3462</x:v>
      </x:c>
    </x:row>
    <x:row r="14" ht="34.95000076293945" customHeight="1">
      <x:c r="A14" s="281">
        <x:v>9</x:v>
      </x:c>
      <x:c r="B14" s="281" t="s">
        <x:v>33</x:v>
      </x:c>
      <x:c r="C14" s="281" t="s">
        <x:v>50</x:v>
      </x:c>
      <x:c r="D14" s="281" t="s">
        <x:v>3452</x:v>
      </x:c>
      <x:c r="E14" s="281" t="s">
        <x:v>3458</x:v>
      </x:c>
      <x:c r="F14" s="281" t="s">
        <x:v>3463</x:v>
      </x:c>
      <x:c r="G14" s="281" t="s">
        <x:v>3464</x:v>
      </x:c>
    </x:row>
    <x:row r="15" ht="34.95000076293945" customHeight="1">
      <x:c r="A15" s="280">
        <x:v>10</x:v>
      </x:c>
      <x:c r="B15" s="280" t="s">
        <x:v>33</x:v>
      </x:c>
      <x:c r="C15" s="280" t="s">
        <x:v>3458</x:v>
      </x:c>
      <x:c r="D15" s="280" t="s">
        <x:v>3452</x:v>
      </x:c>
      <x:c r="E15" s="280" t="s">
        <x:v>16</x:v>
      </x:c>
      <x:c r="F15" s="280" t="s">
        <x:v>3465</x:v>
      </x:c>
      <x:c r="G15" s="280" t="s">
        <x:v>3466</x:v>
      </x:c>
    </x:row>
    <x:row r="16" ht="34.95000076293945" customHeight="1">
      <x:c r="A16" s="281">
        <x:v>11</x:v>
      </x:c>
      <x:c r="B16" s="281" t="s">
        <x:v>33</x:v>
      </x:c>
      <x:c r="C16" s="281" t="s">
        <x:v>16</x:v>
      </x:c>
      <x:c r="D16" s="281" t="s">
        <x:v>319</x:v>
      </x:c>
      <x:c r="E16" s="281" t="s">
        <x:v>387</x:v>
      </x:c>
      <x:c r="F16" s="281" t="s">
        <x:v>3467</x:v>
      </x:c>
      <x:c r="G16" s="281" t="s">
        <x:v>3468</x:v>
      </x:c>
    </x:row>
    <x:row r="17" ht="34.95000076293945" customHeight="1">
      <x:c r="A17" s="280">
        <x:v>12</x:v>
      </x:c>
      <x:c r="B17" s="280" t="s">
        <x:v>33</x:v>
      </x:c>
      <x:c r="C17" s="280" t="s">
        <x:v>387</x:v>
      </x:c>
      <x:c r="D17" s="280" t="s">
        <x:v>3452</x:v>
      </x:c>
      <x:c r="E17" s="280" t="s">
        <x:v>16</x:v>
      </x:c>
      <x:c r="F17" s="280" t="s">
        <x:v>3469</x:v>
      </x:c>
      <x:c r="G17" s="280" t="s">
        <x:v>3470</x:v>
      </x:c>
    </x:row>
    <x:row r="18" ht="25.799999237060547" customHeight="1">
      <x:c r="A18" s="546" t="s">
        <x:v>3471</x:v>
      </x:c>
      <x:c r="B18" s="546"/>
      <x:c r="C18" s="546"/>
      <x:c r="D18" s="546"/>
      <x:c r="E18" s="546"/>
      <x:c r="F18" s="546"/>
      <x:c r="G18" s="546"/>
    </x:row>
    <x:row r="19" ht="34.95000076293945" customHeight="1">
      <x:c r="A19" s="280">
        <x:v>13</x:v>
      </x:c>
      <x:c r="B19" s="280" t="s">
        <x:v>63</x:v>
      </x:c>
      <x:c r="C19" s="280" t="s">
        <x:v>16</x:v>
      </x:c>
      <x:c r="D19" s="280" t="s">
        <x:v>319</x:v>
      </x:c>
      <x:c r="E19" s="280" t="s">
        <x:v>3472</x:v>
      </x:c>
      <x:c r="F19" s="280" t="s">
        <x:v>3473</x:v>
      </x:c>
      <x:c r="G19" s="280" t="s">
        <x:v>3474</x:v>
      </x:c>
    </x:row>
    <x:row r="20" ht="34.95000076293945" customHeight="1">
      <x:c r="A20" s="281">
        <x:v>14</x:v>
      </x:c>
      <x:c r="B20" s="281" t="s">
        <x:v>63</x:v>
      </x:c>
      <x:c r="C20" s="281" t="s">
        <x:v>3472</x:v>
      </x:c>
      <x:c r="D20" s="281" t="s">
        <x:v>319</x:v>
      </x:c>
      <x:c r="E20" s="281" t="s">
        <x:v>3443</x:v>
      </x:c>
      <x:c r="F20" s="281" t="s">
        <x:v>3475</x:v>
      </x:c>
      <x:c r="G20" s="281" t="s">
        <x:v>3476</x:v>
      </x:c>
    </x:row>
    <x:row r="21" ht="34.95000076293945" customHeight="1">
      <x:c r="A21" s="280">
        <x:v>15</x:v>
      </x:c>
      <x:c r="B21" s="280" t="s">
        <x:v>63</x:v>
      </x:c>
      <x:c r="C21" s="280" t="s">
        <x:v>3443</x:v>
      </x:c>
      <x:c r="D21" s="280" t="s">
        <x:v>319</x:v>
      </x:c>
      <x:c r="E21" s="280" t="s">
        <x:v>3472</x:v>
      </x:c>
      <x:c r="F21" s="280" t="s">
        <x:v>3477</x:v>
      </x:c>
      <x:c r="G21" s="280" t="s">
        <x:v>3478</x:v>
      </x:c>
    </x:row>
    <x:row r="22" ht="34.95000076293945" customHeight="1">
      <x:c r="A22" s="281">
        <x:v>16</x:v>
      </x:c>
      <x:c r="B22" s="281" t="s">
        <x:v>63</x:v>
      </x:c>
      <x:c r="C22" s="281" t="s">
        <x:v>3472</x:v>
      </x:c>
      <x:c r="D22" s="281" t="s">
        <x:v>319</x:v>
      </x:c>
      <x:c r="E22" s="281" t="s">
        <x:v>167</x:v>
      </x:c>
      <x:c r="F22" s="281" t="s">
        <x:v>3479</x:v>
      </x:c>
      <x:c r="G22" s="281" t="s">
        <x:v>3480</x:v>
      </x:c>
    </x:row>
    <x:row r="23" ht="34.95000076293945" customHeight="1">
      <x:c r="A23" s="280">
        <x:v>17</x:v>
      </x:c>
      <x:c r="B23" s="280" t="s">
        <x:v>63</x:v>
      </x:c>
      <x:c r="C23" s="280" t="s">
        <x:v>167</x:v>
      </x:c>
      <x:c r="D23" s="280" t="s">
        <x:v>319</x:v>
      </x:c>
      <x:c r="E23" s="280" t="s">
        <x:v>3481</x:v>
      </x:c>
      <x:c r="F23" s="280" t="s">
        <x:v>3482</x:v>
      </x:c>
      <x:c r="G23" s="280" t="s">
        <x:v>3483</x:v>
      </x:c>
    </x:row>
    <x:row r="24" ht="34.95000076293945" customHeight="1">
      <x:c r="A24" s="281">
        <x:v>18</x:v>
      </x:c>
      <x:c r="B24" s="281" t="s">
        <x:v>63</x:v>
      </x:c>
      <x:c r="C24" s="281" t="s">
        <x:v>3481</x:v>
      </x:c>
      <x:c r="D24" s="281" t="s">
        <x:v>319</x:v>
      </x:c>
      <x:c r="E24" s="281" t="s">
        <x:v>3443</x:v>
      </x:c>
      <x:c r="F24" s="281" t="s">
        <x:v>3484</x:v>
      </x:c>
      <x:c r="G24" s="281" t="s">
        <x:v>3485</x:v>
      </x:c>
    </x:row>
  </x:sheetData>
  <x:mergeCells>
    <x:mergeCell ref="A1:G1"/>
    <x:mergeCell ref="A2:G2"/>
    <x:mergeCell ref="A4:G4"/>
    <x:mergeCell ref="A11:G11"/>
    <x:mergeCell ref="A18:G18"/>
  </x:mergeCells>
  <x:pageMargins left="0.7" right="0.7" top="0.75" bottom="0.75" header="0.3" footer="0.3"/>
</x:worksheet>
</file>

<file path=xl/worksheets/sheet55.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3486</x:v>
      </x:c>
      <x:c r="B1" s="544"/>
      <x:c r="C1" s="544"/>
      <x:c r="D1" s="544"/>
      <x:c r="E1" s="544"/>
      <x:c r="F1" s="544"/>
      <x:c r="G1" s="544"/>
    </x:row>
    <x:row r="2" ht="40.95000076293945" customHeight="1">
      <x:c r="A2" s="545" t="s">
        <x:v>3487</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3488</x:v>
      </x:c>
      <x:c r="B4" s="546"/>
      <x:c r="C4" s="546"/>
      <x:c r="D4" s="546"/>
      <x:c r="E4" s="546"/>
      <x:c r="F4" s="546"/>
      <x:c r="G4" s="546"/>
    </x:row>
    <x:row r="5" ht="34.95000076293945" customHeight="1">
      <x:c r="A5" s="280" t="s">
        <x:v>3489</x:v>
      </x:c>
      <x:c r="B5" s="280" t="s">
        <x:v>3490</x:v>
      </x:c>
      <x:c r="C5" s="280" t="s">
        <x:v>3458</x:v>
      </x:c>
      <x:c r="D5" s="280" t="s">
        <x:v>319</x:v>
      </x:c>
      <x:c r="E5" s="280" t="s">
        <x:v>50</x:v>
      </x:c>
      <x:c r="F5" s="280" t="s">
        <x:v>3461</x:v>
      </x:c>
      <x:c r="G5" s="280" t="s">
        <x:v>3491</x:v>
      </x:c>
    </x:row>
    <x:row r="6" ht="34.95000076293945" customHeight="1">
      <x:c r="A6" s="281" t="s">
        <x:v>3492</x:v>
      </x:c>
      <x:c r="B6" s="281" t="s">
        <x:v>3490</x:v>
      </x:c>
      <x:c r="C6" s="281" t="s">
        <x:v>50</x:v>
      </x:c>
      <x:c r="D6" s="281" t="s">
        <x:v>3452</x:v>
      </x:c>
      <x:c r="E6" s="281" t="s">
        <x:v>3458</x:v>
      </x:c>
      <x:c r="F6" s="281" t="s">
        <x:v>3493</x:v>
      </x:c>
      <x:c r="G6" s="281" t="s">
        <x:v>3494</x:v>
      </x:c>
    </x:row>
    <x:row r="7" ht="34.95000076293945" customHeight="1">
      <x:c r="A7" s="280" t="s">
        <x:v>3495</x:v>
      </x:c>
      <x:c r="B7" s="280" t="s">
        <x:v>3490</x:v>
      </x:c>
      <x:c r="C7" s="280" t="s">
        <x:v>3458</x:v>
      </x:c>
      <x:c r="D7" s="280" t="s">
        <x:v>3452</x:v>
      </x:c>
      <x:c r="E7" s="280" t="s">
        <x:v>16</x:v>
      </x:c>
      <x:c r="F7" s="280" t="s">
        <x:v>3496</x:v>
      </x:c>
      <x:c r="G7" s="280" t="s">
        <x:v>3497</x:v>
      </x:c>
    </x:row>
    <x:row r="8" ht="34.95000076293945" customHeight="1">
      <x:c r="A8" s="281" t="s">
        <x:v>3498</x:v>
      </x:c>
      <x:c r="B8" s="281" t="s">
        <x:v>3490</x:v>
      </x:c>
      <x:c r="C8" s="281" t="s">
        <x:v>16</x:v>
      </x:c>
      <x:c r="D8" s="281" t="s">
        <x:v>319</x:v>
      </x:c>
      <x:c r="E8" s="281" t="s">
        <x:v>3499</x:v>
      </x:c>
      <x:c r="F8" s="281" t="s">
        <x:v>3500</x:v>
      </x:c>
      <x:c r="G8" s="281" t="s">
        <x:v>3501</x:v>
      </x:c>
    </x:row>
    <x:row r="9" ht="34.95000076293945" customHeight="1">
      <x:c r="A9" s="280" t="s">
        <x:v>3502</x:v>
      </x:c>
      <x:c r="B9" s="280" t="s">
        <x:v>3490</x:v>
      </x:c>
      <x:c r="C9" s="280" t="s">
        <x:v>3499</x:v>
      </x:c>
      <x:c r="D9" s="280" t="s">
        <x:v>319</x:v>
      </x:c>
      <x:c r="E9" s="280" t="s">
        <x:v>3443</x:v>
      </x:c>
      <x:c r="F9" s="280" t="s">
        <x:v>3503</x:v>
      </x:c>
      <x:c r="G9" s="280" t="s">
        <x:v>3504</x:v>
      </x:c>
    </x:row>
    <x:row r="10" ht="25.799999237060547" customHeight="1">
      <x:c r="A10" s="546" t="s">
        <x:v>3505</x:v>
      </x:c>
      <x:c r="B10" s="546"/>
      <x:c r="C10" s="546"/>
      <x:c r="D10" s="546"/>
      <x:c r="E10" s="546"/>
      <x:c r="F10" s="546"/>
      <x:c r="G10" s="546"/>
    </x:row>
    <x:row r="11" ht="34.95000076293945" customHeight="1">
      <x:c r="A11" s="280" t="s">
        <x:v>3506</x:v>
      </x:c>
      <x:c r="B11" s="280" t="s">
        <x:v>3507</x:v>
      </x:c>
      <x:c r="C11" s="280" t="s">
        <x:v>16</x:v>
      </x:c>
      <x:c r="D11" s="280" t="s">
        <x:v>404</x:v>
      </x:c>
      <x:c r="E11" s="280" t="s">
        <x:v>16</x:v>
      </x:c>
      <x:c r="F11" s="280" t="s">
        <x:v>3508</x:v>
      </x:c>
      <x:c r="G11" s="280" t="s">
        <x:v>3509</x:v>
      </x:c>
    </x:row>
    <x:row r="12" ht="34.95000076293945" customHeight="1">
      <x:c r="A12" s="281" t="s">
        <x:v>3510</x:v>
      </x:c>
      <x:c r="B12" s="281" t="s">
        <x:v>3507</x:v>
      </x:c>
      <x:c r="C12" s="281" t="s">
        <x:v>16</x:v>
      </x:c>
      <x:c r="D12" s="281" t="s">
        <x:v>319</x:v>
      </x:c>
      <x:c r="E12" s="281" t="s">
        <x:v>22</x:v>
      </x:c>
      <x:c r="F12" s="281" t="s">
        <x:v>3511</x:v>
      </x:c>
      <x:c r="G12" s="281" t="s">
        <x:v>3512</x:v>
      </x:c>
    </x:row>
  </x:sheetData>
  <x:mergeCells>
    <x:mergeCell ref="A1:G1"/>
    <x:mergeCell ref="A2:G2"/>
    <x:mergeCell ref="A4:G4"/>
    <x:mergeCell ref="A10:G10"/>
  </x:mergeCells>
  <x:pageMargins left="0.7" right="0.7" top="0.75" bottom="0.75" header="0.3" footer="0.3"/>
</x:worksheet>
</file>

<file path=xl/worksheets/sheet56.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3513</x:v>
      </x:c>
      <x:c r="B1" s="544"/>
      <x:c r="C1" s="544"/>
      <x:c r="D1" s="544"/>
      <x:c r="E1" s="544"/>
      <x:c r="F1" s="544"/>
      <x:c r="G1" s="544"/>
    </x:row>
    <x:row r="2" ht="40.95000076293945" customHeight="1">
      <x:c r="A2" s="545" t="s">
        <x:v>3514</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3515</x:v>
      </x:c>
      <x:c r="B4" s="546"/>
      <x:c r="C4" s="546"/>
      <x:c r="D4" s="546"/>
      <x:c r="E4" s="546"/>
      <x:c r="F4" s="546"/>
      <x:c r="G4" s="546"/>
    </x:row>
    <x:row r="5" ht="34.95000076293945" customHeight="1">
      <x:c r="A5" s="280">
        <x:v>1</x:v>
      </x:c>
      <x:c r="B5" s="280" t="s">
        <x:v>10</x:v>
      </x:c>
      <x:c r="C5" s="280" t="s">
        <x:v>3443</x:v>
      </x:c>
      <x:c r="D5" s="280" t="s">
        <x:v>319</x:v>
      </x:c>
      <x:c r="E5" s="280" t="s">
        <x:v>3472</x:v>
      </x:c>
      <x:c r="F5" s="280" t="s">
        <x:v>3516</x:v>
      </x:c>
      <x:c r="G5" s="280" t="s">
        <x:v>3517</x:v>
      </x:c>
    </x:row>
    <x:row r="6" ht="34.95000076293945" customHeight="1">
      <x:c r="A6" s="281">
        <x:v>2</x:v>
      </x:c>
      <x:c r="B6" s="281" t="s">
        <x:v>10</x:v>
      </x:c>
      <x:c r="C6" s="281" t="s">
        <x:v>3472</x:v>
      </x:c>
      <x:c r="D6" s="281" t="s">
        <x:v>319</x:v>
      </x:c>
      <x:c r="E6" s="281" t="s">
        <x:v>3518</x:v>
      </x:c>
      <x:c r="F6" s="281" t="s">
        <x:v>3519</x:v>
      </x:c>
      <x:c r="G6" s="281" t="s">
        <x:v>3520</x:v>
      </x:c>
    </x:row>
    <x:row r="7" ht="34.95000076293945" customHeight="1">
      <x:c r="A7" s="280">
        <x:v>3</x:v>
      </x:c>
      <x:c r="B7" s="280" t="s">
        <x:v>10</x:v>
      </x:c>
      <x:c r="C7" s="280" t="s">
        <x:v>3518</x:v>
      </x:c>
      <x:c r="D7" s="280" t="s">
        <x:v>319</x:v>
      </x:c>
      <x:c r="E7" s="280" t="s">
        <x:v>3458</x:v>
      </x:c>
      <x:c r="F7" s="280" t="s">
        <x:v>3521</x:v>
      </x:c>
      <x:c r="G7" s="280" t="s">
        <x:v>3522</x:v>
      </x:c>
    </x:row>
    <x:row r="8" ht="34.95000076293945" customHeight="1">
      <x:c r="A8" s="281">
        <x:v>4</x:v>
      </x:c>
      <x:c r="B8" s="281" t="s">
        <x:v>10</x:v>
      </x:c>
      <x:c r="C8" s="281" t="s">
        <x:v>3458</x:v>
      </x:c>
      <x:c r="D8" s="281" t="s">
        <x:v>3452</x:v>
      </x:c>
      <x:c r="E8" s="281" t="s">
        <x:v>3518</x:v>
      </x:c>
      <x:c r="F8" s="281" t="s">
        <x:v>3523</x:v>
      </x:c>
      <x:c r="G8" s="281" t="s">
        <x:v>3524</x:v>
      </x:c>
    </x:row>
    <x:row r="9" ht="34.95000076293945" customHeight="1">
      <x:c r="A9" s="280">
        <x:v>5</x:v>
      </x:c>
      <x:c r="B9" s="280" t="s">
        <x:v>10</x:v>
      </x:c>
      <x:c r="C9" s="280" t="s">
        <x:v>3518</x:v>
      </x:c>
      <x:c r="D9" s="280" t="s">
        <x:v>319</x:v>
      </x:c>
      <x:c r="E9" s="280" t="s">
        <x:v>50</x:v>
      </x:c>
      <x:c r="F9" s="280" t="s">
        <x:v>3525</x:v>
      </x:c>
      <x:c r="G9" s="280" t="s">
        <x:v>3526</x:v>
      </x:c>
    </x:row>
    <x:row r="10" ht="34.95000076293945" customHeight="1">
      <x:c r="A10" s="281">
        <x:v>6</x:v>
      </x:c>
      <x:c r="B10" s="281" t="s">
        <x:v>10</x:v>
      </x:c>
      <x:c r="C10" s="281" t="s">
        <x:v>50</x:v>
      </x:c>
      <x:c r="D10" s="281" t="s">
        <x:v>3452</x:v>
      </x:c>
      <x:c r="E10" s="281" t="s">
        <x:v>3518</x:v>
      </x:c>
      <x:c r="F10" s="281" t="s">
        <x:v>3527</x:v>
      </x:c>
      <x:c r="G10" s="281" t="s">
        <x:v>3528</x:v>
      </x:c>
    </x:row>
    <x:row r="11" ht="34.95000076293945" customHeight="1">
      <x:c r="A11" s="280">
        <x:v>7</x:v>
      </x:c>
      <x:c r="B11" s="280" t="s">
        <x:v>10</x:v>
      </x:c>
      <x:c r="C11" s="280" t="s">
        <x:v>3518</x:v>
      </x:c>
      <x:c r="D11" s="280" t="s">
        <x:v>319</x:v>
      </x:c>
      <x:c r="E11" s="280" t="s">
        <x:v>3529</x:v>
      </x:c>
      <x:c r="F11" s="280" t="s">
        <x:v>3530</x:v>
      </x:c>
      <x:c r="G11" s="280" t="s">
        <x:v>3531</x:v>
      </x:c>
    </x:row>
    <x:row r="12" ht="34.95000076293945" customHeight="1">
      <x:c r="A12" s="281">
        <x:v>8</x:v>
      </x:c>
      <x:c r="B12" s="281" t="s">
        <x:v>10</x:v>
      </x:c>
      <x:c r="C12" s="281" t="s">
        <x:v>3529</x:v>
      </x:c>
      <x:c r="D12" s="281" t="s">
        <x:v>319</x:v>
      </x:c>
      <x:c r="E12" s="281" t="s">
        <x:v>3443</x:v>
      </x:c>
      <x:c r="F12" s="281" t="s">
        <x:v>3532</x:v>
      </x:c>
      <x:c r="G12" s="281" t="s">
        <x:v>3533</x:v>
      </x:c>
    </x:row>
    <x:row r="13" ht="25.799999237060547" customHeight="1">
      <x:c r="A13" s="546" t="s">
        <x:v>3534</x:v>
      </x:c>
      <x:c r="B13" s="546"/>
      <x:c r="C13" s="546"/>
      <x:c r="D13" s="546"/>
      <x:c r="E13" s="546"/>
      <x:c r="F13" s="546"/>
      <x:c r="G13" s="546"/>
    </x:row>
    <x:row r="14" ht="34.95000076293945" customHeight="1">
      <x:c r="A14" s="281">
        <x:v>9</x:v>
      </x:c>
      <x:c r="B14" s="281" t="s">
        <x:v>33</x:v>
      </x:c>
      <x:c r="C14" s="281" t="s">
        <x:v>3443</x:v>
      </x:c>
      <x:c r="D14" s="281" t="s">
        <x:v>319</x:v>
      </x:c>
      <x:c r="E14" s="281" t="s">
        <x:v>3529</x:v>
      </x:c>
      <x:c r="F14" s="281" t="s">
        <x:v>3535</x:v>
      </x:c>
      <x:c r="G14" s="281" t="s">
        <x:v>3536</x:v>
      </x:c>
    </x:row>
    <x:row r="15" ht="34.95000076293945" customHeight="1">
      <x:c r="A15" s="280">
        <x:v>10</x:v>
      </x:c>
      <x:c r="B15" s="280" t="s">
        <x:v>33</x:v>
      </x:c>
      <x:c r="C15" s="280" t="s">
        <x:v>3529</x:v>
      </x:c>
      <x:c r="D15" s="280" t="s">
        <x:v>319</x:v>
      </x:c>
      <x:c r="E15" s="280" t="s">
        <x:v>3518</x:v>
      </x:c>
      <x:c r="F15" s="280" t="s">
        <x:v>3537</x:v>
      </x:c>
      <x:c r="G15" s="280" t="s">
        <x:v>3538</x:v>
      </x:c>
    </x:row>
    <x:row r="16" ht="34.95000076293945" customHeight="1">
      <x:c r="A16" s="281">
        <x:v>11</x:v>
      </x:c>
      <x:c r="B16" s="281" t="s">
        <x:v>33</x:v>
      </x:c>
      <x:c r="C16" s="281" t="s">
        <x:v>3518</x:v>
      </x:c>
      <x:c r="D16" s="281" t="s">
        <x:v>319</x:v>
      </x:c>
      <x:c r="E16" s="281" t="s">
        <x:v>50</x:v>
      </x:c>
      <x:c r="F16" s="281" t="s">
        <x:v>3539</x:v>
      </x:c>
      <x:c r="G16" s="281" t="s">
        <x:v>3540</x:v>
      </x:c>
    </x:row>
    <x:row r="17" ht="34.95000076293945" customHeight="1">
      <x:c r="A17" s="280">
        <x:v>12</x:v>
      </x:c>
      <x:c r="B17" s="280" t="s">
        <x:v>33</x:v>
      </x:c>
      <x:c r="C17" s="280" t="s">
        <x:v>50</x:v>
      </x:c>
      <x:c r="D17" s="280" t="s">
        <x:v>3452</x:v>
      </x:c>
      <x:c r="E17" s="280" t="s">
        <x:v>3518</x:v>
      </x:c>
      <x:c r="F17" s="280" t="s">
        <x:v>3541</x:v>
      </x:c>
      <x:c r="G17" s="280" t="s">
        <x:v>3542</x:v>
      </x:c>
    </x:row>
    <x:row r="18" ht="34.95000076293945" customHeight="1">
      <x:c r="A18" s="281">
        <x:v>13</x:v>
      </x:c>
      <x:c r="B18" s="281" t="s">
        <x:v>33</x:v>
      </x:c>
      <x:c r="C18" s="281" t="s">
        <x:v>3518</x:v>
      </x:c>
      <x:c r="D18" s="281" t="s">
        <x:v>319</x:v>
      </x:c>
      <x:c r="E18" s="281" t="s">
        <x:v>3529</x:v>
      </x:c>
      <x:c r="F18" s="281" t="s">
        <x:v>3543</x:v>
      </x:c>
      <x:c r="G18" s="281" t="s">
        <x:v>3544</x:v>
      </x:c>
    </x:row>
    <x:row r="19" ht="34.95000076293945" customHeight="1">
      <x:c r="A19" s="280">
        <x:v>14</x:v>
      </x:c>
      <x:c r="B19" s="280" t="s">
        <x:v>33</x:v>
      </x:c>
      <x:c r="C19" s="280" t="s">
        <x:v>3443</x:v>
      </x:c>
      <x:c r="D19" s="280" t="s">
        <x:v>319</x:v>
      </x:c>
      <x:c r="E19" s="280" t="s">
        <x:v>3529</x:v>
      </x:c>
      <x:c r="F19" s="280" t="s">
        <x:v>3545</x:v>
      </x:c>
      <x:c r="G19" s="280" t="s">
        <x:v>3546</x:v>
      </x:c>
    </x:row>
    <x:row r="20" ht="25.799999237060547" customHeight="1">
      <x:c r="A20" s="546" t="s">
        <x:v>3547</x:v>
      </x:c>
      <x:c r="B20" s="546"/>
      <x:c r="C20" s="546"/>
      <x:c r="D20" s="546"/>
      <x:c r="E20" s="546"/>
      <x:c r="F20" s="546"/>
      <x:c r="G20" s="546"/>
    </x:row>
    <x:row r="21" ht="34.95000076293945" customHeight="1">
      <x:c r="A21" s="280">
        <x:v>15</x:v>
      </x:c>
      <x:c r="B21" s="280" t="s">
        <x:v>63</x:v>
      </x:c>
      <x:c r="C21" s="280" t="s">
        <x:v>3529</x:v>
      </x:c>
      <x:c r="D21" s="280" t="s">
        <x:v>319</x:v>
      </x:c>
      <x:c r="E21" s="280" t="s">
        <x:v>3518</x:v>
      </x:c>
      <x:c r="F21" s="280" t="s">
        <x:v>3548</x:v>
      </x:c>
      <x:c r="G21" s="280" t="s">
        <x:v>3549</x:v>
      </x:c>
    </x:row>
    <x:row r="22" ht="34.95000076293945" customHeight="1">
      <x:c r="A22" s="281">
        <x:v>16</x:v>
      </x:c>
      <x:c r="B22" s="281" t="s">
        <x:v>63</x:v>
      </x:c>
      <x:c r="C22" s="281" t="s">
        <x:v>3518</x:v>
      </x:c>
      <x:c r="D22" s="281" t="s">
        <x:v>319</x:v>
      </x:c>
      <x:c r="E22" s="281" t="s">
        <x:v>50</x:v>
      </x:c>
      <x:c r="F22" s="281" t="s">
        <x:v>3550</x:v>
      </x:c>
      <x:c r="G22" s="281" t="s">
        <x:v>3551</x:v>
      </x:c>
    </x:row>
    <x:row r="23" ht="34.95000076293945" customHeight="1">
      <x:c r="A23" s="280">
        <x:v>17</x:v>
      </x:c>
      <x:c r="B23" s="280" t="s">
        <x:v>63</x:v>
      </x:c>
      <x:c r="C23" s="280" t="s">
        <x:v>50</x:v>
      </x:c>
      <x:c r="D23" s="280" t="s">
        <x:v>3452</x:v>
      </x:c>
      <x:c r="E23" s="280" t="s">
        <x:v>3518</x:v>
      </x:c>
      <x:c r="F23" s="280" t="s">
        <x:v>3552</x:v>
      </x:c>
      <x:c r="G23" s="280" t="s">
        <x:v>3553</x:v>
      </x:c>
    </x:row>
    <x:row r="24" ht="34.95000076293945" customHeight="1">
      <x:c r="A24" s="281">
        <x:v>18</x:v>
      </x:c>
      <x:c r="B24" s="281" t="s">
        <x:v>63</x:v>
      </x:c>
      <x:c r="C24" s="281" t="s">
        <x:v>3518</x:v>
      </x:c>
      <x:c r="D24" s="281" t="s">
        <x:v>319</x:v>
      </x:c>
      <x:c r="E24" s="281" t="s">
        <x:v>3554</x:v>
      </x:c>
      <x:c r="F24" s="281" t="s">
        <x:v>3555</x:v>
      </x:c>
      <x:c r="G24" s="281" t="s">
        <x:v>3556</x:v>
      </x:c>
    </x:row>
    <x:row r="25" ht="34.95000076293945" customHeight="1">
      <x:c r="A25" s="280">
        <x:v>19</x:v>
      </x:c>
      <x:c r="B25" s="280" t="s">
        <x:v>63</x:v>
      </x:c>
      <x:c r="C25" s="280" t="s">
        <x:v>3554</x:v>
      </x:c>
      <x:c r="D25" s="280" t="s">
        <x:v>3452</x:v>
      </x:c>
      <x:c r="E25" s="280" t="s">
        <x:v>3518</x:v>
      </x:c>
      <x:c r="F25" s="280" t="s">
        <x:v>3557</x:v>
      </x:c>
      <x:c r="G25" s="280" t="s">
        <x:v>3558</x:v>
      </x:c>
    </x:row>
    <x:row r="26" ht="34.95000076293945" customHeight="1">
      <x:c r="A26" s="281">
        <x:v>20</x:v>
      </x:c>
      <x:c r="B26" s="281" t="s">
        <x:v>63</x:v>
      </x:c>
      <x:c r="C26" s="281" t="s">
        <x:v>3518</x:v>
      </x:c>
      <x:c r="D26" s="281" t="s">
        <x:v>319</x:v>
      </x:c>
      <x:c r="E26" s="281" t="s">
        <x:v>3559</x:v>
      </x:c>
      <x:c r="F26" s="281" t="s">
        <x:v>3560</x:v>
      </x:c>
      <x:c r="G26" s="281" t="s">
        <x:v>3561</x:v>
      </x:c>
    </x:row>
    <x:row r="27" ht="34.95000076293945" customHeight="1">
      <x:c r="A27" s="280">
        <x:v>21</x:v>
      </x:c>
      <x:c r="B27" s="280" t="s">
        <x:v>63</x:v>
      </x:c>
      <x:c r="C27" s="280" t="s">
        <x:v>3559</x:v>
      </x:c>
      <x:c r="D27" s="280" t="s">
        <x:v>319</x:v>
      </x:c>
      <x:c r="E27" s="280" t="s">
        <x:v>3443</x:v>
      </x:c>
      <x:c r="F27" s="280" t="s">
        <x:v>3562</x:v>
      </x:c>
      <x:c r="G27" s="280" t="s">
        <x:v>3563</x:v>
      </x:c>
    </x:row>
    <x:row r="28" ht="25.799999237060547" customHeight="1">
      <x:c r="A28" s="546" t="s">
        <x:v>3564</x:v>
      </x:c>
      <x:c r="B28" s="546"/>
      <x:c r="C28" s="546"/>
      <x:c r="D28" s="546"/>
      <x:c r="E28" s="546"/>
      <x:c r="F28" s="546"/>
      <x:c r="G28" s="546"/>
    </x:row>
    <x:row r="29" ht="34.95000076293945" customHeight="1">
      <x:c r="A29" s="280">
        <x:v>22</x:v>
      </x:c>
      <x:c r="B29" s="280" t="s">
        <x:v>81</x:v>
      </x:c>
      <x:c r="C29" s="280" t="s">
        <x:v>3443</x:v>
      </x:c>
      <x:c r="D29" s="280" t="s">
        <x:v>319</x:v>
      </x:c>
      <x:c r="E29" s="280" t="s">
        <x:v>3559</x:v>
      </x:c>
      <x:c r="F29" s="280" t="s">
        <x:v>3565</x:v>
      </x:c>
      <x:c r="G29" s="280" t="s">
        <x:v>3566</x:v>
      </x:c>
    </x:row>
    <x:row r="30" ht="34.95000076293945" customHeight="1">
      <x:c r="A30" s="281">
        <x:v>23</x:v>
      </x:c>
      <x:c r="B30" s="281" t="s">
        <x:v>81</x:v>
      </x:c>
      <x:c r="C30" s="281" t="s">
        <x:v>3559</x:v>
      </x:c>
      <x:c r="D30" s="281" t="s">
        <x:v>319</x:v>
      </x:c>
      <x:c r="E30" s="281" t="s">
        <x:v>3518</x:v>
      </x:c>
      <x:c r="F30" s="281" t="s">
        <x:v>3567</x:v>
      </x:c>
      <x:c r="G30" s="281" t="s">
        <x:v>3568</x:v>
      </x:c>
    </x:row>
    <x:row r="31" ht="34.95000076293945" customHeight="1">
      <x:c r="A31" s="280">
        <x:v>24</x:v>
      </x:c>
      <x:c r="B31" s="280" t="s">
        <x:v>81</x:v>
      </x:c>
      <x:c r="C31" s="280" t="s">
        <x:v>3518</x:v>
      </x:c>
      <x:c r="D31" s="280" t="s">
        <x:v>319</x:v>
      </x:c>
      <x:c r="E31" s="280" t="s">
        <x:v>3250</x:v>
      </x:c>
      <x:c r="F31" s="280" t="s">
        <x:v>3569</x:v>
      </x:c>
      <x:c r="G31" s="280" t="s">
        <x:v>3570</x:v>
      </x:c>
    </x:row>
    <x:row r="32" ht="34.95000076293945" customHeight="1">
      <x:c r="A32" s="281">
        <x:v>25</x:v>
      </x:c>
      <x:c r="B32" s="281" t="s">
        <x:v>81</x:v>
      </x:c>
      <x:c r="C32" s="281" t="s">
        <x:v>3250</x:v>
      </x:c>
      <x:c r="D32" s="281" t="s">
        <x:v>3452</x:v>
      </x:c>
      <x:c r="E32" s="281" t="s">
        <x:v>3518</x:v>
      </x:c>
      <x:c r="F32" s="281" t="s">
        <x:v>3571</x:v>
      </x:c>
      <x:c r="G32" s="281" t="s">
        <x:v>3572</x:v>
      </x:c>
    </x:row>
    <x:row r="33" ht="34.95000076293945" customHeight="1">
      <x:c r="A33" s="280">
        <x:v>26</x:v>
      </x:c>
      <x:c r="B33" s="280" t="s">
        <x:v>81</x:v>
      </x:c>
      <x:c r="C33" s="280" t="s">
        <x:v>3518</x:v>
      </x:c>
      <x:c r="D33" s="280" t="s">
        <x:v>319</x:v>
      </x:c>
      <x:c r="E33" s="280" t="s">
        <x:v>3573</x:v>
      </x:c>
      <x:c r="F33" s="280" t="s">
        <x:v>3574</x:v>
      </x:c>
      <x:c r="G33" s="280" t="s">
        <x:v>3575</x:v>
      </x:c>
    </x:row>
    <x:row r="34" ht="34.95000076293945" customHeight="1">
      <x:c r="A34" s="281">
        <x:v>27</x:v>
      </x:c>
      <x:c r="B34" s="281" t="s">
        <x:v>81</x:v>
      </x:c>
      <x:c r="C34" s="281" t="s">
        <x:v>3573</x:v>
      </x:c>
      <x:c r="D34" s="281" t="s">
        <x:v>319</x:v>
      </x:c>
      <x:c r="E34" s="281" t="s">
        <x:v>3443</x:v>
      </x:c>
      <x:c r="F34" s="281" t="s">
        <x:v>3576</x:v>
      </x:c>
      <x:c r="G34" s="281" t="s">
        <x:v>3577</x:v>
      </x:c>
    </x:row>
  </x:sheetData>
  <x:mergeCells>
    <x:mergeCell ref="A28:G28"/>
    <x:mergeCell ref="A1:G1"/>
    <x:mergeCell ref="A2:G2"/>
    <x:mergeCell ref="A4:G4"/>
    <x:mergeCell ref="A13:G13"/>
    <x:mergeCell ref="A20:G20"/>
  </x:mergeCells>
  <x:pageMargins left="0.7" right="0.7" top="0.75" bottom="0.75" header="0.3" footer="0.3"/>
</x:worksheet>
</file>

<file path=xl/worksheets/sheet57.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3578</x:v>
      </x:c>
      <x:c r="B1" s="544"/>
      <x:c r="C1" s="544"/>
      <x:c r="D1" s="544"/>
      <x:c r="E1" s="544"/>
      <x:c r="F1" s="544"/>
      <x:c r="G1" s="544"/>
    </x:row>
    <x:row r="2" ht="40.95000076293945" customHeight="1">
      <x:c r="A2" s="545" t="s">
        <x:v>3579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3580</x:v>
      </x:c>
      <x:c r="B4" s="546"/>
      <x:c r="C4" s="546"/>
      <x:c r="D4" s="546"/>
      <x:c r="E4" s="546"/>
      <x:c r="F4" s="546"/>
      <x:c r="G4" s="546"/>
    </x:row>
    <x:row r="5" ht="34.95000076293945" customHeight="1">
      <x:c r="A5" s="280" t="s">
        <x:v>3489</x:v>
      </x:c>
      <x:c r="B5" s="280" t="s">
        <x:v>3490</x:v>
      </x:c>
      <x:c r="C5" s="280" t="s">
        <x:v>50</x:v>
      </x:c>
      <x:c r="D5" s="280" t="s">
        <x:v>3452</x:v>
      </x:c>
      <x:c r="E5" s="280" t="s">
        <x:v>3518</x:v>
      </x:c>
      <x:c r="F5" s="280" t="s">
        <x:v>3581</x:v>
      </x:c>
      <x:c r="G5" s="280" t="s">
        <x:v>3582</x:v>
      </x:c>
    </x:row>
    <x:row r="6" ht="34.95000076293945" customHeight="1">
      <x:c r="A6" s="281" t="s">
        <x:v>3492</x:v>
      </x:c>
      <x:c r="B6" s="281" t="s">
        <x:v>3490</x:v>
      </x:c>
      <x:c r="C6" s="281" t="s">
        <x:v>3518</x:v>
      </x:c>
      <x:c r="D6" s="281" t="s">
        <x:v>319</x:v>
      </x:c>
      <x:c r="E6" s="281" t="s">
        <x:v>3529</x:v>
      </x:c>
      <x:c r="F6" s="281" t="s">
        <x:v>3583</x:v>
      </x:c>
      <x:c r="G6" s="281" t="s">
        <x:v>3584</x:v>
      </x:c>
    </x:row>
    <x:row r="7" ht="34.95000076293945" customHeight="1">
      <x:c r="A7" s="280" t="s">
        <x:v>3495</x:v>
      </x:c>
      <x:c r="B7" s="280" t="s">
        <x:v>3490</x:v>
      </x:c>
      <x:c r="C7" s="280" t="s">
        <x:v>3443</x:v>
      </x:c>
      <x:c r="D7" s="280" t="s">
        <x:v>319</x:v>
      </x:c>
      <x:c r="E7" s="280" t="s">
        <x:v>3529</x:v>
      </x:c>
      <x:c r="F7" s="280" t="s">
        <x:v>3585</x:v>
      </x:c>
      <x:c r="G7" s="280" t="s">
        <x:v>3586</x:v>
      </x:c>
    </x:row>
    <x:row r="8" ht="25.799999237060547" customHeight="1">
      <x:c r="A8" s="546" t="s">
        <x:v>3587</x:v>
      </x:c>
      <x:c r="B8" s="546"/>
      <x:c r="C8" s="546"/>
      <x:c r="D8" s="546"/>
      <x:c r="E8" s="546"/>
      <x:c r="F8" s="546"/>
      <x:c r="G8" s="546"/>
    </x:row>
    <x:row r="9" ht="34.95000076293945" customHeight="1">
      <x:c r="A9" s="280" t="s">
        <x:v>3588</x:v>
      </x:c>
      <x:c r="B9" s="280" t="s">
        <x:v>3507</x:v>
      </x:c>
      <x:c r="C9" s="280" t="s">
        <x:v>50</x:v>
      </x:c>
      <x:c r="D9" s="280" t="s">
        <x:v>3452</x:v>
      </x:c>
      <x:c r="E9" s="280" t="s">
        <x:v>3518</x:v>
      </x:c>
      <x:c r="F9" s="280" t="s">
        <x:v>3589</x:v>
      </x:c>
      <x:c r="G9" s="280" t="s">
        <x:v>3590</x:v>
      </x:c>
    </x:row>
    <x:row r="10" ht="34.95000076293945" customHeight="1">
      <x:c r="A10" s="281" t="s">
        <x:v>3591</x:v>
      </x:c>
      <x:c r="B10" s="281" t="s">
        <x:v>3507</x:v>
      </x:c>
      <x:c r="C10" s="281" t="s">
        <x:v>3518</x:v>
      </x:c>
      <x:c r="D10" s="281" t="s">
        <x:v>319</x:v>
      </x:c>
      <x:c r="E10" s="281" t="s">
        <x:v>3559</x:v>
      </x:c>
      <x:c r="F10" s="281" t="s">
        <x:v>3592</x:v>
      </x:c>
      <x:c r="G10" s="281" t="s">
        <x:v>3593</x:v>
      </x:c>
    </x:row>
    <x:row r="11" ht="25.799999237060547" customHeight="1">
      <x:c r="A11" s="546" t="s">
        <x:v>3594</x:v>
      </x:c>
      <x:c r="B11" s="546"/>
      <x:c r="C11" s="546"/>
      <x:c r="D11" s="546"/>
      <x:c r="E11" s="546"/>
      <x:c r="F11" s="546"/>
      <x:c r="G11" s="546"/>
    </x:row>
    <x:row r="12" ht="34.95000076293945" customHeight="1">
      <x:c r="A12" s="281" t="s">
        <x:v>3595</x:v>
      </x:c>
      <x:c r="B12" s="281" t="s">
        <x:v>3596</x:v>
      </x:c>
      <x:c r="C12" s="281" t="s">
        <x:v>3458</x:v>
      </x:c>
      <x:c r="D12" s="281" t="s">
        <x:v>3452</x:v>
      </x:c>
      <x:c r="E12" s="281" t="s">
        <x:v>3518</x:v>
      </x:c>
      <x:c r="F12" s="281" t="s">
        <x:v>3597</x:v>
      </x:c>
      <x:c r="G12" s="281" t="s">
        <x:v>3598</x:v>
      </x:c>
    </x:row>
    <x:row r="13" ht="34.95000076293945" customHeight="1">
      <x:c r="A13" s="280" t="s">
        <x:v>3599</x:v>
      </x:c>
      <x:c r="B13" s="280" t="s">
        <x:v>3596</x:v>
      </x:c>
      <x:c r="C13" s="280" t="s">
        <x:v>3518</x:v>
      </x:c>
      <x:c r="D13" s="280" t="s">
        <x:v>319</x:v>
      </x:c>
      <x:c r="E13" s="280" t="s">
        <x:v>3499</x:v>
      </x:c>
      <x:c r="F13" s="280" t="s">
        <x:v>3500</x:v>
      </x:c>
      <x:c r="G13" s="280" t="s">
        <x:v>3600</x:v>
      </x:c>
    </x:row>
  </x:sheetData>
  <x:mergeCells>
    <x:mergeCell ref="A1:G1"/>
    <x:mergeCell ref="A2:G2"/>
    <x:mergeCell ref="A4:G4"/>
    <x:mergeCell ref="A8:G8"/>
    <x:mergeCell ref="A11:G11"/>
  </x:mergeCells>
  <x:pageMargins left="0.7" right="0.7" top="0.75" bottom="0.75" header="0.3" footer="0.3"/>
</x:worksheet>
</file>

<file path=xl/worksheets/sheet58.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3601</x:v>
      </x:c>
      <x:c r="B1" s="544"/>
      <x:c r="C1" s="544"/>
      <x:c r="D1" s="544"/>
      <x:c r="E1" s="544"/>
      <x:c r="F1" s="544"/>
      <x:c r="G1" s="544"/>
    </x:row>
    <x:row r="2" ht="40.95000076293945" customHeight="1">
      <x:c r="A2" s="545" t="s">
        <x:v>3602</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7" t="s">
        <x:v>3603</x:v>
      </x:c>
      <x:c r="B4" s="547"/>
      <x:c r="C4" s="547"/>
      <x:c r="D4" s="547"/>
      <x:c r="E4" s="547"/>
      <x:c r="F4" s="547"/>
      <x:c r="G4" s="547"/>
    </x:row>
    <x:row r="5" ht="34.95000076293945" customHeight="1">
      <x:c r="A5" s="280">
        <x:v>1</x:v>
      </x:c>
      <x:c r="B5" s="280" t="s">
        <x:v>10</x:v>
      </x:c>
      <x:c r="C5" s="280" t="s">
        <x:v>3443</x:v>
      </x:c>
      <x:c r="D5" s="280" t="s">
        <x:v>319</x:v>
      </x:c>
      <x:c r="E5" s="280" t="s">
        <x:v>3559</x:v>
      </x:c>
      <x:c r="F5" s="280" t="s">
        <x:v>3604</x:v>
      </x:c>
      <x:c r="G5" s="280" t="s">
        <x:v>3605</x:v>
      </x:c>
    </x:row>
    <x:row r="6" ht="34.95000076293945" customHeight="1">
      <x:c r="A6" s="281">
        <x:v>2</x:v>
      </x:c>
      <x:c r="B6" s="281" t="s">
        <x:v>10</x:v>
      </x:c>
      <x:c r="C6" s="281" t="s">
        <x:v>3559</x:v>
      </x:c>
      <x:c r="D6" s="281" t="s">
        <x:v>319</x:v>
      </x:c>
      <x:c r="E6" s="281" t="s">
        <x:v>3554</x:v>
      </x:c>
      <x:c r="F6" s="281" t="s">
        <x:v>3606</x:v>
      </x:c>
      <x:c r="G6" s="281" t="s">
        <x:v>3607</x:v>
      </x:c>
    </x:row>
    <x:row r="7" ht="34.95000076293945" customHeight="1">
      <x:c r="A7" s="280">
        <x:v>3</x:v>
      </x:c>
      <x:c r="B7" s="280" t="s">
        <x:v>10</x:v>
      </x:c>
      <x:c r="C7" s="280" t="s">
        <x:v>3554</x:v>
      </x:c>
      <x:c r="D7" s="280" t="s">
        <x:v>319</x:v>
      </x:c>
      <x:c r="E7" s="280" t="s">
        <x:v>3458</x:v>
      </x:c>
      <x:c r="F7" s="280" t="s">
        <x:v>3608</x:v>
      </x:c>
      <x:c r="G7" s="280" t="s">
        <x:v>3609</x:v>
      </x:c>
    </x:row>
    <x:row r="8" ht="34.95000076293945" customHeight="1">
      <x:c r="A8" s="281">
        <x:v>4</x:v>
      </x:c>
      <x:c r="B8" s="281" t="s">
        <x:v>10</x:v>
      </x:c>
      <x:c r="C8" s="281" t="s">
        <x:v>3458</x:v>
      </x:c>
      <x:c r="D8" s="281" t="s">
        <x:v>3452</x:v>
      </x:c>
      <x:c r="E8" s="281" t="s">
        <x:v>3554</x:v>
      </x:c>
      <x:c r="F8" s="281" t="s">
        <x:v>3523</x:v>
      </x:c>
      <x:c r="G8" s="281" t="s">
        <x:v>3610</x:v>
      </x:c>
    </x:row>
    <x:row r="9" ht="34.95000076293945" customHeight="1">
      <x:c r="A9" s="280">
        <x:v>5</x:v>
      </x:c>
      <x:c r="B9" s="280" t="s">
        <x:v>10</x:v>
      </x:c>
      <x:c r="C9" s="280" t="s">
        <x:v>3554</x:v>
      </x:c>
      <x:c r="D9" s="280" t="s">
        <x:v>319</x:v>
      </x:c>
      <x:c r="E9" s="280" t="s">
        <x:v>50</x:v>
      </x:c>
      <x:c r="F9" s="280" t="s">
        <x:v>3611</x:v>
      </x:c>
      <x:c r="G9" s="280" t="s">
        <x:v>3612</x:v>
      </x:c>
    </x:row>
    <x:row r="10" ht="34.95000076293945" customHeight="1">
      <x:c r="A10" s="281">
        <x:v>6</x:v>
      </x:c>
      <x:c r="B10" s="281" t="s">
        <x:v>10</x:v>
      </x:c>
      <x:c r="C10" s="281" t="s">
        <x:v>50</x:v>
      </x:c>
      <x:c r="D10" s="281" t="s">
        <x:v>3452</x:v>
      </x:c>
      <x:c r="E10" s="281" t="s">
        <x:v>3554</x:v>
      </x:c>
      <x:c r="F10" s="281" t="s">
        <x:v>3613</x:v>
      </x:c>
      <x:c r="G10" s="281" t="s">
        <x:v>3614</x:v>
      </x:c>
    </x:row>
    <x:row r="11" ht="34.95000076293945" customHeight="1">
      <x:c r="A11" s="280">
        <x:v>7</x:v>
      </x:c>
      <x:c r="B11" s="280" t="s">
        <x:v>10</x:v>
      </x:c>
      <x:c r="C11" s="280" t="s">
        <x:v>3554</x:v>
      </x:c>
      <x:c r="D11" s="280" t="s">
        <x:v>319</x:v>
      </x:c>
      <x:c r="E11" s="280" t="s">
        <x:v>3615</x:v>
      </x:c>
      <x:c r="F11" s="280" t="s">
        <x:v>3616</x:v>
      </x:c>
      <x:c r="G11" s="280" t="s">
        <x:v>3617</x:v>
      </x:c>
    </x:row>
    <x:row r="12" ht="25.799999237060547" customHeight="1">
      <x:c r="A12" s="547" t="s">
        <x:v>3618</x:v>
      </x:c>
      <x:c r="B12" s="547"/>
      <x:c r="C12" s="547"/>
      <x:c r="D12" s="547"/>
      <x:c r="E12" s="547"/>
      <x:c r="F12" s="547"/>
      <x:c r="G12" s="547"/>
    </x:row>
    <x:row r="13" ht="34.95000076293945" customHeight="1">
      <x:c r="A13" s="280">
        <x:v>8</x:v>
      </x:c>
      <x:c r="B13" s="280" t="s">
        <x:v>33</x:v>
      </x:c>
      <x:c r="C13" s="280" t="s">
        <x:v>3443</x:v>
      </x:c>
      <x:c r="D13" s="280" t="s">
        <x:v>319</x:v>
      </x:c>
      <x:c r="E13" s="280" t="s">
        <x:v>3615</x:v>
      </x:c>
      <x:c r="F13" s="280" t="s">
        <x:v>3619</x:v>
      </x:c>
      <x:c r="G13" s="280" t="s">
        <x:v>3620</x:v>
      </x:c>
    </x:row>
    <x:row r="14" ht="34.95000076293945" customHeight="1">
      <x:c r="A14" s="281">
        <x:v>9</x:v>
      </x:c>
      <x:c r="B14" s="281" t="s">
        <x:v>33</x:v>
      </x:c>
      <x:c r="C14" s="281" t="s">
        <x:v>3615</x:v>
      </x:c>
      <x:c r="D14" s="281" t="s">
        <x:v>319</x:v>
      </x:c>
      <x:c r="E14" s="281" t="s">
        <x:v>3554</x:v>
      </x:c>
      <x:c r="F14" s="281" t="s">
        <x:v>3621</x:v>
      </x:c>
      <x:c r="G14" s="281" t="s">
        <x:v>3622</x:v>
      </x:c>
    </x:row>
    <x:row r="15" ht="34.95000076293945" customHeight="1">
      <x:c r="A15" s="280">
        <x:v>10</x:v>
      </x:c>
      <x:c r="B15" s="280" t="s">
        <x:v>33</x:v>
      </x:c>
      <x:c r="C15" s="280" t="s">
        <x:v>3554</x:v>
      </x:c>
      <x:c r="D15" s="280" t="s">
        <x:v>404</x:v>
      </x:c>
      <x:c r="E15" s="280" t="s">
        <x:v>3554</x:v>
      </x:c>
      <x:c r="F15" s="280" t="s">
        <x:v>3623</x:v>
      </x:c>
      <x:c r="G15" s="280" t="s">
        <x:v>3624</x:v>
      </x:c>
    </x:row>
    <x:row r="16" ht="25.799999237060547" customHeight="1">
      <x:c r="A16" s="547" t="s">
        <x:v>3625</x:v>
      </x:c>
      <x:c r="B16" s="547"/>
      <x:c r="C16" s="547"/>
      <x:c r="D16" s="547"/>
      <x:c r="E16" s="547"/>
      <x:c r="F16" s="547"/>
      <x:c r="G16" s="547"/>
    </x:row>
    <x:row r="17" ht="34.95000076293945" customHeight="1">
      <x:c r="A17" s="280">
        <x:v>11</x:v>
      </x:c>
      <x:c r="B17" s="280" t="s">
        <x:v>63</x:v>
      </x:c>
      <x:c r="C17" s="280" t="s">
        <x:v>3554</x:v>
      </x:c>
      <x:c r="D17" s="280" t="s">
        <x:v>319</x:v>
      </x:c>
      <x:c r="E17" s="280" t="s">
        <x:v>50</x:v>
      </x:c>
      <x:c r="F17" s="280" t="s">
        <x:v>3626</x:v>
      </x:c>
      <x:c r="G17" s="280" t="s">
        <x:v>3627</x:v>
      </x:c>
    </x:row>
    <x:row r="18" ht="34.95000076293945" customHeight="1">
      <x:c r="A18" s="281">
        <x:v>12</x:v>
      </x:c>
      <x:c r="B18" s="281" t="s">
        <x:v>63</x:v>
      </x:c>
      <x:c r="C18" s="281" t="s">
        <x:v>50</x:v>
      </x:c>
      <x:c r="D18" s="281" t="s">
        <x:v>3452</x:v>
      </x:c>
      <x:c r="E18" s="281" t="s">
        <x:v>3554</x:v>
      </x:c>
      <x:c r="F18" s="281" t="s">
        <x:v>3628</x:v>
      </x:c>
      <x:c r="G18" s="281" t="s">
        <x:v>3629</x:v>
      </x:c>
    </x:row>
    <x:row r="19" ht="34.95000076293945" customHeight="1">
      <x:c r="A19" s="280">
        <x:v>13</x:v>
      </x:c>
      <x:c r="B19" s="280" t="s">
        <x:v>63</x:v>
      </x:c>
      <x:c r="C19" s="280" t="s">
        <x:v>3554</x:v>
      </x:c>
      <x:c r="D19" s="280" t="s">
        <x:v>319</x:v>
      </x:c>
      <x:c r="E19" s="280" t="s">
        <x:v>387</x:v>
      </x:c>
      <x:c r="F19" s="280" t="s">
        <x:v>3630</x:v>
      </x:c>
      <x:c r="G19" s="280" t="s">
        <x:v>3631</x:v>
      </x:c>
    </x:row>
    <x:row r="20" ht="34.95000076293945" customHeight="1">
      <x:c r="A20" s="281">
        <x:v>14</x:v>
      </x:c>
      <x:c r="B20" s="281" t="s">
        <x:v>63</x:v>
      </x:c>
      <x:c r="C20" s="281" t="s">
        <x:v>387</x:v>
      </x:c>
      <x:c r="D20" s="281" t="s">
        <x:v>3452</x:v>
      </x:c>
      <x:c r="E20" s="281" t="s">
        <x:v>3554</x:v>
      </x:c>
      <x:c r="F20" s="281" t="s">
        <x:v>3632</x:v>
      </x:c>
      <x:c r="G20" s="281" t="s">
        <x:v>3633</x:v>
      </x:c>
    </x:row>
    <x:row r="21" ht="34.95000076293945" customHeight="1">
      <x:c r="A21" s="280">
        <x:v>15</x:v>
      </x:c>
      <x:c r="B21" s="280" t="s">
        <x:v>63</x:v>
      </x:c>
      <x:c r="C21" s="280" t="s">
        <x:v>3554</x:v>
      </x:c>
      <x:c r="D21" s="280" t="s">
        <x:v>319</x:v>
      </x:c>
      <x:c r="E21" s="280" t="s">
        <x:v>3250</x:v>
      </x:c>
      <x:c r="F21" s="280" t="s">
        <x:v>3634</x:v>
      </x:c>
      <x:c r="G21" s="280" t="s">
        <x:v>3635</x:v>
      </x:c>
    </x:row>
    <x:row r="22" ht="34.95000076293945" customHeight="1">
      <x:c r="A22" s="281">
        <x:v>16</x:v>
      </x:c>
      <x:c r="B22" s="281" t="s">
        <x:v>63</x:v>
      </x:c>
      <x:c r="C22" s="281" t="s">
        <x:v>3250</x:v>
      </x:c>
      <x:c r="D22" s="281" t="s">
        <x:v>3452</x:v>
      </x:c>
      <x:c r="E22" s="281" t="s">
        <x:v>3554</x:v>
      </x:c>
      <x:c r="F22" s="281" t="s">
        <x:v>3253</x:v>
      </x:c>
      <x:c r="G22" s="281" t="s">
        <x:v>3636</x:v>
      </x:c>
    </x:row>
    <x:row r="23" ht="34.95000076293945" customHeight="1">
      <x:c r="A23" s="280">
        <x:v>17</x:v>
      </x:c>
      <x:c r="B23" s="280" t="s">
        <x:v>63</x:v>
      </x:c>
      <x:c r="C23" s="280" t="s">
        <x:v>3554</x:v>
      </x:c>
      <x:c r="D23" s="280" t="s">
        <x:v>319</x:v>
      </x:c>
      <x:c r="E23" s="280" t="s">
        <x:v>3615</x:v>
      </x:c>
      <x:c r="F23" s="280" t="s">
        <x:v>3637</x:v>
      </x:c>
      <x:c r="G23" s="280" t="s">
        <x:v>3638</x:v>
      </x:c>
    </x:row>
    <x:row r="24" ht="34.95000076293945" customHeight="1">
      <x:c r="A24" s="281">
        <x:v>18</x:v>
      </x:c>
      <x:c r="B24" s="281" t="s">
        <x:v>63</x:v>
      </x:c>
      <x:c r="C24" s="281" t="s">
        <x:v>3443</x:v>
      </x:c>
      <x:c r="D24" s="281" t="s">
        <x:v>319</x:v>
      </x:c>
      <x:c r="E24" s="281" t="s">
        <x:v>3615</x:v>
      </x:c>
      <x:c r="F24" s="281" t="s">
        <x:v>3639</x:v>
      </x:c>
      <x:c r="G24" s="281" t="s">
        <x:v>3640</x:v>
      </x:c>
    </x:row>
    <x:row r="25" ht="34.95000076293945" customHeight="1">
      <x:c r="A25" s="280">
        <x:v>19</x:v>
      </x:c>
      <x:c r="B25" s="280" t="s">
        <x:v>63</x:v>
      </x:c>
      <x:c r="C25" s="280" t="s">
        <x:v>3615</x:v>
      </x:c>
      <x:c r="D25" s="280" t="s">
        <x:v>319</x:v>
      </x:c>
      <x:c r="E25" s="280" t="s">
        <x:v>3554</x:v>
      </x:c>
      <x:c r="F25" s="280" t="s">
        <x:v>3641</x:v>
      </x:c>
      <x:c r="G25" s="280" t="s">
        <x:v>3642</x:v>
      </x:c>
    </x:row>
    <x:row r="26">
      <x:c r="A26">
        <x:v>20</x:v>
      </x:c>
      <x:c r="B26" t="s">
        <x:v>63</x:v>
      </x:c>
      <x:c r="C26" t="s">
        <x:v>3554</x:v>
      </x:c>
      <x:c r="D26" t="s">
        <x:v>319</x:v>
      </x:c>
      <x:c r="E26" t="s">
        <x:v>3559</x:v>
      </x:c>
      <x:c r="F26" t="s">
        <x:v>3643</x:v>
      </x:c>
      <x:c r="G26" t="s">
        <x:v>3644</x:v>
      </x:c>
    </x:row>
  </x:sheetData>
  <x:mergeCells>
    <x:mergeCell ref="A1:G1"/>
    <x:mergeCell ref="A2:G2"/>
    <x:mergeCell ref="A4:G4"/>
    <x:mergeCell ref="A12:G12"/>
    <x:mergeCell ref="A16:G16"/>
  </x:mergeCells>
  <x:pageMargins left="0.7" right="0.7" top="0.75" bottom="0.75" header="0.3" footer="0.3"/>
</x:worksheet>
</file>

<file path=xl/worksheets/sheet59.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3645</x:v>
      </x:c>
      <x:c r="B1" s="544"/>
      <x:c r="C1" s="544"/>
      <x:c r="D1" s="544"/>
      <x:c r="E1" s="544"/>
      <x:c r="F1" s="544"/>
      <x:c r="G1" s="544"/>
    </x:row>
    <x:row r="2" ht="40.95000076293945" customHeight="1">
      <x:c r="A2" s="545" t="s">
        <x:v>3646</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3647</x:v>
      </x:c>
      <x:c r="B4" s="546"/>
      <x:c r="C4" s="546"/>
      <x:c r="D4" s="546"/>
      <x:c r="E4" s="546"/>
      <x:c r="F4" s="546"/>
      <x:c r="G4" s="546"/>
    </x:row>
    <x:row r="5" ht="34.95000076293945" customHeight="1">
      <x:c r="A5" s="280" t="s">
        <x:v>3489</x:v>
      </x:c>
      <x:c r="B5" s="280" t="s">
        <x:v>3490</x:v>
      </x:c>
      <x:c r="C5" s="280" t="s">
        <x:v>3443</x:v>
      </x:c>
      <x:c r="D5" s="280" t="s">
        <x:v>319</x:v>
      </x:c>
      <x:c r="E5" s="280" t="s">
        <x:v>3559</x:v>
      </x:c>
      <x:c r="F5" s="280" t="s">
        <x:v>3648</x:v>
      </x:c>
      <x:c r="G5" s="280" t="s">
        <x:v>3649</x:v>
      </x:c>
    </x:row>
    <x:row r="6" ht="34.95000076293945" customHeight="1">
      <x:c r="A6" s="281" t="s">
        <x:v>3492</x:v>
      </x:c>
      <x:c r="B6" s="281" t="s">
        <x:v>3490</x:v>
      </x:c>
      <x:c r="C6" s="281" t="s">
        <x:v>3559</x:v>
      </x:c>
      <x:c r="D6" s="281" t="s">
        <x:v>319</x:v>
      </x:c>
      <x:c r="E6" s="281" t="s">
        <x:v>3554</x:v>
      </x:c>
      <x:c r="F6" s="281" t="s">
        <x:v>3650</x:v>
      </x:c>
      <x:c r="G6" s="281" t="s">
        <x:v>3651</x:v>
      </x:c>
    </x:row>
    <x:row r="7" ht="34.95000076293945" customHeight="1">
      <x:c r="A7" s="280" t="s">
        <x:v>3495</x:v>
      </x:c>
      <x:c r="B7" s="280" t="s">
        <x:v>3490</x:v>
      </x:c>
      <x:c r="C7" s="280" t="s">
        <x:v>3554</x:v>
      </x:c>
      <x:c r="D7" s="280" t="s">
        <x:v>319</x:v>
      </x:c>
      <x:c r="E7" s="280" t="s">
        <x:v>50</x:v>
      </x:c>
      <x:c r="F7" s="280" t="s">
        <x:v>3652</x:v>
      </x:c>
      <x:c r="G7" s="280" t="s">
        <x:v>3653</x:v>
      </x:c>
    </x:row>
    <x:row r="8" ht="34.95000076293945" customHeight="1">
      <x:c r="A8" s="281" t="s">
        <x:v>3498</x:v>
      </x:c>
      <x:c r="B8" s="281" t="s">
        <x:v>3490</x:v>
      </x:c>
      <x:c r="C8" s="281" t="s">
        <x:v>50</x:v>
      </x:c>
      <x:c r="D8" s="281" t="s">
        <x:v>3452</x:v>
      </x:c>
      <x:c r="E8" s="281" t="s">
        <x:v>3554</x:v>
      </x:c>
      <x:c r="F8" s="281" t="s">
        <x:v>3654</x:v>
      </x:c>
      <x:c r="G8" s="281" t="s">
        <x:v>3655</x:v>
      </x:c>
    </x:row>
    <x:row r="9" ht="34.95000076293945" customHeight="1">
      <x:c r="A9" s="280" t="s">
        <x:v>3502</x:v>
      </x:c>
      <x:c r="B9" s="280" t="s">
        <x:v>3490</x:v>
      </x:c>
      <x:c r="C9" s="280" t="s">
        <x:v>3554</x:v>
      </x:c>
      <x:c r="D9" s="280" t="s">
        <x:v>319</x:v>
      </x:c>
      <x:c r="E9" s="280" t="s">
        <x:v>3615</x:v>
      </x:c>
      <x:c r="F9" s="280" t="s">
        <x:v>3656</x:v>
      </x:c>
      <x:c r="G9" s="280" t="s">
        <x:v>3657</x:v>
      </x:c>
    </x:row>
    <x:row r="10" ht="34.95000076293945" customHeight="1">
      <x:c r="A10" s="281" t="s">
        <x:v>3658</x:v>
      </x:c>
      <x:c r="B10" s="281" t="s">
        <x:v>3490</x:v>
      </x:c>
      <x:c r="C10" s="281" t="s">
        <x:v>3443</x:v>
      </x:c>
      <x:c r="D10" s="281" t="s">
        <x:v>319</x:v>
      </x:c>
      <x:c r="E10" s="281" t="s">
        <x:v>3615</x:v>
      </x:c>
      <x:c r="F10" s="281" t="s">
        <x:v>3659</x:v>
      </x:c>
      <x:c r="G10" s="281" t="s">
        <x:v>3660</x:v>
      </x:c>
    </x:row>
    <x:row r="11" ht="34.95000076293945" customHeight="1">
      <x:c r="A11" s="280" t="s">
        <x:v>3661</x:v>
      </x:c>
      <x:c r="B11" s="280" t="s">
        <x:v>3490</x:v>
      </x:c>
      <x:c r="C11" s="280" t="s">
        <x:v>3615</x:v>
      </x:c>
      <x:c r="D11" s="280" t="s">
        <x:v>319</x:v>
      </x:c>
      <x:c r="E11" s="280" t="s">
        <x:v>3554</x:v>
      </x:c>
      <x:c r="F11" s="280" t="s">
        <x:v>3662</x:v>
      </x:c>
      <x:c r="G11" s="280" t="s">
        <x:v>3663</x:v>
      </x:c>
    </x:row>
    <x:row r="12" ht="34.95000076293945" customHeight="1">
      <x:c r="A12" s="281" t="s">
        <x:v>3664</x:v>
      </x:c>
      <x:c r="B12" s="281" t="s">
        <x:v>3490</x:v>
      </x:c>
      <x:c r="C12" s="281" t="s">
        <x:v>3554</x:v>
      </x:c>
      <x:c r="D12" s="281" t="s">
        <x:v>319</x:v>
      </x:c>
      <x:c r="E12" s="281" t="s">
        <x:v>50</x:v>
      </x:c>
      <x:c r="F12" s="281" t="s">
        <x:v>3665</x:v>
      </x:c>
      <x:c r="G12" s="281" t="s">
        <x:v>3666</x:v>
      </x:c>
    </x:row>
    <x:row r="13" ht="34.95000076293945" customHeight="1">
      <x:c r="A13" s="280" t="s">
        <x:v>3667</x:v>
      </x:c>
      <x:c r="B13" s="280" t="s">
        <x:v>3490</x:v>
      </x:c>
      <x:c r="C13" s="280" t="s">
        <x:v>50</x:v>
      </x:c>
      <x:c r="D13" s="280" t="s">
        <x:v>3452</x:v>
      </x:c>
      <x:c r="E13" s="280" t="s">
        <x:v>3554</x:v>
      </x:c>
      <x:c r="F13" s="280" t="s">
        <x:v>3244</x:v>
      </x:c>
      <x:c r="G13" s="280" t="s">
        <x:v>3668</x:v>
      </x:c>
    </x:row>
    <x:row r="14" ht="34.95000076293945" customHeight="1">
      <x:c r="A14" s="281" t="s">
        <x:v>3669</x:v>
      </x:c>
      <x:c r="B14" s="281" t="s">
        <x:v>3490</x:v>
      </x:c>
      <x:c r="C14" s="281" t="s">
        <x:v>3554</x:v>
      </x:c>
      <x:c r="D14" s="281" t="s">
        <x:v>319</x:v>
      </x:c>
      <x:c r="E14" s="281" t="s">
        <x:v>3250</x:v>
      </x:c>
      <x:c r="F14" s="281" t="s">
        <x:v>3670</x:v>
      </x:c>
      <x:c r="G14" s="281" t="s">
        <x:v>3671</x:v>
      </x:c>
    </x:row>
    <x:row r="15" ht="34.95000076293945" customHeight="1">
      <x:c r="A15" s="280" t="s">
        <x:v>3672</x:v>
      </x:c>
      <x:c r="B15" s="280" t="s">
        <x:v>3490</x:v>
      </x:c>
      <x:c r="C15" s="280" t="s">
        <x:v>3554</x:v>
      </x:c>
      <x:c r="D15" s="280" t="s">
        <x:v>319</x:v>
      </x:c>
      <x:c r="E15" s="280" t="s">
        <x:v>3615</x:v>
      </x:c>
      <x:c r="F15" s="280" t="s">
        <x:v>3673</x:v>
      </x:c>
      <x:c r="G15" s="280" t="s">
        <x:v>3674</x:v>
      </x:c>
    </x:row>
  </x:sheetData>
  <x:mergeCells>
    <x:mergeCell ref="A1:G1"/>
    <x:mergeCell ref="A2:G2"/>
    <x:mergeCell ref="A4:G4"/>
  </x:mergeCells>
  <x:pageMargins left="0.7" right="0.7" top="0.75" bottom="0.75" header="0.3" footer="0.3"/>
</x:worksheet>
</file>

<file path=xl/worksheets/sheet60.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3675</x:v>
      </x:c>
      <x:c r="B1" s="544"/>
      <x:c r="C1" s="544"/>
      <x:c r="D1" s="544"/>
      <x:c r="E1" s="544"/>
      <x:c r="F1" s="544"/>
      <x:c r="G1" s="544"/>
    </x:row>
    <x:row r="2" ht="40.95000076293945" customHeight="1">
      <x:c r="A2" s="545" t="s">
        <x:v>3676</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3677</x:v>
      </x:c>
      <x:c r="B4" s="546"/>
      <x:c r="C4" s="546"/>
      <x:c r="D4" s="546"/>
      <x:c r="E4" s="546"/>
      <x:c r="F4" s="546"/>
      <x:c r="G4" s="546"/>
    </x:row>
    <x:row r="5" ht="34.95000076293945" customHeight="1">
      <x:c r="A5" s="280" t="s">
        <x:v>3489</x:v>
      </x:c>
      <x:c r="B5" s="280" t="s">
        <x:v>3490</x:v>
      </x:c>
      <x:c r="C5" s="280" t="s">
        <x:v>3443</x:v>
      </x:c>
      <x:c r="D5" s="280" t="s">
        <x:v>319</x:v>
      </x:c>
      <x:c r="E5" s="280" t="s">
        <x:v>3559</x:v>
      </x:c>
      <x:c r="F5" s="280" t="s">
        <x:v>3174</x:v>
      </x:c>
      <x:c r="G5" s="280" t="s">
        <x:v>3678</x:v>
      </x:c>
    </x:row>
    <x:row r="6" ht="34.95000076293945" customHeight="1">
      <x:c r="A6" s="281" t="s">
        <x:v>3492</x:v>
      </x:c>
      <x:c r="B6" s="281" t="s">
        <x:v>3490</x:v>
      </x:c>
      <x:c r="C6" s="281" t="s">
        <x:v>3559</x:v>
      </x:c>
      <x:c r="D6" s="281" t="s">
        <x:v>319</x:v>
      </x:c>
      <x:c r="E6" s="281" t="s">
        <x:v>3554</x:v>
      </x:c>
      <x:c r="F6" s="281" t="s">
        <x:v>3679</x:v>
      </x:c>
      <x:c r="G6" s="281" t="s">
        <x:v>3680</x:v>
      </x:c>
    </x:row>
    <x:row r="7" ht="34.95000076293945" customHeight="1">
      <x:c r="A7" s="280" t="s">
        <x:v>3495</x:v>
      </x:c>
      <x:c r="B7" s="280" t="s">
        <x:v>3490</x:v>
      </x:c>
      <x:c r="C7" s="280" t="s">
        <x:v>3554</x:v>
      </x:c>
      <x:c r="D7" s="280" t="s">
        <x:v>319</x:v>
      </x:c>
      <x:c r="E7" s="280" t="s">
        <x:v>50</x:v>
      </x:c>
      <x:c r="F7" s="280" t="s">
        <x:v>3681</x:v>
      </x:c>
      <x:c r="G7" s="280" t="s">
        <x:v>3682</x:v>
      </x:c>
    </x:row>
    <x:row r="8" ht="34.95000076293945" customHeight="1">
      <x:c r="A8" s="281" t="s">
        <x:v>3498</x:v>
      </x:c>
      <x:c r="B8" s="281" t="s">
        <x:v>3490</x:v>
      </x:c>
      <x:c r="C8" s="281" t="s">
        <x:v>50</x:v>
      </x:c>
      <x:c r="D8" s="281" t="s">
        <x:v>3452</x:v>
      </x:c>
      <x:c r="E8" s="281" t="s">
        <x:v>3554</x:v>
      </x:c>
      <x:c r="F8" s="281" t="s">
        <x:v>3683</x:v>
      </x:c>
      <x:c r="G8" s="281" t="s">
        <x:v>3684</x:v>
      </x:c>
    </x:row>
    <x:row r="9" ht="34.95000076293945" customHeight="1">
      <x:c r="A9" s="280" t="s">
        <x:v>3502</x:v>
      </x:c>
      <x:c r="B9" s="280" t="s">
        <x:v>3490</x:v>
      </x:c>
      <x:c r="C9" s="280" t="s">
        <x:v>3554</x:v>
      </x:c>
      <x:c r="D9" s="280" t="s">
        <x:v>404</x:v>
      </x:c>
      <x:c r="E9" s="280" t="s">
        <x:v>3554</x:v>
      </x:c>
      <x:c r="F9" s="280" t="s">
        <x:v>3685</x:v>
      </x:c>
      <x:c r="G9" s="280" t="s">
        <x:v>3686</x:v>
      </x:c>
    </x:row>
    <x:row r="10" ht="34.95000076293945" customHeight="1">
      <x:c r="A10" s="281" t="s">
        <x:v>3658</x:v>
      </x:c>
      <x:c r="B10" s="281" t="s">
        <x:v>3490</x:v>
      </x:c>
      <x:c r="C10" s="281" t="s">
        <x:v>3554</x:v>
      </x:c>
      <x:c r="D10" s="281" t="s">
        <x:v>319</x:v>
      </x:c>
      <x:c r="E10" s="281" t="s">
        <x:v>3687</x:v>
      </x:c>
      <x:c r="F10" s="281" t="s">
        <x:v>3688</x:v>
      </x:c>
      <x:c r="G10" s="281" t="s">
        <x:v>3689</x:v>
      </x:c>
    </x:row>
    <x:row r="11" ht="34.95000076293945" customHeight="1">
      <x:c r="A11" s="280" t="s">
        <x:v>3661</x:v>
      </x:c>
      <x:c r="B11" s="280" t="s">
        <x:v>3490</x:v>
      </x:c>
      <x:c r="C11" s="280" t="s">
        <x:v>3443</x:v>
      </x:c>
      <x:c r="D11" s="280" t="s">
        <x:v>319</x:v>
      </x:c>
      <x:c r="E11" s="280" t="s">
        <x:v>3687</x:v>
      </x:c>
      <x:c r="F11" s="280" t="s">
        <x:v>3690</x:v>
      </x:c>
      <x:c r="G11" s="280" t="s">
        <x:v>3691</x:v>
      </x:c>
    </x:row>
    <x:row r="12" ht="34.95000076293945" customHeight="1">
      <x:c r="A12" s="281" t="s">
        <x:v>3664</x:v>
      </x:c>
      <x:c r="B12" s="281" t="s">
        <x:v>3490</x:v>
      </x:c>
      <x:c r="C12" s="281" t="s">
        <x:v>3687</x:v>
      </x:c>
      <x:c r="D12" s="281" t="s">
        <x:v>319</x:v>
      </x:c>
      <x:c r="E12" s="281" t="s">
        <x:v>3554</x:v>
      </x:c>
      <x:c r="F12" s="281" t="s">
        <x:v>3692</x:v>
      </x:c>
      <x:c r="G12" s="281" t="s">
        <x:v>3693</x:v>
      </x:c>
    </x:row>
    <x:row r="13" ht="34.95000076293945" customHeight="1">
      <x:c r="A13" s="280" t="s">
        <x:v>3667</x:v>
      </x:c>
      <x:c r="B13" s="280" t="s">
        <x:v>3490</x:v>
      </x:c>
      <x:c r="C13" s="280" t="s">
        <x:v>3554</x:v>
      </x:c>
      <x:c r="D13" s="280" t="s">
        <x:v>319</x:v>
      </x:c>
      <x:c r="E13" s="280" t="s">
        <x:v>50</x:v>
      </x:c>
      <x:c r="F13" s="280" t="s">
        <x:v>3694</x:v>
      </x:c>
      <x:c r="G13" s="280" t="s">
        <x:v>3695</x:v>
      </x:c>
    </x:row>
    <x:row r="14" ht="34.95000076293945" customHeight="1">
      <x:c r="A14" s="281" t="s">
        <x:v>3669</x:v>
      </x:c>
      <x:c r="B14" s="281" t="s">
        <x:v>3490</x:v>
      </x:c>
      <x:c r="C14" s="281" t="s">
        <x:v>50</x:v>
      </x:c>
      <x:c r="D14" s="281" t="s">
        <x:v>3452</x:v>
      </x:c>
      <x:c r="E14" s="281" t="s">
        <x:v>3554</x:v>
      </x:c>
      <x:c r="F14" s="281" t="s">
        <x:v>3696</x:v>
      </x:c>
      <x:c r="G14" s="281" t="s">
        <x:v>3697</x:v>
      </x:c>
    </x:row>
    <x:row r="15" ht="34.95000076293945" customHeight="1">
      <x:c r="A15" s="280" t="s">
        <x:v>3672</x:v>
      </x:c>
      <x:c r="B15" s="280" t="s">
        <x:v>3490</x:v>
      </x:c>
      <x:c r="C15" s="280" t="s">
        <x:v>3554</x:v>
      </x:c>
      <x:c r="D15" s="280" t="s">
        <x:v>319</x:v>
      </x:c>
      <x:c r="E15" s="280" t="s">
        <x:v>3250</x:v>
      </x:c>
      <x:c r="F15" s="280" t="s">
        <x:v>3698</x:v>
      </x:c>
      <x:c r="G15" s="280" t="s">
        <x:v>3699</x:v>
      </x:c>
    </x:row>
    <x:row r="16" ht="34.95000076293945" customHeight="1">
      <x:c r="A16" s="281" t="s">
        <x:v>3700</x:v>
      </x:c>
      <x:c r="B16" s="281" t="s">
        <x:v>3490</x:v>
      </x:c>
      <x:c r="C16" s="281" t="s">
        <x:v>3554</x:v>
      </x:c>
      <x:c r="D16" s="281" t="s">
        <x:v>319</x:v>
      </x:c>
      <x:c r="E16" s="281" t="s">
        <x:v>3687</x:v>
      </x:c>
      <x:c r="F16" s="281" t="s">
        <x:v>3259</x:v>
      </x:c>
      <x:c r="G16" s="281" t="s">
        <x:v>3701</x:v>
      </x:c>
    </x:row>
  </x:sheetData>
  <x:mergeCells>
    <x:mergeCell ref="A1:G1"/>
    <x:mergeCell ref="A2:G2"/>
    <x:mergeCell ref="A4:G4"/>
  </x:mergeCells>
  <x:pageMargins left="0.7" right="0.7" top="0.75" bottom="0.75" header="0.3" footer="0.3"/>
</x:worksheet>
</file>

<file path=xl/worksheets/sheet61.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3702</x:v>
      </x:c>
      <x:c r="B1" s="544"/>
      <x:c r="C1" s="544"/>
      <x:c r="D1" s="544"/>
      <x:c r="E1" s="544"/>
      <x:c r="F1" s="544"/>
      <x:c r="G1" s="544"/>
    </x:row>
    <x:row r="2" ht="40.95000076293945" customHeight="1">
      <x:c r="A2" s="545" t="s">
        <x:v>3703</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3704</x:v>
      </x:c>
      <x:c r="B4" s="546"/>
      <x:c r="C4" s="546"/>
      <x:c r="D4" s="546"/>
      <x:c r="E4" s="546"/>
      <x:c r="F4" s="546"/>
      <x:c r="G4" s="546"/>
    </x:row>
    <x:row r="5" ht="34.95000076293945" customHeight="1">
      <x:c r="A5" s="280" t="s">
        <x:v>3489</x:v>
      </x:c>
      <x:c r="B5" s="280" t="s">
        <x:v>3490</x:v>
      </x:c>
      <x:c r="C5" s="280" t="s">
        <x:v>3554</x:v>
      </x:c>
      <x:c r="D5" s="280" t="s">
        <x:v>404</x:v>
      </x:c>
      <x:c r="E5" s="280" t="s">
        <x:v>3554</x:v>
      </x:c>
      <x:c r="F5" s="280" t="s">
        <x:v>3705</x:v>
      </x:c>
      <x:c r="G5" s="280" t="s">
        <x:v>3706</x:v>
      </x:c>
    </x:row>
    <x:row r="6" ht="34.95000076293945" customHeight="1">
      <x:c r="A6" s="281" t="s">
        <x:v>3492</x:v>
      </x:c>
      <x:c r="B6" s="281" t="s">
        <x:v>3490</x:v>
      </x:c>
      <x:c r="C6" s="281" t="s">
        <x:v>3554</x:v>
      </x:c>
      <x:c r="D6" s="281" t="s">
        <x:v>319</x:v>
      </x:c>
      <x:c r="E6" s="281" t="s">
        <x:v>3559</x:v>
      </x:c>
      <x:c r="F6" s="281" t="s">
        <x:v>3707</x:v>
      </x:c>
      <x:c r="G6" s="281" t="s">
        <x:v>3708</x:v>
      </x:c>
    </x:row>
    <x:row r="7" ht="25.799999237060547" customHeight="1">
      <x:c r="A7" s="546" t="s">
        <x:v>3709</x:v>
      </x:c>
      <x:c r="B7" s="546"/>
      <x:c r="C7" s="546"/>
      <x:c r="D7" s="546"/>
      <x:c r="E7" s="546"/>
      <x:c r="F7" s="546"/>
      <x:c r="G7" s="546"/>
    </x:row>
    <x:row r="8" ht="34.95000076293945" customHeight="1">
      <x:c r="A8" s="281" t="s">
        <x:v>3710</x:v>
      </x:c>
      <x:c r="B8" s="281" t="s">
        <x:v>3507</x:v>
      </x:c>
      <x:c r="C8" s="281" t="s">
        <x:v>3554</x:v>
      </x:c>
      <x:c r="D8" s="281" t="s">
        <x:v>319</x:v>
      </x:c>
      <x:c r="E8" s="281" t="s">
        <x:v>3458</x:v>
      </x:c>
      <x:c r="F8" s="281" t="s">
        <x:v>3711</x:v>
      </x:c>
      <x:c r="G8" s="281" t="s">
        <x:v>3712</x:v>
      </x:c>
    </x:row>
    <x:row r="9" ht="34.95000076293945" customHeight="1">
      <x:c r="A9" s="280" t="s">
        <x:v>3588</x:v>
      </x:c>
      <x:c r="B9" s="280" t="s">
        <x:v>3507</x:v>
      </x:c>
      <x:c r="C9" s="280" t="s">
        <x:v>3458</x:v>
      </x:c>
      <x:c r="D9" s="280" t="s">
        <x:v>3452</x:v>
      </x:c>
      <x:c r="E9" s="280" t="s">
        <x:v>3554</x:v>
      </x:c>
      <x:c r="F9" s="280" t="s">
        <x:v>3597</x:v>
      </x:c>
      <x:c r="G9" s="280" t="s">
        <x:v>3713</x:v>
      </x:c>
    </x:row>
    <x:row r="10" ht="34.95000076293945" customHeight="1">
      <x:c r="A10" s="281" t="s">
        <x:v>3591</x:v>
      </x:c>
      <x:c r="B10" s="281" t="s">
        <x:v>3507</x:v>
      </x:c>
      <x:c r="C10" s="281" t="s">
        <x:v>3554</x:v>
      </x:c>
      <x:c r="D10" s="281" t="s">
        <x:v>319</x:v>
      </x:c>
      <x:c r="E10" s="281" t="s">
        <x:v>3559</x:v>
      </x:c>
      <x:c r="F10" s="281" t="s">
        <x:v>3714</x:v>
      </x:c>
      <x:c r="G10" s="281" t="s">
        <x:v>3715</x:v>
      </x:c>
    </x:row>
    <x:row r="11" ht="25.799999237060547" customHeight="1">
      <x:c r="A11" s="546" t="s">
        <x:v>3716</x:v>
      </x:c>
      <x:c r="B11" s="546"/>
      <x:c r="C11" s="546"/>
      <x:c r="D11" s="546"/>
      <x:c r="E11" s="546"/>
      <x:c r="F11" s="546"/>
      <x:c r="G11" s="546"/>
    </x:row>
    <x:row r="12" ht="34.95000076293945" customHeight="1">
      <x:c r="A12" s="281" t="s">
        <x:v>3595</x:v>
      </x:c>
      <x:c r="B12" s="281" t="s">
        <x:v>3596</x:v>
      </x:c>
      <x:c r="C12" s="281" t="s">
        <x:v>3443</x:v>
      </x:c>
      <x:c r="D12" s="281" t="s">
        <x:v>319</x:v>
      </x:c>
      <x:c r="E12" s="281" t="s">
        <x:v>3615</x:v>
      </x:c>
      <x:c r="F12" s="281" t="s">
        <x:v>3717</x:v>
      </x:c>
      <x:c r="G12" s="281" t="s">
        <x:v>3718</x:v>
      </x:c>
    </x:row>
    <x:row r="13" ht="34.95000076293945" customHeight="1">
      <x:c r="A13" s="280" t="s">
        <x:v>3599</x:v>
      </x:c>
      <x:c r="B13" s="280" t="s">
        <x:v>3596</x:v>
      </x:c>
      <x:c r="C13" s="280" t="s">
        <x:v>3615</x:v>
      </x:c>
      <x:c r="D13" s="280" t="s">
        <x:v>319</x:v>
      </x:c>
      <x:c r="E13" s="280" t="s">
        <x:v>3559</x:v>
      </x:c>
      <x:c r="F13" s="280" t="s">
        <x:v>3719</x:v>
      </x:c>
      <x:c r="G13" s="280" t="s">
        <x:v>3720</x:v>
      </x:c>
    </x:row>
  </x:sheetData>
  <x:mergeCells>
    <x:mergeCell ref="A1:G1"/>
    <x:mergeCell ref="A2:G2"/>
    <x:mergeCell ref="A4:G4"/>
    <x:mergeCell ref="A7:G7"/>
    <x:mergeCell ref="A11:G11"/>
  </x:mergeCells>
  <x:pageMargins left="0.7" right="0.7" top="0.75" bottom="0.75" header="0.3" footer="0.3"/>
</x:worksheet>
</file>

<file path=xl/worksheets/sheet62.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3721</x:v>
      </x:c>
      <x:c r="B1" s="544"/>
      <x:c r="C1" s="544"/>
      <x:c r="D1" s="544"/>
      <x:c r="E1" s="544"/>
      <x:c r="F1" s="544"/>
      <x:c r="G1" s="544"/>
    </x:row>
    <x:row r="2" ht="40.95000076293945" customHeight="1">
      <x:c r="A2" s="545" t="s">
        <x:v>3722</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7" t="s">
        <x:v>3723</x:v>
      </x:c>
      <x:c r="B4" s="547"/>
      <x:c r="C4" s="547"/>
      <x:c r="D4" s="547"/>
      <x:c r="E4" s="547"/>
      <x:c r="F4" s="547"/>
      <x:c r="G4" s="547"/>
    </x:row>
    <x:row r="5" ht="34.95000076293945" customHeight="1">
      <x:c r="A5" s="280">
        <x:v>1</x:v>
      </x:c>
      <x:c r="B5" s="280" t="s">
        <x:v>10</x:v>
      </x:c>
      <x:c r="C5" s="280" t="s">
        <x:v>3443</x:v>
      </x:c>
      <x:c r="D5" s="280" t="s">
        <x:v>319</x:v>
      </x:c>
      <x:c r="E5" s="280" t="s">
        <x:v>3472</x:v>
      </x:c>
      <x:c r="F5" s="280" t="s">
        <x:v>3724</x:v>
      </x:c>
      <x:c r="G5" s="280" t="s">
        <x:v>3725</x:v>
      </x:c>
    </x:row>
    <x:row r="6" ht="34.95000076293945" customHeight="1">
      <x:c r="A6" s="281">
        <x:v>2</x:v>
      </x:c>
      <x:c r="B6" s="281" t="s">
        <x:v>10</x:v>
      </x:c>
      <x:c r="C6" s="281" t="s">
        <x:v>3472</x:v>
      </x:c>
      <x:c r="D6" s="281" t="s">
        <x:v>319</x:v>
      </x:c>
      <x:c r="E6" s="281" t="s">
        <x:v>3726</x:v>
      </x:c>
      <x:c r="F6" s="281" t="s">
        <x:v>3727</x:v>
      </x:c>
      <x:c r="G6" s="281" t="s">
        <x:v>3728</x:v>
      </x:c>
    </x:row>
    <x:row r="7" ht="34.95000076293945" customHeight="1">
      <x:c r="A7" s="280">
        <x:v>3</x:v>
      </x:c>
      <x:c r="B7" s="280" t="s">
        <x:v>10</x:v>
      </x:c>
      <x:c r="C7" s="280" t="s">
        <x:v>3726</x:v>
      </x:c>
      <x:c r="D7" s="280" t="s">
        <x:v>319</x:v>
      </x:c>
      <x:c r="E7" s="280" t="s">
        <x:v>754</x:v>
      </x:c>
      <x:c r="F7" s="280" t="s">
        <x:v>3729</x:v>
      </x:c>
      <x:c r="G7" s="280" t="s">
        <x:v>3730</x:v>
      </x:c>
    </x:row>
    <x:row r="8" ht="34.95000076293945" customHeight="1">
      <x:c r="A8" s="281">
        <x:v>4</x:v>
      </x:c>
      <x:c r="B8" s="281" t="s">
        <x:v>10</x:v>
      </x:c>
      <x:c r="C8" s="281" t="s">
        <x:v>754</x:v>
      </x:c>
      <x:c r="D8" s="281" t="s">
        <x:v>3452</x:v>
      </x:c>
      <x:c r="E8" s="281" t="s">
        <x:v>3726</x:v>
      </x:c>
      <x:c r="F8" s="281" t="s">
        <x:v>3731</x:v>
      </x:c>
      <x:c r="G8" s="281" t="s">
        <x:v>3732</x:v>
      </x:c>
    </x:row>
    <x:row r="9" ht="34.95000076293945" customHeight="1">
      <x:c r="A9" s="280">
        <x:v>5</x:v>
      </x:c>
      <x:c r="B9" s="280" t="s">
        <x:v>10</x:v>
      </x:c>
      <x:c r="C9" s="280" t="s">
        <x:v>3726</x:v>
      </x:c>
      <x:c r="D9" s="280" t="s">
        <x:v>319</x:v>
      </x:c>
      <x:c r="E9" s="280" t="s">
        <x:v>3733</x:v>
      </x:c>
      <x:c r="F9" s="280" t="s">
        <x:v>3734</x:v>
      </x:c>
      <x:c r="G9" s="280" t="s">
        <x:v>3735</x:v>
      </x:c>
    </x:row>
    <x:row r="10" ht="34.95000076293945" customHeight="1">
      <x:c r="A10" s="281">
        <x:v>6</x:v>
      </x:c>
      <x:c r="B10" s="281" t="s">
        <x:v>10</x:v>
      </x:c>
      <x:c r="C10" s="281" t="s">
        <x:v>3443</x:v>
      </x:c>
      <x:c r="D10" s="281" t="s">
        <x:v>319</x:v>
      </x:c>
      <x:c r="E10" s="281" t="s">
        <x:v>3733</x:v>
      </x:c>
      <x:c r="F10" s="281" t="s">
        <x:v>3736</x:v>
      </x:c>
      <x:c r="G10" s="281" t="s">
        <x:v>3737</x:v>
      </x:c>
    </x:row>
    <x:row r="11" ht="34.95000076293945" customHeight="1">
      <x:c r="A11" s="280">
        <x:v>7</x:v>
      </x:c>
      <x:c r="B11" s="280" t="s">
        <x:v>10</x:v>
      </x:c>
      <x:c r="C11" s="280" t="s">
        <x:v>3733</x:v>
      </x:c>
      <x:c r="D11" s="280" t="s">
        <x:v>319</x:v>
      </x:c>
      <x:c r="E11" s="280" t="s">
        <x:v>3726</x:v>
      </x:c>
      <x:c r="F11" s="280" t="s">
        <x:v>3738</x:v>
      </x:c>
      <x:c r="G11" s="280" t="s">
        <x:v>3739</x:v>
      </x:c>
    </x:row>
    <x:row r="12" ht="34.95000076293945" customHeight="1">
      <x:c r="A12" s="281">
        <x:v>8</x:v>
      </x:c>
      <x:c r="B12" s="281" t="s">
        <x:v>10</x:v>
      </x:c>
      <x:c r="C12" s="281" t="s">
        <x:v>3726</x:v>
      </x:c>
      <x:c r="D12" s="281" t="s">
        <x:v>319</x:v>
      </x:c>
      <x:c r="E12" s="281" t="s">
        <x:v>754</x:v>
      </x:c>
      <x:c r="F12" s="281" t="s">
        <x:v>3740</x:v>
      </x:c>
      <x:c r="G12" s="281" t="s">
        <x:v>3741</x:v>
      </x:c>
    </x:row>
    <x:row r="13" ht="34.95000076293945" customHeight="1">
      <x:c r="A13" s="280">
        <x:v>9</x:v>
      </x:c>
      <x:c r="B13" s="280" t="s">
        <x:v>10</x:v>
      </x:c>
      <x:c r="C13" s="280" t="s">
        <x:v>754</x:v>
      </x:c>
      <x:c r="D13" s="280" t="s">
        <x:v>3452</x:v>
      </x:c>
      <x:c r="E13" s="280" t="s">
        <x:v>3726</x:v>
      </x:c>
      <x:c r="F13" s="280" t="s">
        <x:v>3742</x:v>
      </x:c>
      <x:c r="G13" s="280" t="s">
        <x:v>3743</x:v>
      </x:c>
    </x:row>
    <x:row r="14" ht="34.95000076293945" customHeight="1">
      <x:c r="A14" s="281">
        <x:v>10</x:v>
      </x:c>
      <x:c r="B14" s="281" t="s">
        <x:v>10</x:v>
      </x:c>
      <x:c r="C14" s="281" t="s">
        <x:v>3726</x:v>
      </x:c>
      <x:c r="D14" s="281" t="s">
        <x:v>319</x:v>
      </x:c>
      <x:c r="E14" s="281" t="s">
        <x:v>3733</x:v>
      </x:c>
      <x:c r="F14" s="281" t="s">
        <x:v>3543</x:v>
      </x:c>
      <x:c r="G14" s="281" t="s">
        <x:v>3744</x:v>
      </x:c>
    </x:row>
    <x:row r="15" ht="25.799999237060547" customHeight="1">
      <x:c r="A15" s="547" t="s">
        <x:v>3745</x:v>
      </x:c>
      <x:c r="B15" s="547"/>
      <x:c r="C15" s="547"/>
      <x:c r="D15" s="547"/>
      <x:c r="E15" s="547"/>
      <x:c r="F15" s="547"/>
      <x:c r="G15" s="547"/>
    </x:row>
    <x:row r="16" ht="34.95000076293945" customHeight="1">
      <x:c r="A16" s="281">
        <x:v>11</x:v>
      </x:c>
      <x:c r="B16" s="281" t="s">
        <x:v>33</x:v>
      </x:c>
      <x:c r="C16" s="281" t="s">
        <x:v>3443</x:v>
      </x:c>
      <x:c r="D16" s="281" t="s">
        <x:v>319</x:v>
      </x:c>
      <x:c r="E16" s="281" t="s">
        <x:v>3733</x:v>
      </x:c>
      <x:c r="F16" s="281" t="s">
        <x:v>3746</x:v>
      </x:c>
      <x:c r="G16" s="281" t="s">
        <x:v>3747</x:v>
      </x:c>
    </x:row>
    <x:row r="17" ht="34.95000076293945" customHeight="1">
      <x:c r="A17" s="280">
        <x:v>12</x:v>
      </x:c>
      <x:c r="B17" s="280" t="s">
        <x:v>33</x:v>
      </x:c>
      <x:c r="C17" s="280" t="s">
        <x:v>3733</x:v>
      </x:c>
      <x:c r="D17" s="280" t="s">
        <x:v>319</x:v>
      </x:c>
      <x:c r="E17" s="280" t="s">
        <x:v>3726</x:v>
      </x:c>
      <x:c r="F17" s="280" t="s">
        <x:v>3748</x:v>
      </x:c>
      <x:c r="G17" s="280" t="s">
        <x:v>3749</x:v>
      </x:c>
    </x:row>
    <x:row r="18" ht="34.95000076293945" customHeight="1">
      <x:c r="A18" s="281">
        <x:v>13</x:v>
      </x:c>
      <x:c r="B18" s="281" t="s">
        <x:v>33</x:v>
      </x:c>
      <x:c r="C18" s="281" t="s">
        <x:v>3726</x:v>
      </x:c>
      <x:c r="D18" s="281" t="s">
        <x:v>319</x:v>
      </x:c>
      <x:c r="E18" s="281" t="s">
        <x:v>754</x:v>
      </x:c>
      <x:c r="F18" s="281" t="s">
        <x:v>3750</x:v>
      </x:c>
      <x:c r="G18" s="281" t="s">
        <x:v>3751</x:v>
      </x:c>
    </x:row>
    <x:row r="19" ht="34.95000076293945" customHeight="1">
      <x:c r="A19" s="280">
        <x:v>14</x:v>
      </x:c>
      <x:c r="B19" s="280" t="s">
        <x:v>33</x:v>
      </x:c>
      <x:c r="C19" s="280" t="s">
        <x:v>754</x:v>
      </x:c>
      <x:c r="D19" s="280" t="s">
        <x:v>3452</x:v>
      </x:c>
      <x:c r="E19" s="280" t="s">
        <x:v>3726</x:v>
      </x:c>
      <x:c r="F19" s="280" t="s">
        <x:v>3752</x:v>
      </x:c>
      <x:c r="G19" s="280" t="s">
        <x:v>3753</x:v>
      </x:c>
    </x:row>
    <x:row r="20" ht="34.95000076293945" customHeight="1">
      <x:c r="A20" s="281">
        <x:v>15</x:v>
      </x:c>
      <x:c r="B20" s="281" t="s">
        <x:v>33</x:v>
      </x:c>
      <x:c r="C20" s="281" t="s">
        <x:v>3726</x:v>
      </x:c>
      <x:c r="D20" s="281" t="s">
        <x:v>319</x:v>
      </x:c>
      <x:c r="E20" s="281" t="s">
        <x:v>1761</x:v>
      </x:c>
      <x:c r="F20" s="281" t="s">
        <x:v>3754</x:v>
      </x:c>
      <x:c r="G20" s="281" t="s">
        <x:v>3755</x:v>
      </x:c>
    </x:row>
    <x:row r="21" ht="34.95000076293945" customHeight="1">
      <x:c r="A21" s="280">
        <x:v>16</x:v>
      </x:c>
      <x:c r="B21" s="280" t="s">
        <x:v>33</x:v>
      </x:c>
      <x:c r="C21" s="280" t="s">
        <x:v>1761</x:v>
      </x:c>
      <x:c r="D21" s="280" t="s">
        <x:v>3452</x:v>
      </x:c>
      <x:c r="E21" s="280" t="s">
        <x:v>3726</x:v>
      </x:c>
      <x:c r="F21" s="280" t="s">
        <x:v>3756</x:v>
      </x:c>
      <x:c r="G21" s="280" t="s">
        <x:v>3757</x:v>
      </x:c>
    </x:row>
    <x:row r="22" ht="34.95000076293945" customHeight="1">
      <x:c r="A22" s="281">
        <x:v>17</x:v>
      </x:c>
      <x:c r="B22" s="281" t="s">
        <x:v>33</x:v>
      </x:c>
      <x:c r="C22" s="281" t="s">
        <x:v>3726</x:v>
      </x:c>
      <x:c r="D22" s="281" t="s">
        <x:v>319</x:v>
      </x:c>
      <x:c r="E22" s="281" t="s">
        <x:v>440</x:v>
      </x:c>
      <x:c r="F22" s="281" t="s">
        <x:v>3758</x:v>
      </x:c>
      <x:c r="G22" s="281" t="s">
        <x:v>3759</x:v>
      </x:c>
    </x:row>
    <x:row r="23" ht="34.95000076293945" customHeight="1">
      <x:c r="A23" s="280">
        <x:v>18</x:v>
      </x:c>
      <x:c r="B23" s="280" t="s">
        <x:v>33</x:v>
      </x:c>
      <x:c r="C23" s="280" t="s">
        <x:v>440</x:v>
      </x:c>
      <x:c r="D23" s="280" t="s">
        <x:v>3452</x:v>
      </x:c>
      <x:c r="E23" s="280" t="s">
        <x:v>3726</x:v>
      </x:c>
      <x:c r="F23" s="280" t="s">
        <x:v>3760</x:v>
      </x:c>
      <x:c r="G23" s="280" t="s">
        <x:v>3761</x:v>
      </x:c>
    </x:row>
    <x:row r="24" ht="34.95000076293945" customHeight="1">
      <x:c r="A24" s="281">
        <x:v>19</x:v>
      </x:c>
      <x:c r="B24" s="281" t="s">
        <x:v>33</x:v>
      </x:c>
      <x:c r="C24" s="281" t="s">
        <x:v>3726</x:v>
      </x:c>
      <x:c r="D24" s="281" t="s">
        <x:v>319</x:v>
      </x:c>
      <x:c r="E24" s="281" t="s">
        <x:v>3762</x:v>
      </x:c>
      <x:c r="F24" s="281" t="s">
        <x:v>3763</x:v>
      </x:c>
      <x:c r="G24" s="281" t="s">
        <x:v>3764</x:v>
      </x:c>
    </x:row>
    <x:row r="25" ht="25.799999237060547" customHeight="1">
      <x:c r="A25" s="547" t="s">
        <x:v>3765</x:v>
      </x:c>
      <x:c r="B25" s="547"/>
      <x:c r="C25" s="547"/>
      <x:c r="D25" s="547"/>
      <x:c r="E25" s="547"/>
      <x:c r="F25" s="547"/>
      <x:c r="G25" s="547"/>
    </x:row>
    <x:row r="26" ht="34.95000076293945" customHeight="1">
      <x:c r="A26" s="281">
        <x:v>20</x:v>
      </x:c>
      <x:c r="B26" s="281" t="s">
        <x:v>63</x:v>
      </x:c>
      <x:c r="C26" s="281" t="s">
        <x:v>3443</x:v>
      </x:c>
      <x:c r="D26" s="281" t="s">
        <x:v>319</x:v>
      </x:c>
      <x:c r="E26" s="281" t="s">
        <x:v>3762</x:v>
      </x:c>
      <x:c r="F26" s="281" t="s">
        <x:v>3766</x:v>
      </x:c>
      <x:c r="G26" s="281" t="s">
        <x:v>3767</x:v>
      </x:c>
    </x:row>
    <x:row r="27" ht="34.95000076293945" customHeight="1">
      <x:c r="A27" s="280">
        <x:v>21</x:v>
      </x:c>
      <x:c r="B27" s="280" t="s">
        <x:v>63</x:v>
      </x:c>
      <x:c r="C27" s="280" t="s">
        <x:v>3762</x:v>
      </x:c>
      <x:c r="D27" s="280" t="s">
        <x:v>319</x:v>
      </x:c>
      <x:c r="E27" s="280" t="s">
        <x:v>751</x:v>
      </x:c>
      <x:c r="F27" s="280" t="s">
        <x:v>3768</x:v>
      </x:c>
      <x:c r="G27" s="280" t="s">
        <x:v>3769</x:v>
      </x:c>
    </x:row>
    <x:row r="28" ht="34.95000076293945" customHeight="1">
      <x:c r="A28" s="281">
        <x:v>22</x:v>
      </x:c>
      <x:c r="B28" s="281" t="s">
        <x:v>63</x:v>
      </x:c>
      <x:c r="C28" s="281" t="s">
        <x:v>751</x:v>
      </x:c>
      <x:c r="D28" s="281" t="s">
        <x:v>319</x:v>
      </x:c>
      <x:c r="E28" s="281" t="s">
        <x:v>3770</x:v>
      </x:c>
      <x:c r="F28" s="281" t="s">
        <x:v>3771</x:v>
      </x:c>
      <x:c r="G28" s="281" t="s">
        <x:v>3772</x:v>
      </x:c>
    </x:row>
    <x:row r="29" ht="34.95000076293945" customHeight="1">
      <x:c r="A29" s="280">
        <x:v>23</x:v>
      </x:c>
      <x:c r="B29" s="280" t="s">
        <x:v>63</x:v>
      </x:c>
      <x:c r="C29" s="280" t="s">
        <x:v>3770</x:v>
      </x:c>
      <x:c r="D29" s="280" t="s">
        <x:v>3452</x:v>
      </x:c>
      <x:c r="E29" s="280" t="s">
        <x:v>751</x:v>
      </x:c>
      <x:c r="F29" s="280" t="s">
        <x:v>3773</x:v>
      </x:c>
      <x:c r="G29" s="280" t="str">
        <x:v>El proveedor devuelve estado, fechas y derecho a beneficios verificables; si existe período de gracia, usar únicamente sus fechas/condiciones confirmadas, sin asumir duración predeterminada. La ausencia de respuesta no equivale a caducidad.</x:v>
      </x:c>
    </x:row>
    <x:row r="30" ht="34.95000076293945" customHeight="1">
      <x:c r="A30" s="281">
        <x:v>24</x:v>
      </x:c>
      <x:c r="B30" s="281" t="s">
        <x:v>63</x:v>
      </x:c>
      <x:c r="C30" s="281" t="s">
        <x:v>751</x:v>
      </x:c>
      <x:c r="D30" s="281" t="s">
        <x:v>319</x:v>
      </x:c>
      <x:c r="E30" s="281" t="s">
        <x:v>754</x:v>
      </x:c>
      <x:c r="F30" s="281" t="s">
        <x:v>3774</x:v>
      </x:c>
      <x:c r="G30" s="281" t="s">
        <x:v>3775</x:v>
      </x:c>
    </x:row>
    <x:row r="31" ht="34.95000076293945" customHeight="1">
      <x:c r="A31" s="280">
        <x:v>25</x:v>
      </x:c>
      <x:c r="B31" s="280" t="s">
        <x:v>63</x:v>
      </x:c>
      <x:c r="C31" s="280" t="s">
        <x:v>754</x:v>
      </x:c>
      <x:c r="D31" s="280" t="s">
        <x:v>3452</x:v>
      </x:c>
      <x:c r="E31" s="280" t="s">
        <x:v>751</x:v>
      </x:c>
      <x:c r="F31" s="280" t="s">
        <x:v>3776</x:v>
      </x:c>
      <x:c r="G31" s="280" t="s">
        <x:v>3777</x:v>
      </x:c>
    </x:row>
    <x:row r="32" ht="34.95000076293945" customHeight="1">
      <x:c r="A32" s="281">
        <x:v>26</x:v>
      </x:c>
      <x:c r="B32" s="281" t="s">
        <x:v>63</x:v>
      </x:c>
      <x:c r="C32" s="281" t="s">
        <x:v>751</x:v>
      </x:c>
      <x:c r="D32" s="281" t="s">
        <x:v>404</x:v>
      </x:c>
      <x:c r="E32" s="281" t="s">
        <x:v>751</x:v>
      </x:c>
      <x:c r="F32" s="281" t="s">
        <x:v>3778</x:v>
      </x:c>
      <x:c r="G32" s="281" t="s">
        <x:v>3779</x:v>
      </x:c>
    </x:row>
    <x:row r="33" ht="34.95000076293945" customHeight="1">
      <x:c r="A33" s="280">
        <x:v>27</x:v>
      </x:c>
      <x:c r="B33" s="280" t="s">
        <x:v>63</x:v>
      </x:c>
      <x:c r="C33" s="280" t="s">
        <x:v>751</x:v>
      </x:c>
      <x:c r="D33" s="280" t="s">
        <x:v>319</x:v>
      </x:c>
      <x:c r="E33" s="280" t="s">
        <x:v>3780</x:v>
      </x:c>
      <x:c r="F33" s="280" t="s">
        <x:v>3781</x:v>
      </x:c>
      <x:c r="G33" s="280" t="s">
        <x:v>3782</x:v>
      </x:c>
    </x:row>
    <x:row r="34" ht="25.799999237060547" customHeight="1">
      <x:c r="A34" s="547" t="s">
        <x:v>3783</x:v>
      </x:c>
      <x:c r="B34" s="547"/>
      <x:c r="C34" s="547"/>
      <x:c r="D34" s="547"/>
      <x:c r="E34" s="547"/>
      <x:c r="F34" s="547"/>
      <x:c r="G34" s="547"/>
    </x:row>
    <x:row r="35" ht="34.95000076293945" customHeight="1">
      <x:c r="A35" s="280">
        <x:v>28</x:v>
      </x:c>
      <x:c r="B35" s="280" t="s">
        <x:v>81</x:v>
      </x:c>
      <x:c r="C35" s="280" t="s">
        <x:v>3443</x:v>
      </x:c>
      <x:c r="D35" s="280" t="s">
        <x:v>319</x:v>
      </x:c>
      <x:c r="E35" s="280" t="s">
        <x:v>3780</x:v>
      </x:c>
      <x:c r="F35" s="280" t="s">
        <x:v>3639</x:v>
      </x:c>
      <x:c r="G35" s="280" t="s">
        <x:v>3784</x:v>
      </x:c>
    </x:row>
    <x:row r="36" ht="34.95000076293945" customHeight="1">
      <x:c r="A36" s="281">
        <x:v>29</x:v>
      </x:c>
      <x:c r="B36" s="281" t="s">
        <x:v>81</x:v>
      </x:c>
      <x:c r="C36" s="281" t="s">
        <x:v>3780</x:v>
      </x:c>
      <x:c r="D36" s="281" t="s">
        <x:v>319</x:v>
      </x:c>
      <x:c r="E36" s="281" t="s">
        <x:v>3726</x:v>
      </x:c>
      <x:c r="F36" s="281" t="s">
        <x:v>3785</x:v>
      </x:c>
      <x:c r="G36" s="281" t="s">
        <x:v>3786</x:v>
      </x:c>
    </x:row>
    <x:row r="37" ht="34.95000076293945" customHeight="1">
      <x:c r="A37" s="280">
        <x:v>30</x:v>
      </x:c>
      <x:c r="B37" s="280" t="s">
        <x:v>81</x:v>
      </x:c>
      <x:c r="C37" s="280" t="s">
        <x:v>3726</x:v>
      </x:c>
      <x:c r="D37" s="280" t="s">
        <x:v>319</x:v>
      </x:c>
      <x:c r="E37" s="280" t="s">
        <x:v>3762</x:v>
      </x:c>
      <x:c r="F37" s="280" t="s">
        <x:v>3787</x:v>
      </x:c>
      <x:c r="G37" s="280" t="s">
        <x:v>3788</x:v>
      </x:c>
    </x:row>
    <x:row r="38" ht="34.95000076293945" customHeight="1">
      <x:c r="A38" s="281">
        <x:v>31</x:v>
      </x:c>
      <x:c r="B38" s="281" t="s">
        <x:v>81</x:v>
      </x:c>
      <x:c r="C38" s="281" t="s">
        <x:v>3443</x:v>
      </x:c>
      <x:c r="D38" s="281" t="s">
        <x:v>319</x:v>
      </x:c>
      <x:c r="E38" s="281" t="s">
        <x:v>3762</x:v>
      </x:c>
      <x:c r="F38" s="281" t="s">
        <x:v>3789</x:v>
      </x:c>
      <x:c r="G38" s="281" t="s">
        <x:v>3790</x:v>
      </x:c>
    </x:row>
    <x:row r="39" ht="34.95000076293945" customHeight="1">
      <x:c r="A39" s="280">
        <x:v>32</x:v>
      </x:c>
      <x:c r="B39" s="280" t="s">
        <x:v>81</x:v>
      </x:c>
      <x:c r="C39" s="280" t="s">
        <x:v>3762</x:v>
      </x:c>
      <x:c r="D39" s="280" t="s">
        <x:v>319</x:v>
      </x:c>
      <x:c r="E39" s="280" t="s">
        <x:v>3726</x:v>
      </x:c>
      <x:c r="F39" s="280" t="s">
        <x:v>3791</x:v>
      </x:c>
      <x:c r="G39" s="280" t="s">
        <x:v>3792</x:v>
      </x:c>
    </x:row>
    <x:row r="40" ht="34.95000076293945" customHeight="1">
      <x:c r="A40" s="281">
        <x:v>33</x:v>
      </x:c>
      <x:c r="B40" s="281" t="s">
        <x:v>81</x:v>
      </x:c>
      <x:c r="C40" s="281" t="s">
        <x:v>3726</x:v>
      </x:c>
      <x:c r="D40" s="281" t="s">
        <x:v>319</x:v>
      </x:c>
      <x:c r="E40" s="281" t="s">
        <x:v>754</x:v>
      </x:c>
      <x:c r="F40" s="281" t="s">
        <x:v>3793</x:v>
      </x:c>
      <x:c r="G40" s="281" t="s">
        <x:v>3794</x:v>
      </x:c>
    </x:row>
    <x:row r="41" ht="34.95000076293945" customHeight="1">
      <x:c r="A41" s="280">
        <x:v>34</x:v>
      </x:c>
      <x:c r="B41" s="280" t="s">
        <x:v>81</x:v>
      </x:c>
      <x:c r="C41" s="280" t="s">
        <x:v>754</x:v>
      </x:c>
      <x:c r="D41" s="280" t="s">
        <x:v>3452</x:v>
      </x:c>
      <x:c r="E41" s="280" t="s">
        <x:v>3726</x:v>
      </x:c>
      <x:c r="F41" s="280" t="s">
        <x:v>3795</x:v>
      </x:c>
      <x:c r="G41" s="280" t="s">
        <x:v>3796</x:v>
      </x:c>
    </x:row>
    <x:row r="42" ht="34.95000076293945" customHeight="1">
      <x:c r="A42" s="281">
        <x:v>35</x:v>
      </x:c>
      <x:c r="B42" s="281" t="s">
        <x:v>81</x:v>
      </x:c>
      <x:c r="C42" s="281" t="s">
        <x:v>3726</x:v>
      </x:c>
      <x:c r="D42" s="281" t="s">
        <x:v>319</x:v>
      </x:c>
      <x:c r="E42" s="281" t="s">
        <x:v>3797</x:v>
      </x:c>
      <x:c r="F42" s="281" t="s">
        <x:v>3798</x:v>
      </x:c>
      <x:c r="G42" s="281" t="s">
        <x:v>3799</x:v>
      </x:c>
    </x:row>
    <x:row r="43">
      <x:c r="A43">
        <x:v>36</x:v>
      </x:c>
      <x:c r="B43" t="s">
        <x:v>81</x:v>
      </x:c>
      <x:c r="C43" t="s">
        <x:v>3797</x:v>
      </x:c>
      <x:c r="D43" t="s">
        <x:v>319</x:v>
      </x:c>
      <x:c r="E43" t="s">
        <x:v>3443</x:v>
      </x:c>
      <x:c r="F43" t="s">
        <x:v>3800</x:v>
      </x:c>
      <x:c r="G43" t="s">
        <x:v>3801</x:v>
      </x:c>
    </x:row>
  </x:sheetData>
  <x:mergeCells>
    <x:mergeCell ref="A34:G34"/>
    <x:mergeCell ref="A1:G1"/>
    <x:mergeCell ref="A2:G2"/>
    <x:mergeCell ref="A4:G4"/>
    <x:mergeCell ref="A15:G15"/>
    <x:mergeCell ref="A25:G25"/>
  </x:mergeCells>
  <x:pageMargins left="0.7" right="0.7" top="0.75" bottom="0.75" header="0.3" footer="0.3"/>
</x:worksheet>
</file>

<file path=xl/worksheets/sheet63.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3802</x:v>
      </x:c>
      <x:c r="B1" s="544"/>
      <x:c r="C1" s="544"/>
      <x:c r="D1" s="544"/>
      <x:c r="E1" s="544"/>
      <x:c r="F1" s="544"/>
      <x:c r="G1" s="544"/>
    </x:row>
    <x:row r="2" ht="40.95000076293945" customHeight="1">
      <x:c r="A2" s="545" t="s">
        <x:v>3803</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3804</x:v>
      </x:c>
      <x:c r="B4" s="546"/>
      <x:c r="C4" s="546"/>
      <x:c r="D4" s="546"/>
      <x:c r="E4" s="546"/>
      <x:c r="F4" s="546"/>
      <x:c r="G4" s="546"/>
    </x:row>
    <x:row r="5" ht="34.95000076293945" customHeight="1">
      <x:c r="A5" s="280" t="s">
        <x:v>3489</x:v>
      </x:c>
      <x:c r="B5" s="280" t="s">
        <x:v>3490</x:v>
      </x:c>
      <x:c r="C5" s="280" t="s">
        <x:v>3770</x:v>
      </x:c>
      <x:c r="D5" s="280" t="s">
        <x:v>3452</x:v>
      </x:c>
      <x:c r="E5" s="280" t="s">
        <x:v>751</x:v>
      </x:c>
      <x:c r="F5" s="280" t="s">
        <x:v>3805</x:v>
      </x:c>
      <x:c r="G5" s="280" t="s">
        <x:v>3806</x:v>
      </x:c>
    </x:row>
    <x:row r="6" ht="34.95000076293945" customHeight="1">
      <x:c r="A6" s="281" t="s">
        <x:v>3492</x:v>
      </x:c>
      <x:c r="B6" s="281" t="s">
        <x:v>3490</x:v>
      </x:c>
      <x:c r="C6" s="281" t="s">
        <x:v>754</x:v>
      </x:c>
      <x:c r="D6" s="281" t="s">
        <x:v>3452</x:v>
      </x:c>
      <x:c r="E6" s="281" t="s">
        <x:v>751</x:v>
      </x:c>
      <x:c r="F6" s="281" t="s">
        <x:v>3807</x:v>
      </x:c>
      <x:c r="G6" s="281" t="s">
        <x:v>3808</x:v>
      </x:c>
    </x:row>
    <x:row r="7" ht="34.95000076293945" customHeight="1">
      <x:c r="A7" s="280" t="s">
        <x:v>3495</x:v>
      </x:c>
      <x:c r="B7" s="280" t="s">
        <x:v>3490</x:v>
      </x:c>
      <x:c r="C7" s="280" t="s">
        <x:v>751</x:v>
      </x:c>
      <x:c r="D7" s="280" t="s">
        <x:v>404</x:v>
      </x:c>
      <x:c r="E7" s="280" t="s">
        <x:v>751</x:v>
      </x:c>
      <x:c r="F7" s="280" t="s">
        <x:v>3809</x:v>
      </x:c>
      <x:c r="G7" s="280" t="s">
        <x:v>3810</x:v>
      </x:c>
    </x:row>
    <x:row r="8" ht="34.95000076293945" customHeight="1">
      <x:c r="A8" s="281" t="s">
        <x:v>3498</x:v>
      </x:c>
      <x:c r="B8" s="281" t="s">
        <x:v>3490</x:v>
      </x:c>
      <x:c r="C8" s="281" t="s">
        <x:v>751</x:v>
      </x:c>
      <x:c r="D8" s="281" t="s">
        <x:v>319</x:v>
      </x:c>
      <x:c r="E8" s="281" t="s">
        <x:v>3780</x:v>
      </x:c>
      <x:c r="F8" s="281" t="s">
        <x:v>3811</x:v>
      </x:c>
      <x:c r="G8" s="281" t="s">
        <x:v>3812</x:v>
      </x:c>
    </x:row>
    <x:row r="9" ht="34.95000076293945" customHeight="1">
      <x:c r="A9" s="280" t="s">
        <x:v>3502</x:v>
      </x:c>
      <x:c r="B9" s="280" t="s">
        <x:v>3490</x:v>
      </x:c>
      <x:c r="C9" s="280" t="s">
        <x:v>3443</x:v>
      </x:c>
      <x:c r="D9" s="280" t="s">
        <x:v>319</x:v>
      </x:c>
      <x:c r="E9" s="280" t="s">
        <x:v>3780</x:v>
      </x:c>
      <x:c r="F9" s="280" t="s">
        <x:v>3813</x:v>
      </x:c>
      <x:c r="G9" s="280" t="s">
        <x:v>3814</x:v>
      </x:c>
    </x:row>
    <x:row r="10" ht="34.95000076293945" customHeight="1">
      <x:c r="A10" s="281" t="s">
        <x:v>3658</x:v>
      </x:c>
      <x:c r="B10" s="281" t="s">
        <x:v>3490</x:v>
      </x:c>
      <x:c r="C10" s="281" t="s">
        <x:v>3780</x:v>
      </x:c>
      <x:c r="D10" s="281" t="s">
        <x:v>319</x:v>
      </x:c>
      <x:c r="E10" s="281" t="s">
        <x:v>3815</x:v>
      </x:c>
      <x:c r="F10" s="281" t="s">
        <x:v>3816</x:v>
      </x:c>
      <x:c r="G10" s="281" t="s">
        <x:v>3817</x:v>
      </x:c>
    </x:row>
    <x:row r="11" ht="34.95000076293945" customHeight="1">
      <x:c r="A11" s="280" t="s">
        <x:v>3661</x:v>
      </x:c>
      <x:c r="B11" s="280" t="s">
        <x:v>3490</x:v>
      </x:c>
      <x:c r="C11" s="280" t="s">
        <x:v>3815</x:v>
      </x:c>
      <x:c r="D11" s="280" t="s">
        <x:v>319</x:v>
      </x:c>
      <x:c r="E11" s="280" t="s">
        <x:v>3818</x:v>
      </x:c>
      <x:c r="F11" s="280" t="s">
        <x:v>3819</x:v>
      </x:c>
      <x:c r="G11" s="280" t="s">
        <x:v>3820</x:v>
      </x:c>
    </x:row>
  </x:sheetData>
  <x:mergeCells>
    <x:mergeCell ref="A1:G1"/>
    <x:mergeCell ref="A2:G2"/>
    <x:mergeCell ref="A4:G4"/>
  </x:mergeCells>
  <x:pageMargins left="0.7" right="0.7" top="0.75" bottom="0.75" header="0.3" footer="0.3"/>
</x:worksheet>
</file>

<file path=xl/worksheets/sheet64.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3821</x:v>
      </x:c>
      <x:c r="B1" s="544"/>
      <x:c r="C1" s="544"/>
      <x:c r="D1" s="544"/>
      <x:c r="E1" s="544"/>
      <x:c r="F1" s="544"/>
      <x:c r="G1" s="544"/>
    </x:row>
    <x:row r="2" ht="40.95000076293945" customHeight="1">
      <x:c r="A2" s="545" t="s">
        <x:v>3822</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3823</x:v>
      </x:c>
      <x:c r="B4" s="546"/>
      <x:c r="C4" s="546"/>
      <x:c r="D4" s="546"/>
      <x:c r="E4" s="546"/>
      <x:c r="F4" s="546"/>
      <x:c r="G4" s="546"/>
    </x:row>
    <x:row r="5" ht="34.95000076293945" customHeight="1">
      <x:c r="A5" s="280" t="s">
        <x:v>3489</x:v>
      </x:c>
      <x:c r="B5" s="280" t="s">
        <x:v>3490</x:v>
      </x:c>
      <x:c r="C5" s="280" t="s">
        <x:v>754</x:v>
      </x:c>
      <x:c r="D5" s="280" t="s">
        <x:v>3452</x:v>
      </x:c>
      <x:c r="E5" s="280" t="s">
        <x:v>3726</x:v>
      </x:c>
      <x:c r="F5" s="280" t="s">
        <x:v>3824</x:v>
      </x:c>
      <x:c r="G5" s="280" t="s">
        <x:v>3825</x:v>
      </x:c>
    </x:row>
    <x:row r="6" ht="34.95000076293945" customHeight="1">
      <x:c r="A6" s="281" t="s">
        <x:v>3492</x:v>
      </x:c>
      <x:c r="B6" s="281" t="s">
        <x:v>3490</x:v>
      </x:c>
      <x:c r="C6" s="281" t="s">
        <x:v>440</x:v>
      </x:c>
      <x:c r="D6" s="281" t="s">
        <x:v>3452</x:v>
      </x:c>
      <x:c r="E6" s="281" t="s">
        <x:v>3726</x:v>
      </x:c>
      <x:c r="F6" s="281" t="s">
        <x:v>3826</x:v>
      </x:c>
      <x:c r="G6" s="281" t="s">
        <x:v>3827</x:v>
      </x:c>
    </x:row>
    <x:row r="7" ht="34.95000076293945" customHeight="1">
      <x:c r="A7" s="280" t="s">
        <x:v>3495</x:v>
      </x:c>
      <x:c r="B7" s="280" t="s">
        <x:v>3490</x:v>
      </x:c>
      <x:c r="C7" s="280" t="s">
        <x:v>3726</x:v>
      </x:c>
      <x:c r="D7" s="280" t="s">
        <x:v>319</x:v>
      </x:c>
      <x:c r="E7" s="280" t="s">
        <x:v>3762</x:v>
      </x:c>
      <x:c r="F7" s="280" t="s">
        <x:v>3828</x:v>
      </x:c>
      <x:c r="G7" s="280" t="s">
        <x:v>3829</x:v>
      </x:c>
    </x:row>
    <x:row r="8" ht="25.799999237060547" customHeight="1">
      <x:c r="A8" s="546" t="s">
        <x:v>3830</x:v>
      </x:c>
      <x:c r="B8" s="546"/>
      <x:c r="C8" s="546"/>
      <x:c r="D8" s="546"/>
      <x:c r="E8" s="546"/>
      <x:c r="F8" s="546"/>
      <x:c r="G8" s="546"/>
    </x:row>
    <x:row r="9" ht="34.95000076293945" customHeight="1">
      <x:c r="A9" s="280" t="s">
        <x:v>3588</x:v>
      </x:c>
      <x:c r="B9" s="280" t="s">
        <x:v>3507</x:v>
      </x:c>
      <x:c r="C9" s="280" t="s">
        <x:v>3770</x:v>
      </x:c>
      <x:c r="D9" s="280" t="s">
        <x:v>3452</x:v>
      </x:c>
      <x:c r="E9" s="280" t="s">
        <x:v>751</x:v>
      </x:c>
      <x:c r="F9" s="280" t="s">
        <x:v>3831</x:v>
      </x:c>
      <x:c r="G9" s="280" t="s">
        <x:v>3832</x:v>
      </x:c>
    </x:row>
    <x:row r="10" ht="34.95000076293945" customHeight="1">
      <x:c r="A10" s="281" t="s">
        <x:v>3591</x:v>
      </x:c>
      <x:c r="B10" s="281" t="s">
        <x:v>3507</x:v>
      </x:c>
      <x:c r="C10" s="281" t="s">
        <x:v>751</x:v>
      </x:c>
      <x:c r="D10" s="281" t="s">
        <x:v>319</x:v>
      </x:c>
      <x:c r="E10" s="281" t="s">
        <x:v>3780</x:v>
      </x:c>
      <x:c r="F10" s="281" t="s">
        <x:v>3833</x:v>
      </x:c>
      <x:c r="G10" s="281" t="s">
        <x:v>3834</x:v>
      </x:c>
    </x:row>
  </x:sheetData>
  <x:mergeCells>
    <x:mergeCell ref="A1:G1"/>
    <x:mergeCell ref="A2:G2"/>
    <x:mergeCell ref="A4:G4"/>
    <x:mergeCell ref="A8:G8"/>
  </x:mergeCells>
  <x:pageMargins left="0.7" right="0.7" top="0.75" bottom="0.75" header="0.3" footer="0.3"/>
</x:worksheet>
</file>

<file path=xl/worksheets/sheet65.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3835</x:v>
      </x:c>
      <x:c r="B1" s="544"/>
      <x:c r="C1" s="544"/>
      <x:c r="D1" s="544"/>
      <x:c r="E1" s="544"/>
      <x:c r="F1" s="544"/>
      <x:c r="G1" s="544"/>
    </x:row>
    <x:row r="2" ht="40.95000076293945" customHeight="1">
      <x:c r="A2" s="545" t="s">
        <x:v>3836</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4" customHeight="1">
      <x:c r="A4" s="548" t="s">
        <x:v>3837</x:v>
      </x:c>
      <x:c r="B4" s="548"/>
      <x:c r="C4" s="548"/>
      <x:c r="D4" s="548"/>
      <x:c r="E4" s="548"/>
      <x:c r="F4" s="548"/>
      <x:c r="G4" s="548"/>
    </x:row>
    <x:row r="5" ht="57" customHeight="1">
      <x:c r="A5" s="328">
        <x:v>1</x:v>
      </x:c>
      <x:c r="B5" s="328" t="s">
        <x:v>10</x:v>
      </x:c>
      <x:c r="C5" s="328" t="s">
        <x:v>3443</x:v>
      </x:c>
      <x:c r="D5" s="328" t="s">
        <x:v>12</x:v>
      </x:c>
      <x:c r="E5" s="328" t="s">
        <x:v>3472</x:v>
      </x:c>
      <x:c r="F5" s="328" t="s">
        <x:v>3838</x:v>
      </x:c>
      <x:c r="G5" s="328" t="s">
        <x:v>3839</x:v>
      </x:c>
    </x:row>
    <x:row r="6" ht="57" customHeight="1">
      <x:c r="A6" s="329">
        <x:v>2</x:v>
      </x:c>
      <x:c r="B6" s="329" t="s">
        <x:v>10</x:v>
      </x:c>
      <x:c r="C6" s="329" t="s">
        <x:v>3472</x:v>
      </x:c>
      <x:c r="D6" s="329" t="s">
        <x:v>12</x:v>
      </x:c>
      <x:c r="E6" s="329" t="s">
        <x:v>3815</x:v>
      </x:c>
      <x:c r="F6" s="329" t="s">
        <x:v>3840</x:v>
      </x:c>
      <x:c r="G6" s="329" t="s">
        <x:v>3841</x:v>
      </x:c>
    </x:row>
    <x:row r="7" ht="57" customHeight="1">
      <x:c r="A7" s="328">
        <x:v>3</x:v>
      </x:c>
      <x:c r="B7" s="328" t="s">
        <x:v>10</x:v>
      </x:c>
      <x:c r="C7" s="328" t="s">
        <x:v>3815</x:v>
      </x:c>
      <x:c r="D7" s="328" t="s">
        <x:v>12</x:v>
      </x:c>
      <x:c r="E7" s="328" t="s">
        <x:v>3842</x:v>
      </x:c>
      <x:c r="F7" s="328" t="s">
        <x:v>3843</x:v>
      </x:c>
      <x:c r="G7" s="328" t="s">
        <x:v>3844</x:v>
      </x:c>
    </x:row>
    <x:row r="8" ht="57" customHeight="1">
      <x:c r="A8" s="329">
        <x:v>4</x:v>
      </x:c>
      <x:c r="B8" s="329" t="s">
        <x:v>10</x:v>
      </x:c>
      <x:c r="C8" s="329" t="s">
        <x:v>3842</x:v>
      </x:c>
      <x:c r="D8" s="329" t="s">
        <x:v>1752</x:v>
      </x:c>
      <x:c r="E8" s="329" t="s">
        <x:v>3815</x:v>
      </x:c>
      <x:c r="F8" s="329" t="s">
        <x:v>3845</x:v>
      </x:c>
      <x:c r="G8" s="329" t="s">
        <x:v>3846</x:v>
      </x:c>
    </x:row>
    <x:row r="9" ht="57" customHeight="1">
      <x:c r="A9" s="328">
        <x:v>5</x:v>
      </x:c>
      <x:c r="B9" s="328" t="s">
        <x:v>10</x:v>
      </x:c>
      <x:c r="C9" s="328" t="s">
        <x:v>3815</x:v>
      </x:c>
      <x:c r="D9" s="328" t="s">
        <x:v>12</x:v>
      </x:c>
      <x:c r="E9" s="328" t="s">
        <x:v>3847</x:v>
      </x:c>
      <x:c r="F9" s="328" t="s">
        <x:v>3848</x:v>
      </x:c>
      <x:c r="G9" s="328" t="s">
        <x:v>3849</x:v>
      </x:c>
    </x:row>
    <x:row r="10" ht="57" customHeight="1">
      <x:c r="A10" s="329">
        <x:v>6</x:v>
      </x:c>
      <x:c r="B10" s="329" t="s">
        <x:v>10</x:v>
      </x:c>
      <x:c r="C10" s="329" t="s">
        <x:v>3443</x:v>
      </x:c>
      <x:c r="D10" s="329" t="s">
        <x:v>12</x:v>
      </x:c>
      <x:c r="E10" s="329" t="s">
        <x:v>3847</x:v>
      </x:c>
      <x:c r="F10" s="329" t="s">
        <x:v>3850</x:v>
      </x:c>
      <x:c r="G10" s="329" t="s">
        <x:v>3851</x:v>
      </x:c>
    </x:row>
    <x:row r="11" ht="57" customHeight="1">
      <x:c r="A11" s="328">
        <x:v>7</x:v>
      </x:c>
      <x:c r="B11" s="328" t="s">
        <x:v>10</x:v>
      </x:c>
      <x:c r="C11" s="328" t="s">
        <x:v>3847</x:v>
      </x:c>
      <x:c r="D11" s="328" t="s">
        <x:v>12</x:v>
      </x:c>
      <x:c r="E11" s="328" t="s">
        <x:v>3815</x:v>
      </x:c>
      <x:c r="F11" s="328" t="s">
        <x:v>3852</x:v>
      </x:c>
      <x:c r="G11" s="328" t="s">
        <x:v>3853</x:v>
      </x:c>
    </x:row>
    <x:row r="12" ht="57" customHeight="1">
      <x:c r="A12" s="329">
        <x:v>8</x:v>
      </x:c>
      <x:c r="B12" s="329" t="s">
        <x:v>10</x:v>
      </x:c>
      <x:c r="C12" s="329" t="s">
        <x:v>3815</x:v>
      </x:c>
      <x:c r="D12" s="329" t="s">
        <x:v>12</x:v>
      </x:c>
      <x:c r="E12" s="329" t="s">
        <x:v>3842</x:v>
      </x:c>
      <x:c r="F12" s="329" t="s">
        <x:v>3854</x:v>
      </x:c>
      <x:c r="G12" s="329" t="s">
        <x:v>3855</x:v>
      </x:c>
    </x:row>
    <x:row r="13" ht="57" customHeight="1">
      <x:c r="A13" s="328">
        <x:v>9</x:v>
      </x:c>
      <x:c r="B13" s="328" t="s">
        <x:v>10</x:v>
      </x:c>
      <x:c r="C13" s="328" t="s">
        <x:v>3842</x:v>
      </x:c>
      <x:c r="D13" s="328" t="s">
        <x:v>1752</x:v>
      </x:c>
      <x:c r="E13" s="328" t="s">
        <x:v>3815</x:v>
      </x:c>
      <x:c r="F13" s="328" t="s">
        <x:v>3856</x:v>
      </x:c>
      <x:c r="G13" s="328" t="s">
        <x:v>3857</x:v>
      </x:c>
    </x:row>
    <x:row r="14" ht="57" customHeight="1">
      <x:c r="A14" s="329">
        <x:v>10</x:v>
      </x:c>
      <x:c r="B14" s="329" t="s">
        <x:v>10</x:v>
      </x:c>
      <x:c r="C14" s="329" t="s">
        <x:v>3815</x:v>
      </x:c>
      <x:c r="D14" s="329" t="s">
        <x:v>12</x:v>
      </x:c>
      <x:c r="E14" s="329" t="s">
        <x:v>50</x:v>
      </x:c>
      <x:c r="F14" s="329" t="s">
        <x:v>3858</x:v>
      </x:c>
      <x:c r="G14" s="329" t="s">
        <x:v>3859</x:v>
      </x:c>
    </x:row>
    <x:row r="15" ht="57" customHeight="1">
      <x:c r="A15" s="328">
        <x:v>11</x:v>
      </x:c>
      <x:c r="B15" s="328" t="s">
        <x:v>10</x:v>
      </x:c>
      <x:c r="C15" s="328" t="s">
        <x:v>50</x:v>
      </x:c>
      <x:c r="D15" s="328" t="s">
        <x:v>1752</x:v>
      </x:c>
      <x:c r="E15" s="328" t="s">
        <x:v>3815</x:v>
      </x:c>
      <x:c r="F15" s="328" t="s">
        <x:v>3860</x:v>
      </x:c>
      <x:c r="G15" s="328" t="s">
        <x:v>3861</x:v>
      </x:c>
    </x:row>
    <x:row r="16" ht="57" customHeight="1">
      <x:c r="A16" s="329">
        <x:v>12</x:v>
      </x:c>
      <x:c r="B16" s="329" t="s">
        <x:v>10</x:v>
      </x:c>
      <x:c r="C16" s="329" t="s">
        <x:v>3815</x:v>
      </x:c>
      <x:c r="D16" s="329" t="s">
        <x:v>12</x:v>
      </x:c>
      <x:c r="E16" s="329" t="s">
        <x:v>3862</x:v>
      </x:c>
      <x:c r="F16" s="329" t="s">
        <x:v>3863</x:v>
      </x:c>
      <x:c r="G16" s="329" t="s">
        <x:v>3864</x:v>
      </x:c>
    </x:row>
    <x:row r="17" ht="24" customHeight="1">
      <x:c r="A17" s="548" t="s">
        <x:v>3865</x:v>
      </x:c>
      <x:c r="B17" s="548"/>
      <x:c r="C17" s="548"/>
      <x:c r="D17" s="548"/>
      <x:c r="E17" s="548"/>
      <x:c r="F17" s="548"/>
      <x:c r="G17" s="548"/>
    </x:row>
    <x:row r="18" ht="57" customHeight="1">
      <x:c r="A18" s="329">
        <x:v>13</x:v>
      </x:c>
      <x:c r="B18" s="329" t="s">
        <x:v>33</x:v>
      </x:c>
      <x:c r="C18" s="329" t="s">
        <x:v>3443</x:v>
      </x:c>
      <x:c r="D18" s="329" t="s">
        <x:v>12</x:v>
      </x:c>
      <x:c r="E18" s="329" t="s">
        <x:v>3862</x:v>
      </x:c>
      <x:c r="F18" s="329" t="s">
        <x:v>3866</x:v>
      </x:c>
      <x:c r="G18" s="329" t="s">
        <x:v>3867</x:v>
      </x:c>
    </x:row>
    <x:row r="19" ht="57" customHeight="1">
      <x:c r="A19" s="328">
        <x:v>14</x:v>
      </x:c>
      <x:c r="B19" s="328" t="s">
        <x:v>33</x:v>
      </x:c>
      <x:c r="C19" s="328" t="s">
        <x:v>3862</x:v>
      </x:c>
      <x:c r="D19" s="328" t="s">
        <x:v>12</x:v>
      </x:c>
      <x:c r="E19" s="328" t="s">
        <x:v>3815</x:v>
      </x:c>
      <x:c r="F19" s="328" t="s">
        <x:v>3868</x:v>
      </x:c>
      <x:c r="G19" s="328" t="s">
        <x:v>3869</x:v>
      </x:c>
    </x:row>
    <x:row r="20" ht="57" customHeight="1">
      <x:c r="A20" s="329">
        <x:v>15</x:v>
      </x:c>
      <x:c r="B20" s="329" t="s">
        <x:v>33</x:v>
      </x:c>
      <x:c r="C20" s="329" t="s">
        <x:v>3815</x:v>
      </x:c>
      <x:c r="D20" s="329" t="s">
        <x:v>12</x:v>
      </x:c>
      <x:c r="E20" s="329" t="s">
        <x:v>3870</x:v>
      </x:c>
      <x:c r="F20" s="329" t="s">
        <x:v>3871</x:v>
      </x:c>
      <x:c r="G20" s="329" t="s">
        <x:v>3872</x:v>
      </x:c>
    </x:row>
    <x:row r="21" ht="57" customHeight="1">
      <x:c r="A21" s="328">
        <x:v>16</x:v>
      </x:c>
      <x:c r="B21" s="328" t="s">
        <x:v>33</x:v>
      </x:c>
      <x:c r="C21" s="328" t="s">
        <x:v>3443</x:v>
      </x:c>
      <x:c r="D21" s="328" t="s">
        <x:v>12</x:v>
      </x:c>
      <x:c r="E21" s="328" t="s">
        <x:v>3870</x:v>
      </x:c>
      <x:c r="F21" s="328" t="s">
        <x:v>3873</x:v>
      </x:c>
      <x:c r="G21" s="328" t="s">
        <x:v>3874</x:v>
      </x:c>
    </x:row>
    <x:row r="22" ht="57" customHeight="1">
      <x:c r="A22" s="329">
        <x:v>17</x:v>
      </x:c>
      <x:c r="B22" s="329" t="s">
        <x:v>33</x:v>
      </x:c>
      <x:c r="C22" s="329" t="s">
        <x:v>3870</x:v>
      </x:c>
      <x:c r="D22" s="329" t="s">
        <x:v>12</x:v>
      </x:c>
      <x:c r="E22" s="329" t="s">
        <x:v>3815</x:v>
      </x:c>
      <x:c r="F22" s="329" t="s">
        <x:v>3875</x:v>
      </x:c>
      <x:c r="G22" s="329" t="s">
        <x:v>3876</x:v>
      </x:c>
    </x:row>
    <x:row r="23" ht="57" customHeight="1">
      <x:c r="A23" s="328">
        <x:v>18</x:v>
      </x:c>
      <x:c r="B23" s="328" t="s">
        <x:v>33</x:v>
      </x:c>
      <x:c r="C23" s="328" t="s">
        <x:v>3815</x:v>
      </x:c>
      <x:c r="D23" s="328" t="s">
        <x:v>12</x:v>
      </x:c>
      <x:c r="E23" s="328" t="s">
        <x:v>3458</x:v>
      </x:c>
      <x:c r="F23" s="328" t="s">
        <x:v>3877</x:v>
      </x:c>
      <x:c r="G23" s="328" t="s">
        <x:v>3878</x:v>
      </x:c>
    </x:row>
    <x:row r="24" ht="57" customHeight="1">
      <x:c r="A24" s="329">
        <x:v>19</x:v>
      </x:c>
      <x:c r="B24" s="329" t="s">
        <x:v>33</x:v>
      </x:c>
      <x:c r="C24" s="329" t="s">
        <x:v>3458</x:v>
      </x:c>
      <x:c r="D24" s="329" t="s">
        <x:v>1752</x:v>
      </x:c>
      <x:c r="E24" s="329" t="s">
        <x:v>3815</x:v>
      </x:c>
      <x:c r="F24" s="329" t="s">
        <x:v>3879</x:v>
      </x:c>
      <x:c r="G24" s="329" t="s">
        <x:v>3880</x:v>
      </x:c>
    </x:row>
    <x:row r="25" ht="57" customHeight="1">
      <x:c r="A25" s="328">
        <x:v>20</x:v>
      </x:c>
      <x:c r="B25" s="328" t="s">
        <x:v>33</x:v>
      </x:c>
      <x:c r="C25" s="328" t="s">
        <x:v>3815</x:v>
      </x:c>
      <x:c r="D25" s="328" t="s">
        <x:v>12</x:v>
      </x:c>
      <x:c r="E25" s="328" t="s">
        <x:v>3815</x:v>
      </x:c>
      <x:c r="F25" s="328" t="s">
        <x:v>3881</x:v>
      </x:c>
      <x:c r="G25" s="328" t="s">
        <x:v>3882</x:v>
      </x:c>
    </x:row>
    <x:row r="26" ht="57" customHeight="1">
      <x:c r="A26" s="329">
        <x:v>21</x:v>
      </x:c>
      <x:c r="B26" s="329" t="s">
        <x:v>33</x:v>
      </x:c>
      <x:c r="C26" s="329" t="s">
        <x:v>3815</x:v>
      </x:c>
      <x:c r="D26" s="329" t="s">
        <x:v>12</x:v>
      </x:c>
      <x:c r="E26" s="329" t="s">
        <x:v>3842</x:v>
      </x:c>
      <x:c r="F26" s="329" t="s">
        <x:v>3883</x:v>
      </x:c>
      <x:c r="G26" s="329" t="s">
        <x:v>3884</x:v>
      </x:c>
    </x:row>
    <x:row r="27" ht="57" customHeight="1">
      <x:c r="A27" s="330">
        <x:v>22</x:v>
      </x:c>
      <x:c r="B27" s="330" t="s">
        <x:v>33</x:v>
      </x:c>
      <x:c r="C27" s="330" t="s">
        <x:v>3842</x:v>
      </x:c>
      <x:c r="D27" s="330" t="s">
        <x:v>12</x:v>
      </x:c>
      <x:c r="E27" s="330" t="s">
        <x:v>3815</x:v>
      </x:c>
      <x:c r="F27" s="330" t="s">
        <x:v>3885</x:v>
      </x:c>
      <x:c r="G27" s="330" t="s">
        <x:v>3886</x:v>
      </x:c>
    </x:row>
    <x:row r="28" ht="57" customHeight="1">
      <x:c r="A28" s="329">
        <x:v>23</x:v>
      </x:c>
      <x:c r="B28" s="329" t="s">
        <x:v>33</x:v>
      </x:c>
      <x:c r="C28" s="329" t="s">
        <x:v>3815</x:v>
      </x:c>
      <x:c r="D28" s="329" t="s">
        <x:v>12</x:v>
      </x:c>
      <x:c r="E28" s="329" t="s">
        <x:v>3887</x:v>
      </x:c>
      <x:c r="F28" s="329" t="s">
        <x:v>3888</x:v>
      </x:c>
      <x:c r="G28" s="329" t="s">
        <x:v>3889</x:v>
      </x:c>
    </x:row>
    <x:row r="29" ht="57" customHeight="1">
      <x:c r="A29" s="328">
        <x:v>24</x:v>
      </x:c>
      <x:c r="B29" s="328" t="s">
        <x:v>33</x:v>
      </x:c>
      <x:c r="C29" s="328" t="s">
        <x:v>3887</x:v>
      </x:c>
      <x:c r="D29" s="328" t="s">
        <x:v>1752</x:v>
      </x:c>
      <x:c r="E29" s="328" t="s">
        <x:v>3815</x:v>
      </x:c>
      <x:c r="F29" s="328" t="s">
        <x:v>3890</x:v>
      </x:c>
      <x:c r="G29" s="328" t="s">
        <x:v>3891</x:v>
      </x:c>
    </x:row>
    <x:row r="30" ht="24" customHeight="1">
      <x:c r="A30" s="548" t="s">
        <x:v>3892</x:v>
      </x:c>
      <x:c r="B30" s="548"/>
      <x:c r="C30" s="548"/>
      <x:c r="D30" s="548"/>
      <x:c r="E30" s="548"/>
      <x:c r="F30" s="548"/>
      <x:c r="G30" s="548"/>
    </x:row>
    <x:row r="31" ht="57" customHeight="1">
      <x:c r="A31" s="328">
        <x:v>25</x:v>
      </x:c>
      <x:c r="B31" s="328" t="s">
        <x:v>63</x:v>
      </x:c>
      <x:c r="C31" s="328" t="s">
        <x:v>3815</x:v>
      </x:c>
      <x:c r="D31" s="328" t="s">
        <x:v>12</x:v>
      </x:c>
      <x:c r="E31" s="328" t="s">
        <x:v>3862</x:v>
      </x:c>
      <x:c r="F31" s="328" t="s">
        <x:v>3893</x:v>
      </x:c>
      <x:c r="G31" s="328" t="s">
        <x:v>3894</x:v>
      </x:c>
    </x:row>
    <x:row r="32" ht="57" customHeight="1">
      <x:c r="A32" s="329">
        <x:v>26</x:v>
      </x:c>
      <x:c r="B32" s="329" t="s">
        <x:v>63</x:v>
      </x:c>
      <x:c r="C32" s="329" t="s">
        <x:v>3443</x:v>
      </x:c>
      <x:c r="D32" s="329" t="s">
        <x:v>12</x:v>
      </x:c>
      <x:c r="E32" s="329" t="s">
        <x:v>3862</x:v>
      </x:c>
      <x:c r="F32" s="329" t="s">
        <x:v>3895</x:v>
      </x:c>
      <x:c r="G32" s="329" t="s">
        <x:v>3896</x:v>
      </x:c>
    </x:row>
    <x:row r="33" ht="57" customHeight="1">
      <x:c r="A33" s="328">
        <x:v>27</x:v>
      </x:c>
      <x:c r="B33" s="328" t="s">
        <x:v>63</x:v>
      </x:c>
      <x:c r="C33" s="328" t="s">
        <x:v>3862</x:v>
      </x:c>
      <x:c r="D33" s="328" t="s">
        <x:v>12</x:v>
      </x:c>
      <x:c r="E33" s="328" t="s">
        <x:v>3815</x:v>
      </x:c>
      <x:c r="F33" s="328" t="s">
        <x:v>3897</x:v>
      </x:c>
      <x:c r="G33" s="328" t="s">
        <x:v>3898</x:v>
      </x:c>
    </x:row>
    <x:row r="34" ht="57" customHeight="1">
      <x:c r="A34" s="329">
        <x:v>28</x:v>
      </x:c>
      <x:c r="B34" s="329" t="s">
        <x:v>63</x:v>
      </x:c>
      <x:c r="C34" s="329" t="s">
        <x:v>3815</x:v>
      </x:c>
      <x:c r="D34" s="329" t="s">
        <x:v>12</x:v>
      </x:c>
      <x:c r="E34" s="329" t="s">
        <x:v>3899</x:v>
      </x:c>
      <x:c r="F34" s="329" t="s">
        <x:v>3900</x:v>
      </x:c>
      <x:c r="G34" s="329" t="s">
        <x:v>3901</x:v>
      </x:c>
    </x:row>
    <x:row r="35" ht="57" customHeight="1">
      <x:c r="A35" s="328">
        <x:v>29</x:v>
      </x:c>
      <x:c r="B35" s="328" t="s">
        <x:v>63</x:v>
      </x:c>
      <x:c r="C35" s="328" t="s">
        <x:v>3443</x:v>
      </x:c>
      <x:c r="D35" s="328" t="s">
        <x:v>12</x:v>
      </x:c>
      <x:c r="E35" s="328" t="s">
        <x:v>3899</x:v>
      </x:c>
      <x:c r="F35" s="328" t="s">
        <x:v>3902</x:v>
      </x:c>
      <x:c r="G35" s="328" t="s">
        <x:v>3903</x:v>
      </x:c>
    </x:row>
    <x:row r="36" ht="57" customHeight="1">
      <x:c r="A36" s="329">
        <x:v>30</x:v>
      </x:c>
      <x:c r="B36" s="329" t="s">
        <x:v>63</x:v>
      </x:c>
      <x:c r="C36" s="329" t="s">
        <x:v>3443</x:v>
      </x:c>
      <x:c r="D36" s="329" t="s">
        <x:v>12</x:v>
      </x:c>
      <x:c r="E36" s="329" t="s">
        <x:v>3899</x:v>
      </x:c>
      <x:c r="F36" s="329" t="s">
        <x:v>3904</x:v>
      </x:c>
      <x:c r="G36" s="329" t="s">
        <x:v>3905</x:v>
      </x:c>
    </x:row>
    <x:row r="37" ht="57" customHeight="1">
      <x:c r="A37" s="328">
        <x:v>31</x:v>
      </x:c>
      <x:c r="B37" s="328" t="s">
        <x:v>63</x:v>
      </x:c>
      <x:c r="C37" s="328" t="s">
        <x:v>3899</x:v>
      </x:c>
      <x:c r="D37" s="328" t="s">
        <x:v>12</x:v>
      </x:c>
      <x:c r="E37" s="328" t="s">
        <x:v>3815</x:v>
      </x:c>
      <x:c r="F37" s="328" t="s">
        <x:v>3906</x:v>
      </x:c>
      <x:c r="G37" s="328" t="s">
        <x:v>3907</x:v>
      </x:c>
    </x:row>
    <x:row r="38" ht="57" customHeight="1">
      <x:c r="A38" s="329">
        <x:v>32</x:v>
      </x:c>
      <x:c r="B38" s="329" t="s">
        <x:v>63</x:v>
      </x:c>
      <x:c r="C38" s="329" t="s">
        <x:v>3815</x:v>
      </x:c>
      <x:c r="D38" s="329" t="s">
        <x:v>12</x:v>
      </x:c>
      <x:c r="E38" s="329" t="s">
        <x:v>3458</x:v>
      </x:c>
      <x:c r="F38" s="329" t="s">
        <x:v>3908</x:v>
      </x:c>
      <x:c r="G38" s="329" t="s">
        <x:v>3878</x:v>
      </x:c>
    </x:row>
    <x:row r="39" ht="57" customHeight="1">
      <x:c r="A39" s="330">
        <x:v>33</x:v>
      </x:c>
      <x:c r="B39" s="330" t="s">
        <x:v>63</x:v>
      </x:c>
      <x:c r="C39" s="330" t="s">
        <x:v>3458</x:v>
      </x:c>
      <x:c r="D39" s="330" t="s">
        <x:v>1752</x:v>
      </x:c>
      <x:c r="E39" s="330" t="s">
        <x:v>3815</x:v>
      </x:c>
      <x:c r="F39" s="330" t="s">
        <x:v>3909</x:v>
      </x:c>
      <x:c r="G39" s="330" t="s">
        <x:v>3880</x:v>
      </x:c>
    </x:row>
    <x:row r="40" ht="57" customHeight="1">
      <x:c r="A40" s="329">
        <x:v>34</x:v>
      </x:c>
      <x:c r="B40" s="329" t="s">
        <x:v>63</x:v>
      </x:c>
      <x:c r="C40" s="329" t="s">
        <x:v>3815</x:v>
      </x:c>
      <x:c r="D40" s="329" t="s">
        <x:v>12</x:v>
      </x:c>
      <x:c r="E40" s="329" t="s">
        <x:v>3815</x:v>
      </x:c>
      <x:c r="F40" s="329" t="s">
        <x:v>3910</x:v>
      </x:c>
      <x:c r="G40" s="329" t="s">
        <x:v>3911</x:v>
      </x:c>
    </x:row>
    <x:row r="41" ht="57" customHeight="1">
      <x:c r="A41" s="328">
        <x:v>35</x:v>
      </x:c>
      <x:c r="B41" s="328" t="s">
        <x:v>63</x:v>
      </x:c>
      <x:c r="C41" s="328" t="s">
        <x:v>3815</x:v>
      </x:c>
      <x:c r="D41" s="328" t="s">
        <x:v>12</x:v>
      </x:c>
      <x:c r="E41" s="328" t="s">
        <x:v>3887</x:v>
      </x:c>
      <x:c r="F41" s="328" t="s">
        <x:v>3912</x:v>
      </x:c>
      <x:c r="G41" s="328" t="s">
        <x:v>3913</x:v>
      </x:c>
    </x:row>
    <x:row r="42" ht="57" customHeight="1">
      <x:c r="A42" s="329">
        <x:v>36</x:v>
      </x:c>
      <x:c r="B42" s="329" t="s">
        <x:v>63</x:v>
      </x:c>
      <x:c r="C42" s="329" t="s">
        <x:v>3887</x:v>
      </x:c>
      <x:c r="D42" s="329" t="s">
        <x:v>1752</x:v>
      </x:c>
      <x:c r="E42" s="329" t="s">
        <x:v>3815</x:v>
      </x:c>
      <x:c r="F42" s="329" t="s">
        <x:v>3914</x:v>
      </x:c>
      <x:c r="G42" s="329" t="s">
        <x:v>3915</x:v>
      </x:c>
    </x:row>
    <x:row r="43" ht="57" customHeight="1">
      <x:c r="A43" s="328">
        <x:v>37</x:v>
      </x:c>
      <x:c r="B43" s="328" t="s">
        <x:v>63</x:v>
      </x:c>
      <x:c r="C43" s="328" t="s">
        <x:v>3815</x:v>
      </x:c>
      <x:c r="D43" s="328" t="s">
        <x:v>12</x:v>
      </x:c>
      <x:c r="E43" s="328" t="s">
        <x:v>3862</x:v>
      </x:c>
      <x:c r="F43" s="328" t="s">
        <x:v>3916</x:v>
      </x:c>
      <x:c r="G43" s="328" t="s">
        <x:v>3917</x:v>
      </x:c>
    </x:row>
    <x:row r="44" ht="24" customHeight="1">
      <x:c r="A44" s="548" t="s">
        <x:v>3918</x:v>
      </x:c>
      <x:c r="B44" s="548"/>
      <x:c r="C44" s="548"/>
      <x:c r="D44" s="548"/>
      <x:c r="E44" s="548"/>
      <x:c r="F44" s="548"/>
      <x:c r="G44" s="548"/>
    </x:row>
    <x:row r="45" ht="57" customHeight="1">
      <x:c r="A45" s="328">
        <x:v>38</x:v>
      </x:c>
      <x:c r="B45" s="328" t="s">
        <x:v>81</x:v>
      </x:c>
      <x:c r="C45" s="328" t="s">
        <x:v>3443</x:v>
      </x:c>
      <x:c r="D45" s="328" t="s">
        <x:v>12</x:v>
      </x:c>
      <x:c r="E45" s="328" t="s">
        <x:v>3862</x:v>
      </x:c>
      <x:c r="F45" s="328" t="s">
        <x:v>3919</x:v>
      </x:c>
      <x:c r="G45" s="328" t="s">
        <x:v>3920</x:v>
      </x:c>
    </x:row>
    <x:row r="46" ht="57" customHeight="1">
      <x:c r="A46" s="329">
        <x:v>39</x:v>
      </x:c>
      <x:c r="B46" s="329" t="s">
        <x:v>81</x:v>
      </x:c>
      <x:c r="C46" s="329" t="s">
        <x:v>3862</x:v>
      </x:c>
      <x:c r="D46" s="329" t="s">
        <x:v>12</x:v>
      </x:c>
      <x:c r="E46" s="329" t="s">
        <x:v>3815</x:v>
      </x:c>
      <x:c r="F46" s="329" t="s">
        <x:v>3921</x:v>
      </x:c>
      <x:c r="G46" s="329" t="s">
        <x:v>3922</x:v>
      </x:c>
    </x:row>
    <x:row r="47" ht="57" customHeight="1">
      <x:c r="A47" s="328">
        <x:v>40</x:v>
      </x:c>
      <x:c r="B47" s="328" t="s">
        <x:v>81</x:v>
      </x:c>
      <x:c r="C47" s="328" t="s">
        <x:v>3815</x:v>
      </x:c>
      <x:c r="D47" s="328" t="s">
        <x:v>12</x:v>
      </x:c>
      <x:c r="E47" s="328" t="s">
        <x:v>3899</x:v>
      </x:c>
      <x:c r="F47" s="328" t="s">
        <x:v>3923</x:v>
      </x:c>
      <x:c r="G47" s="328" t="s">
        <x:v>3924</x:v>
      </x:c>
    </x:row>
    <x:row r="48" ht="57" customHeight="1">
      <x:c r="A48" s="329">
        <x:v>41</x:v>
      </x:c>
      <x:c r="B48" s="329" t="s">
        <x:v>81</x:v>
      </x:c>
      <x:c r="C48" s="329" t="s">
        <x:v>3443</x:v>
      </x:c>
      <x:c r="D48" s="329" t="s">
        <x:v>12</x:v>
      </x:c>
      <x:c r="E48" s="329" t="s">
        <x:v>3899</x:v>
      </x:c>
      <x:c r="F48" s="329" t="s">
        <x:v>3925</x:v>
      </x:c>
      <x:c r="G48" s="329" t="s">
        <x:v>3926</x:v>
      </x:c>
    </x:row>
    <x:row r="49" ht="57" customHeight="1">
      <x:c r="A49" s="328">
        <x:v>42</x:v>
      </x:c>
      <x:c r="B49" s="328" t="s">
        <x:v>81</x:v>
      </x:c>
      <x:c r="C49" s="328" t="s">
        <x:v>3899</x:v>
      </x:c>
      <x:c r="D49" s="328" t="s">
        <x:v>12</x:v>
      </x:c>
      <x:c r="E49" s="328" t="s">
        <x:v>3815</x:v>
      </x:c>
      <x:c r="F49" s="328" t="s">
        <x:v>3927</x:v>
      </x:c>
      <x:c r="G49" s="328" t="s">
        <x:v>3928</x:v>
      </x:c>
    </x:row>
    <x:row r="50" ht="57" customHeight="1">
      <x:c r="A50" s="329">
        <x:v>43</x:v>
      </x:c>
      <x:c r="B50" s="329" t="s">
        <x:v>81</x:v>
      </x:c>
      <x:c r="C50" s="329" t="s">
        <x:v>3815</x:v>
      </x:c>
      <x:c r="D50" s="329" t="s">
        <x:v>12</x:v>
      </x:c>
      <x:c r="E50" s="329" t="s">
        <x:v>3458</x:v>
      </x:c>
      <x:c r="F50" s="329" t="s">
        <x:v>3929</x:v>
      </x:c>
      <x:c r="G50" s="329" t="s">
        <x:v>3878</x:v>
      </x:c>
    </x:row>
    <x:row r="51" ht="57" customHeight="1">
      <x:c r="A51" s="328">
        <x:v>44</x:v>
      </x:c>
      <x:c r="B51" s="328" t="s">
        <x:v>81</x:v>
      </x:c>
      <x:c r="C51" s="328" t="s">
        <x:v>3458</x:v>
      </x:c>
      <x:c r="D51" s="328" t="s">
        <x:v>1752</x:v>
      </x:c>
      <x:c r="E51" s="328" t="s">
        <x:v>3815</x:v>
      </x:c>
      <x:c r="F51" s="328" t="s">
        <x:v>3930</x:v>
      </x:c>
      <x:c r="G51" s="328" t="s">
        <x:v>3880</x:v>
      </x:c>
    </x:row>
    <x:row r="52" ht="57" customHeight="1">
      <x:c r="A52" s="329">
        <x:v>45</x:v>
      </x:c>
      <x:c r="B52" s="329" t="s">
        <x:v>81</x:v>
      </x:c>
      <x:c r="C52" s="329" t="s">
        <x:v>3815</x:v>
      </x:c>
      <x:c r="D52" s="329" t="s">
        <x:v>12</x:v>
      </x:c>
      <x:c r="E52" s="329" t="s">
        <x:v>3887</x:v>
      </x:c>
      <x:c r="F52" s="329" t="s">
        <x:v>3931</x:v>
      </x:c>
      <x:c r="G52" s="329" t="s">
        <x:v>3932</x:v>
      </x:c>
    </x:row>
    <x:row r="53" ht="57" customHeight="1">
      <x:c r="A53" s="328">
        <x:v>46</x:v>
      </x:c>
      <x:c r="B53" s="328" t="s">
        <x:v>81</x:v>
      </x:c>
      <x:c r="C53" s="328" t="s">
        <x:v>3887</x:v>
      </x:c>
      <x:c r="D53" s="328" t="s">
        <x:v>1752</x:v>
      </x:c>
      <x:c r="E53" s="328" t="s">
        <x:v>3815</x:v>
      </x:c>
      <x:c r="F53" s="328" t="s">
        <x:v>3933</x:v>
      </x:c>
      <x:c r="G53" s="328" t="s">
        <x:v>3934</x:v>
      </x:c>
    </x:row>
    <x:row r="54" ht="57" customHeight="1">
      <x:c r="A54" s="329">
        <x:v>47</x:v>
      </x:c>
      <x:c r="B54" s="329" t="s">
        <x:v>81</x:v>
      </x:c>
      <x:c r="C54" s="329" t="s">
        <x:v>3443</x:v>
      </x:c>
      <x:c r="D54" s="329" t="s">
        <x:v>12</x:v>
      </x:c>
      <x:c r="E54" s="329" t="s">
        <x:v>3862</x:v>
      </x:c>
      <x:c r="F54" s="329" t="s">
        <x:v>3866</x:v>
      </x:c>
      <x:c r="G54" s="329" t="s">
        <x:v>3935</x:v>
      </x:c>
    </x:row>
    <x:row r="55" ht="57" customHeight="1">
      <x:c r="A55" s="328">
        <x:v>48</x:v>
      </x:c>
      <x:c r="B55" s="328" t="s">
        <x:v>81</x:v>
      </x:c>
      <x:c r="C55" s="328" t="s">
        <x:v>3862</x:v>
      </x:c>
      <x:c r="D55" s="328" t="s">
        <x:v>12</x:v>
      </x:c>
      <x:c r="E55" s="328" t="s">
        <x:v>3815</x:v>
      </x:c>
      <x:c r="F55" s="328" t="s">
        <x:v>3936</x:v>
      </x:c>
      <x:c r="G55" s="328" t="s">
        <x:v>3937</x:v>
      </x:c>
    </x:row>
    <x:row r="56" ht="57" customHeight="1">
      <x:c r="A56" s="327">
        <x:v>49</x:v>
      </x:c>
      <x:c r="B56" s="327" t="s">
        <x:v>81</x:v>
      </x:c>
      <x:c r="C56" s="327" t="s">
        <x:v>3815</x:v>
      </x:c>
      <x:c r="D56" s="327" t="s">
        <x:v>12</x:v>
      </x:c>
      <x:c r="E56" s="327" t="s">
        <x:v>3870</x:v>
      </x:c>
      <x:c r="F56" s="327" t="s">
        <x:v>3938</x:v>
      </x:c>
      <x:c r="G56" s="327" t="s">
        <x:v>3939</x:v>
      </x:c>
    </x:row>
    <x:row r="57" ht="57" customHeight="1">
      <x:c r="A57" s="326">
        <x:v>50</x:v>
      </x:c>
      <x:c r="B57" s="326" t="s">
        <x:v>81</x:v>
      </x:c>
      <x:c r="C57" s="326" t="s">
        <x:v>3443</x:v>
      </x:c>
      <x:c r="D57" s="326" t="s">
        <x:v>12</x:v>
      </x:c>
      <x:c r="E57" s="326" t="s">
        <x:v>3870</x:v>
      </x:c>
      <x:c r="F57" s="326" t="s">
        <x:v>3940</x:v>
      </x:c>
      <x:c r="G57" s="326" t="s">
        <x:v>3941</x:v>
      </x:c>
    </x:row>
    <x:row r="58" ht="57" customHeight="1">
      <x:c r="A58" s="327">
        <x:v>51</x:v>
      </x:c>
      <x:c r="B58" s="327" t="s">
        <x:v>81</x:v>
      </x:c>
      <x:c r="C58" s="327" t="s">
        <x:v>3870</x:v>
      </x:c>
      <x:c r="D58" s="327" t="s">
        <x:v>12</x:v>
      </x:c>
      <x:c r="E58" s="327" t="s">
        <x:v>3815</x:v>
      </x:c>
      <x:c r="F58" s="327" t="s">
        <x:v>3942</x:v>
      </x:c>
      <x:c r="G58" s="327" t="s">
        <x:v>3943</x:v>
      </x:c>
    </x:row>
    <x:row r="59" ht="57" customHeight="1">
      <x:c r="A59" s="326">
        <x:v>52</x:v>
      </x:c>
      <x:c r="B59" s="326" t="s">
        <x:v>81</x:v>
      </x:c>
      <x:c r="C59" s="326" t="s">
        <x:v>3815</x:v>
      </x:c>
      <x:c r="D59" s="326" t="s">
        <x:v>12</x:v>
      </x:c>
      <x:c r="E59" s="326" t="s">
        <x:v>3458</x:v>
      </x:c>
      <x:c r="F59" s="326" t="s">
        <x:v>3944</x:v>
      </x:c>
      <x:c r="G59" s="326" t="s">
        <x:v>3878</x:v>
      </x:c>
    </x:row>
    <x:row r="60" ht="57" customHeight="1">
      <x:c r="A60" s="327">
        <x:v>53</x:v>
      </x:c>
      <x:c r="B60" s="327" t="s">
        <x:v>81</x:v>
      </x:c>
      <x:c r="C60" s="327" t="s">
        <x:v>3458</x:v>
      </x:c>
      <x:c r="D60" s="327" t="s">
        <x:v>1752</x:v>
      </x:c>
      <x:c r="E60" s="327" t="s">
        <x:v>3815</x:v>
      </x:c>
      <x:c r="F60" s="327" t="s">
        <x:v>3945</x:v>
      </x:c>
      <x:c r="G60" s="327" t="s">
        <x:v>3880</x:v>
      </x:c>
    </x:row>
    <x:row r="61" ht="57" customHeight="1">
      <x:c r="A61" s="326">
        <x:v>54</x:v>
      </x:c>
      <x:c r="B61" s="326" t="s">
        <x:v>81</x:v>
      </x:c>
      <x:c r="C61" s="326" t="s">
        <x:v>3815</x:v>
      </x:c>
      <x:c r="D61" s="326" t="s">
        <x:v>12</x:v>
      </x:c>
      <x:c r="E61" s="326" t="s">
        <x:v>3887</x:v>
      </x:c>
      <x:c r="F61" s="326" t="s">
        <x:v>3946</x:v>
      </x:c>
      <x:c r="G61" s="326" t="s">
        <x:v>3947</x:v>
      </x:c>
    </x:row>
    <x:row r="62" ht="57" customHeight="1">
      <x:c r="A62" s="327">
        <x:v>55</x:v>
      </x:c>
      <x:c r="B62" s="327" t="s">
        <x:v>81</x:v>
      </x:c>
      <x:c r="C62" s="327" t="s">
        <x:v>3887</x:v>
      </x:c>
      <x:c r="D62" s="327" t="s">
        <x:v>1752</x:v>
      </x:c>
      <x:c r="E62" s="327" t="s">
        <x:v>3815</x:v>
      </x:c>
      <x:c r="F62" s="327" t="s">
        <x:v>3948</x:v>
      </x:c>
      <x:c r="G62" s="327" t="s">
        <x:v>3949</x:v>
      </x:c>
    </x:row>
    <x:row r="63" ht="57" customHeight="1">
      <x:c r="A63" s="326">
        <x:v>56</x:v>
      </x:c>
      <x:c r="B63" s="326" t="s">
        <x:v>81</x:v>
      </x:c>
      <x:c r="C63" s="326" t="s">
        <x:v>3815</x:v>
      </x:c>
      <x:c r="D63" s="326" t="s">
        <x:v>12</x:v>
      </x:c>
      <x:c r="E63" s="326" t="s">
        <x:v>3842</x:v>
      </x:c>
      <x:c r="F63" s="326" t="s">
        <x:v>3950</x:v>
      </x:c>
      <x:c r="G63" s="326" t="s">
        <x:v>3951</x:v>
      </x:c>
    </x:row>
    <x:row r="64" ht="57" customHeight="1">
      <x:c r="A64" s="327">
        <x:v>57</x:v>
      </x:c>
      <x:c r="B64" s="327" t="s">
        <x:v>81</x:v>
      </x:c>
      <x:c r="C64" s="327" t="s">
        <x:v>3842</x:v>
      </x:c>
      <x:c r="D64" s="327" t="s">
        <x:v>1752</x:v>
      </x:c>
      <x:c r="E64" s="327" t="s">
        <x:v>3815</x:v>
      </x:c>
      <x:c r="F64" s="327" t="s">
        <x:v>3952</x:v>
      </x:c>
      <x:c r="G64" s="327" t="s">
        <x:v>3915</x:v>
      </x:c>
    </x:row>
    <x:row r="65" ht="57" customHeight="1">
      <x:c r="A65" s="326">
        <x:v>58</x:v>
      </x:c>
      <x:c r="B65" s="326" t="s">
        <x:v>81</x:v>
      </x:c>
      <x:c r="C65" s="326" t="s">
        <x:v>3815</x:v>
      </x:c>
      <x:c r="D65" s="326" t="s">
        <x:v>12</x:v>
      </x:c>
      <x:c r="E65" s="326" t="s">
        <x:v>3887</x:v>
      </x:c>
      <x:c r="F65" s="326" t="s">
        <x:v>3953</x:v>
      </x:c>
      <x:c r="G65" s="326" t="s">
        <x:v>3954</x:v>
      </x:c>
    </x:row>
    <x:row r="66" ht="57" customHeight="1">
      <x:c r="A66" s="327">
        <x:v>59</x:v>
      </x:c>
      <x:c r="B66" s="327" t="s">
        <x:v>81</x:v>
      </x:c>
      <x:c r="C66" s="327" t="s">
        <x:v>3887</x:v>
      </x:c>
      <x:c r="D66" s="327" t="s">
        <x:v>1752</x:v>
      </x:c>
      <x:c r="E66" s="327" t="s">
        <x:v>3815</x:v>
      </x:c>
      <x:c r="F66" s="327" t="s">
        <x:v>3890</x:v>
      </x:c>
      <x:c r="G66" s="327" t="s">
        <x:v>3891</x:v>
      </x:c>
    </x:row>
    <x:row r="67" ht="57" customHeight="1">
      <x:c r="A67" s="326">
        <x:v>60</x:v>
      </x:c>
      <x:c r="B67" s="326" t="s">
        <x:v>81</x:v>
      </x:c>
      <x:c r="C67" s="326" t="s">
        <x:v>3815</x:v>
      </x:c>
      <x:c r="D67" s="326" t="s">
        <x:v>12</x:v>
      </x:c>
      <x:c r="E67" s="326" t="s">
        <x:v>3862</x:v>
      </x:c>
      <x:c r="F67" s="326" t="s">
        <x:v>3955</x:v>
      </x:c>
      <x:c r="G67" s="326" t="s">
        <x:v>3956</x:v>
      </x:c>
    </x:row>
  </x:sheetData>
  <x:mergeCells>
    <x:mergeCell ref="A44:G44"/>
    <x:mergeCell ref="A1:G1"/>
    <x:mergeCell ref="A2:G2"/>
    <x:mergeCell ref="A4:G4"/>
    <x:mergeCell ref="A17:G17"/>
    <x:mergeCell ref="A30:G30"/>
  </x:mergeCells>
  <x:pageMargins left="0.7" right="0.7" top="0.75" bottom="0.75" header="0.3" footer="0.3"/>
</x:worksheet>
</file>

<file path=xl/worksheets/sheet66.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3957</x:v>
      </x:c>
      <x:c r="B1" s="544"/>
      <x:c r="C1" s="544"/>
      <x:c r="D1" s="544"/>
      <x:c r="E1" s="544"/>
      <x:c r="F1" s="544"/>
      <x:c r="G1" s="544"/>
    </x:row>
    <x:row r="2" ht="40.95000076293945" customHeight="1">
      <x:c r="A2" s="545" t="s">
        <x:v>3958</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3959</x:v>
      </x:c>
      <x:c r="B4" s="546"/>
      <x:c r="C4" s="546"/>
      <x:c r="D4" s="546"/>
      <x:c r="E4" s="546"/>
      <x:c r="F4" s="546"/>
      <x:c r="G4" s="546"/>
    </x:row>
    <x:row r="5" ht="34.95000076293945" customHeight="1">
      <x:c r="A5" s="280" t="s">
        <x:v>3489</x:v>
      </x:c>
      <x:c r="B5" s="280" t="s">
        <x:v>3490</x:v>
      </x:c>
      <x:c r="C5" s="280" t="s">
        <x:v>3443</x:v>
      </x:c>
      <x:c r="D5" s="280" t="s">
        <x:v>319</x:v>
      </x:c>
      <x:c r="E5" s="280" t="s">
        <x:v>3847</x:v>
      </x:c>
      <x:c r="F5" s="280" t="s">
        <x:v>3813</x:v>
      </x:c>
      <x:c r="G5" s="280" t="s">
        <x:v>3960</x:v>
      </x:c>
    </x:row>
    <x:row r="6" ht="34.95000076293945" customHeight="1">
      <x:c r="A6" s="281" t="s">
        <x:v>3492</x:v>
      </x:c>
      <x:c r="B6" s="281" t="s">
        <x:v>3490</x:v>
      </x:c>
      <x:c r="C6" s="281" t="s">
        <x:v>3847</x:v>
      </x:c>
      <x:c r="D6" s="281" t="s">
        <x:v>319</x:v>
      </x:c>
      <x:c r="E6" s="281" t="s">
        <x:v>3815</x:v>
      </x:c>
      <x:c r="F6" s="281" t="s">
        <x:v>3961</x:v>
      </x:c>
      <x:c r="G6" s="281" t="s">
        <x:v>3962</x:v>
      </x:c>
    </x:row>
    <x:row r="7" ht="34.95000076293945" customHeight="1">
      <x:c r="A7" s="280" t="s">
        <x:v>3495</x:v>
      </x:c>
      <x:c r="B7" s="280" t="s">
        <x:v>3490</x:v>
      </x:c>
      <x:c r="C7" s="280" t="s">
        <x:v>3815</x:v>
      </x:c>
      <x:c r="D7" s="280" t="s">
        <x:v>319</x:v>
      </x:c>
      <x:c r="E7" s="280" t="s">
        <x:v>3818</x:v>
      </x:c>
      <x:c r="F7" s="280" t="s">
        <x:v>3963</x:v>
      </x:c>
      <x:c r="G7" s="280" t="s">
        <x:v>3964</x:v>
      </x:c>
    </x:row>
    <x:row r="8" ht="34.95000076293945" customHeight="1">
      <x:c r="A8" s="281" t="s">
        <x:v>3498</x:v>
      </x:c>
      <x:c r="B8" s="281" t="s">
        <x:v>3490</x:v>
      </x:c>
      <x:c r="C8" s="281" t="s">
        <x:v>3443</x:v>
      </x:c>
      <x:c r="D8" s="281" t="s">
        <x:v>319</x:v>
      </x:c>
      <x:c r="E8" s="281" t="s">
        <x:v>3818</x:v>
      </x:c>
      <x:c r="F8" s="281" t="s">
        <x:v>3965</x:v>
      </x:c>
      <x:c r="G8" s="281" t="s">
        <x:v>3966</x:v>
      </x:c>
    </x:row>
    <x:row r="9" ht="34.95000076293945" customHeight="1">
      <x:c r="A9" s="280" t="s">
        <x:v>3502</x:v>
      </x:c>
      <x:c r="B9" s="280" t="s">
        <x:v>3490</x:v>
      </x:c>
      <x:c r="C9" s="280" t="s">
        <x:v>3443</x:v>
      </x:c>
      <x:c r="D9" s="280" t="s">
        <x:v>319</x:v>
      </x:c>
      <x:c r="E9" s="280" t="s">
        <x:v>3818</x:v>
      </x:c>
      <x:c r="F9" s="280" t="s">
        <x:v>3967</x:v>
      </x:c>
      <x:c r="G9" s="280" t="s">
        <x:v>3968</x:v>
      </x:c>
    </x:row>
    <x:row r="10" ht="34.95000076293945" customHeight="1">
      <x:c r="A10" s="281" t="s">
        <x:v>3658</x:v>
      </x:c>
      <x:c r="B10" s="281" t="s">
        <x:v>3490</x:v>
      </x:c>
      <x:c r="C10" s="281" t="s">
        <x:v>3818</x:v>
      </x:c>
      <x:c r="D10" s="281" t="s">
        <x:v>319</x:v>
      </x:c>
      <x:c r="E10" s="281" t="s">
        <x:v>3815</x:v>
      </x:c>
      <x:c r="F10" s="281" t="s">
        <x:v>3969</x:v>
      </x:c>
      <x:c r="G10" s="281" t="s">
        <x:v>3970</x:v>
      </x:c>
    </x:row>
    <x:row r="11" ht="34.95000076293945" customHeight="1">
      <x:c r="A11" s="280" t="s">
        <x:v>3661</x:v>
      </x:c>
      <x:c r="B11" s="280" t="s">
        <x:v>3490</x:v>
      </x:c>
      <x:c r="C11" s="280" t="s">
        <x:v>3815</x:v>
      </x:c>
      <x:c r="D11" s="280" t="s">
        <x:v>319</x:v>
      </x:c>
      <x:c r="E11" s="280" t="s">
        <x:v>3842</x:v>
      </x:c>
      <x:c r="F11" s="280" t="s">
        <x:v>3971</x:v>
      </x:c>
      <x:c r="G11" s="280" t="s">
        <x:v>3972</x:v>
      </x:c>
    </x:row>
    <x:row r="12" ht="34.95000076293945" customHeight="1">
      <x:c r="A12" s="281" t="s">
        <x:v>3664</x:v>
      </x:c>
      <x:c r="B12" s="281" t="s">
        <x:v>3490</x:v>
      </x:c>
      <x:c r="C12" s="281" t="s">
        <x:v>3842</x:v>
      </x:c>
      <x:c r="D12" s="281" t="s">
        <x:v>3452</x:v>
      </x:c>
      <x:c r="E12" s="281" t="s">
        <x:v>3815</x:v>
      </x:c>
      <x:c r="F12" s="281" t="s">
        <x:v>3973</x:v>
      </x:c>
      <x:c r="G12" s="281" t="s">
        <x:v>3974</x:v>
      </x:c>
    </x:row>
    <x:row r="13" ht="34.95000076293945" customHeight="1">
      <x:c r="A13" s="280" t="s">
        <x:v>3667</x:v>
      </x:c>
      <x:c r="B13" s="280" t="s">
        <x:v>3490</x:v>
      </x:c>
      <x:c r="C13" s="280" t="s">
        <x:v>3815</x:v>
      </x:c>
      <x:c r="D13" s="280" t="s">
        <x:v>319</x:v>
      </x:c>
      <x:c r="E13" s="280" t="s">
        <x:v>3975</x:v>
      </x:c>
      <x:c r="F13" s="280" t="s">
        <x:v>3976</x:v>
      </x:c>
      <x:c r="G13" s="280" t="s">
        <x:v>3977</x:v>
      </x:c>
    </x:row>
  </x:sheetData>
  <x:mergeCells>
    <x:mergeCell ref="A1:G1"/>
    <x:mergeCell ref="A2:G2"/>
    <x:mergeCell ref="A4:G4"/>
  </x:mergeCells>
  <x:pageMargins left="0.7" right="0.7" top="0.75" bottom="0.75" header="0.3" footer="0.3"/>
</x:worksheet>
</file>

<file path=xl/worksheets/sheet67.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3978</x:v>
      </x:c>
      <x:c r="B1" s="544"/>
      <x:c r="C1" s="544"/>
      <x:c r="D1" s="544"/>
      <x:c r="E1" s="544"/>
      <x:c r="F1" s="544"/>
      <x:c r="G1" s="544"/>
    </x:row>
    <x:row r="2" ht="40.95000076293945" customHeight="1">
      <x:c r="A2" s="545" t="s">
        <x:v>3979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3980</x:v>
      </x:c>
      <x:c r="B4" s="546"/>
      <x:c r="C4" s="546"/>
      <x:c r="D4" s="546"/>
      <x:c r="E4" s="546"/>
      <x:c r="F4" s="546"/>
      <x:c r="G4" s="546"/>
    </x:row>
    <x:row r="5" ht="34.95000076293945" customHeight="1">
      <x:c r="A5" s="280" t="s">
        <x:v>3489</x:v>
      </x:c>
      <x:c r="B5" s="280" t="s">
        <x:v>3490</x:v>
      </x:c>
      <x:c r="C5" s="280" t="s">
        <x:v>3815</x:v>
      </x:c>
      <x:c r="D5" s="280" t="s">
        <x:v>404</x:v>
      </x:c>
      <x:c r="E5" s="280" t="s">
        <x:v>3815</x:v>
      </x:c>
      <x:c r="F5" s="280" t="s">
        <x:v>3981</x:v>
      </x:c>
      <x:c r="G5" s="280" t="s">
        <x:v>3982</x:v>
      </x:c>
    </x:row>
    <x:row r="6" ht="34.95000076293945" customHeight="1">
      <x:c r="A6" s="281" t="s">
        <x:v>3492</x:v>
      </x:c>
      <x:c r="B6" s="281" t="s">
        <x:v>3490</x:v>
      </x:c>
      <x:c r="C6" s="281" t="s">
        <x:v>3815</x:v>
      </x:c>
      <x:c r="D6" s="281" t="s">
        <x:v>319</x:v>
      </x:c>
      <x:c r="E6" s="281" t="s">
        <x:v>3899</x:v>
      </x:c>
      <x:c r="F6" s="281" t="s">
        <x:v>3983</x:v>
      </x:c>
      <x:c r="G6" s="281" t="s">
        <x:v>3984</x:v>
      </x:c>
    </x:row>
    <x:row r="7" ht="25.799999237060547" customHeight="1">
      <x:c r="A7" s="546" t="s">
        <x:v>3985</x:v>
      </x:c>
      <x:c r="B7" s="546"/>
      <x:c r="C7" s="546"/>
      <x:c r="D7" s="546"/>
      <x:c r="E7" s="546"/>
      <x:c r="F7" s="546"/>
      <x:c r="G7" s="546"/>
    </x:row>
    <x:row r="8" ht="34.95000076293945" customHeight="1">
      <x:c r="A8" s="281" t="s">
        <x:v>3710</x:v>
      </x:c>
      <x:c r="B8" s="281" t="s">
        <x:v>3507</x:v>
      </x:c>
      <x:c r="C8" s="281" t="s">
        <x:v>3887</x:v>
      </x:c>
      <x:c r="D8" s="281" t="s">
        <x:v>3452</x:v>
      </x:c>
      <x:c r="E8" s="281" t="s">
        <x:v>3815</x:v>
      </x:c>
      <x:c r="F8" s="281" t="s">
        <x:v>3986</x:v>
      </x:c>
      <x:c r="G8" s="281" t="s">
        <x:v>3987</x:v>
      </x:c>
    </x:row>
    <x:row r="9" ht="34.95000076293945" customHeight="1">
      <x:c r="A9" s="280" t="s">
        <x:v>3588</x:v>
      </x:c>
      <x:c r="B9" s="280" t="s">
        <x:v>3507</x:v>
      </x:c>
      <x:c r="C9" s="280" t="s">
        <x:v>3815</x:v>
      </x:c>
      <x:c r="D9" s="280" t="s">
        <x:v>319</x:v>
      </x:c>
      <x:c r="E9" s="280" t="s">
        <x:v>3870</x:v>
      </x:c>
      <x:c r="F9" s="280" t="s">
        <x:v>3988</x:v>
      </x:c>
      <x:c r="G9" s="280" t="s">
        <x:v>3989</x:v>
      </x:c>
    </x:row>
    <x:row r="10" ht="25.799999237060547" customHeight="1">
      <x:c r="A10" s="546" t="s">
        <x:v>3990</x:v>
      </x:c>
      <x:c r="B10" s="546"/>
      <x:c r="C10" s="546"/>
      <x:c r="D10" s="546"/>
      <x:c r="E10" s="546"/>
      <x:c r="F10" s="546"/>
      <x:c r="G10" s="546"/>
    </x:row>
    <x:row r="11" ht="34.95000076293945" customHeight="1">
      <x:c r="A11" s="280" t="s">
        <x:v>3991</x:v>
      </x:c>
      <x:c r="B11" s="280" t="s">
        <x:v>3596</x:v>
      </x:c>
      <x:c r="C11" s="280" t="s">
        <x:v>3443</x:v>
      </x:c>
      <x:c r="D11" s="280" t="s">
        <x:v>319</x:v>
      </x:c>
      <x:c r="E11" s="280" t="s">
        <x:v>3870</x:v>
      </x:c>
      <x:c r="F11" s="280" t="s">
        <x:v>3717</x:v>
      </x:c>
      <x:c r="G11" s="280" t="s">
        <x:v>3992</x:v>
      </x:c>
    </x:row>
    <x:row r="12" ht="34.95000076293945" customHeight="1">
      <x:c r="A12" s="281" t="s">
        <x:v>3595</x:v>
      </x:c>
      <x:c r="B12" s="281" t="s">
        <x:v>3596</x:v>
      </x:c>
      <x:c r="C12" s="281" t="s">
        <x:v>3870</x:v>
      </x:c>
      <x:c r="D12" s="281" t="s">
        <x:v>319</x:v>
      </x:c>
      <x:c r="E12" s="281" t="s">
        <x:v>3862</x:v>
      </x:c>
      <x:c r="F12" s="281" t="s">
        <x:v>3993</x:v>
      </x:c>
      <x:c r="G12" s="281" t="s">
        <x:v>3994</x:v>
      </x:c>
    </x:row>
  </x:sheetData>
  <x:mergeCells>
    <x:mergeCell ref="A1:G1"/>
    <x:mergeCell ref="A2:G2"/>
    <x:mergeCell ref="A4:G4"/>
    <x:mergeCell ref="A7:G7"/>
    <x:mergeCell ref="A10:G10"/>
  </x:mergeCells>
  <x:pageMargins left="0.7" right="0.7" top="0.75" bottom="0.75" header="0.3" footer="0.3"/>
</x:worksheet>
</file>

<file path=xl/worksheets/sheet68.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3995</x:v>
      </x:c>
      <x:c r="B1" s="544"/>
      <x:c r="C1" s="544"/>
      <x:c r="D1" s="544"/>
      <x:c r="E1" s="544"/>
      <x:c r="F1" s="544"/>
      <x:c r="G1" s="544"/>
    </x:row>
    <x:row r="2" ht="40.95000076293945" customHeight="1">
      <x:c r="A2" s="545" t="s">
        <x:v>3996</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3997</x:v>
      </x:c>
      <x:c r="B4" s="546"/>
      <x:c r="C4" s="546"/>
      <x:c r="D4" s="546"/>
      <x:c r="E4" s="546"/>
      <x:c r="F4" s="546"/>
      <x:c r="G4" s="546"/>
    </x:row>
    <x:row r="5" ht="34.95000076293945" customHeight="1">
      <x:c r="A5" s="280">
        <x:v>1</x:v>
      </x:c>
      <x:c r="B5" s="280" t="s">
        <x:v>10</x:v>
      </x:c>
      <x:c r="C5" s="280" t="s">
        <x:v>3443</x:v>
      </x:c>
      <x:c r="D5" s="280" t="s">
        <x:v>319</x:v>
      </x:c>
      <x:c r="E5" s="280" t="s">
        <x:v>3472</x:v>
      </x:c>
      <x:c r="F5" s="280" t="s">
        <x:v>3998</x:v>
      </x:c>
      <x:c r="G5" s="280" t="s">
        <x:v>3999</x:v>
      </x:c>
    </x:row>
    <x:row r="6" ht="34.95000076293945" customHeight="1">
      <x:c r="A6" s="281">
        <x:v>2</x:v>
      </x:c>
      <x:c r="B6" s="281" t="s">
        <x:v>10</x:v>
      </x:c>
      <x:c r="C6" s="281" t="s">
        <x:v>3472</x:v>
      </x:c>
      <x:c r="D6" s="281" t="s">
        <x:v>319</x:v>
      </x:c>
      <x:c r="E6" s="281" t="s">
        <x:v>4000</x:v>
      </x:c>
      <x:c r="F6" s="281" t="s">
        <x:v>4001</x:v>
      </x:c>
      <x:c r="G6" s="281" t="s">
        <x:v>4002</x:v>
      </x:c>
    </x:row>
    <x:row r="7" ht="34.95000076293945" customHeight="1">
      <x:c r="A7" s="280">
        <x:v>3</x:v>
      </x:c>
      <x:c r="B7" s="280" t="s">
        <x:v>10</x:v>
      </x:c>
      <x:c r="C7" s="280" t="s">
        <x:v>4000</x:v>
      </x:c>
      <x:c r="D7" s="280" t="s">
        <x:v>319</x:v>
      </x:c>
      <x:c r="E7" s="280" t="s">
        <x:v>3458</x:v>
      </x:c>
      <x:c r="F7" s="280" t="s">
        <x:v>4003</x:v>
      </x:c>
      <x:c r="G7" s="280" t="s">
        <x:v>4004</x:v>
      </x:c>
    </x:row>
    <x:row r="8" ht="34.95000076293945" customHeight="1">
      <x:c r="A8" s="281">
        <x:v>4</x:v>
      </x:c>
      <x:c r="B8" s="281" t="s">
        <x:v>10</x:v>
      </x:c>
      <x:c r="C8" s="281" t="s">
        <x:v>3458</x:v>
      </x:c>
      <x:c r="D8" s="281" t="s">
        <x:v>3452</x:v>
      </x:c>
      <x:c r="E8" s="281" t="s">
        <x:v>4000</x:v>
      </x:c>
      <x:c r="F8" s="281" t="s">
        <x:v>3523</x:v>
      </x:c>
      <x:c r="G8" s="281" t="s">
        <x:v>4005</x:v>
      </x:c>
    </x:row>
    <x:row r="9" ht="34.95000076293945" customHeight="1">
      <x:c r="A9" s="280">
        <x:v>5</x:v>
      </x:c>
      <x:c r="B9" s="280" t="s">
        <x:v>10</x:v>
      </x:c>
      <x:c r="C9" s="280" t="s">
        <x:v>4000</x:v>
      </x:c>
      <x:c r="D9" s="280" t="s">
        <x:v>319</x:v>
      </x:c>
      <x:c r="E9" s="280" t="s">
        <x:v>4006</x:v>
      </x:c>
      <x:c r="F9" s="280" t="s">
        <x:v>4007</x:v>
      </x:c>
      <x:c r="G9" s="280" t="s">
        <x:v>4008</x:v>
      </x:c>
    </x:row>
    <x:row r="10" ht="34.95000076293945" customHeight="1">
      <x:c r="A10" s="281">
        <x:v>6</x:v>
      </x:c>
      <x:c r="B10" s="281" t="s">
        <x:v>10</x:v>
      </x:c>
      <x:c r="C10" s="281" t="s">
        <x:v>4006</x:v>
      </x:c>
      <x:c r="D10" s="281" t="s">
        <x:v>3452</x:v>
      </x:c>
      <x:c r="E10" s="281" t="s">
        <x:v>4000</x:v>
      </x:c>
      <x:c r="F10" s="281" t="s">
        <x:v>4009</x:v>
      </x:c>
      <x:c r="G10" s="281" t="s">
        <x:v>4010</x:v>
      </x:c>
    </x:row>
    <x:row r="11" ht="34.95000076293945" customHeight="1">
      <x:c r="A11" s="280">
        <x:v>7</x:v>
      </x:c>
      <x:c r="B11" s="280" t="s">
        <x:v>10</x:v>
      </x:c>
      <x:c r="C11" s="280" t="s">
        <x:v>4000</x:v>
      </x:c>
      <x:c r="D11" s="280" t="s">
        <x:v>319</x:v>
      </x:c>
      <x:c r="E11" s="280" t="s">
        <x:v>4011</x:v>
      </x:c>
      <x:c r="F11" s="280" t="s">
        <x:v>4012</x:v>
      </x:c>
      <x:c r="G11" s="280" t="s">
        <x:v>4013</x:v>
      </x:c>
    </x:row>
    <x:row r="12" ht="34.95000076293945" customHeight="1">
      <x:c r="A12" s="281">
        <x:v>8</x:v>
      </x:c>
      <x:c r="B12" s="281" t="s">
        <x:v>10</x:v>
      </x:c>
      <x:c r="C12" s="281" t="s">
        <x:v>3443</x:v>
      </x:c>
      <x:c r="D12" s="281" t="s">
        <x:v>319</x:v>
      </x:c>
      <x:c r="E12" s="281" t="s">
        <x:v>4011</x:v>
      </x:c>
      <x:c r="F12" s="281" t="s">
        <x:v>4014</x:v>
      </x:c>
      <x:c r="G12" s="281" t="s">
        <x:v>4015</x:v>
      </x:c>
    </x:row>
    <x:row r="13" ht="25.799999237060547" customHeight="1">
      <x:c r="A13" s="546" t="s">
        <x:v>4016</x:v>
      </x:c>
      <x:c r="B13" s="546"/>
      <x:c r="C13" s="546"/>
      <x:c r="D13" s="546"/>
      <x:c r="E13" s="546"/>
      <x:c r="F13" s="546"/>
      <x:c r="G13" s="546"/>
    </x:row>
    <x:row r="14" ht="34.95000076293945" customHeight="1">
      <x:c r="A14" s="281">
        <x:v>9</x:v>
      </x:c>
      <x:c r="B14" s="281" t="s">
        <x:v>33</x:v>
      </x:c>
      <x:c r="C14" s="281" t="s">
        <x:v>4011</x:v>
      </x:c>
      <x:c r="D14" s="281" t="s">
        <x:v>319</x:v>
      </x:c>
      <x:c r="E14" s="281" t="s">
        <x:v>4000</x:v>
      </x:c>
      <x:c r="F14" s="281" t="s">
        <x:v>4017</x:v>
      </x:c>
      <x:c r="G14" s="281" t="s">
        <x:v>4018</x:v>
      </x:c>
    </x:row>
    <x:row r="15" ht="34.95000076293945" customHeight="1">
      <x:c r="A15" s="280">
        <x:v>10</x:v>
      </x:c>
      <x:c r="B15" s="280" t="s">
        <x:v>33</x:v>
      </x:c>
      <x:c r="C15" s="280" t="s">
        <x:v>4000</x:v>
      </x:c>
      <x:c r="D15" s="280" t="s">
        <x:v>319</x:v>
      </x:c>
      <x:c r="E15" s="280" t="s">
        <x:v>4019</x:v>
      </x:c>
      <x:c r="F15" s="280" t="s">
        <x:v>4020</x:v>
      </x:c>
      <x:c r="G15" s="280" t="s">
        <x:v>4021</x:v>
      </x:c>
    </x:row>
    <x:row r="16" ht="34.95000076293945" customHeight="1">
      <x:c r="A16" s="281">
        <x:v>11</x:v>
      </x:c>
      <x:c r="B16" s="281" t="s">
        <x:v>33</x:v>
      </x:c>
      <x:c r="C16" s="281" t="s">
        <x:v>4019</x:v>
      </x:c>
      <x:c r="D16" s="281" t="s">
        <x:v>3452</x:v>
      </x:c>
      <x:c r="E16" s="281" t="s">
        <x:v>4000</x:v>
      </x:c>
      <x:c r="F16" s="281" t="s">
        <x:v>4022</x:v>
      </x:c>
      <x:c r="G16" s="281" t="s">
        <x:v>4023</x:v>
      </x:c>
    </x:row>
    <x:row r="17" ht="34.95000076293945" customHeight="1">
      <x:c r="A17" s="280">
        <x:v>12</x:v>
      </x:c>
      <x:c r="B17" s="280" t="s">
        <x:v>33</x:v>
      </x:c>
      <x:c r="C17" s="280" t="s">
        <x:v>4000</x:v>
      </x:c>
      <x:c r="D17" s="280" t="s">
        <x:v>319</x:v>
      </x:c>
      <x:c r="E17" s="280" t="s">
        <x:v>4024</x:v>
      </x:c>
      <x:c r="F17" s="280" t="s">
        <x:v>4025</x:v>
      </x:c>
      <x:c r="G17" s="280" t="s">
        <x:v>4026</x:v>
      </x:c>
    </x:row>
    <x:row r="18" ht="34.95000076293945" customHeight="1">
      <x:c r="A18" s="281">
        <x:v>13</x:v>
      </x:c>
      <x:c r="B18" s="281" t="s">
        <x:v>33</x:v>
      </x:c>
      <x:c r="C18" s="281" t="s">
        <x:v>4024</x:v>
      </x:c>
      <x:c r="D18" s="281" t="s">
        <x:v>319</x:v>
      </x:c>
      <x:c r="E18" s="281" t="s">
        <x:v>3443</x:v>
      </x:c>
      <x:c r="F18" s="281" t="s">
        <x:v>4027</x:v>
      </x:c>
      <x:c r="G18" s="281" t="s">
        <x:v>4028</x:v>
      </x:c>
    </x:row>
    <x:row r="19" ht="25.799999237060547" customHeight="1">
      <x:c r="A19" s="546" t="s">
        <x:v>4029</x:v>
      </x:c>
      <x:c r="B19" s="546"/>
      <x:c r="C19" s="546"/>
      <x:c r="D19" s="546"/>
      <x:c r="E19" s="546"/>
      <x:c r="F19" s="546"/>
      <x:c r="G19" s="546"/>
    </x:row>
    <x:row r="20" ht="34.95000076293945" customHeight="1">
      <x:c r="A20" s="281">
        <x:v>14</x:v>
      </x:c>
      <x:c r="B20" s="281" t="s">
        <x:v>63</x:v>
      </x:c>
      <x:c r="C20" s="281" t="s">
        <x:v>3443</x:v>
      </x:c>
      <x:c r="D20" s="281" t="s">
        <x:v>319</x:v>
      </x:c>
      <x:c r="E20" s="281" t="s">
        <x:v>4024</x:v>
      </x:c>
      <x:c r="F20" s="281" t="s">
        <x:v>4030</x:v>
      </x:c>
      <x:c r="G20" s="281" t="s">
        <x:v>4031</x:v>
      </x:c>
    </x:row>
    <x:row r="21" ht="34.95000076293945" customHeight="1">
      <x:c r="A21" s="280">
        <x:v>15</x:v>
      </x:c>
      <x:c r="B21" s="280" t="s">
        <x:v>63</x:v>
      </x:c>
      <x:c r="C21" s="280" t="s">
        <x:v>4024</x:v>
      </x:c>
      <x:c r="D21" s="280" t="s">
        <x:v>319</x:v>
      </x:c>
      <x:c r="E21" s="280" t="s">
        <x:v>4000</x:v>
      </x:c>
      <x:c r="F21" s="280" t="s">
        <x:v>4032</x:v>
      </x:c>
      <x:c r="G21" s="280" t="s">
        <x:v>4033</x:v>
      </x:c>
    </x:row>
    <x:row r="22" ht="34.95000076293945" customHeight="1">
      <x:c r="A22" s="281">
        <x:v>16</x:v>
      </x:c>
      <x:c r="B22" s="281" t="s">
        <x:v>63</x:v>
      </x:c>
      <x:c r="C22" s="281" t="s">
        <x:v>4000</x:v>
      </x:c>
      <x:c r="D22" s="281" t="s">
        <x:v>319</x:v>
      </x:c>
      <x:c r="E22" s="281" t="s">
        <x:v>4034</x:v>
      </x:c>
      <x:c r="F22" s="281" t="s">
        <x:v>4035</x:v>
      </x:c>
      <x:c r="G22" s="281" t="s">
        <x:v>4036</x:v>
      </x:c>
    </x:row>
    <x:row r="23" ht="34.95000076293945" customHeight="1">
      <x:c r="A23" s="280">
        <x:v>17</x:v>
      </x:c>
      <x:c r="B23" s="280" t="s">
        <x:v>63</x:v>
      </x:c>
      <x:c r="C23" s="280" t="s">
        <x:v>3443</x:v>
      </x:c>
      <x:c r="D23" s="280" t="s">
        <x:v>319</x:v>
      </x:c>
      <x:c r="E23" s="280" t="s">
        <x:v>4034</x:v>
      </x:c>
      <x:c r="F23" s="280" t="s">
        <x:v>4037</x:v>
      </x:c>
      <x:c r="G23" s="280" t="s">
        <x:v>4038</x:v>
      </x:c>
    </x:row>
    <x:row r="24" ht="34.95000076293945" customHeight="1">
      <x:c r="A24" s="281">
        <x:v>18</x:v>
      </x:c>
      <x:c r="B24" s="281" t="s">
        <x:v>63</x:v>
      </x:c>
      <x:c r="C24" s="281" t="s">
        <x:v>3443</x:v>
      </x:c>
      <x:c r="D24" s="281" t="s">
        <x:v>319</x:v>
      </x:c>
      <x:c r="E24" s="281" t="s">
        <x:v>4034</x:v>
      </x:c>
      <x:c r="F24" s="281" t="s">
        <x:v>4039</x:v>
      </x:c>
      <x:c r="G24" s="281" t="s">
        <x:v>4040</x:v>
      </x:c>
    </x:row>
    <x:row r="25" ht="34.95000076293945" customHeight="1">
      <x:c r="A25" s="280">
        <x:v>19</x:v>
      </x:c>
      <x:c r="B25" s="280" t="s">
        <x:v>63</x:v>
      </x:c>
      <x:c r="C25" s="280" t="s">
        <x:v>4034</x:v>
      </x:c>
      <x:c r="D25" s="280" t="s">
        <x:v>319</x:v>
      </x:c>
      <x:c r="E25" s="280" t="s">
        <x:v>4000</x:v>
      </x:c>
      <x:c r="F25" s="280" t="s">
        <x:v>4041</x:v>
      </x:c>
      <x:c r="G25" s="280" t="s">
        <x:v>4042</x:v>
      </x:c>
    </x:row>
    <x:row r="26" ht="34.95000076293945" customHeight="1">
      <x:c r="A26" s="281">
        <x:v>20</x:v>
      </x:c>
      <x:c r="B26" s="281" t="s">
        <x:v>63</x:v>
      </x:c>
      <x:c r="C26" s="281" t="s">
        <x:v>4000</x:v>
      </x:c>
      <x:c r="D26" s="281" t="s">
        <x:v>404</x:v>
      </x:c>
      <x:c r="E26" s="281" t="s">
        <x:v>4000</x:v>
      </x:c>
      <x:c r="F26" s="281" t="s">
        <x:v>4043</x:v>
      </x:c>
      <x:c r="G26" s="281" t="s">
        <x:v>4044</x:v>
      </x:c>
    </x:row>
    <x:row r="27" ht="34.95000076293945" customHeight="1">
      <x:c r="A27" s="280">
        <x:v>21</x:v>
      </x:c>
      <x:c r="B27" s="280" t="s">
        <x:v>63</x:v>
      </x:c>
      <x:c r="C27" s="280" t="s">
        <x:v>4000</x:v>
      </x:c>
      <x:c r="D27" s="280" t="s">
        <x:v>319</x:v>
      </x:c>
      <x:c r="E27" s="280" t="s">
        <x:v>4019</x:v>
      </x:c>
      <x:c r="F27" s="280" t="s">
        <x:v>4045</x:v>
      </x:c>
      <x:c r="G27" s="280" t="s">
        <x:v>4046</x:v>
      </x:c>
    </x:row>
    <x:row r="28" ht="34.95000076293945" customHeight="1">
      <x:c r="A28" s="281">
        <x:v>22</x:v>
      </x:c>
      <x:c r="B28" s="281" t="s">
        <x:v>63</x:v>
      </x:c>
      <x:c r="C28" s="281" t="s">
        <x:v>4019</x:v>
      </x:c>
      <x:c r="D28" s="281" t="s">
        <x:v>3452</x:v>
      </x:c>
      <x:c r="E28" s="281" t="s">
        <x:v>4000</x:v>
      </x:c>
      <x:c r="F28" s="281" t="s">
        <x:v>4047</x:v>
      </x:c>
      <x:c r="G28" s="281" t="s">
        <x:v>4048</x:v>
      </x:c>
    </x:row>
    <x:row r="29" ht="34.95000076293945" customHeight="1">
      <x:c r="A29" s="280">
        <x:v>23</x:v>
      </x:c>
      <x:c r="B29" s="280" t="s">
        <x:v>63</x:v>
      </x:c>
      <x:c r="C29" s="280" t="s">
        <x:v>4000</x:v>
      </x:c>
      <x:c r="D29" s="280" t="s">
        <x:v>319</x:v>
      </x:c>
      <x:c r="E29" s="280" t="s">
        <x:v>4019</x:v>
      </x:c>
      <x:c r="F29" s="280" t="s">
        <x:v>4049</x:v>
      </x:c>
      <x:c r="G29" s="280" t="s">
        <x:v>4050</x:v>
      </x:c>
    </x:row>
    <x:row r="30" ht="34.95000076293945" customHeight="1">
      <x:c r="A30" s="281">
        <x:v>24</x:v>
      </x:c>
      <x:c r="B30" s="281" t="s">
        <x:v>63</x:v>
      </x:c>
      <x:c r="C30" s="281" t="s">
        <x:v>4019</x:v>
      </x:c>
      <x:c r="D30" s="281" t="s">
        <x:v>3452</x:v>
      </x:c>
      <x:c r="E30" s="281" t="s">
        <x:v>4000</x:v>
      </x:c>
      <x:c r="F30" s="281" t="s">
        <x:v>4051</x:v>
      </x:c>
      <x:c r="G30" s="281" t="s">
        <x:v>4052</x:v>
      </x:c>
    </x:row>
    <x:row r="31" ht="25.799999237060547" customHeight="1">
      <x:c r="A31" s="546" t="s">
        <x:v>4053</x:v>
      </x:c>
      <x:c r="B31" s="546"/>
      <x:c r="C31" s="546"/>
      <x:c r="D31" s="546"/>
      <x:c r="E31" s="546"/>
      <x:c r="F31" s="546"/>
      <x:c r="G31" s="546"/>
    </x:row>
    <x:row r="32" ht="34.95000076293945" customHeight="1">
      <x:c r="A32" s="281">
        <x:v>25</x:v>
      </x:c>
      <x:c r="B32" s="281" t="s">
        <x:v>81</x:v>
      </x:c>
      <x:c r="C32" s="281" t="s">
        <x:v>4000</x:v>
      </x:c>
      <x:c r="D32" s="281" t="s">
        <x:v>319</x:v>
      </x:c>
      <x:c r="E32" s="281" t="s">
        <x:v>4054</x:v>
      </x:c>
      <x:c r="F32" s="281" t="s">
        <x:v>4055</x:v>
      </x:c>
      <x:c r="G32" s="281" t="s">
        <x:v>4056</x:v>
      </x:c>
    </x:row>
    <x:row r="33" ht="34.95000076293945" customHeight="1">
      <x:c r="A33" s="280">
        <x:v>26</x:v>
      </x:c>
      <x:c r="B33" s="280" t="s">
        <x:v>81</x:v>
      </x:c>
      <x:c r="C33" s="280" t="s">
        <x:v>4054</x:v>
      </x:c>
      <x:c r="D33" s="280" t="s">
        <x:v>319</x:v>
      </x:c>
      <x:c r="E33" s="280" t="s">
        <x:v>3443</x:v>
      </x:c>
      <x:c r="F33" s="280" t="s">
        <x:v>4057</x:v>
      </x:c>
      <x:c r="G33" s="280" t="s">
        <x:v>4058</x:v>
      </x:c>
    </x:row>
    <x:row r="34" ht="34.95000076293945" customHeight="1">
      <x:c r="A34" s="281">
        <x:v>27</x:v>
      </x:c>
      <x:c r="B34" s="281" t="s">
        <x:v>81</x:v>
      </x:c>
      <x:c r="C34" s="281" t="s">
        <x:v>3443</x:v>
      </x:c>
      <x:c r="D34" s="281" t="s">
        <x:v>319</x:v>
      </x:c>
      <x:c r="E34" s="281" t="s">
        <x:v>4054</x:v>
      </x:c>
      <x:c r="F34" s="281" t="s">
        <x:v>4059</x:v>
      </x:c>
      <x:c r="G34" s="281" t="s">
        <x:v>4060</x:v>
      </x:c>
    </x:row>
    <x:row r="35" ht="34.95000076293945" customHeight="1">
      <x:c r="A35" s="280">
        <x:v>28</x:v>
      </x:c>
      <x:c r="B35" s="280" t="s">
        <x:v>81</x:v>
      </x:c>
      <x:c r="C35" s="280" t="s">
        <x:v>4054</x:v>
      </x:c>
      <x:c r="D35" s="280" t="s">
        <x:v>319</x:v>
      </x:c>
      <x:c r="E35" s="280" t="s">
        <x:v>4000</x:v>
      </x:c>
      <x:c r="F35" s="280" t="s">
        <x:v>4061</x:v>
      </x:c>
      <x:c r="G35" s="280" t="s">
        <x:v>4062</x:v>
      </x:c>
    </x:row>
    <x:row r="36" ht="34.95000076293945" customHeight="1">
      <x:c r="A36" s="281">
        <x:v>29</x:v>
      </x:c>
      <x:c r="B36" s="281" t="s">
        <x:v>81</x:v>
      </x:c>
      <x:c r="C36" s="281" t="s">
        <x:v>4000</x:v>
      </x:c>
      <x:c r="D36" s="281" t="s">
        <x:v>319</x:v>
      </x:c>
      <x:c r="E36" s="281" t="s">
        <x:v>4019</x:v>
      </x:c>
      <x:c r="F36" s="281" t="s">
        <x:v>4020</x:v>
      </x:c>
      <x:c r="G36" s="281" t="s">
        <x:v>4063</x:v>
      </x:c>
    </x:row>
    <x:row r="37" ht="34.95000076293945" customHeight="1">
      <x:c r="A37" s="280">
        <x:v>30</x:v>
      </x:c>
      <x:c r="B37" s="280" t="s">
        <x:v>81</x:v>
      </x:c>
      <x:c r="C37" s="280" t="s">
        <x:v>4019</x:v>
      </x:c>
      <x:c r="D37" s="280" t="s">
        <x:v>3452</x:v>
      </x:c>
      <x:c r="E37" s="280" t="s">
        <x:v>4000</x:v>
      </x:c>
      <x:c r="F37" s="280" t="s">
        <x:v>4064</x:v>
      </x:c>
      <x:c r="G37" s="280" t="s">
        <x:v>4065</x:v>
      </x:c>
    </x:row>
    <x:row r="38" ht="34.95000076293945" customHeight="1">
      <x:c r="A38" s="281">
        <x:v>31</x:v>
      </x:c>
      <x:c r="B38" s="281" t="s">
        <x:v>81</x:v>
      </x:c>
      <x:c r="C38" s="281" t="s">
        <x:v>4000</x:v>
      </x:c>
      <x:c r="D38" s="281" t="s">
        <x:v>319</x:v>
      </x:c>
      <x:c r="E38" s="281" t="s">
        <x:v>4024</x:v>
      </x:c>
      <x:c r="F38" s="281" t="s">
        <x:v>4066</x:v>
      </x:c>
      <x:c r="G38" s="281" t="s">
        <x:v>4067</x:v>
      </x:c>
    </x:row>
  </x:sheetData>
  <x:mergeCells>
    <x:mergeCell ref="A31:G31"/>
    <x:mergeCell ref="A1:G1"/>
    <x:mergeCell ref="A2:G2"/>
    <x:mergeCell ref="A4:G4"/>
    <x:mergeCell ref="A13:G13"/>
    <x:mergeCell ref="A19:G19"/>
  </x:mergeCells>
  <x:pageMargins left="0.7" right="0.7" top="0.75" bottom="0.75" header="0.3" footer="0.3"/>
</x:worksheet>
</file>

<file path=xl/worksheets/sheet69.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4068</x:v>
      </x:c>
      <x:c r="B1" s="544"/>
      <x:c r="C1" s="544"/>
      <x:c r="D1" s="544"/>
      <x:c r="E1" s="544"/>
      <x:c r="F1" s="544"/>
      <x:c r="G1" s="544"/>
    </x:row>
    <x:row r="2" ht="40.95000076293945" customHeight="1">
      <x:c r="A2" s="545" t="s">
        <x:v>4069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4070</x:v>
      </x:c>
      <x:c r="B4" s="546"/>
      <x:c r="C4" s="546"/>
      <x:c r="D4" s="546"/>
      <x:c r="E4" s="546"/>
      <x:c r="F4" s="546"/>
      <x:c r="G4" s="546"/>
    </x:row>
    <x:row r="5" ht="34.95000076293945" customHeight="1">
      <x:c r="A5" s="280" t="s">
        <x:v>3489</x:v>
      </x:c>
      <x:c r="B5" s="280" t="s">
        <x:v>3490</x:v>
      </x:c>
      <x:c r="C5" s="280" t="s">
        <x:v>3443</x:v>
      </x:c>
      <x:c r="D5" s="280" t="s">
        <x:v>319</x:v>
      </x:c>
      <x:c r="E5" s="280" t="s">
        <x:v>4024</x:v>
      </x:c>
      <x:c r="F5" s="280" t="s">
        <x:v>4071</x:v>
      </x:c>
      <x:c r="G5" s="280" t="s">
        <x:v>4072</x:v>
      </x:c>
    </x:row>
    <x:row r="6" ht="34.95000076293945" customHeight="1">
      <x:c r="A6" s="281" t="s">
        <x:v>3492</x:v>
      </x:c>
      <x:c r="B6" s="281" t="s">
        <x:v>3490</x:v>
      </x:c>
      <x:c r="C6" s="281" t="s">
        <x:v>4024</x:v>
      </x:c>
      <x:c r="D6" s="281" t="s">
        <x:v>319</x:v>
      </x:c>
      <x:c r="E6" s="281" t="s">
        <x:v>4000</x:v>
      </x:c>
      <x:c r="F6" s="281" t="s">
        <x:v>4073</x:v>
      </x:c>
      <x:c r="G6" s="281" t="s">
        <x:v>4074</x:v>
      </x:c>
    </x:row>
    <x:row r="7" ht="34.95000076293945" customHeight="1">
      <x:c r="A7" s="280" t="s">
        <x:v>3495</x:v>
      </x:c>
      <x:c r="B7" s="280" t="s">
        <x:v>3490</x:v>
      </x:c>
      <x:c r="C7" s="280" t="s">
        <x:v>4000</x:v>
      </x:c>
      <x:c r="D7" s="280" t="s">
        <x:v>319</x:v>
      </x:c>
      <x:c r="E7" s="280" t="s">
        <x:v>4019</x:v>
      </x:c>
      <x:c r="F7" s="280" t="s">
        <x:v>4075</x:v>
      </x:c>
      <x:c r="G7" s="280" t="s">
        <x:v>4076</x:v>
      </x:c>
    </x:row>
    <x:row r="8" ht="34.95000076293945" customHeight="1">
      <x:c r="A8" s="281" t="s">
        <x:v>3498</x:v>
      </x:c>
      <x:c r="B8" s="281" t="s">
        <x:v>3490</x:v>
      </x:c>
      <x:c r="C8" s="281" t="s">
        <x:v>4019</x:v>
      </x:c>
      <x:c r="D8" s="281" t="s">
        <x:v>3452</x:v>
      </x:c>
      <x:c r="E8" s="281" t="s">
        <x:v>4000</x:v>
      </x:c>
      <x:c r="F8" s="281" t="s">
        <x:v>4077</x:v>
      </x:c>
      <x:c r="G8" s="281" t="s">
        <x:v>4078</x:v>
      </x:c>
    </x:row>
    <x:row r="9" ht="34.95000076293945" customHeight="1">
      <x:c r="A9" s="280" t="s">
        <x:v>3502</x:v>
      </x:c>
      <x:c r="B9" s="280" t="s">
        <x:v>3490</x:v>
      </x:c>
      <x:c r="C9" s="280" t="s">
        <x:v>4000</x:v>
      </x:c>
      <x:c r="D9" s="280" t="s">
        <x:v>319</x:v>
      </x:c>
      <x:c r="E9" s="280" t="s">
        <x:v>4034</x:v>
      </x:c>
      <x:c r="F9" s="280" t="s">
        <x:v>4079</x:v>
      </x:c>
      <x:c r="G9" s="280" t="s">
        <x:v>4080</x:v>
      </x:c>
    </x:row>
    <x:row r="10" ht="25.799999237060547" customHeight="1">
      <x:c r="A10" s="546" t="s">
        <x:v>4081</x:v>
      </x:c>
      <x:c r="B10" s="546"/>
      <x:c r="C10" s="546"/>
      <x:c r="D10" s="546"/>
      <x:c r="E10" s="546"/>
      <x:c r="F10" s="546"/>
      <x:c r="G10" s="546"/>
    </x:row>
    <x:row r="11" ht="34.95000076293945" customHeight="1">
      <x:c r="A11" s="280" t="s">
        <x:v>3506</x:v>
      </x:c>
      <x:c r="B11" s="280" t="s">
        <x:v>3507</x:v>
      </x:c>
      <x:c r="C11" s="280" t="s">
        <x:v>3443</x:v>
      </x:c>
      <x:c r="D11" s="280" t="s">
        <x:v>319</x:v>
      </x:c>
      <x:c r="E11" s="280" t="s">
        <x:v>4034</x:v>
      </x:c>
      <x:c r="F11" s="280" t="s">
        <x:v>4082</x:v>
      </x:c>
      <x:c r="G11" s="280" t="s">
        <x:v>4083</x:v>
      </x:c>
    </x:row>
    <x:row r="12" ht="34.95000076293945" customHeight="1">
      <x:c r="A12" s="281" t="s">
        <x:v>3510</x:v>
      </x:c>
      <x:c r="B12" s="281" t="s">
        <x:v>3507</x:v>
      </x:c>
      <x:c r="C12" s="281" t="s">
        <x:v>3443</x:v>
      </x:c>
      <x:c r="D12" s="281" t="s">
        <x:v>319</x:v>
      </x:c>
      <x:c r="E12" s="281" t="s">
        <x:v>4034</x:v>
      </x:c>
      <x:c r="F12" s="281" t="s">
        <x:v>4039</x:v>
      </x:c>
      <x:c r="G12" s="281" t="s">
        <x:v>4084</x:v>
      </x:c>
    </x:row>
    <x:row r="13" ht="34.95000076293945" customHeight="1">
      <x:c r="A13" s="280" t="s">
        <x:v>4085</x:v>
      </x:c>
      <x:c r="B13" s="280" t="s">
        <x:v>3507</x:v>
      </x:c>
      <x:c r="C13" s="280" t="s">
        <x:v>4034</x:v>
      </x:c>
      <x:c r="D13" s="280" t="s">
        <x:v>319</x:v>
      </x:c>
      <x:c r="E13" s="280" t="s">
        <x:v>4000</x:v>
      </x:c>
      <x:c r="F13" s="280" t="s">
        <x:v>4086</x:v>
      </x:c>
      <x:c r="G13" s="280" t="s">
        <x:v>4087</x:v>
      </x:c>
    </x:row>
    <x:row r="14" ht="34.95000076293945" customHeight="1">
      <x:c r="A14" s="281" t="s">
        <x:v>4088</x:v>
      </x:c>
      <x:c r="B14" s="281" t="s">
        <x:v>3507</x:v>
      </x:c>
      <x:c r="C14" s="281" t="s">
        <x:v>4000</x:v>
      </x:c>
      <x:c r="D14" s="281" t="s">
        <x:v>319</x:v>
      </x:c>
      <x:c r="E14" s="281" t="s">
        <x:v>4019</x:v>
      </x:c>
      <x:c r="F14" s="281" t="s">
        <x:v>4089</x:v>
      </x:c>
      <x:c r="G14" s="281" t="s">
        <x:v>4090</x:v>
      </x:c>
    </x:row>
    <x:row r="15" ht="34.95000076293945" customHeight="1">
      <x:c r="A15" s="280" t="s">
        <x:v>4091</x:v>
      </x:c>
      <x:c r="B15" s="280" t="s">
        <x:v>3507</x:v>
      </x:c>
      <x:c r="C15" s="280" t="s">
        <x:v>4019</x:v>
      </x:c>
      <x:c r="D15" s="280" t="s">
        <x:v>3452</x:v>
      </x:c>
      <x:c r="E15" s="280" t="s">
        <x:v>4000</x:v>
      </x:c>
      <x:c r="F15" s="280" t="s">
        <x:v>4092</x:v>
      </x:c>
      <x:c r="G15" s="280" t="s">
        <x:v>4093</x:v>
      </x:c>
    </x:row>
    <x:row r="16" ht="34.95000076293945" customHeight="1">
      <x:c r="A16" s="281" t="s">
        <x:v>4094</x:v>
      </x:c>
      <x:c r="B16" s="281" t="s">
        <x:v>3507</x:v>
      </x:c>
      <x:c r="C16" s="281" t="s">
        <x:v>4000</x:v>
      </x:c>
      <x:c r="D16" s="281" t="s">
        <x:v>319</x:v>
      </x:c>
      <x:c r="E16" s="281" t="s">
        <x:v>4019</x:v>
      </x:c>
      <x:c r="F16" s="281" t="s">
        <x:v>4095</x:v>
      </x:c>
      <x:c r="G16" s="281" t="s">
        <x:v>4096</x:v>
      </x:c>
    </x:row>
    <x:row r="17" ht="34.95000076293945" customHeight="1">
      <x:c r="A17" s="280" t="s">
        <x:v>4097</x:v>
      </x:c>
      <x:c r="B17" s="280" t="s">
        <x:v>3507</x:v>
      </x:c>
      <x:c r="C17" s="280" t="s">
        <x:v>4019</x:v>
      </x:c>
      <x:c r="D17" s="280" t="s">
        <x:v>3452</x:v>
      </x:c>
      <x:c r="E17" s="280" t="s">
        <x:v>4000</x:v>
      </x:c>
      <x:c r="F17" s="280" t="s">
        <x:v>4098</x:v>
      </x:c>
      <x:c r="G17" s="280" t="s">
        <x:v>4099</x:v>
      </x:c>
    </x:row>
    <x:row r="18" ht="34.95000076293945" customHeight="1">
      <x:c r="A18" s="281" t="s">
        <x:v>4100</x:v>
      </x:c>
      <x:c r="B18" s="281" t="s">
        <x:v>3507</x:v>
      </x:c>
      <x:c r="C18" s="281" t="s">
        <x:v>4000</x:v>
      </x:c>
      <x:c r="D18" s="281" t="s">
        <x:v>319</x:v>
      </x:c>
      <x:c r="E18" s="281" t="s">
        <x:v>4054</x:v>
      </x:c>
      <x:c r="F18" s="281" t="s">
        <x:v>4101</x:v>
      </x:c>
      <x:c r="G18" s="281" t="s">
        <x:v>4102</x:v>
      </x:c>
    </x:row>
  </x:sheetData>
  <x:mergeCells>
    <x:mergeCell ref="A1:G1"/>
    <x:mergeCell ref="A2:G2"/>
    <x:mergeCell ref="A4:G4"/>
    <x:mergeCell ref="A10:G10"/>
  </x:mergeCells>
  <x:pageMargins left="0.7" right="0.7" top="0.75" bottom="0.75" header="0.3" footer="0.3"/>
</x:worksheet>
</file>

<file path=xl/worksheets/sheet70.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4103</x:v>
      </x:c>
      <x:c r="B1" s="544"/>
      <x:c r="C1" s="544"/>
      <x:c r="D1" s="544"/>
      <x:c r="E1" s="544"/>
      <x:c r="F1" s="544"/>
      <x:c r="G1" s="544"/>
    </x:row>
    <x:row r="2" ht="40.95000076293945" customHeight="1">
      <x:c r="A2" s="545" t="s">
        <x:v>4104</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4105</x:v>
      </x:c>
      <x:c r="B4" s="546"/>
      <x:c r="C4" s="546"/>
      <x:c r="D4" s="546"/>
      <x:c r="E4" s="546"/>
      <x:c r="F4" s="546"/>
      <x:c r="G4" s="546"/>
    </x:row>
    <x:row r="5" ht="34.95000076293945" customHeight="1">
      <x:c r="A5" s="280" t="s">
        <x:v>3489</x:v>
      </x:c>
      <x:c r="B5" s="280" t="s">
        <x:v>3490</x:v>
      </x:c>
      <x:c r="C5" s="280" t="s">
        <x:v>3443</x:v>
      </x:c>
      <x:c r="D5" s="280" t="s">
        <x:v>319</x:v>
      </x:c>
      <x:c r="E5" s="280" t="s">
        <x:v>4024</x:v>
      </x:c>
      <x:c r="F5" s="280" t="s">
        <x:v>4106</x:v>
      </x:c>
      <x:c r="G5" s="280" t="s">
        <x:v>4107</x:v>
      </x:c>
    </x:row>
    <x:row r="6" ht="34.95000076293945" customHeight="1">
      <x:c r="A6" s="281" t="s">
        <x:v>3492</x:v>
      </x:c>
      <x:c r="B6" s="281" t="s">
        <x:v>3490</x:v>
      </x:c>
      <x:c r="C6" s="281" t="s">
        <x:v>4024</x:v>
      </x:c>
      <x:c r="D6" s="281" t="s">
        <x:v>319</x:v>
      </x:c>
      <x:c r="E6" s="281" t="s">
        <x:v>4000</x:v>
      </x:c>
      <x:c r="F6" s="281" t="s">
        <x:v>4108</x:v>
      </x:c>
      <x:c r="G6" s="281" t="s">
        <x:v>4109</x:v>
      </x:c>
    </x:row>
    <x:row r="7" ht="34.95000076293945" customHeight="1">
      <x:c r="A7" s="280" t="s">
        <x:v>3495</x:v>
      </x:c>
      <x:c r="B7" s="280" t="s">
        <x:v>3490</x:v>
      </x:c>
      <x:c r="C7" s="280" t="s">
        <x:v>4000</x:v>
      </x:c>
      <x:c r="D7" s="280" t="s">
        <x:v>319</x:v>
      </x:c>
      <x:c r="E7" s="280" t="s">
        <x:v>4110</x:v>
      </x:c>
      <x:c r="F7" s="280" t="s">
        <x:v>4111</x:v>
      </x:c>
      <x:c r="G7" s="280" t="s">
        <x:v>4112</x:v>
      </x:c>
    </x:row>
    <x:row r="8" ht="34.95000076293945" customHeight="1">
      <x:c r="A8" s="281" t="s">
        <x:v>3498</x:v>
      </x:c>
      <x:c r="B8" s="281" t="s">
        <x:v>3490</x:v>
      </x:c>
      <x:c r="C8" s="281" t="s">
        <x:v>3443</x:v>
      </x:c>
      <x:c r="D8" s="281" t="s">
        <x:v>319</x:v>
      </x:c>
      <x:c r="E8" s="281" t="s">
        <x:v>4110</x:v>
      </x:c>
      <x:c r="F8" s="281" t="s">
        <x:v>4113</x:v>
      </x:c>
      <x:c r="G8" s="281" t="s">
        <x:v>3915</x:v>
      </x:c>
    </x:row>
    <x:row r="9" ht="34.95000076293945" customHeight="1">
      <x:c r="A9" s="280" t="s">
        <x:v>3502</x:v>
      </x:c>
      <x:c r="B9" s="280" t="s">
        <x:v>3490</x:v>
      </x:c>
      <x:c r="C9" s="280" t="s">
        <x:v>4110</x:v>
      </x:c>
      <x:c r="D9" s="280" t="s">
        <x:v>319</x:v>
      </x:c>
      <x:c r="E9" s="280" t="s">
        <x:v>4000</x:v>
      </x:c>
      <x:c r="F9" s="280" t="s">
        <x:v>4114</x:v>
      </x:c>
      <x:c r="G9" s="280" t="s">
        <x:v>4115</x:v>
      </x:c>
    </x:row>
    <x:row r="10" ht="34.95000076293945" customHeight="1">
      <x:c r="A10" s="281" t="s">
        <x:v>3658</x:v>
      </x:c>
      <x:c r="B10" s="281" t="s">
        <x:v>3490</x:v>
      </x:c>
      <x:c r="C10" s="281" t="s">
        <x:v>4000</x:v>
      </x:c>
      <x:c r="D10" s="281" t="s">
        <x:v>319</x:v>
      </x:c>
      <x:c r="E10" s="281" t="s">
        <x:v>4019</x:v>
      </x:c>
      <x:c r="F10" s="281" t="s">
        <x:v>4116</x:v>
      </x:c>
      <x:c r="G10" s="281" t="s">
        <x:v>4117</x:v>
      </x:c>
    </x:row>
    <x:row r="11" ht="34.95000076293945" customHeight="1">
      <x:c r="A11" s="280" t="s">
        <x:v>3661</x:v>
      </x:c>
      <x:c r="B11" s="280" t="s">
        <x:v>3490</x:v>
      </x:c>
      <x:c r="C11" s="280" t="s">
        <x:v>4019</x:v>
      </x:c>
      <x:c r="D11" s="280" t="s">
        <x:v>3452</x:v>
      </x:c>
      <x:c r="E11" s="280" t="s">
        <x:v>4000</x:v>
      </x:c>
      <x:c r="F11" s="280" t="s">
        <x:v>4118</x:v>
      </x:c>
      <x:c r="G11" s="280" t="s">
        <x:v>3629</x:v>
      </x:c>
    </x:row>
    <x:row r="12" ht="34.95000076293945" customHeight="1">
      <x:c r="A12" s="281" t="s">
        <x:v>3664</x:v>
      </x:c>
      <x:c r="B12" s="281" t="s">
        <x:v>3490</x:v>
      </x:c>
      <x:c r="C12" s="281" t="s">
        <x:v>4000</x:v>
      </x:c>
      <x:c r="D12" s="281" t="s">
        <x:v>319</x:v>
      </x:c>
      <x:c r="E12" s="281" t="s">
        <x:v>4024</x:v>
      </x:c>
      <x:c r="F12" s="281" t="s">
        <x:v>4119</x:v>
      </x:c>
      <x:c r="G12" s="281" t="s">
        <x:v>4120</x:v>
      </x:c>
    </x:row>
  </x:sheetData>
  <x:mergeCells>
    <x:mergeCell ref="A1:G1"/>
    <x:mergeCell ref="A2:G2"/>
    <x:mergeCell ref="A4:G4"/>
  </x:mergeCells>
  <x:pageMargins left="0.7" right="0.7" top="0.75" bottom="0.75" header="0.3" footer="0.3"/>
</x:worksheet>
</file>

<file path=xl/worksheets/sheet71.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4121</x:v>
      </x:c>
      <x:c r="B1" s="544"/>
      <x:c r="C1" s="544"/>
      <x:c r="D1" s="544"/>
      <x:c r="E1" s="544"/>
      <x:c r="F1" s="544"/>
      <x:c r="G1" s="544"/>
    </x:row>
    <x:row r="2" ht="40.95000076293945" customHeight="1">
      <x:c r="A2" s="545" t="s">
        <x:v>4122</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4123</x:v>
      </x:c>
      <x:c r="B4" s="546"/>
      <x:c r="C4" s="546"/>
      <x:c r="D4" s="546"/>
      <x:c r="E4" s="546"/>
      <x:c r="F4" s="546"/>
      <x:c r="G4" s="546"/>
    </x:row>
    <x:row r="5" ht="34.95000076293945" customHeight="1">
      <x:c r="A5" s="280" t="s">
        <x:v>3489</x:v>
      </x:c>
      <x:c r="B5" s="280" t="s">
        <x:v>3490</x:v>
      </x:c>
      <x:c r="C5" s="280" t="s">
        <x:v>3443</x:v>
      </x:c>
      <x:c r="D5" s="280" t="s">
        <x:v>319</x:v>
      </x:c>
      <x:c r="E5" s="280" t="s">
        <x:v>4024</x:v>
      </x:c>
      <x:c r="F5" s="280" t="s">
        <x:v>4124</x:v>
      </x:c>
      <x:c r="G5" s="280" t="s">
        <x:v>4125</x:v>
      </x:c>
    </x:row>
    <x:row r="6" ht="34.95000076293945" customHeight="1">
      <x:c r="A6" s="281" t="s">
        <x:v>3492</x:v>
      </x:c>
      <x:c r="B6" s="281" t="s">
        <x:v>3490</x:v>
      </x:c>
      <x:c r="C6" s="281" t="s">
        <x:v>4024</x:v>
      </x:c>
      <x:c r="D6" s="281" t="s">
        <x:v>319</x:v>
      </x:c>
      <x:c r="E6" s="281" t="s">
        <x:v>4000</x:v>
      </x:c>
      <x:c r="F6" s="281" t="s">
        <x:v>4126</x:v>
      </x:c>
      <x:c r="G6" s="281" t="s">
        <x:v>4127</x:v>
      </x:c>
    </x:row>
    <x:row r="7" ht="34.95000076293945" customHeight="1">
      <x:c r="A7" s="280" t="s">
        <x:v>3495</x:v>
      </x:c>
      <x:c r="B7" s="280" t="s">
        <x:v>3490</x:v>
      </x:c>
      <x:c r="C7" s="280" t="s">
        <x:v>4000</x:v>
      </x:c>
      <x:c r="D7" s="280" t="s">
        <x:v>319</x:v>
      </x:c>
      <x:c r="E7" s="280" t="s">
        <x:v>4110</x:v>
      </x:c>
      <x:c r="F7" s="280" t="s">
        <x:v>4128</x:v>
      </x:c>
      <x:c r="G7" s="280" t="s">
        <x:v>4129</x:v>
      </x:c>
    </x:row>
    <x:row r="8" ht="34.95000076293945" customHeight="1">
      <x:c r="A8" s="281" t="s">
        <x:v>3498</x:v>
      </x:c>
      <x:c r="B8" s="281" t="s">
        <x:v>3490</x:v>
      </x:c>
      <x:c r="C8" s="281" t="s">
        <x:v>3443</x:v>
      </x:c>
      <x:c r="D8" s="281" t="s">
        <x:v>319</x:v>
      </x:c>
      <x:c r="E8" s="281" t="s">
        <x:v>4110</x:v>
      </x:c>
      <x:c r="F8" s="281" t="s">
        <x:v>4130</x:v>
      </x:c>
      <x:c r="G8" s="281" t="s">
        <x:v>3915</x:v>
      </x:c>
    </x:row>
    <x:row r="9" ht="34.95000076293945" customHeight="1">
      <x:c r="A9" s="280" t="s">
        <x:v>3502</x:v>
      </x:c>
      <x:c r="B9" s="280" t="s">
        <x:v>3490</x:v>
      </x:c>
      <x:c r="C9" s="280" t="s">
        <x:v>4110</x:v>
      </x:c>
      <x:c r="D9" s="280" t="s">
        <x:v>319</x:v>
      </x:c>
      <x:c r="E9" s="280" t="s">
        <x:v>4000</x:v>
      </x:c>
      <x:c r="F9" s="280" t="s">
        <x:v>4131</x:v>
      </x:c>
      <x:c r="G9" s="280" t="s">
        <x:v>4132</x:v>
      </x:c>
    </x:row>
    <x:row r="10" ht="34.95000076293945" customHeight="1">
      <x:c r="A10" s="281" t="s">
        <x:v>3658</x:v>
      </x:c>
      <x:c r="B10" s="281" t="s">
        <x:v>3490</x:v>
      </x:c>
      <x:c r="C10" s="281" t="s">
        <x:v>4000</x:v>
      </x:c>
      <x:c r="D10" s="281" t="s">
        <x:v>319</x:v>
      </x:c>
      <x:c r="E10" s="281" t="s">
        <x:v>4019</x:v>
      </x:c>
      <x:c r="F10" s="281" t="s">
        <x:v>4133</x:v>
      </x:c>
      <x:c r="G10" s="281" t="s">
        <x:v>4134</x:v>
      </x:c>
    </x:row>
    <x:row r="11" ht="34.95000076293945" customHeight="1">
      <x:c r="A11" s="280" t="s">
        <x:v>3661</x:v>
      </x:c>
      <x:c r="B11" s="280" t="s">
        <x:v>3490</x:v>
      </x:c>
      <x:c r="C11" s="280" t="s">
        <x:v>4019</x:v>
      </x:c>
      <x:c r="D11" s="280" t="s">
        <x:v>3452</x:v>
      </x:c>
      <x:c r="E11" s="280" t="s">
        <x:v>4000</x:v>
      </x:c>
      <x:c r="F11" s="280" t="s">
        <x:v>4135</x:v>
      </x:c>
      <x:c r="G11" s="280" t="s">
        <x:v>3915</x:v>
      </x:c>
    </x:row>
    <x:row r="12" ht="34.95000076293945" customHeight="1">
      <x:c r="A12" s="281" t="s">
        <x:v>3664</x:v>
      </x:c>
      <x:c r="B12" s="281" t="s">
        <x:v>3490</x:v>
      </x:c>
      <x:c r="C12" s="281" t="s">
        <x:v>4000</x:v>
      </x:c>
      <x:c r="D12" s="281" t="s">
        <x:v>319</x:v>
      </x:c>
      <x:c r="E12" s="281" t="s">
        <x:v>4024</x:v>
      </x:c>
      <x:c r="F12" s="281" t="s">
        <x:v>4136</x:v>
      </x:c>
      <x:c r="G12" s="281" t="s">
        <x:v>4137</x:v>
      </x:c>
    </x:row>
  </x:sheetData>
  <x:mergeCells>
    <x:mergeCell ref="A1:G1"/>
    <x:mergeCell ref="A2:G2"/>
    <x:mergeCell ref="A4:G4"/>
  </x:mergeCells>
  <x:pageMargins left="0.7" right="0.7" top="0.75" bottom="0.75" header="0.3" footer="0.3"/>
</x:worksheet>
</file>

<file path=xl/worksheets/sheet72.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4138</x:v>
      </x:c>
      <x:c r="B1" s="544"/>
      <x:c r="C1" s="544"/>
      <x:c r="D1" s="544"/>
      <x:c r="E1" s="544"/>
      <x:c r="F1" s="544"/>
      <x:c r="G1" s="544"/>
    </x:row>
    <x:row r="2" ht="40.95000076293945" customHeight="1">
      <x:c r="A2" s="545" t="s">
        <x:v>4139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4140</x:v>
      </x:c>
      <x:c r="B4" s="546"/>
      <x:c r="C4" s="546"/>
      <x:c r="D4" s="546"/>
      <x:c r="E4" s="546"/>
      <x:c r="F4" s="546"/>
      <x:c r="G4" s="546"/>
    </x:row>
    <x:row r="5" ht="34.95000076293945" customHeight="1">
      <x:c r="A5" s="280" t="s">
        <x:v>3489</x:v>
      </x:c>
      <x:c r="B5" s="280" t="s">
        <x:v>3490</x:v>
      </x:c>
      <x:c r="C5" s="280" t="s">
        <x:v>4000</x:v>
      </x:c>
      <x:c r="D5" s="280" t="s">
        <x:v>404</x:v>
      </x:c>
      <x:c r="E5" s="280" t="s">
        <x:v>4000</x:v>
      </x:c>
      <x:c r="F5" s="280" t="s">
        <x:v>4141</x:v>
      </x:c>
      <x:c r="G5" s="280" t="s">
        <x:v>4142</x:v>
      </x:c>
    </x:row>
    <x:row r="6" ht="34.95000076293945" customHeight="1">
      <x:c r="A6" s="281" t="s">
        <x:v>3492</x:v>
      </x:c>
      <x:c r="B6" s="281" t="s">
        <x:v>3490</x:v>
      </x:c>
      <x:c r="C6" s="281" t="s">
        <x:v>4000</x:v>
      </x:c>
      <x:c r="D6" s="281" t="s">
        <x:v>319</x:v>
      </x:c>
      <x:c r="E6" s="281" t="s">
        <x:v>4034</x:v>
      </x:c>
      <x:c r="F6" s="281" t="s">
        <x:v>4143</x:v>
      </x:c>
      <x:c r="G6" s="281" t="s">
        <x:v>4144</x:v>
      </x:c>
    </x:row>
    <x:row r="7" ht="25.799999237060547" customHeight="1">
      <x:c r="A7" s="546" t="s">
        <x:v>4145</x:v>
      </x:c>
      <x:c r="B7" s="546"/>
      <x:c r="C7" s="546"/>
      <x:c r="D7" s="546"/>
      <x:c r="E7" s="546"/>
      <x:c r="F7" s="546"/>
      <x:c r="G7" s="546"/>
    </x:row>
    <x:row r="8" ht="34.95000076293945" customHeight="1">
      <x:c r="A8" s="281" t="s">
        <x:v>3710</x:v>
      </x:c>
      <x:c r="B8" s="281" t="s">
        <x:v>3507</x:v>
      </x:c>
      <x:c r="C8" s="281" t="s">
        <x:v>4019</x:v>
      </x:c>
      <x:c r="D8" s="281" t="s">
        <x:v>3452</x:v>
      </x:c>
      <x:c r="E8" s="281" t="s">
        <x:v>4000</x:v>
      </x:c>
      <x:c r="F8" s="281" t="s">
        <x:v>4146</x:v>
      </x:c>
      <x:c r="G8" s="281" t="s">
        <x:v>4147</x:v>
      </x:c>
    </x:row>
    <x:row r="9" ht="34.95000076293945" customHeight="1">
      <x:c r="A9" s="280" t="s">
        <x:v>3588</x:v>
      </x:c>
      <x:c r="B9" s="280" t="s">
        <x:v>3507</x:v>
      </x:c>
      <x:c r="C9" s="280" t="s">
        <x:v>4000</x:v>
      </x:c>
      <x:c r="D9" s="280" t="s">
        <x:v>319</x:v>
      </x:c>
      <x:c r="E9" s="280" t="s">
        <x:v>4034</x:v>
      </x:c>
      <x:c r="F9" s="280" t="s">
        <x:v>4148</x:v>
      </x:c>
      <x:c r="G9" s="280" t="s">
        <x:v>4149</x:v>
      </x:c>
    </x:row>
    <x:row r="10" ht="25.799999237060547" customHeight="1">
      <x:c r="A10" s="546" t="s">
        <x:v>4150</x:v>
      </x:c>
      <x:c r="B10" s="546"/>
      <x:c r="C10" s="546"/>
      <x:c r="D10" s="546"/>
      <x:c r="E10" s="546"/>
      <x:c r="F10" s="546"/>
      <x:c r="G10" s="546"/>
    </x:row>
    <x:row r="11" ht="34.95000076293945" customHeight="1">
      <x:c r="A11" s="280" t="s">
        <x:v>3991</x:v>
      </x:c>
      <x:c r="B11" s="280" t="s">
        <x:v>3596</x:v>
      </x:c>
      <x:c r="C11" s="280" t="s">
        <x:v>3443</x:v>
      </x:c>
      <x:c r="D11" s="280" t="s">
        <x:v>319</x:v>
      </x:c>
      <x:c r="E11" s="280" t="s">
        <x:v>4034</x:v>
      </x:c>
      <x:c r="F11" s="280" t="s">
        <x:v>3717</x:v>
      </x:c>
      <x:c r="G11" s="280" t="s">
        <x:v>4151</x:v>
      </x:c>
    </x:row>
    <x:row r="12" ht="34.95000076293945" customHeight="1">
      <x:c r="A12" s="281" t="s">
        <x:v>3595</x:v>
      </x:c>
      <x:c r="B12" s="281" t="s">
        <x:v>3596</x:v>
      </x:c>
      <x:c r="C12" s="281" t="s">
        <x:v>4034</x:v>
      </x:c>
      <x:c r="D12" s="281" t="s">
        <x:v>319</x:v>
      </x:c>
      <x:c r="E12" s="281" t="s">
        <x:v>4024</x:v>
      </x:c>
      <x:c r="F12" s="281" t="s">
        <x:v>3719</x:v>
      </x:c>
      <x:c r="G12" s="281" t="s">
        <x:v>4152</x:v>
      </x:c>
    </x:row>
    <x:row r="13" ht="25.799999237060547" customHeight="1">
      <x:c r="A13" s="546" t="s">
        <x:v>4153</x:v>
      </x:c>
      <x:c r="B13" s="546"/>
      <x:c r="C13" s="546"/>
      <x:c r="D13" s="546"/>
      <x:c r="E13" s="546"/>
      <x:c r="F13" s="546"/>
      <x:c r="G13" s="546"/>
    </x:row>
    <x:row r="14" ht="34.95000076293945" customHeight="1">
      <x:c r="A14" s="281" t="s">
        <x:v>4154</x:v>
      </x:c>
      <x:c r="B14" s="281" t="s">
        <x:v>4155</x:v>
      </x:c>
      <x:c r="C14" s="281" t="s">
        <x:v>3458</x:v>
      </x:c>
      <x:c r="D14" s="281" t="s">
        <x:v>3452</x:v>
      </x:c>
      <x:c r="E14" s="281" t="s">
        <x:v>4000</x:v>
      </x:c>
      <x:c r="F14" s="281" t="s">
        <x:v>3597</x:v>
      </x:c>
      <x:c r="G14" s="281" t="s">
        <x:v>4156</x:v>
      </x:c>
    </x:row>
    <x:row r="15" ht="34.95000076293945" customHeight="1">
      <x:c r="A15" s="280" t="s">
        <x:v>4157</x:v>
      </x:c>
      <x:c r="B15" s="280" t="s">
        <x:v>4155</x:v>
      </x:c>
      <x:c r="C15" s="280" t="s">
        <x:v>4000</x:v>
      </x:c>
      <x:c r="D15" s="280" t="s">
        <x:v>319</x:v>
      </x:c>
      <x:c r="E15" s="280" t="s">
        <x:v>3499</x:v>
      </x:c>
      <x:c r="F15" s="280" t="s">
        <x:v>3500</x:v>
      </x:c>
      <x:c r="G15" s="280" t="s">
        <x:v>4158</x:v>
      </x:c>
    </x:row>
  </x:sheetData>
  <x:mergeCells>
    <x:mergeCell ref="A13:G13"/>
    <x:mergeCell ref="A1:G1"/>
    <x:mergeCell ref="A2:G2"/>
    <x:mergeCell ref="A4:G4"/>
    <x:mergeCell ref="A7:G7"/>
    <x:mergeCell ref="A10:G10"/>
  </x:mergeCells>
  <x:pageMargins left="0.7" right="0.7" top="0.75" bottom="0.75" header="0.3" footer="0.3"/>
</x:worksheet>
</file>

<file path=xl/worksheets/sheet73.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4159</x:v>
      </x:c>
      <x:c r="B1" s="544"/>
      <x:c r="C1" s="544"/>
      <x:c r="D1" s="544"/>
      <x:c r="E1" s="544"/>
      <x:c r="F1" s="544"/>
      <x:c r="G1" s="544"/>
    </x:row>
    <x:row r="2" ht="40.95000076293945" customHeight="1">
      <x:c r="A2" s="545" t="s">
        <x:v>4160</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7" t="s">
        <x:v>4161</x:v>
      </x:c>
      <x:c r="B4" s="547"/>
      <x:c r="C4" s="547"/>
      <x:c r="D4" s="547"/>
      <x:c r="E4" s="547"/>
      <x:c r="F4" s="547"/>
      <x:c r="G4" s="547"/>
    </x:row>
    <x:row r="5" ht="34.95000076293945" customHeight="1">
      <x:c r="A5" s="280">
        <x:v>1</x:v>
      </x:c>
      <x:c r="B5" s="280" t="s">
        <x:v>10</x:v>
      </x:c>
      <x:c r="C5" s="280" t="s">
        <x:v>11</x:v>
      </x:c>
      <x:c r="D5" s="280" t="s">
        <x:v>319</x:v>
      </x:c>
      <x:c r="E5" s="280" t="s">
        <x:v>179</x:v>
      </x:c>
      <x:c r="F5" s="280" t="s">
        <x:v>4162</x:v>
      </x:c>
      <x:c r="G5" s="280" t="s">
        <x:v>4163</x:v>
      </x:c>
    </x:row>
    <x:row r="6" ht="34.95000076293945" customHeight="1">
      <x:c r="A6" s="281">
        <x:v>2</x:v>
      </x:c>
      <x:c r="B6" s="281" t="s">
        <x:v>10</x:v>
      </x:c>
      <x:c r="C6" s="281" t="s">
        <x:v>179</x:v>
      </x:c>
      <x:c r="D6" s="281" t="s">
        <x:v>319</x:v>
      </x:c>
      <x:c r="E6" s="281" t="s">
        <x:v>3815</x:v>
      </x:c>
      <x:c r="F6" s="281" t="s">
        <x:v>4164</x:v>
      </x:c>
      <x:c r="G6" s="281" t="s">
        <x:v>4165</x:v>
      </x:c>
    </x:row>
    <x:row r="7" ht="34.95000076293945" customHeight="1">
      <x:c r="A7" s="280">
        <x:v>3</x:v>
      </x:c>
      <x:c r="B7" s="280" t="s">
        <x:v>10</x:v>
      </x:c>
      <x:c r="C7" s="280" t="s">
        <x:v>3815</x:v>
      </x:c>
      <x:c r="D7" s="280" t="s">
        <x:v>319</x:v>
      </x:c>
      <x:c r="E7" s="280" t="s">
        <x:v>50</x:v>
      </x:c>
      <x:c r="F7" s="280" t="s">
        <x:v>4166</x:v>
      </x:c>
      <x:c r="G7" s="280" t="s">
        <x:v>4167</x:v>
      </x:c>
    </x:row>
    <x:row r="8" ht="34.95000076293945" customHeight="1">
      <x:c r="A8" s="281">
        <x:v>4</x:v>
      </x:c>
      <x:c r="B8" s="281" t="s">
        <x:v>10</x:v>
      </x:c>
      <x:c r="C8" s="281" t="s">
        <x:v>50</x:v>
      </x:c>
      <x:c r="D8" s="281" t="s">
        <x:v>3452</x:v>
      </x:c>
      <x:c r="E8" s="281" t="s">
        <x:v>3815</x:v>
      </x:c>
      <x:c r="F8" s="281" t="s">
        <x:v>4168</x:v>
      </x:c>
      <x:c r="G8" s="281" t="s">
        <x:v>4169</x:v>
      </x:c>
    </x:row>
    <x:row r="9" ht="34.95000076293945" customHeight="1">
      <x:c r="A9" s="280">
        <x:v>5</x:v>
      </x:c>
      <x:c r="B9" s="280" t="s">
        <x:v>10</x:v>
      </x:c>
      <x:c r="C9" s="280" t="s">
        <x:v>3815</x:v>
      </x:c>
      <x:c r="D9" s="280" t="s">
        <x:v>319</x:v>
      </x:c>
      <x:c r="E9" s="280" t="s">
        <x:v>4170</x:v>
      </x:c>
      <x:c r="F9" s="280" t="s">
        <x:v>4171</x:v>
      </x:c>
      <x:c r="G9" s="280" t="s">
        <x:v>4172</x:v>
      </x:c>
    </x:row>
    <x:row r="10" ht="25.799999237060547" customHeight="1">
      <x:c r="A10" s="547" t="s">
        <x:v>4173</x:v>
      </x:c>
      <x:c r="B10" s="547"/>
      <x:c r="C10" s="547"/>
      <x:c r="D10" s="547"/>
      <x:c r="E10" s="547"/>
      <x:c r="F10" s="547"/>
      <x:c r="G10" s="547"/>
    </x:row>
    <x:row r="11" ht="34.95000076293945" customHeight="1">
      <x:c r="A11" s="280">
        <x:v>6</x:v>
      </x:c>
      <x:c r="B11" s="280" t="s">
        <x:v>33</x:v>
      </x:c>
      <x:c r="C11" s="280" t="s">
        <x:v>11</x:v>
      </x:c>
      <x:c r="D11" s="280" t="s">
        <x:v>319</x:v>
      </x:c>
      <x:c r="E11" s="280" t="s">
        <x:v>4170</x:v>
      </x:c>
      <x:c r="F11" s="280" t="s">
        <x:v>4174</x:v>
      </x:c>
      <x:c r="G11" s="280" t="s">
        <x:v>4175</x:v>
      </x:c>
    </x:row>
    <x:row r="12" ht="34.95000076293945" customHeight="1">
      <x:c r="A12" s="281">
        <x:v>7</x:v>
      </x:c>
      <x:c r="B12" s="281" t="s">
        <x:v>33</x:v>
      </x:c>
      <x:c r="C12" s="281" t="s">
        <x:v>11</x:v>
      </x:c>
      <x:c r="D12" s="281" t="s">
        <x:v>319</x:v>
      </x:c>
      <x:c r="E12" s="281" t="s">
        <x:v>4170</x:v>
      </x:c>
      <x:c r="F12" s="281" t="s">
        <x:v>4176</x:v>
      </x:c>
      <x:c r="G12" s="281" t="s">
        <x:v>4177</x:v>
      </x:c>
    </x:row>
    <x:row r="13" ht="34.95000076293945" customHeight="1">
      <x:c r="A13" s="280">
        <x:v>8</x:v>
      </x:c>
      <x:c r="B13" s="280" t="s">
        <x:v>33</x:v>
      </x:c>
      <x:c r="C13" s="280" t="s">
        <x:v>4170</x:v>
      </x:c>
      <x:c r="D13" s="280" t="s">
        <x:v>319</x:v>
      </x:c>
      <x:c r="E13" s="280" t="s">
        <x:v>3815</x:v>
      </x:c>
      <x:c r="F13" s="280" t="s">
        <x:v>4178</x:v>
      </x:c>
      <x:c r="G13" s="280" t="s">
        <x:v>4179</x:v>
      </x:c>
    </x:row>
    <x:row r="14" ht="34.95000076293945" customHeight="1">
      <x:c r="A14" s="281">
        <x:v>9</x:v>
      </x:c>
      <x:c r="B14" s="281" t="s">
        <x:v>33</x:v>
      </x:c>
      <x:c r="C14" s="281" t="s">
        <x:v>3815</x:v>
      </x:c>
      <x:c r="D14" s="281" t="s">
        <x:v>319</x:v>
      </x:c>
      <x:c r="E14" s="281" t="s">
        <x:v>4180</x:v>
      </x:c>
      <x:c r="F14" s="281" t="s">
        <x:v>4181</x:v>
      </x:c>
      <x:c r="G14" s="281" t="s">
        <x:v>4182</x:v>
      </x:c>
    </x:row>
    <x:row r="15" ht="34.95000076293945" customHeight="1">
      <x:c r="A15" s="280">
        <x:v>10</x:v>
      </x:c>
      <x:c r="B15" s="280" t="s">
        <x:v>33</x:v>
      </x:c>
      <x:c r="C15" s="280" t="s">
        <x:v>11</x:v>
      </x:c>
      <x:c r="D15" s="280" t="s">
        <x:v>319</x:v>
      </x:c>
      <x:c r="E15" s="280" t="s">
        <x:v>4180</x:v>
      </x:c>
      <x:c r="F15" s="280" t="s">
        <x:v>4183</x:v>
      </x:c>
      <x:c r="G15" s="280" t="s">
        <x:v>4184</x:v>
      </x:c>
    </x:row>
    <x:row r="16" ht="34.95000076293945" customHeight="1">
      <x:c r="A16" s="281">
        <x:v>11</x:v>
      </x:c>
      <x:c r="B16" s="281" t="s">
        <x:v>33</x:v>
      </x:c>
      <x:c r="C16" s="281" t="s">
        <x:v>4180</x:v>
      </x:c>
      <x:c r="D16" s="281" t="s">
        <x:v>319</x:v>
      </x:c>
      <x:c r="E16" s="281" t="s">
        <x:v>3303</x:v>
      </x:c>
      <x:c r="F16" s="281" t="s">
        <x:v>3304</x:v>
      </x:c>
      <x:c r="G16" s="281" t="s">
        <x:v>4185</x:v>
      </x:c>
    </x:row>
    <x:row r="17" ht="34.95000076293945" customHeight="1">
      <x:c r="A17" s="280">
        <x:v>12</x:v>
      </x:c>
      <x:c r="B17" s="280" t="s">
        <x:v>33</x:v>
      </x:c>
      <x:c r="C17" s="280" t="s">
        <x:v>3303</x:v>
      </x:c>
      <x:c r="D17" s="280" t="s">
        <x:v>3452</x:v>
      </x:c>
      <x:c r="E17" s="280" t="s">
        <x:v>4180</x:v>
      </x:c>
      <x:c r="F17" s="280" t="s">
        <x:v>4186</x:v>
      </x:c>
      <x:c r="G17" s="280" t="s">
        <x:v>4187</x:v>
      </x:c>
    </x:row>
    <x:row r="18" ht="34.95000076293945" customHeight="1">
      <x:c r="A18" s="281">
        <x:v>13</x:v>
      </x:c>
      <x:c r="B18" s="281" t="s">
        <x:v>33</x:v>
      </x:c>
      <x:c r="C18" s="281" t="s">
        <x:v>11</x:v>
      </x:c>
      <x:c r="D18" s="281" t="s">
        <x:v>319</x:v>
      </x:c>
      <x:c r="E18" s="281" t="s">
        <x:v>4180</x:v>
      </x:c>
      <x:c r="F18" s="281" t="s">
        <x:v>3306</x:v>
      </x:c>
      <x:c r="G18" s="281" t="s">
        <x:v>4188</x:v>
      </x:c>
    </x:row>
    <x:row r="19" ht="25.799999237060547" customHeight="1">
      <x:c r="A19" s="549">
        <x:v>14</x:v>
      </x:c>
      <x:c r="B19" s="549" t="s">
        <x:v>33</x:v>
      </x:c>
      <x:c r="C19" s="549" t="s">
        <x:v>4180</x:v>
      </x:c>
      <x:c r="D19" s="549" t="s">
        <x:v>319</x:v>
      </x:c>
      <x:c r="E19" s="549" t="s">
        <x:v>3815</x:v>
      </x:c>
      <x:c r="F19" s="549" t="s">
        <x:v>4189</x:v>
      </x:c>
      <x:c r="G19" s="549" t="s">
        <x:v>4190</x:v>
      </x:c>
    </x:row>
    <x:row r="20" ht="34.95000076293945" customHeight="1">
      <x:c r="A20" s="281">
        <x:v>15</x:v>
      </x:c>
      <x:c r="B20" s="281" t="s">
        <x:v>33</x:v>
      </x:c>
      <x:c r="C20" s="281" t="s">
        <x:v>3815</x:v>
      </x:c>
      <x:c r="D20" s="281" t="s">
        <x:v>319</x:v>
      </x:c>
      <x:c r="E20" s="281" t="s">
        <x:v>4170</x:v>
      </x:c>
      <x:c r="F20" s="281" t="s">
        <x:v>4191</x:v>
      </x:c>
      <x:c r="G20" s="281" t="s">
        <x:v>4192</x:v>
      </x:c>
    </x:row>
    <x:row r="21" ht="34.95000076293945" customHeight="1">
      <x:c r="A21" s="305" t="s">
        <x:v>4193</x:v>
      </x:c>
      <x:c r="B21" s="305"/>
      <x:c r="C21" s="305"/>
      <x:c r="D21" s="305"/>
      <x:c r="E21" s="305"/>
      <x:c r="F21" s="305"/>
      <x:c r="G21" s="305"/>
    </x:row>
    <x:row r="22" ht="34.95000076293945" customHeight="1">
      <x:c r="A22" s="281">
        <x:v>16</x:v>
      </x:c>
      <x:c r="B22" s="281" t="s">
        <x:v>63</x:v>
      </x:c>
      <x:c r="C22" s="281" t="s">
        <x:v>11</x:v>
      </x:c>
      <x:c r="D22" s="281" t="s">
        <x:v>319</x:v>
      </x:c>
      <x:c r="E22" s="281" t="s">
        <x:v>4170</x:v>
      </x:c>
      <x:c r="F22" s="281" t="s">
        <x:v>4194</x:v>
      </x:c>
      <x:c r="G22" s="281" t="s">
        <x:v>4195</x:v>
      </x:c>
    </x:row>
    <x:row r="23" ht="34.95000076293945" customHeight="1">
      <x:c r="A23" s="280">
        <x:v>17</x:v>
      </x:c>
      <x:c r="B23" s="280" t="s">
        <x:v>63</x:v>
      </x:c>
      <x:c r="C23" s="280" t="s">
        <x:v>4170</x:v>
      </x:c>
      <x:c r="D23" s="280" t="s">
        <x:v>319</x:v>
      </x:c>
      <x:c r="E23" s="280" t="s">
        <x:v>3815</x:v>
      </x:c>
      <x:c r="F23" s="280" t="s">
        <x:v>4196</x:v>
      </x:c>
      <x:c r="G23" s="280" t="s">
        <x:v>4197</x:v>
      </x:c>
    </x:row>
    <x:row r="24" ht="34.95000076293945" customHeight="1">
      <x:c r="A24" s="281">
        <x:v>18</x:v>
      </x:c>
      <x:c r="B24" s="281" t="s">
        <x:v>63</x:v>
      </x:c>
      <x:c r="C24" s="281" t="s">
        <x:v>3815</x:v>
      </x:c>
      <x:c r="D24" s="281" t="s">
        <x:v>404</x:v>
      </x:c>
      <x:c r="E24" s="281" t="s">
        <x:v>3815</x:v>
      </x:c>
      <x:c r="F24" s="281" t="s">
        <x:v>4198</x:v>
      </x:c>
      <x:c r="G24" s="281" t="s">
        <x:v>4199</x:v>
      </x:c>
    </x:row>
    <x:row r="25" ht="34.95000076293945" customHeight="1">
      <x:c r="A25" s="280">
        <x:v>19</x:v>
      </x:c>
      <x:c r="B25" s="280" t="s">
        <x:v>63</x:v>
      </x:c>
      <x:c r="C25" s="280" t="s">
        <x:v>3815</x:v>
      </x:c>
      <x:c r="D25" s="280" t="s">
        <x:v>319</x:v>
      </x:c>
      <x:c r="E25" s="280" t="s">
        <x:v>4200</x:v>
      </x:c>
      <x:c r="F25" s="280" t="s">
        <x:v>4201</x:v>
      </x:c>
      <x:c r="G25" s="280" t="s">
        <x:v>4202</x:v>
      </x:c>
    </x:row>
    <x:row r="26" ht="34.95000076293945" customHeight="1">
      <x:c r="A26" s="281">
        <x:v>20</x:v>
      </x:c>
      <x:c r="B26" s="281" t="s">
        <x:v>63</x:v>
      </x:c>
      <x:c r="C26" s="281" t="s">
        <x:v>4200</x:v>
      </x:c>
      <x:c r="D26" s="281" t="s">
        <x:v>3452</x:v>
      </x:c>
      <x:c r="E26" s="281" t="s">
        <x:v>3815</x:v>
      </x:c>
      <x:c r="F26" s="281" t="s">
        <x:v>4203</x:v>
      </x:c>
      <x:c r="G26" s="281" t="s">
        <x:v>4204</x:v>
      </x:c>
    </x:row>
    <x:row r="27" ht="34.95000076293945" customHeight="1">
      <x:c r="A27" s="280">
        <x:v>21</x:v>
      </x:c>
      <x:c r="B27" s="280" t="s">
        <x:v>63</x:v>
      </x:c>
      <x:c r="C27" s="280" t="s">
        <x:v>3815</x:v>
      </x:c>
      <x:c r="D27" s="280" t="s">
        <x:v>319</x:v>
      </x:c>
      <x:c r="E27" s="280" t="s">
        <x:v>3842</x:v>
      </x:c>
      <x:c r="F27" s="280" t="s">
        <x:v>4205</x:v>
      </x:c>
      <x:c r="G27" s="280" t="s">
        <x:v>4206</x:v>
      </x:c>
    </x:row>
    <x:row r="28" ht="34.95000076293945" customHeight="1">
      <x:c r="A28" s="281">
        <x:v>22</x:v>
      </x:c>
      <x:c r="B28" s="281" t="s">
        <x:v>63</x:v>
      </x:c>
      <x:c r="C28" s="281" t="s">
        <x:v>3842</x:v>
      </x:c>
      <x:c r="D28" s="281" t="s">
        <x:v>3452</x:v>
      </x:c>
      <x:c r="E28" s="281" t="s">
        <x:v>3815</x:v>
      </x:c>
      <x:c r="F28" s="281" t="s">
        <x:v>4207</x:v>
      </x:c>
      <x:c r="G28" s="281" t="s">
        <x:v>4208</x:v>
      </x:c>
    </x:row>
    <x:row r="29" ht="25.799999237060547" customHeight="1">
      <x:c r="A29" s="549">
        <x:v>23</x:v>
      </x:c>
      <x:c r="B29" s="549" t="s">
        <x:v>63</x:v>
      </x:c>
      <x:c r="C29" s="549" t="s">
        <x:v>3815</x:v>
      </x:c>
      <x:c r="D29" s="549" t="s">
        <x:v>319</x:v>
      </x:c>
      <x:c r="E29" s="549" t="s">
        <x:v>4209</x:v>
      </x:c>
      <x:c r="F29" s="549" t="s">
        <x:v>4210</x:v>
      </x:c>
      <x:c r="G29" s="549" t="s">
        <x:v>4211</x:v>
      </x:c>
    </x:row>
    <x:row r="30" ht="34.95000076293945" customHeight="1">
      <x:c r="A30" s="281">
        <x:v>24</x:v>
      </x:c>
      <x:c r="B30" s="281" t="s">
        <x:v>63</x:v>
      </x:c>
      <x:c r="C30" s="281" t="s">
        <x:v>4209</x:v>
      </x:c>
      <x:c r="D30" s="281" t="s">
        <x:v>3452</x:v>
      </x:c>
      <x:c r="E30" s="281" t="s">
        <x:v>3815</x:v>
      </x:c>
      <x:c r="F30" s="281" t="s">
        <x:v>4212</x:v>
      </x:c>
      <x:c r="G30" s="281" t="s">
        <x:v>4213</x:v>
      </x:c>
    </x:row>
    <x:row r="31" ht="34.95000076293945" customHeight="1">
      <x:c r="A31" s="305" t="s">
        <x:v>4214</x:v>
      </x:c>
      <x:c r="B31" s="305"/>
      <x:c r="C31" s="305"/>
      <x:c r="D31" s="305"/>
      <x:c r="E31" s="305"/>
      <x:c r="F31" s="305"/>
      <x:c r="G31" s="305"/>
    </x:row>
    <x:row r="32" ht="34.95000076293945" customHeight="1">
      <x:c r="A32" s="281">
        <x:v>25</x:v>
      </x:c>
      <x:c r="B32" s="281" t="s">
        <x:v>81</x:v>
      </x:c>
      <x:c r="C32" s="281" t="s">
        <x:v>3815</x:v>
      </x:c>
      <x:c r="D32" s="281" t="s">
        <x:v>319</x:v>
      </x:c>
      <x:c r="E32" s="281" t="s">
        <x:v>4215</x:v>
      </x:c>
      <x:c r="F32" s="281" t="s">
        <x:v>4216</x:v>
      </x:c>
      <x:c r="G32" s="281" t="s">
        <x:v>4217</x:v>
      </x:c>
    </x:row>
    <x:row r="33" ht="34.95000076293945" customHeight="1">
      <x:c r="A33" s="280">
        <x:v>26</x:v>
      </x:c>
      <x:c r="B33" s="280" t="s">
        <x:v>81</x:v>
      </x:c>
      <x:c r="C33" s="280" t="s">
        <x:v>4215</x:v>
      </x:c>
      <x:c r="D33" s="280" t="s">
        <x:v>319</x:v>
      </x:c>
      <x:c r="E33" s="280" t="s">
        <x:v>11</x:v>
      </x:c>
      <x:c r="F33" s="280" t="s">
        <x:v>4218</x:v>
      </x:c>
      <x:c r="G33" s="280" t="s">
        <x:v>4219</x:v>
      </x:c>
    </x:row>
    <x:row r="34" ht="34.95000076293945" customHeight="1">
      <x:c r="A34" s="281">
        <x:v>27</x:v>
      </x:c>
      <x:c r="B34" s="281" t="s">
        <x:v>81</x:v>
      </x:c>
      <x:c r="C34" s="281" t="s">
        <x:v>11</x:v>
      </x:c>
      <x:c r="D34" s="281" t="s">
        <x:v>319</x:v>
      </x:c>
      <x:c r="E34" s="281" t="s">
        <x:v>4215</x:v>
      </x:c>
      <x:c r="F34" s="281" t="s">
        <x:v>4220</x:v>
      </x:c>
      <x:c r="G34" s="281" t="s">
        <x:v>4221</x:v>
      </x:c>
    </x:row>
    <x:row r="35">
      <x:c r="A35">
        <x:v>28</x:v>
      </x:c>
      <x:c r="B35" t="s">
        <x:v>81</x:v>
      </x:c>
      <x:c r="C35" t="s">
        <x:v>4215</x:v>
      </x:c>
      <x:c r="D35" t="s">
        <x:v>319</x:v>
      </x:c>
      <x:c r="E35" t="s">
        <x:v>3815</x:v>
      </x:c>
      <x:c r="F35" t="s">
        <x:v>4222</x:v>
      </x:c>
      <x:c r="G35" t="s">
        <x:v>4223</x:v>
      </x:c>
    </x:row>
    <x:row r="36">
      <x:c r="A36">
        <x:v>29</x:v>
      </x:c>
      <x:c r="B36" t="s">
        <x:v>81</x:v>
      </x:c>
      <x:c r="C36" t="s">
        <x:v>3815</x:v>
      </x:c>
      <x:c r="D36" t="s">
        <x:v>319</x:v>
      </x:c>
      <x:c r="E36" t="s">
        <x:v>4224</x:v>
      </x:c>
      <x:c r="F36" t="s">
        <x:v>4225</x:v>
      </x:c>
      <x:c r="G36" t="s">
        <x:v>4226</x:v>
      </x:c>
    </x:row>
  </x:sheetData>
  <x:mergeCells>
    <x:mergeCell ref="A29:G29"/>
    <x:mergeCell ref="A1:G1"/>
    <x:mergeCell ref="A2:G2"/>
    <x:mergeCell ref="A4:G4"/>
    <x:mergeCell ref="A10:G10"/>
    <x:mergeCell ref="A19:G19"/>
  </x:mergeCells>
  <x:pageMargins left="0.7" right="0.7" top="0.75" bottom="0.75" header="0.3" footer="0.3"/>
</x:worksheet>
</file>

<file path=xl/worksheets/sheet74.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4227</x:v>
      </x:c>
      <x:c r="B1" s="544"/>
      <x:c r="C1" s="544"/>
      <x:c r="D1" s="544"/>
      <x:c r="E1" s="544"/>
      <x:c r="F1" s="544"/>
      <x:c r="G1" s="544"/>
    </x:row>
    <x:row r="2" ht="40.95000076293945" customHeight="1">
      <x:c r="A2" s="545" t="s">
        <x:v>4228</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4229</x:v>
      </x:c>
      <x:c r="B4" s="546"/>
      <x:c r="C4" s="546"/>
      <x:c r="D4" s="546"/>
      <x:c r="E4" s="546"/>
      <x:c r="F4" s="546"/>
      <x:c r="G4" s="546"/>
    </x:row>
    <x:row r="5" ht="34.95000076293945" customHeight="1">
      <x:c r="A5" s="280" t="s">
        <x:v>3489</x:v>
      </x:c>
      <x:c r="B5" s="280" t="s">
        <x:v>3490</x:v>
      </x:c>
      <x:c r="C5" s="280" t="s">
        <x:v>11</x:v>
      </x:c>
      <x:c r="D5" s="280" t="s">
        <x:v>319</x:v>
      </x:c>
      <x:c r="E5" s="280" t="s">
        <x:v>4170</x:v>
      </x:c>
      <x:c r="F5" s="280" t="s">
        <x:v>4230</x:v>
      </x:c>
      <x:c r="G5" s="280" t="s">
        <x:v>4231</x:v>
      </x:c>
    </x:row>
    <x:row r="6" ht="34.95000076293945" customHeight="1">
      <x:c r="A6" s="281" t="s">
        <x:v>3492</x:v>
      </x:c>
      <x:c r="B6" s="281" t="s">
        <x:v>3490</x:v>
      </x:c>
      <x:c r="C6" s="281" t="s">
        <x:v>4170</x:v>
      </x:c>
      <x:c r="D6" s="281" t="s">
        <x:v>319</x:v>
      </x:c>
      <x:c r="E6" s="281" t="s">
        <x:v>3815</x:v>
      </x:c>
      <x:c r="F6" s="281" t="s">
        <x:v>4232</x:v>
      </x:c>
      <x:c r="G6" s="281" t="s">
        <x:v>4233</x:v>
      </x:c>
    </x:row>
    <x:row r="7" ht="25.799999237060547" customHeight="1">
      <x:c r="A7" s="546" t="s">
        <x:v>4234</x:v>
      </x:c>
      <x:c r="B7" s="546"/>
      <x:c r="C7" s="546"/>
      <x:c r="D7" s="546"/>
      <x:c r="E7" s="546"/>
      <x:c r="F7" s="546"/>
      <x:c r="G7" s="546"/>
    </x:row>
    <x:row r="8" ht="34.95000076293945" customHeight="1">
      <x:c r="A8" s="281" t="s">
        <x:v>3710</x:v>
      </x:c>
      <x:c r="B8" s="281" t="s">
        <x:v>3507</x:v>
      </x:c>
      <x:c r="C8" s="281" t="s">
        <x:v>11</x:v>
      </x:c>
      <x:c r="D8" s="281" t="s">
        <x:v>319</x:v>
      </x:c>
      <x:c r="E8" s="281" t="s">
        <x:v>4180</x:v>
      </x:c>
      <x:c r="F8" s="281" t="s">
        <x:v>4235</x:v>
      </x:c>
      <x:c r="G8" s="281" t="s">
        <x:v>4236</x:v>
      </x:c>
    </x:row>
    <x:row r="9" ht="34.95000076293945" customHeight="1">
      <x:c r="A9" s="280" t="s">
        <x:v>3588</x:v>
      </x:c>
      <x:c r="B9" s="280" t="s">
        <x:v>3507</x:v>
      </x:c>
      <x:c r="C9" s="280" t="s">
        <x:v>4180</x:v>
      </x:c>
      <x:c r="D9" s="280" t="s">
        <x:v>319</x:v>
      </x:c>
      <x:c r="E9" s="280" t="s">
        <x:v>3303</x:v>
      </x:c>
      <x:c r="F9" s="280" t="s">
        <x:v>4237</x:v>
      </x:c>
      <x:c r="G9" s="280" t="s">
        <x:v>4238</x:v>
      </x:c>
    </x:row>
    <x:row r="10" ht="34.95000076293945" customHeight="1">
      <x:c r="A10" s="281" t="s">
        <x:v>3591</x:v>
      </x:c>
      <x:c r="B10" s="281" t="s">
        <x:v>3507</x:v>
      </x:c>
      <x:c r="C10" s="281" t="s">
        <x:v>3303</x:v>
      </x:c>
      <x:c r="D10" s="281" t="s">
        <x:v>3452</x:v>
      </x:c>
      <x:c r="E10" s="281" t="s">
        <x:v>4180</x:v>
      </x:c>
      <x:c r="F10" s="281" t="s">
        <x:v>4239</x:v>
      </x:c>
      <x:c r="G10" s="281" t="s">
        <x:v>4240</x:v>
      </x:c>
    </x:row>
    <x:row r="11" ht="34.95000076293945" customHeight="1">
      <x:c r="A11" s="280" t="s">
        <x:v>3506</x:v>
      </x:c>
      <x:c r="B11" s="280" t="s">
        <x:v>3507</x:v>
      </x:c>
      <x:c r="C11" s="280" t="s">
        <x:v>11</x:v>
      </x:c>
      <x:c r="D11" s="280" t="s">
        <x:v>319</x:v>
      </x:c>
      <x:c r="E11" s="280" t="s">
        <x:v>4180</x:v>
      </x:c>
      <x:c r="F11" s="280" t="s">
        <x:v>3306</x:v>
      </x:c>
      <x:c r="G11" s="280" t="s">
        <x:v>4241</x:v>
      </x:c>
    </x:row>
    <x:row r="12" ht="25.799999237060547" customHeight="1">
      <x:c r="A12" s="546" t="s">
        <x:v>4242</x:v>
      </x:c>
      <x:c r="B12" s="546"/>
      <x:c r="C12" s="546"/>
      <x:c r="D12" s="546"/>
      <x:c r="E12" s="546"/>
      <x:c r="F12" s="546"/>
      <x:c r="G12" s="546"/>
    </x:row>
    <x:row r="13" ht="34.95000076293945" customHeight="1">
      <x:c r="A13" s="280" t="s">
        <x:v>3599</x:v>
      </x:c>
      <x:c r="B13" s="280" t="s">
        <x:v>3596</x:v>
      </x:c>
      <x:c r="C13" s="280" t="s">
        <x:v>3815</x:v>
      </x:c>
      <x:c r="D13" s="280" t="s">
        <x:v>404</x:v>
      </x:c>
      <x:c r="E13" s="280" t="s">
        <x:v>3815</x:v>
      </x:c>
      <x:c r="F13" s="280" t="s">
        <x:v>4243</x:v>
      </x:c>
      <x:c r="G13" s="280" t="s">
        <x:v>4244</x:v>
      </x:c>
    </x:row>
    <x:row r="14" ht="34.95000076293945" customHeight="1">
      <x:c r="A14" s="281" t="s">
        <x:v>4245</x:v>
      </x:c>
      <x:c r="B14" s="281" t="s">
        <x:v>3596</x:v>
      </x:c>
      <x:c r="C14" s="281" t="s">
        <x:v>3815</x:v>
      </x:c>
      <x:c r="D14" s="281" t="s">
        <x:v>319</x:v>
      </x:c>
      <x:c r="E14" s="281" t="s">
        <x:v>4170</x:v>
      </x:c>
      <x:c r="F14" s="281" t="s">
        <x:v>4246</x:v>
      </x:c>
      <x:c r="G14" s="281" t="s">
        <x:v>4247</x:v>
      </x:c>
    </x:row>
  </x:sheetData>
  <x:mergeCells>
    <x:mergeCell ref="A1:G1"/>
    <x:mergeCell ref="A2:G2"/>
    <x:mergeCell ref="A4:G4"/>
    <x:mergeCell ref="A7:G7"/>
    <x:mergeCell ref="A12:G12"/>
  </x:mergeCells>
  <x:pageMargins left="0.7" right="0.7" top="0.75" bottom="0.75" header="0.3" footer="0.3"/>
</x:worksheet>
</file>

<file path=xl/worksheets/sheet75.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4248</x:v>
      </x:c>
      <x:c r="B1" s="544"/>
      <x:c r="C1" s="544"/>
      <x:c r="D1" s="544"/>
      <x:c r="E1" s="544"/>
      <x:c r="F1" s="544"/>
      <x:c r="G1" s="544"/>
    </x:row>
    <x:row r="2" ht="40.95000076293945" customHeight="1">
      <x:c r="A2" s="545" t="s">
        <x:v>4249</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4250</x:v>
      </x:c>
      <x:c r="B4" s="546"/>
      <x:c r="C4" s="546"/>
      <x:c r="D4" s="546"/>
      <x:c r="E4" s="546"/>
      <x:c r="F4" s="546"/>
      <x:c r="G4" s="546"/>
    </x:row>
    <x:row r="5" ht="34.95000076293945" customHeight="1">
      <x:c r="A5" s="280" t="s">
        <x:v>3489</x:v>
      </x:c>
      <x:c r="B5" s="280" t="s">
        <x:v>3490</x:v>
      </x:c>
      <x:c r="C5" s="280" t="s">
        <x:v>3815</x:v>
      </x:c>
      <x:c r="D5" s="280" t="s">
        <x:v>404</x:v>
      </x:c>
      <x:c r="E5" s="280" t="s">
        <x:v>3815</x:v>
      </x:c>
      <x:c r="F5" s="280" t="s">
        <x:v>4251</x:v>
      </x:c>
      <x:c r="G5" s="280" t="s">
        <x:v>4252</x:v>
      </x:c>
    </x:row>
    <x:row r="6" ht="34.95000076293945" customHeight="1">
      <x:c r="A6" s="281" t="s">
        <x:v>3492</x:v>
      </x:c>
      <x:c r="B6" s="281" t="s">
        <x:v>3490</x:v>
      </x:c>
      <x:c r="C6" s="281" t="s">
        <x:v>3815</x:v>
      </x:c>
      <x:c r="D6" s="281" t="s">
        <x:v>319</x:v>
      </x:c>
      <x:c r="E6" s="281" t="s">
        <x:v>4170</x:v>
      </x:c>
      <x:c r="F6" s="281" t="s">
        <x:v>4253</x:v>
      </x:c>
      <x:c r="G6" s="281" t="s">
        <x:v>4254</x:v>
      </x:c>
    </x:row>
    <x:row r="7" ht="25.799999237060547" customHeight="1">
      <x:c r="A7" s="546" t="s">
        <x:v>4255</x:v>
      </x:c>
      <x:c r="B7" s="546"/>
      <x:c r="C7" s="546"/>
      <x:c r="D7" s="546"/>
      <x:c r="E7" s="546"/>
      <x:c r="F7" s="546"/>
      <x:c r="G7" s="546"/>
    </x:row>
    <x:row r="8" ht="34.95000076293945" customHeight="1">
      <x:c r="A8" s="281" t="s">
        <x:v>3710</x:v>
      </x:c>
      <x:c r="B8" s="281" t="s">
        <x:v>3507</x:v>
      </x:c>
      <x:c r="C8" s="281" t="s">
        <x:v>11</x:v>
      </x:c>
      <x:c r="D8" s="281" t="s">
        <x:v>319</x:v>
      </x:c>
      <x:c r="E8" s="281" t="s">
        <x:v>4170</x:v>
      </x:c>
      <x:c r="F8" s="281" t="s">
        <x:v>3717</x:v>
      </x:c>
      <x:c r="G8" s="281" t="s">
        <x:v>4256</x:v>
      </x:c>
    </x:row>
    <x:row r="9" ht="34.95000076293945" customHeight="1">
      <x:c r="A9" s="280" t="s">
        <x:v>3588</x:v>
      </x:c>
      <x:c r="B9" s="280" t="s">
        <x:v>3507</x:v>
      </x:c>
      <x:c r="C9" s="280" t="s">
        <x:v>4170</x:v>
      </x:c>
      <x:c r="D9" s="280" t="s">
        <x:v>319</x:v>
      </x:c>
      <x:c r="E9" s="280" t="s">
        <x:v>179</x:v>
      </x:c>
      <x:c r="F9" s="280" t="s">
        <x:v>4257</x:v>
      </x:c>
      <x:c r="G9" s="280" t="s">
        <x:v>4258</x:v>
      </x:c>
    </x:row>
    <x:row r="10" ht="25.799999237060547" customHeight="1">
      <x:c r="A10" s="546" t="s">
        <x:v>4259</x:v>
      </x:c>
      <x:c r="B10" s="546"/>
      <x:c r="C10" s="546"/>
      <x:c r="D10" s="546"/>
      <x:c r="E10" s="546"/>
      <x:c r="F10" s="546"/>
      <x:c r="G10" s="546"/>
    </x:row>
    <x:row r="11" ht="34.95000076293945" customHeight="1">
      <x:c r="A11" s="280" t="s">
        <x:v>3991</x:v>
      </x:c>
      <x:c r="B11" s="280" t="s">
        <x:v>3596</x:v>
      </x:c>
      <x:c r="C11" s="280" t="s">
        <x:v>11</x:v>
      </x:c>
      <x:c r="D11" s="280" t="s">
        <x:v>319</x:v>
      </x:c>
      <x:c r="E11" s="280" t="s">
        <x:v>4215</x:v>
      </x:c>
      <x:c r="F11" s="280" t="s">
        <x:v>4260</x:v>
      </x:c>
      <x:c r="G11" s="280" t="s">
        <x:v>4261</x:v>
      </x:c>
    </x:row>
    <x:row r="12" ht="34.95000076293945" customHeight="1">
      <x:c r="A12" s="281" t="s">
        <x:v>3595</x:v>
      </x:c>
      <x:c r="B12" s="281" t="s">
        <x:v>3596</x:v>
      </x:c>
      <x:c r="C12" s="281" t="s">
        <x:v>4215</x:v>
      </x:c>
      <x:c r="D12" s="281" t="s">
        <x:v>319</x:v>
      </x:c>
      <x:c r="E12" s="281" t="s">
        <x:v>179</x:v>
      </x:c>
      <x:c r="F12" s="281" t="s">
        <x:v>4262</x:v>
      </x:c>
      <x:c r="G12" s="281" t="s">
        <x:v>4263</x:v>
      </x:c>
    </x:row>
  </x:sheetData>
  <x:mergeCells>
    <x:mergeCell ref="A1:G1"/>
    <x:mergeCell ref="A2:G2"/>
    <x:mergeCell ref="A4:G4"/>
    <x:mergeCell ref="A7:G7"/>
    <x:mergeCell ref="A10:G10"/>
  </x:mergeCells>
  <x:pageMargins left="0.7" right="0.7" top="0.75" bottom="0.75" header="0.3" footer="0.3"/>
</x:worksheet>
</file>

<file path=xl/worksheets/sheet76.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4264</x:v>
      </x:c>
      <x:c r="B1" s="544"/>
      <x:c r="C1" s="544"/>
      <x:c r="D1" s="544"/>
      <x:c r="E1" s="544"/>
      <x:c r="F1" s="544"/>
      <x:c r="G1" s="544"/>
    </x:row>
    <x:row r="2" ht="40.95000076293945" customHeight="1">
      <x:c r="A2" s="545" t="s">
        <x:v>4265</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7" t="s">
        <x:v>4266</x:v>
      </x:c>
      <x:c r="B4" s="547"/>
      <x:c r="C4" s="547"/>
      <x:c r="D4" s="547"/>
      <x:c r="E4" s="547"/>
      <x:c r="F4" s="547"/>
      <x:c r="G4" s="547"/>
    </x:row>
    <x:row r="5" ht="34.95000076293945" customHeight="1">
      <x:c r="A5" s="280">
        <x:v>1</x:v>
      </x:c>
      <x:c r="B5" s="280" t="s">
        <x:v>10</x:v>
      </x:c>
      <x:c r="C5" s="280" t="s">
        <x:v>11</x:v>
      </x:c>
      <x:c r="D5" s="280" t="s">
        <x:v>319</x:v>
      </x:c>
      <x:c r="E5" s="280" t="s">
        <x:v>179</x:v>
      </x:c>
      <x:c r="F5" s="280" t="s">
        <x:v>4267</x:v>
      </x:c>
      <x:c r="G5" s="280" t="s">
        <x:v>4268</x:v>
      </x:c>
    </x:row>
    <x:row r="6" ht="34.95000076293945" customHeight="1">
      <x:c r="A6" s="281">
        <x:v>2</x:v>
      </x:c>
      <x:c r="B6" s="281" t="s">
        <x:v>10</x:v>
      </x:c>
      <x:c r="C6" s="281" t="s">
        <x:v>179</x:v>
      </x:c>
      <x:c r="D6" s="281" t="s">
        <x:v>319</x:v>
      </x:c>
      <x:c r="E6" s="281" t="s">
        <x:v>3815</x:v>
      </x:c>
      <x:c r="F6" s="281" t="s">
        <x:v>4269</x:v>
      </x:c>
      <x:c r="G6" s="281" t="s">
        <x:v>4270</x:v>
      </x:c>
    </x:row>
    <x:row r="7" ht="34.95000076293945" customHeight="1">
      <x:c r="A7" s="280">
        <x:v>3</x:v>
      </x:c>
      <x:c r="B7" s="280" t="s">
        <x:v>10</x:v>
      </x:c>
      <x:c r="C7" s="280" t="s">
        <x:v>3815</x:v>
      </x:c>
      <x:c r="D7" s="280" t="s">
        <x:v>319</x:v>
      </x:c>
      <x:c r="E7" s="280" t="s">
        <x:v>4200</x:v>
      </x:c>
      <x:c r="F7" s="280" t="s">
        <x:v>4271</x:v>
      </x:c>
      <x:c r="G7" s="280" t="s">
        <x:v>4272</x:v>
      </x:c>
    </x:row>
    <x:row r="8" ht="34.95000076293945" customHeight="1">
      <x:c r="A8" s="281">
        <x:v>4</x:v>
      </x:c>
      <x:c r="B8" s="281" t="s">
        <x:v>10</x:v>
      </x:c>
      <x:c r="C8" s="281" t="s">
        <x:v>4200</x:v>
      </x:c>
      <x:c r="D8" s="281" t="s">
        <x:v>3452</x:v>
      </x:c>
      <x:c r="E8" s="281" t="s">
        <x:v>3815</x:v>
      </x:c>
      <x:c r="F8" s="281" t="s">
        <x:v>4273</x:v>
      </x:c>
      <x:c r="G8" s="281" t="s">
        <x:v>4274</x:v>
      </x:c>
    </x:row>
    <x:row r="9" ht="34.95000076293945" customHeight="1">
      <x:c r="A9" s="280">
        <x:v>5</x:v>
      </x:c>
      <x:c r="B9" s="280" t="s">
        <x:v>10</x:v>
      </x:c>
      <x:c r="C9" s="280" t="s">
        <x:v>3815</x:v>
      </x:c>
      <x:c r="D9" s="280" t="s">
        <x:v>319</x:v>
      </x:c>
      <x:c r="E9" s="280" t="s">
        <x:v>3842</x:v>
      </x:c>
      <x:c r="F9" s="280" t="s">
        <x:v>4275</x:v>
      </x:c>
      <x:c r="G9" s="280" t="s">
        <x:v>4276</x:v>
      </x:c>
    </x:row>
    <x:row r="10" ht="34.95000076293945" customHeight="1">
      <x:c r="A10" s="281">
        <x:v>6</x:v>
      </x:c>
      <x:c r="B10" s="281" t="s">
        <x:v>10</x:v>
      </x:c>
      <x:c r="C10" s="281" t="s">
        <x:v>3842</x:v>
      </x:c>
      <x:c r="D10" s="281" t="s">
        <x:v>3452</x:v>
      </x:c>
      <x:c r="E10" s="281" t="s">
        <x:v>3815</x:v>
      </x:c>
      <x:c r="F10" s="281" t="s">
        <x:v>4277</x:v>
      </x:c>
      <x:c r="G10" s="281" t="s">
        <x:v>4278</x:v>
      </x:c>
    </x:row>
    <x:row r="11" ht="34.95000076293945" customHeight="1">
      <x:c r="A11" s="280">
        <x:v>7</x:v>
      </x:c>
      <x:c r="B11" s="280" t="s">
        <x:v>10</x:v>
      </x:c>
      <x:c r="C11" s="280" t="s">
        <x:v>3815</x:v>
      </x:c>
      <x:c r="D11" s="280" t="s">
        <x:v>319</x:v>
      </x:c>
      <x:c r="E11" s="280" t="s">
        <x:v>4224</x:v>
      </x:c>
      <x:c r="F11" s="280" t="s">
        <x:v>4279</x:v>
      </x:c>
      <x:c r="G11" s="280" t="s">
        <x:v>4280</x:v>
      </x:c>
    </x:row>
    <x:row r="12" ht="25.799999237060547" customHeight="1">
      <x:c r="A12" s="547" t="s">
        <x:v>4281</x:v>
      </x:c>
      <x:c r="B12" s="547"/>
      <x:c r="C12" s="547"/>
      <x:c r="D12" s="547"/>
      <x:c r="E12" s="547"/>
      <x:c r="F12" s="547"/>
      <x:c r="G12" s="547"/>
    </x:row>
    <x:row r="13" ht="34.95000076293945" customHeight="1">
      <x:c r="A13" s="280">
        <x:v>8</x:v>
      </x:c>
      <x:c r="B13" s="280" t="s">
        <x:v>33</x:v>
      </x:c>
      <x:c r="C13" s="280" t="s">
        <x:v>11</x:v>
      </x:c>
      <x:c r="D13" s="280" t="s">
        <x:v>319</x:v>
      </x:c>
      <x:c r="E13" s="280" t="s">
        <x:v>4224</x:v>
      </x:c>
      <x:c r="F13" s="280" t="s">
        <x:v>4282</x:v>
      </x:c>
      <x:c r="G13" s="280" t="s">
        <x:v>4283</x:v>
      </x:c>
    </x:row>
    <x:row r="14" ht="34.95000076293945" customHeight="1">
      <x:c r="A14" s="281">
        <x:v>9</x:v>
      </x:c>
      <x:c r="B14" s="281" t="s">
        <x:v>33</x:v>
      </x:c>
      <x:c r="C14" s="281" t="s">
        <x:v>4224</x:v>
      </x:c>
      <x:c r="D14" s="281" t="s">
        <x:v>319</x:v>
      </x:c>
      <x:c r="E14" s="281" t="s">
        <x:v>3815</x:v>
      </x:c>
      <x:c r="F14" s="281" t="s">
        <x:v>4284</x:v>
      </x:c>
      <x:c r="G14" s="281" t="s">
        <x:v>4285</x:v>
      </x:c>
    </x:row>
    <x:row r="15" ht="34.95000076293945" customHeight="1">
      <x:c r="A15" s="280">
        <x:v>10</x:v>
      </x:c>
      <x:c r="B15" s="280" t="s">
        <x:v>33</x:v>
      </x:c>
      <x:c r="C15" s="280" t="s">
        <x:v>3815</x:v>
      </x:c>
      <x:c r="D15" s="280" t="s">
        <x:v>319</x:v>
      </x:c>
      <x:c r="E15" s="280" t="s">
        <x:v>3842</x:v>
      </x:c>
      <x:c r="F15" s="280" t="s">
        <x:v>4286</x:v>
      </x:c>
      <x:c r="G15" s="280" t="s">
        <x:v>4287</x:v>
      </x:c>
    </x:row>
    <x:row r="16" ht="34.95000076293945" customHeight="1">
      <x:c r="A16" s="281">
        <x:v>11</x:v>
      </x:c>
      <x:c r="B16" s="281" t="s">
        <x:v>33</x:v>
      </x:c>
      <x:c r="C16" s="281" t="s">
        <x:v>3842</x:v>
      </x:c>
      <x:c r="D16" s="281" t="s">
        <x:v>3452</x:v>
      </x:c>
      <x:c r="E16" s="281" t="s">
        <x:v>3815</x:v>
      </x:c>
      <x:c r="F16" s="281" t="s">
        <x:v>4288</x:v>
      </x:c>
      <x:c r="G16" s="281" t="s">
        <x:v>3743</x:v>
      </x:c>
    </x:row>
    <x:row r="17" ht="34.95000076293945" customHeight="1">
      <x:c r="A17" s="280">
        <x:v>12</x:v>
      </x:c>
      <x:c r="B17" s="280" t="s">
        <x:v>33</x:v>
      </x:c>
      <x:c r="C17" s="280" t="s">
        <x:v>3815</x:v>
      </x:c>
      <x:c r="D17" s="280" t="s">
        <x:v>319</x:v>
      </x:c>
      <x:c r="E17" s="280" t="s">
        <x:v>4224</x:v>
      </x:c>
      <x:c r="F17" s="280" t="s">
        <x:v>4289</x:v>
      </x:c>
      <x:c r="G17" s="280" t="s">
        <x:v>4290</x:v>
      </x:c>
    </x:row>
    <x:row r="18" ht="25.799999237060547" customHeight="1">
      <x:c r="A18" s="547" t="s">
        <x:v>4291</x:v>
      </x:c>
      <x:c r="B18" s="547"/>
      <x:c r="C18" s="547"/>
      <x:c r="D18" s="547"/>
      <x:c r="E18" s="547"/>
      <x:c r="F18" s="547"/>
      <x:c r="G18" s="547"/>
    </x:row>
    <x:row r="19" ht="34.95000076293945" customHeight="1">
      <x:c r="A19" s="280">
        <x:v>13</x:v>
      </x:c>
      <x:c r="B19" s="280" t="s">
        <x:v>63</x:v>
      </x:c>
      <x:c r="C19" s="280" t="s">
        <x:v>11</x:v>
      </x:c>
      <x:c r="D19" s="280" t="s">
        <x:v>319</x:v>
      </x:c>
      <x:c r="E19" s="280" t="s">
        <x:v>4224</x:v>
      </x:c>
      <x:c r="F19" s="280" t="s">
        <x:v>4292</x:v>
      </x:c>
      <x:c r="G19" s="280" t="s">
        <x:v>4293</x:v>
      </x:c>
    </x:row>
    <x:row r="20" ht="34.95000076293945" customHeight="1">
      <x:c r="A20" s="281">
        <x:v>14</x:v>
      </x:c>
      <x:c r="B20" s="281" t="s">
        <x:v>63</x:v>
      </x:c>
      <x:c r="C20" s="281" t="s">
        <x:v>4224</x:v>
      </x:c>
      <x:c r="D20" s="281" t="s">
        <x:v>319</x:v>
      </x:c>
      <x:c r="E20" s="281" t="s">
        <x:v>3815</x:v>
      </x:c>
      <x:c r="F20" s="281" t="s">
        <x:v>4294</x:v>
      </x:c>
      <x:c r="G20" s="281" t="s">
        <x:v>4295</x:v>
      </x:c>
    </x:row>
    <x:row r="21" ht="34.95000076293945" customHeight="1">
      <x:c r="A21" s="280">
        <x:v>15</x:v>
      </x:c>
      <x:c r="B21" s="280" t="s">
        <x:v>63</x:v>
      </x:c>
      <x:c r="C21" s="280" t="s">
        <x:v>3815</x:v>
      </x:c>
      <x:c r="D21" s="280" t="s">
        <x:v>319</x:v>
      </x:c>
      <x:c r="E21" s="280" t="s">
        <x:v>3842</x:v>
      </x:c>
      <x:c r="F21" s="280" t="s">
        <x:v>4296</x:v>
      </x:c>
      <x:c r="G21" s="280" t="s">
        <x:v>4297</x:v>
      </x:c>
    </x:row>
    <x:row r="22" ht="34.95000076293945" customHeight="1">
      <x:c r="A22" s="281">
        <x:v>16</x:v>
      </x:c>
      <x:c r="B22" s="281" t="s">
        <x:v>63</x:v>
      </x:c>
      <x:c r="C22" s="281" t="s">
        <x:v>3842</x:v>
      </x:c>
      <x:c r="D22" s="281" t="s">
        <x:v>3452</x:v>
      </x:c>
      <x:c r="E22" s="281" t="s">
        <x:v>3815</x:v>
      </x:c>
      <x:c r="F22" s="281" t="s">
        <x:v>4298</x:v>
      </x:c>
      <x:c r="G22" s="281" t="s">
        <x:v>4299</x:v>
      </x:c>
    </x:row>
    <x:row r="23" ht="34.95000076293945" customHeight="1">
      <x:c r="A23" s="280">
        <x:v>17</x:v>
      </x:c>
      <x:c r="B23" s="280" t="s">
        <x:v>63</x:v>
      </x:c>
      <x:c r="C23" s="280" t="s">
        <x:v>3815</x:v>
      </x:c>
      <x:c r="D23" s="280" t="s">
        <x:v>319</x:v>
      </x:c>
      <x:c r="E23" s="280" t="s">
        <x:v>3887</x:v>
      </x:c>
      <x:c r="F23" s="280" t="s">
        <x:v>4300</x:v>
      </x:c>
      <x:c r="G23" s="280" t="s">
        <x:v>4301</x:v>
      </x:c>
    </x:row>
    <x:row r="24" ht="34.95000076293945" customHeight="1">
      <x:c r="A24" s="281">
        <x:v>18</x:v>
      </x:c>
      <x:c r="B24" s="281" t="s">
        <x:v>63</x:v>
      </x:c>
      <x:c r="C24" s="281" t="s">
        <x:v>3887</x:v>
      </x:c>
      <x:c r="D24" s="281" t="s">
        <x:v>3452</x:v>
      </x:c>
      <x:c r="E24" s="281" t="s">
        <x:v>3815</x:v>
      </x:c>
      <x:c r="F24" s="281" t="s">
        <x:v>4302</x:v>
      </x:c>
      <x:c r="G24" s="281" t="s">
        <x:v>4303</x:v>
      </x:c>
    </x:row>
    <x:row r="25" ht="34.95000076293945" customHeight="1">
      <x:c r="A25" s="280">
        <x:v>19</x:v>
      </x:c>
      <x:c r="B25" s="280" t="s">
        <x:v>63</x:v>
      </x:c>
      <x:c r="C25" s="280" t="s">
        <x:v>3815</x:v>
      </x:c>
      <x:c r="D25" s="280" t="s">
        <x:v>319</x:v>
      </x:c>
      <x:c r="E25" s="280" t="s">
        <x:v>4304</x:v>
      </x:c>
      <x:c r="F25" s="280" t="s">
        <x:v>4305</x:v>
      </x:c>
      <x:c r="G25" s="280" t="s">
        <x:v>4306</x:v>
      </x:c>
    </x:row>
    <x:row r="26" ht="34.95000076293945" customHeight="1">
      <x:c r="A26" s="281">
        <x:v>20</x:v>
      </x:c>
      <x:c r="B26" s="281" t="s">
        <x:v>63</x:v>
      </x:c>
      <x:c r="C26" s="281" t="s">
        <x:v>4304</x:v>
      </x:c>
      <x:c r="D26" s="281" t="s">
        <x:v>319</x:v>
      </x:c>
      <x:c r="E26" s="281" t="s">
        <x:v>11</x:v>
      </x:c>
      <x:c r="F26" s="281" t="s">
        <x:v>4307</x:v>
      </x:c>
      <x:c r="G26" s="281" t="s">
        <x:v>4308</x:v>
      </x:c>
    </x:row>
    <x:row r="27" ht="25.799999237060547" customHeight="1">
      <x:c r="A27" s="547" t="s">
        <x:v>4309</x:v>
      </x:c>
      <x:c r="B27" s="547"/>
      <x:c r="C27" s="547"/>
      <x:c r="D27" s="547"/>
      <x:c r="E27" s="547"/>
      <x:c r="F27" s="547"/>
      <x:c r="G27" s="547"/>
    </x:row>
    <x:row r="28" ht="34.95000076293945" customHeight="1">
      <x:c r="A28" s="281">
        <x:v>21</x:v>
      </x:c>
      <x:c r="B28" s="281" t="s">
        <x:v>81</x:v>
      </x:c>
      <x:c r="C28" s="281" t="s">
        <x:v>11</x:v>
      </x:c>
      <x:c r="D28" s="281" t="s">
        <x:v>319</x:v>
      </x:c>
      <x:c r="E28" s="281" t="s">
        <x:v>4304</x:v>
      </x:c>
      <x:c r="F28" s="281" t="s">
        <x:v>4310</x:v>
      </x:c>
      <x:c r="G28" s="281" t="s">
        <x:v>4311</x:v>
      </x:c>
    </x:row>
    <x:row r="29" ht="34.95000076293945" customHeight="1">
      <x:c r="A29" s="280">
        <x:v>22</x:v>
      </x:c>
      <x:c r="B29" s="280" t="s">
        <x:v>81</x:v>
      </x:c>
      <x:c r="C29" s="280" t="s">
        <x:v>4304</x:v>
      </x:c>
      <x:c r="D29" s="280" t="s">
        <x:v>319</x:v>
      </x:c>
      <x:c r="E29" s="280" t="s">
        <x:v>3815</x:v>
      </x:c>
      <x:c r="F29" s="280" t="s">
        <x:v>4312</x:v>
      </x:c>
      <x:c r="G29" s="280" t="s">
        <x:v>4313</x:v>
      </x:c>
    </x:row>
    <x:row r="30">
      <x:c r="A30">
        <x:v>23</x:v>
      </x:c>
      <x:c r="B30" t="s">
        <x:v>81</x:v>
      </x:c>
      <x:c r="C30" t="s">
        <x:v>3815</x:v>
      </x:c>
      <x:c r="D30" t="s">
        <x:v>319</x:v>
      </x:c>
      <x:c r="E30" t="s">
        <x:v>4224</x:v>
      </x:c>
      <x:c r="F30" t="s">
        <x:v>4314</x:v>
      </x:c>
      <x:c r="G30" t="s">
        <x:v>4315</x:v>
      </x:c>
    </x:row>
  </x:sheetData>
  <x:mergeCells>
    <x:mergeCell ref="A27:G27"/>
    <x:mergeCell ref="A1:G1"/>
    <x:mergeCell ref="A2:G2"/>
    <x:mergeCell ref="A4:G4"/>
    <x:mergeCell ref="A12:G12"/>
    <x:mergeCell ref="A18:G18"/>
  </x:mergeCells>
  <x:pageMargins left="0.7" right="0.7" top="0.75" bottom="0.75" header="0.3" footer="0.3"/>
</x:worksheet>
</file>

<file path=xl/worksheets/sheet77.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4316</x:v>
      </x:c>
      <x:c r="B1" s="544"/>
      <x:c r="C1" s="544"/>
      <x:c r="D1" s="544"/>
      <x:c r="E1" s="544"/>
      <x:c r="F1" s="544"/>
      <x:c r="G1" s="544"/>
    </x:row>
    <x:row r="2" ht="40.95000076293945" customHeight="1">
      <x:c r="A2" s="545" t="s">
        <x:v>4317</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4318</x:v>
      </x:c>
      <x:c r="B4" s="546"/>
      <x:c r="C4" s="546"/>
      <x:c r="D4" s="546"/>
      <x:c r="E4" s="546"/>
      <x:c r="F4" s="546"/>
      <x:c r="G4" s="546"/>
    </x:row>
    <x:row r="5" ht="34.95000076293945" customHeight="1">
      <x:c r="A5" s="280" t="s">
        <x:v>3489</x:v>
      </x:c>
      <x:c r="B5" s="280" t="s">
        <x:v>3490</x:v>
      </x:c>
      <x:c r="C5" s="280" t="s">
        <x:v>3842</x:v>
      </x:c>
      <x:c r="D5" s="280" t="s">
        <x:v>3452</x:v>
      </x:c>
      <x:c r="E5" s="280" t="s">
        <x:v>3815</x:v>
      </x:c>
      <x:c r="F5" s="280" t="s">
        <x:v>4319</x:v>
      </x:c>
      <x:c r="G5" s="280" t="s">
        <x:v>4320</x:v>
      </x:c>
    </x:row>
    <x:row r="6" ht="34.95000076293945" customHeight="1">
      <x:c r="A6" s="281" t="s">
        <x:v>3492</x:v>
      </x:c>
      <x:c r="B6" s="281" t="s">
        <x:v>3490</x:v>
      </x:c>
      <x:c r="C6" s="281" t="s">
        <x:v>3815</x:v>
      </x:c>
      <x:c r="D6" s="281" t="s">
        <x:v>319</x:v>
      </x:c>
      <x:c r="E6" s="281" t="s">
        <x:v>3887</x:v>
      </x:c>
      <x:c r="F6" s="281" t="s">
        <x:v>4321</x:v>
      </x:c>
      <x:c r="G6" s="281" t="s">
        <x:v>4322</x:v>
      </x:c>
    </x:row>
    <x:row r="7" ht="34.95000076293945" customHeight="1">
      <x:c r="A7" s="280" t="s">
        <x:v>3495</x:v>
      </x:c>
      <x:c r="B7" s="280" t="s">
        <x:v>3490</x:v>
      </x:c>
      <x:c r="C7" s="280" t="s">
        <x:v>3887</x:v>
      </x:c>
      <x:c r="D7" s="280" t="s">
        <x:v>3452</x:v>
      </x:c>
      <x:c r="E7" s="280" t="s">
        <x:v>3815</x:v>
      </x:c>
      <x:c r="F7" s="280" t="s">
        <x:v>4323</x:v>
      </x:c>
      <x:c r="G7" s="280" t="s">
        <x:v>4324</x:v>
      </x:c>
    </x:row>
    <x:row r="8" ht="34.95000076293945" customHeight="1">
      <x:c r="A8" s="281" t="s">
        <x:v>3498</x:v>
      </x:c>
      <x:c r="B8" s="281" t="s">
        <x:v>3490</x:v>
      </x:c>
      <x:c r="C8" s="281" t="s">
        <x:v>3815</x:v>
      </x:c>
      <x:c r="D8" s="281" t="s">
        <x:v>319</x:v>
      </x:c>
      <x:c r="E8" s="281" t="s">
        <x:v>4304</x:v>
      </x:c>
      <x:c r="F8" s="281" t="s">
        <x:v>4325</x:v>
      </x:c>
      <x:c r="G8" s="281" t="s">
        <x:v>4326</x:v>
      </x:c>
    </x:row>
    <x:row r="9" ht="25.799999237060547" customHeight="1">
      <x:c r="A9" s="546" t="s">
        <x:v>4327</x:v>
      </x:c>
      <x:c r="B9" s="546"/>
      <x:c r="C9" s="546"/>
      <x:c r="D9" s="546"/>
      <x:c r="E9" s="546"/>
      <x:c r="F9" s="546"/>
      <x:c r="G9" s="546"/>
    </x:row>
    <x:row r="10" ht="34.95000076293945" customHeight="1">
      <x:c r="A10" s="281" t="s">
        <x:v>3591</x:v>
      </x:c>
      <x:c r="B10" s="281" t="s">
        <x:v>3507</x:v>
      </x:c>
      <x:c r="C10" s="281" t="s">
        <x:v>11</x:v>
      </x:c>
      <x:c r="D10" s="281" t="s">
        <x:v>319</x:v>
      </x:c>
      <x:c r="E10" s="281" t="s">
        <x:v>4304</x:v>
      </x:c>
      <x:c r="F10" s="281" t="s">
        <x:v>4328</x:v>
      </x:c>
      <x:c r="G10" s="281" t="s">
        <x:v>4329</x:v>
      </x:c>
    </x:row>
    <x:row r="11" ht="34.95000076293945" customHeight="1">
      <x:c r="A11" s="280" t="s">
        <x:v>3506</x:v>
      </x:c>
      <x:c r="B11" s="280" t="s">
        <x:v>3507</x:v>
      </x:c>
      <x:c r="C11" s="280" t="s">
        <x:v>4304</x:v>
      </x:c>
      <x:c r="D11" s="280" t="s">
        <x:v>319</x:v>
      </x:c>
      <x:c r="E11" s="280" t="s">
        <x:v>4170</x:v>
      </x:c>
      <x:c r="F11" s="280" t="s">
        <x:v>4330</x:v>
      </x:c>
      <x:c r="G11" s="280" t="s">
        <x:v>4331</x:v>
      </x:c>
    </x:row>
  </x:sheetData>
  <x:mergeCells>
    <x:mergeCell ref="A1:G1"/>
    <x:mergeCell ref="A2:G2"/>
    <x:mergeCell ref="A4:G4"/>
    <x:mergeCell ref="A9:G9"/>
  </x:mergeCells>
  <x:pageMargins left="0.7" right="0.7" top="0.75" bottom="0.75" header="0.3" footer="0.3"/>
</x:worksheet>
</file>

<file path=xl/worksheets/sheet78.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10" customWidth="1"/>
    <x:col min="2" max="2" width="22" customWidth="1"/>
    <x:col min="3" max="3" width="25" customWidth="1"/>
    <x:col min="4" max="4" width="18" customWidth="1"/>
    <x:col min="5" max="5" width="27" customWidth="1"/>
    <x:col min="6" max="6" width="55" customWidth="1"/>
    <x:col min="7" max="7" width="90" customWidth="1"/>
  </x:cols>
  <x:sheetData>
    <x:row r="1" ht="33" customHeight="1">
      <x:c r="A1" s="544" t="s">
        <x:v>4332</x:v>
      </x:c>
      <x:c r="B1" s="544"/>
      <x:c r="C1" s="544"/>
      <x:c r="D1" s="544"/>
      <x:c r="E1" s="544"/>
      <x:c r="F1" s="544"/>
      <x:c r="G1" s="544"/>
    </x:row>
    <x:row r="2" ht="40.95000076293945" customHeight="1">
      <x:c r="A2" s="545" t="s">
        <x:v>4333</x:v>
      </x:c>
      <x:c r="B2" s="545"/>
      <x:c r="C2" s="545"/>
      <x:c r="D2" s="545"/>
      <x:c r="E2" s="545"/>
      <x:c r="F2" s="545"/>
      <x:c r="G2" s="545"/>
    </x:row>
    <x:row r="3" ht="27" customHeight="1">
      <x:c r="A3" s="279" t="s">
        <x:v>3440</x:v>
      </x:c>
      <x:c r="B3" s="279" t="s">
        <x:v>3441</x:v>
      </x:c>
      <x:c r="C3" s="279" t="s">
        <x:v>1268</x:v>
      </x:c>
      <x:c r="D3" s="279" t="s">
        <x:v>1269</x:v>
      </x:c>
      <x:c r="E3" s="279" t="s">
        <x:v>1270</x:v>
      </x:c>
      <x:c r="F3" s="279" t="s">
        <x:v>7</x:v>
      </x:c>
      <x:c r="G3" s="279" t="s">
        <x:v>8</x:v>
      </x:c>
    </x:row>
    <x:row r="4" ht="25.799999237060547" customHeight="1">
      <x:c r="A4" s="546" t="s">
        <x:v>4334</x:v>
      </x:c>
      <x:c r="B4" s="546"/>
      <x:c r="C4" s="546"/>
      <x:c r="D4" s="546"/>
      <x:c r="E4" s="546"/>
      <x:c r="F4" s="546"/>
      <x:c r="G4" s="546"/>
    </x:row>
    <x:row r="5" ht="34.95000076293945" customHeight="1">
      <x:c r="A5" s="280" t="s">
        <x:v>3489</x:v>
      </x:c>
      <x:c r="B5" s="280" t="s">
        <x:v>3490</x:v>
      </x:c>
      <x:c r="C5" s="280" t="s">
        <x:v>3842</x:v>
      </x:c>
      <x:c r="D5" s="280" t="s">
        <x:v>3452</x:v>
      </x:c>
      <x:c r="E5" s="280" t="s">
        <x:v>3815</x:v>
      </x:c>
      <x:c r="F5" s="280" t="s">
        <x:v>4335</x:v>
      </x:c>
      <x:c r="G5" s="280" t="s">
        <x:v>4336</x:v>
      </x:c>
    </x:row>
    <x:row r="6" ht="34.95000076293945" customHeight="1">
      <x:c r="A6" s="281" t="s">
        <x:v>3492</x:v>
      </x:c>
      <x:c r="B6" s="281" t="s">
        <x:v>3490</x:v>
      </x:c>
      <x:c r="C6" s="281" t="s">
        <x:v>3815</x:v>
      </x:c>
      <x:c r="D6" s="281" t="s">
        <x:v>319</x:v>
      </x:c>
      <x:c r="E6" s="281" t="s">
        <x:v>4224</x:v>
      </x:c>
      <x:c r="F6" s="281" t="s">
        <x:v>4337</x:v>
      </x:c>
      <x:c r="G6" s="281" t="s">
        <x:v>4338</x:v>
      </x:c>
    </x:row>
    <x:row r="7" ht="25.799999237060547" customHeight="1">
      <x:c r="A7" s="546" t="s">
        <x:v>4339</x:v>
      </x:c>
      <x:c r="B7" s="546"/>
      <x:c r="C7" s="546"/>
      <x:c r="D7" s="546"/>
      <x:c r="E7" s="546"/>
      <x:c r="F7" s="546"/>
      <x:c r="G7" s="546"/>
    </x:row>
    <x:row r="8" ht="34.95000076293945" customHeight="1">
      <x:c r="A8" s="281" t="s">
        <x:v>3710</x:v>
      </x:c>
      <x:c r="B8" s="281" t="s">
        <x:v>3507</x:v>
      </x:c>
      <x:c r="C8" s="281" t="s">
        <x:v>3842</x:v>
      </x:c>
      <x:c r="D8" s="281" t="s">
        <x:v>3452</x:v>
      </x:c>
      <x:c r="E8" s="281" t="s">
        <x:v>3815</x:v>
      </x:c>
      <x:c r="F8" s="281" t="s">
        <x:v>4340</x:v>
      </x:c>
      <x:c r="G8" s="281" t="s">
        <x:v>4341</x:v>
      </x:c>
    </x:row>
    <x:row r="9" ht="34.95000076293945" customHeight="1">
      <x:c r="A9" s="280" t="s">
        <x:v>3588</x:v>
      </x:c>
      <x:c r="B9" s="280" t="s">
        <x:v>3507</x:v>
      </x:c>
      <x:c r="C9" s="280" t="s">
        <x:v>3815</x:v>
      </x:c>
      <x:c r="D9" s="280" t="s">
        <x:v>319</x:v>
      </x:c>
      <x:c r="E9" s="280" t="s">
        <x:v>4224</x:v>
      </x:c>
      <x:c r="F9" s="280" t="s">
        <x:v>3500</x:v>
      </x:c>
      <x:c r="G9" s="280" t="s">
        <x:v>4342</x:v>
      </x:c>
    </x:row>
  </x:sheetData>
  <x:mergeCells>
    <x:mergeCell ref="A1:G1"/>
    <x:mergeCell ref="A2:G2"/>
    <x:mergeCell ref="A4:G4"/>
    <x:mergeCell ref="A7:G7"/>
  </x:mergeCells>
  <x:pageMargins left="0.7" right="0.7" top="0.75" bottom="0.75" header="0.3" footer="0.3"/>
</x:worksheet>
</file>

<file path=xl/worksheets/sheet79.xml><?xml version="1.0" encoding="utf-8"?>
<x:worksheet xmlns:x="http://schemas.openxmlformats.org/spreadsheetml/2006/main">
  <x:sheetFormatPr baseColWidth="10" defaultColWidth="8.88671875" defaultRowHeight="14.399999618530273"/>
  <x:cols>
    <x:col min="1" max="1" width="26" customWidth="1"/>
    <x:col min="2" max="2" width="35" customWidth="1"/>
    <x:col min="3" max="3" width="87" customWidth="1"/>
    <x:col min="4" max="4" width="29" customWidth="1"/>
    <x:col min="5" max="5" width="42" customWidth="1"/>
  </x:cols>
  <x:sheetData>
    <x:row r="1" ht="19.799999237060547" customHeight="1">
      <x:c r="A1" s="550" t="s">
        <x:v>4343</x:v>
      </x:c>
      <x:c r="B1" s="550"/>
      <x:c r="C1" s="550"/>
      <x:c r="D1" s="550"/>
      <x:c r="E1" s="550"/>
    </x:row>
    <x:row r="2" ht="19.200000762939453" customHeight="1">
      <x:c r="A2" s="551" t="s">
        <x:v>4344</x:v>
      </x:c>
      <x:c r="B2" s="551"/>
      <x:c r="C2" s="551"/>
      <x:c r="D2" s="551"/>
      <x:c r="E2" s="551"/>
    </x:row>
    <x:row r="3" ht="16.649999618530273" customHeight="1">
      <x:c r="A3" s="301" t="s">
        <x:v>4345</x:v>
      </x:c>
      <x:c r="B3" s="301" t="s">
        <x:v>4346</x:v>
      </x:c>
      <x:c r="C3" s="301" t="s">
        <x:v>4347</x:v>
      </x:c>
      <x:c r="D3" s="301" t="s">
        <x:v>4348</x:v>
      </x:c>
      <x:c r="E3" s="301" t="s">
        <x:v>4349</x:v>
      </x:c>
    </x:row>
    <x:row r="4" ht="29.399999618530273" customHeight="1">
      <x:c r="A4" s="8" t="s">
        <x:v>4350</x:v>
      </x:c>
      <x:c r="B4" s="8" t="s">
        <x:v>4351</x:v>
      </x:c>
      <x:c r="C4" s="8" t="s">
        <x:v>4352</x:v>
      </x:c>
      <x:c r="D4" s="8" t="s">
        <x:v>4353</x:v>
      </x:c>
      <x:c r="E4" s="8" t="s">
        <x:v>4354</x:v>
      </x:c>
    </x:row>
    <x:row r="5" ht="29.399999618530273" customHeight="1">
      <x:c r="A5" s="8" t="s">
        <x:v>4355</x:v>
      </x:c>
      <x:c r="B5" s="8" t="s">
        <x:v>4356</x:v>
      </x:c>
      <x:c r="C5" s="8" t="s">
        <x:v>4357</x:v>
      </x:c>
      <x:c r="D5" s="8" t="s">
        <x:v>4353</x:v>
      </x:c>
      <x:c r="E5" s="8" t="s">
        <x:v>4358</x:v>
      </x:c>
    </x:row>
    <x:row r="6" ht="29.399999618530273" customHeight="1">
      <x:c r="A6" s="8" t="s">
        <x:v>4359</x:v>
      </x:c>
      <x:c r="B6" s="8" t="s">
        <x:v>4360</x:v>
      </x:c>
      <x:c r="C6" s="8" t="s">
        <x:v>4361</x:v>
      </x:c>
      <x:c r="D6" s="8" t="s">
        <x:v>4353</x:v>
      </x:c>
      <x:c r="E6" s="8" t="s">
        <x:v>4362</x:v>
      </x:c>
    </x:row>
    <x:row r="7" ht="29.399999618530273" customHeight="1">
      <x:c r="A7" s="8" t="s">
        <x:v>4363</x:v>
      </x:c>
      <x:c r="B7" s="8" t="s">
        <x:v>4364</x:v>
      </x:c>
      <x:c r="C7" s="8" t="s">
        <x:v>4365</x:v>
      </x:c>
      <x:c r="D7" s="8" t="s">
        <x:v>4353</x:v>
      </x:c>
      <x:c r="E7" s="8" t="s">
        <x:v>4366</x:v>
      </x:c>
    </x:row>
    <x:row r="8" ht="29.399999618530273" customHeight="1">
      <x:c r="A8" s="8" t="s">
        <x:v>4367</x:v>
      </x:c>
      <x:c r="B8" s="8" t="s">
        <x:v>4368</x:v>
      </x:c>
      <x:c r="C8" s="8" t="s">
        <x:v>4369</x:v>
      </x:c>
      <x:c r="D8" s="8" t="s">
        <x:v>4353</x:v>
      </x:c>
      <x:c r="E8" s="8" t="s">
        <x:v>4370</x:v>
      </x:c>
    </x:row>
    <x:row r="9" ht="29.399999618530273" customHeight="1">
      <x:c r="A9" s="8" t="s">
        <x:v>4371</x:v>
      </x:c>
      <x:c r="B9" s="8" t="s">
        <x:v>4372</x:v>
      </x:c>
      <x:c r="C9" s="8" t="s">
        <x:v>4373</x:v>
      </x:c>
      <x:c r="D9" s="8" t="s">
        <x:v>4374</x:v>
      </x:c>
      <x:c r="E9" s="8" t="s">
        <x:v>4375</x:v>
      </x:c>
    </x:row>
    <x:row r="10" ht="29.399999618530273" customHeight="1">
      <x:c r="A10" s="8" t="s">
        <x:v>4376</x:v>
      </x:c>
      <x:c r="B10" s="8" t="s">
        <x:v>4377</x:v>
      </x:c>
      <x:c r="C10" s="8" t="s">
        <x:v>4378</x:v>
      </x:c>
      <x:c r="D10" s="8" t="s">
        <x:v>4379</x:v>
      </x:c>
      <x:c r="E10" s="8" t="s">
        <x:v>4380</x:v>
      </x:c>
    </x:row>
    <x:row r="11" ht="29.399999618530273" customHeight="1">
      <x:c r="A11" s="8" t="s">
        <x:v>4381</x:v>
      </x:c>
      <x:c r="B11" s="8" t="s">
        <x:v>4382</x:v>
      </x:c>
      <x:c r="C11" s="8" t="s">
        <x:v>4383</x:v>
      </x:c>
      <x:c r="D11" s="8" t="s">
        <x:v>4353</x:v>
      </x:c>
      <x:c r="E11" s="8" t="s">
        <x:v>4384</x:v>
      </x:c>
    </x:row>
  </x:sheetData>
  <x:mergeCells>
    <x:mergeCell ref="A1:E1"/>
    <x:mergeCell ref="A2:E2"/>
  </x:mergeCells>
  <x:pageMargins left="0.7" right="0.7" top="0.75" bottom="0.75" header="0.3" footer="0.3"/>
</x:worksheet>
</file>

<file path=xl/worksheets/sheet80.xml><?xml version="1.0" encoding="utf-8"?>
<x:worksheet xmlns:x="http://schemas.openxmlformats.org/spreadsheetml/2006/main">
  <x:sheetFormatPr baseColWidth="10" defaultColWidth="8.88671875" defaultRowHeight="14.399999618530273"/>
  <x:cols>
    <x:col min="1" max="1" width="26" customWidth="1"/>
    <x:col min="2" max="2" width="34" customWidth="1"/>
    <x:col min="3" max="3" width="87" customWidth="1"/>
    <x:col min="4" max="4" width="28" customWidth="1"/>
    <x:col min="5" max="5" width="43" customWidth="1"/>
  </x:cols>
  <x:sheetData>
    <x:row r="1" ht="19.799999237060547" customHeight="1">
      <x:c r="A1" s="550" t="s">
        <x:v>4385</x:v>
      </x:c>
      <x:c r="B1" s="550"/>
      <x:c r="C1" s="550"/>
      <x:c r="D1" s="550"/>
      <x:c r="E1" s="550"/>
    </x:row>
    <x:row r="2" ht="19.200000762939453" customHeight="1">
      <x:c r="A2" s="551" t="str">
        <x:v>Alternativos del RF16 vigente: sin motivo; formulario KM previo + nuevo, vista previa antes de confirmar; fecha automática del servidor.</x:v>
      </x:c>
      <x:c r="B2" s="551"/>
      <x:c r="C2" s="551"/>
      <x:c r="D2" s="551"/>
      <x:c r="E2" s="551"/>
    </x:row>
    <x:row r="3" ht="16.649999618530273" customHeight="1">
      <x:c r="A3" s="301" t="s">
        <x:v>4345</x:v>
      </x:c>
      <x:c r="B3" s="301" t="s">
        <x:v>4346</x:v>
      </x:c>
      <x:c r="C3" s="301" t="s">
        <x:v>4386</x:v>
      </x:c>
      <x:c r="D3" s="301" t="s">
        <x:v>4348</x:v>
      </x:c>
      <x:c r="E3" s="301" t="s">
        <x:v>4349</x:v>
      </x:c>
    </x:row>
    <x:row r="4" ht="29.399999618530273" customHeight="1">
      <x:c r="A4" s="8" t="s">
        <x:v>4387</x:v>
      </x:c>
      <x:c r="B4" s="8" t="s">
        <x:v>4388</x:v>
      </x:c>
      <x:c r="C4" s="8" t="str">
        <x:v>Cancelar en el formulario o en vista previa; no enviar comando de escritura; regresar a Kilometraje.</x:v>
      </x:c>
      <x:c r="D4" s="8" t="s">
        <x:v>4353</x:v>
      </x:c>
      <x:c r="E4" s="8" t="s">
        <x:v>4389</x:v>
      </x:c>
    </x:row>
    <x:row r="5" ht="29.399999618530273" customHeight="1">
      <x:c r="A5" s="8" t="s">
        <x:v>4390</x:v>
      </x:c>
      <x:c r="B5" s="8" t="s">
        <x:v>4391</x:v>
      </x:c>
      <x:c r="C5" s="8" t="str">
        <x:v>Permitir descenso si conserva coherencia con la lectura histórica válida; mostrar vista previa antes de confirmar.</x:v>
      </x:c>
      <x:c r="D5" s="8" t="s">
        <x:v>4392</x:v>
      </x:c>
      <x:c r="E5" s="8" t="s">
        <x:v>4393</x:v>
      </x:c>
    </x:row>
    <x:row r="6" ht="29.399999618530273" customHeight="1">
      <x:c r="A6" s="8" t="s">
        <x:v>4394</x:v>
      </x:c>
      <x:c r="B6" s="8" t="s">
        <x:v>4395</x:v>
      </x:c>
      <x:c r="C6" s="8" t="str">
        <x:v>Bloquear si KM nuevo es menor al antecedente histórico válido; permitir editar solamente KM nuevo.</x:v>
      </x:c>
      <x:c r="D6" s="8" t="s">
        <x:v>4353</x:v>
      </x:c>
      <x:c r="E6" s="8" t="s">
        <x:v>4396</x:v>
      </x:c>
    </x:row>
    <x:row r="7" ht="29.399999618530273" customHeight="1">
      <x:c r="A7" s="8" t="s">
        <x:v>4397</x:v>
      </x:c>
      <x:c r="B7" s="8" t="s">
        <x:v>4398</x:v>
      </x:c>
      <x:c r="C7" s="8" t="str">
        <x:v>Rechazar si nuevo=previo y permanecer en formulario con KM previo (solo lectura) y nuevo (editable).</x:v>
      </x:c>
      <x:c r="D7" s="8" t="s">
        <x:v>4353</x:v>
      </x:c>
      <x:c r="E7" s="8" t="s">
        <x:v>4399</x:v>
      </x:c>
    </x:row>
    <x:row r="8" ht="29.399999618530273" customHeight="1">
      <x:c r="A8" s="8" t="s">
        <x:v>4400</x:v>
      </x:c>
      <x:c r="B8" s="8" t="s">
        <x:v>4401</x:v>
      </x:c>
      <x:c r="C8" s="8" t="s">
        <x:v>4402</x:v>
      </x:c>
      <x:c r="D8" s="8" t="s">
        <x:v>4353</x:v>
      </x:c>
      <x:c r="E8" s="8" t="s">
        <x:v>4403</x:v>
      </x:c>
    </x:row>
    <x:row r="9" ht="29.399999618530273" customHeight="1">
      <x:c r="A9" s="8" t="s">
        <x:v>4404</x:v>
      </x:c>
      <x:c r="B9" s="8" t="str">
        <x:v>No se puede confirmar conjuntamente la lectura corregida y el evento técnico de trazabilidad.</x:v>
      </x:c>
      <x:c r="C9" s="8" t="str">
        <x:v>ROLLBACK de lectura corregida y evento técnico de trazabilidad si alguna escritura falla.</x:v>
      </x:c>
      <x:c r="D9" s="8" t="s">
        <x:v>4353</x:v>
      </x:c>
      <x:c r="E9" s="8" t="s">
        <x:v>4405</x:v>
      </x:c>
    </x:row>
    <x:row r="10" ht="29.399999618530273" customHeight="1">
      <x:c r="A10" s="8" t="s">
        <x:v>4406</x:v>
      </x:c>
      <x:c r="B10" s="8" t="s">
        <x:v>4407</x:v>
      </x:c>
      <x:c r="C10" s="8" t="s">
        <x:v>4408</x:v>
      </x:c>
      <x:c r="D10" s="8" t="s">
        <x:v>4409</x:v>
      </x:c>
      <x:c r="E10" s="8" t="s">
        <x:v>4410</x:v>
      </x:c>
    </x:row>
    <x:row r="11" ht="29.399999618530273" customHeight="1">
      <x:c r="A11" s="8" t="s">
        <x:v>4411</x:v>
      </x:c>
      <x:c r="B11" s="8" t="str">
        <x:v>Km válido, permisos/versiones vigentes y vista previa confirmada.</x:v>
      </x:c>
      <x:c r="C11" s="8" t="str">
        <x:v>Guardar KM corregido y evento de auditoría sin motivo del usuario después de confirmar vista previa; fecha asignada en servidor y alertas recalculadas sin reiniciar RF44.</x:v>
      </x:c>
      <x:c r="D11" s="8" t="str">
        <x:v>E_CorreccionKilometraje + E_Kilometraje, solo después de confirmar.</x:v>
      </x:c>
      <x:c r="E11" s="8" t="s">
        <x:v>4412</x:v>
      </x:c>
    </x:row>
  </x:sheetData>
  <x:mergeCells>
    <x:mergeCell ref="A1:E1"/>
    <x:mergeCell ref="A2:E2"/>
  </x:mergeCells>
  <x:pageMargins left="0.7" right="0.7" top="0.75" bottom="0.75" header="0.3" footer="0.3"/>
</x:worksheet>
</file>

<file path=xl/worksheets/sheet81.xml><?xml version="1.0" encoding="utf-8"?>
<x:worksheet xmlns:x="http://schemas.openxmlformats.org/spreadsheetml/2006/main">
  <x:sheetFormatPr baseColWidth="10" defaultColWidth="8.88671875" defaultRowHeight="14.399999618530273"/>
  <x:cols>
    <x:col min="1" max="1" width="12" customWidth="1"/>
    <x:col min="2" max="2" width="31" customWidth="1"/>
    <x:col min="3" max="3" width="29" customWidth="1"/>
    <x:col min="4" max="4" width="60" customWidth="1"/>
    <x:col min="5" max="5" width="94" customWidth="1"/>
  </x:cols>
  <x:sheetData>
    <x:row r="1" ht="19.799999237060547" customHeight="1">
      <x:c r="A1" s="550" t="s">
        <x:v>4413</x:v>
      </x:c>
      <x:c r="B1" s="550"/>
      <x:c r="C1" s="550"/>
      <x:c r="D1" s="550"/>
      <x:c r="E1" s="550"/>
    </x:row>
    <x:row r="2" ht="19.200000762939453" customHeight="1">
      <x:c r="A2" s="551" t="s">
        <x:v>4414</x:v>
      </x:c>
      <x:c r="B2" s="551"/>
      <x:c r="C2" s="551"/>
      <x:c r="D2" s="551"/>
      <x:c r="E2" s="551"/>
    </x:row>
    <x:row r="3" ht="16.649999618530273" customHeight="1">
      <x:c r="A3" s="301" t="s">
        <x:v>3440</x:v>
      </x:c>
      <x:c r="B3" s="301" t="s">
        <x:v>4415</x:v>
      </x:c>
      <x:c r="C3" s="301" t="s">
        <x:v>4416</x:v>
      </x:c>
      <x:c r="D3" s="301" t="s">
        <x:v>4417</x:v>
      </x:c>
      <x:c r="E3" s="301" t="s">
        <x:v>4418</x:v>
      </x:c>
    </x:row>
    <x:row r="4" ht="29.399999618530273" customHeight="1">
      <x:c r="A4" s="8" t="s">
        <x:v>4419</x:v>
      </x:c>
      <x:c r="B4" s="8" t="s">
        <x:v>380</x:v>
      </x:c>
      <x:c r="C4" s="8" t="s">
        <x:v>380</x:v>
      </x:c>
      <x:c r="D4" s="8" t="s">
        <x:v>4420</x:v>
      </x:c>
      <x:c r="E4" s="8" t="s">
        <x:v>4421</x:v>
      </x:c>
    </x:row>
    <x:row r="5" ht="29.399999618530273" customHeight="1">
      <x:c r="A5" s="8" t="s">
        <x:v>4422</x:v>
      </x:c>
      <x:c r="B5" s="8" t="s">
        <x:v>380</x:v>
      </x:c>
      <x:c r="C5" s="8" t="s">
        <x:v>373</x:v>
      </x:c>
      <x:c r="D5" s="8" t="s">
        <x:v>4423</x:v>
      </x:c>
      <x:c r="E5" s="8" t="s">
        <x:v>4424</x:v>
      </x:c>
    </x:row>
    <x:row r="6" ht="29.399999618530273" customHeight="1">
      <x:c r="A6" s="8" t="s">
        <x:v>4425</x:v>
      </x:c>
      <x:c r="B6" s="8" t="s">
        <x:v>373</x:v>
      </x:c>
      <x:c r="C6" s="8" t="s">
        <x:v>791</x:v>
      </x:c>
      <x:c r="D6" s="8" t="s">
        <x:v>4426</x:v>
      </x:c>
      <x:c r="E6" s="8" t="s">
        <x:v>4427</x:v>
      </x:c>
    </x:row>
    <x:row r="7" ht="29.399999618530273" customHeight="1">
      <x:c r="A7" s="8" t="s">
        <x:v>4428</x:v>
      </x:c>
      <x:c r="B7" s="8" t="s">
        <x:v>791</x:v>
      </x:c>
      <x:c r="C7" s="8" t="s">
        <x:v>373</x:v>
      </x:c>
      <x:c r="D7" s="8" t="s">
        <x:v>4429</x:v>
      </x:c>
      <x:c r="E7" s="8" t="s">
        <x:v>4430</x:v>
      </x:c>
    </x:row>
    <x:row r="8" ht="29.399999618530273" customHeight="1">
      <x:c r="A8" s="8" t="s">
        <x:v>4431</x:v>
      </x:c>
      <x:c r="B8" s="8" t="s">
        <x:v>373</x:v>
      </x:c>
      <x:c r="C8" s="8" t="s">
        <x:v>380</x:v>
      </x:c>
      <x:c r="D8" s="8" t="s">
        <x:v>4432</x:v>
      </x:c>
      <x:c r="E8" s="8" t="s">
        <x:v>4433</x:v>
      </x:c>
    </x:row>
    <x:row r="9" ht="29.399999618530273" customHeight="1">
      <x:c r="A9" s="8" t="s">
        <x:v>4434</x:v>
      </x:c>
      <x:c r="B9" s="8" t="s">
        <x:v>380</x:v>
      </x:c>
      <x:c r="C9" s="8" t="s">
        <x:v>3015</x:v>
      </x:c>
      <x:c r="D9" s="8" t="s">
        <x:v>4435</x:v>
      </x:c>
      <x:c r="E9" s="8" t="s">
        <x:v>4436</x:v>
      </x:c>
    </x:row>
    <x:row r="10" ht="29.399999618530273" customHeight="1">
      <x:c r="A10" s="8" t="s">
        <x:v>4437</x:v>
      </x:c>
      <x:c r="B10" s="8" t="s">
        <x:v>3015</x:v>
      </x:c>
      <x:c r="C10" s="8" t="s">
        <x:v>3032</x:v>
      </x:c>
      <x:c r="D10" s="8" t="s">
        <x:v>4438</x:v>
      </x:c>
      <x:c r="E10" s="8" t="s">
        <x:v>4439</x:v>
      </x:c>
    </x:row>
    <x:row r="11" ht="29.399999618530273" customHeight="1">
      <x:c r="A11" s="8" t="s">
        <x:v>4440</x:v>
      </x:c>
      <x:c r="B11" s="8" t="s">
        <x:v>3032</x:v>
      </x:c>
      <x:c r="C11" s="8" t="s">
        <x:v>3015</x:v>
      </x:c>
      <x:c r="D11" s="8" t="s">
        <x:v>4441</x:v>
      </x:c>
      <x:c r="E11" s="8" t="s">
        <x:v>4442</x:v>
      </x:c>
    </x:row>
    <x:row r="12" ht="29.399999618530273" customHeight="1">
      <x:c r="A12" s="8" t="s">
        <x:v>4443</x:v>
      </x:c>
      <x:c r="B12" s="8" t="s">
        <x:v>3015</x:v>
      </x:c>
      <x:c r="C12" s="8" t="s">
        <x:v>380</x:v>
      </x:c>
      <x:c r="D12" s="8" t="s">
        <x:v>4444</x:v>
      </x:c>
      <x:c r="E12" s="8" t="s">
        <x:v>4445</x:v>
      </x:c>
    </x:row>
    <x:row r="13" ht="29.399999618530273" customHeight="1">
      <x:c r="A13" s="8" t="s">
        <x:v>4446</x:v>
      </x:c>
      <x:c r="B13" s="8" t="s">
        <x:v>380</x:v>
      </x:c>
      <x:c r="C13" s="8" t="s">
        <x:v>3148</x:v>
      </x:c>
      <x:c r="D13" s="8" t="s">
        <x:v>4447</x:v>
      </x:c>
      <x:c r="E13" s="8" t="s">
        <x:v>4448</x:v>
      </x:c>
    </x:row>
    <x:row r="14" ht="29.399999618530273" customHeight="1">
      <x:c r="A14" s="8" t="s">
        <x:v>4449</x:v>
      </x:c>
      <x:c r="B14" s="8" t="s">
        <x:v>3148</x:v>
      </x:c>
      <x:c r="C14" s="8" t="s">
        <x:v>11</x:v>
      </x:c>
      <x:c r="D14" s="8" t="s">
        <x:v>4450</x:v>
      </x:c>
      <x:c r="E14" s="8" t="s">
        <x:v>4451</x:v>
      </x:c>
    </x:row>
  </x:sheetData>
  <x:mergeCells>
    <x:mergeCell ref="A1:E1"/>
    <x:mergeCell ref="A2:E2"/>
  </x:mergeCells>
  <x:pageMargins left="0.7" right="0.7" top="0.75" bottom="0.75" header="0.3" footer="0.3"/>
</x:worksheet>
</file>

<file path=xl/worksheets/sheet82.xml><?xml version="1.0" encoding="utf-8"?>
<x:worksheet xmlns:x="http://schemas.openxmlformats.org/spreadsheetml/2006/main">
  <x:sheetFormatPr baseColWidth="10" defaultColWidth="8.88671875" defaultRowHeight="14.399999618530273"/>
  <x:cols>
    <x:col min="1" max="1" width="12" customWidth="1"/>
    <x:col min="2" max="2" width="32" customWidth="1"/>
    <x:col min="3" max="3" width="34" customWidth="1"/>
    <x:col min="4" max="4" width="60" customWidth="1"/>
    <x:col min="5" max="5" width="95" customWidth="1"/>
  </x:cols>
  <x:sheetData>
    <x:row r="1" ht="19.799999237060547" customHeight="1">
      <x:c r="A1" s="550" t="s">
        <x:v>4452</x:v>
      </x:c>
      <x:c r="B1" s="550"/>
      <x:c r="C1" s="550"/>
      <x:c r="D1" s="550"/>
      <x:c r="E1" s="550"/>
    </x:row>
    <x:row r="2" ht="19.200000762939453" customHeight="1">
      <x:c r="A2" s="551" t="s">
        <x:v>4453</x:v>
      </x:c>
      <x:c r="B2" s="551"/>
      <x:c r="C2" s="551"/>
      <x:c r="D2" s="551"/>
      <x:c r="E2" s="551"/>
    </x:row>
    <x:row r="3" ht="16.649999618530273" customHeight="1">
      <x:c r="A3" s="301" t="s">
        <x:v>3440</x:v>
      </x:c>
      <x:c r="B3" s="301" t="s">
        <x:v>4415</x:v>
      </x:c>
      <x:c r="C3" s="301" t="s">
        <x:v>4416</x:v>
      </x:c>
      <x:c r="D3" s="301" t="s">
        <x:v>4417</x:v>
      </x:c>
      <x:c r="E3" s="301" t="s">
        <x:v>4454</x:v>
      </x:c>
    </x:row>
    <x:row r="4" ht="29.399999618530273" customHeight="1">
      <x:c r="A4" s="8" t="s">
        <x:v>4455</x:v>
      </x:c>
      <x:c r="B4" s="8" t="s">
        <x:v>4456</x:v>
      </x:c>
      <x:c r="C4" s="8" t="s">
        <x:v>751</x:v>
      </x:c>
      <x:c r="D4" s="8" t="s">
        <x:v>4457</x:v>
      </x:c>
      <x:c r="E4" s="8" t="s">
        <x:v>4458</x:v>
      </x:c>
    </x:row>
    <x:row r="5" ht="29.399999618530273" customHeight="1">
      <x:c r="A5" s="8" t="s">
        <x:v>4459</x:v>
      </x:c>
      <x:c r="B5" s="8" t="s">
        <x:v>751</x:v>
      </x:c>
      <x:c r="C5" s="8" t="s">
        <x:v>754</x:v>
      </x:c>
      <x:c r="D5" s="8" t="s">
        <x:v>4460</x:v>
      </x:c>
      <x:c r="E5" s="8" t="str">
        <x:v>Selecciona candidatos para verificar derecho; la gracia no es un plazo fijo de MyCar: la mantiene solo si el proveedor confirma beneficio vigente.</x:v>
      </x:c>
    </x:row>
    <x:row r="6" ht="29.399999618530273" customHeight="1">
      <x:c r="A6" s="8" t="s">
        <x:v>4461</x:v>
      </x:c>
      <x:c r="B6" s="8" t="s">
        <x:v>754</x:v>
      </x:c>
      <x:c r="C6" s="8" t="s">
        <x:v>751</x:v>
      </x:c>
      <x:c r="D6" s="8" t="s">
        <x:v>4462</x:v>
      </x:c>
      <x:c r="E6" s="8" t="s">
        <x:v>4463</x:v>
      </x:c>
    </x:row>
    <x:row r="7" ht="29.399999618530273" customHeight="1">
      <x:c r="A7" s="8" t="s">
        <x:v>4464</x:v>
      </x:c>
      <x:c r="B7" s="8" t="s">
        <x:v>751</x:v>
      </x:c>
      <x:c r="C7" s="8" t="s">
        <x:v>4465</x:v>
      </x:c>
      <x:c r="D7" s="8" t="s">
        <x:v>4466</x:v>
      </x:c>
      <x:c r="E7" s="8" t="s">
        <x:v>4467</x:v>
      </x:c>
    </x:row>
    <x:row r="8" ht="29.399999618530273" customHeight="1">
      <x:c r="A8" s="8" t="s">
        <x:v>4468</x:v>
      </x:c>
      <x:c r="B8" s="8" t="s">
        <x:v>4465</x:v>
      </x:c>
      <x:c r="C8" s="8" t="s">
        <x:v>751</x:v>
      </x:c>
      <x:c r="D8" s="8" t="s">
        <x:v>4469</x:v>
      </x:c>
      <x:c r="E8" s="8" t="str">
        <x:v>Devuelve vigencia, estado de gracia y fechas certificadas por el proveedor cuando estén disponibles. Error de conexión ≠ pérdida del derecho.</x:v>
      </x:c>
    </x:row>
    <x:row r="9" ht="29.399999618530273" customHeight="1">
      <x:c r="A9" s="8" t="s">
        <x:v>4470</x:v>
      </x:c>
      <x:c r="B9" s="8" t="s">
        <x:v>751</x:v>
      </x:c>
      <x:c r="C9" s="8" t="s">
        <x:v>754</x:v>
      </x:c>
      <x:c r="D9" s="8" t="s">
        <x:v>4471</x:v>
      </x:c>
      <x:c r="E9" s="8" t="s">
        <x:v>4472</x:v>
      </x:c>
    </x:row>
    <x:row r="10" ht="29.399999618530273" customHeight="1">
      <x:c r="A10" s="8" t="s">
        <x:v>4473</x:v>
      </x:c>
      <x:c r="B10" s="8" t="s">
        <x:v>754</x:v>
      </x:c>
      <x:c r="C10" s="8" t="s">
        <x:v>751</x:v>
      </x:c>
      <x:c r="D10" s="8" t="s">
        <x:v>4474</x:v>
      </x:c>
      <x:c r="E10" s="8" t="s">
        <x:v>4475</x:v>
      </x:c>
    </x:row>
    <x:row r="11" ht="29.399999618530273" customHeight="1">
      <x:c r="A11" s="8" t="s">
        <x:v>4476</x:v>
      </x:c>
      <x:c r="B11" s="8" t="s">
        <x:v>751</x:v>
      </x:c>
      <x:c r="C11" s="8" t="s">
        <x:v>908</x:v>
      </x:c>
      <x:c r="D11" s="8" t="s">
        <x:v>4477</x:v>
      </x:c>
      <x:c r="E11" s="8" t="str">
        <x:v>Aplica límites Free sin borrar datos; mantiene lectura histórica. Obligatorio: conservar TODOS los VEHICULO.idVehiculo e históricos; seleccionar el principal del usuario y mantenerlo ACTIVO; desactivar secundarios sin borrar registros. En FREE no permitir nuevos registros mientras haya &gt;=1 registrado ni activar otro si ya existe principal activo; reconciliar con RF08/RF12/RF13 y alertas/notificaciones. Ejecutar la transición con bloqueo por usuario e idempotencia.</x:v>
      </x:c>
    </x:row>
    <x:row r="12" ht="29.399999618530273" customHeight="1">
      <x:c r="A12" s="8" t="s">
        <x:v>4478</x:v>
      </x:c>
      <x:c r="B12" s="8" t="s">
        <x:v>751</x:v>
      </x:c>
      <x:c r="C12" s="8" t="s">
        <x:v>3015</x:v>
      </x:c>
      <x:c r="D12" s="8" t="s">
        <x:v>4479</x:v>
      </x:c>
      <x:c r="E12" s="8" t="s">
        <x:v>4480</x:v>
      </x:c>
    </x:row>
    <x:row r="13" ht="29.399999618530273" customHeight="1">
      <x:c r="A13" s="8" t="s">
        <x:v>4481</x:v>
      </x:c>
      <x:c r="B13" s="8" t="s">
        <x:v>751</x:v>
      </x:c>
      <x:c r="C13" s="8" t="s">
        <x:v>380</x:v>
      </x:c>
      <x:c r="D13" s="8" t="s">
        <x:v>4482</x:v>
      </x:c>
      <x:c r="E13" s="8" t="s">
        <x:v>4483</x:v>
      </x:c>
    </x:row>
    <x:row r="14" ht="29.399999618530273" customHeight="1">
      <x:c r="A14" s="8" t="s">
        <x:v>4484</x:v>
      </x:c>
      <x:c r="B14" s="8" t="s">
        <x:v>751</x:v>
      </x:c>
      <x:c r="C14" s="8" t="s">
        <x:v>4485</x:v>
      </x:c>
      <x:c r="D14" s="8" t="s">
        <x:v>4486</x:v>
      </x:c>
      <x:c r="E14" s="8" t="s">
        <x:v>4487</x:v>
      </x:c>
    </x:row>
  </x:sheetData>
  <x:mergeCells>
    <x:mergeCell ref="A1:E1"/>
    <x:mergeCell ref="A2:E2"/>
  </x:mergeCells>
  <x:pageMargins left="0.7" right="0.7" top="0.75" bottom="0.75" header="0.3" footer="0.3"/>
</x:worksheet>
</file>

<file path=xl/worksheets/sheet83.xml><?xml version="1.0" encoding="utf-8"?>
<x:worksheet xmlns:x="http://schemas.openxmlformats.org/spreadsheetml/2006/main">
  <x:sheetFormatPr baseColWidth="10" defaultColWidth="8.88671875" defaultRowHeight="14.399999618530273"/>
  <x:cols>
    <x:col min="1" max="1" width="12" customWidth="1"/>
    <x:col min="2" max="2" width="33" customWidth="1"/>
    <x:col min="3" max="3" width="31" customWidth="1"/>
    <x:col min="4" max="4" width="62" customWidth="1"/>
    <x:col min="5" max="5" width="95" customWidth="1"/>
  </x:cols>
  <x:sheetData>
    <x:row r="1" ht="19.799999237060547" customHeight="1">
      <x:c r="A1" s="550" t="s">
        <x:v>4488</x:v>
      </x:c>
      <x:c r="B1" s="550"/>
      <x:c r="C1" s="550"/>
      <x:c r="D1" s="550"/>
      <x:c r="E1" s="550"/>
    </x:row>
    <x:row r="2" ht="19.200000762939453" customHeight="1">
      <x:c r="A2" s="551" t="s">
        <x:v>4489</x:v>
      </x:c>
      <x:c r="B2" s="551"/>
      <x:c r="C2" s="551"/>
      <x:c r="D2" s="551"/>
      <x:c r="E2" s="551"/>
    </x:row>
    <x:row r="3" ht="16.649999618530273" customHeight="1">
      <x:c r="A3" s="301" t="s">
        <x:v>3440</x:v>
      </x:c>
      <x:c r="B3" s="301" t="s">
        <x:v>4415</x:v>
      </x:c>
      <x:c r="C3" s="301" t="s">
        <x:v>4416</x:v>
      </x:c>
      <x:c r="D3" s="301" t="s">
        <x:v>4417</x:v>
      </x:c>
      <x:c r="E3" s="301" t="s">
        <x:v>4490</x:v>
      </x:c>
    </x:row>
    <x:row r="4" ht="29.399999618530273" customHeight="1">
      <x:c r="A4" s="8" t="s">
        <x:v>4491</x:v>
      </x:c>
      <x:c r="B4" s="8" t="s">
        <x:v>4492</x:v>
      </x:c>
      <x:c r="C4" s="8" t="s">
        <x:v>274</x:v>
      </x:c>
      <x:c r="D4" s="8" t="s">
        <x:v>4493</x:v>
      </x:c>
      <x:c r="E4" s="8" t="s">
        <x:v>4494</x:v>
      </x:c>
    </x:row>
    <x:row r="5" ht="29.399999618530273" customHeight="1">
      <x:c r="A5" s="8" t="s">
        <x:v>4495</x:v>
      </x:c>
      <x:c r="B5" s="8" t="s">
        <x:v>274</x:v>
      </x:c>
      <x:c r="C5" s="8" t="s">
        <x:v>361</x:v>
      </x:c>
      <x:c r="D5" s="8" t="s">
        <x:v>4496</x:v>
      </x:c>
      <x:c r="E5" s="8" t="s">
        <x:v>4497</x:v>
      </x:c>
    </x:row>
    <x:row r="6" ht="29.399999618530273" customHeight="1">
      <x:c r="A6" s="8" t="s">
        <x:v>4498</x:v>
      </x:c>
      <x:c r="B6" s="8" t="s">
        <x:v>361</x:v>
      </x:c>
      <x:c r="C6" s="8" t="s">
        <x:v>274</x:v>
      </x:c>
      <x:c r="D6" s="8" t="s">
        <x:v>4499</x:v>
      </x:c>
      <x:c r="E6" s="8" t="s">
        <x:v>4500</x:v>
      </x:c>
    </x:row>
    <x:row r="7" ht="29.399999618530273" customHeight="1">
      <x:c r="A7" s="8" t="s">
        <x:v>4501</x:v>
      </x:c>
      <x:c r="B7" s="8" t="s">
        <x:v>274</x:v>
      </x:c>
      <x:c r="C7" s="8" t="s">
        <x:v>50</x:v>
      </x:c>
      <x:c r="D7" s="8" t="s">
        <x:v>4502</x:v>
      </x:c>
      <x:c r="E7" s="8" t="s">
        <x:v>4503</x:v>
      </x:c>
    </x:row>
    <x:row r="8" ht="29.399999618530273" customHeight="1">
      <x:c r="A8" s="8" t="s">
        <x:v>4504</x:v>
      </x:c>
      <x:c r="B8" s="8" t="s">
        <x:v>50</x:v>
      </x:c>
      <x:c r="C8" s="8" t="s">
        <x:v>274</x:v>
      </x:c>
      <x:c r="D8" s="8" t="s">
        <x:v>4505</x:v>
      </x:c>
      <x:c r="E8" s="8" t="s">
        <x:v>4506</x:v>
      </x:c>
    </x:row>
    <x:row r="9" ht="29.399999618530273" customHeight="1">
      <x:c r="A9" s="8" t="s">
        <x:v>4507</x:v>
      </x:c>
      <x:c r="B9" s="8" t="s">
        <x:v>274</x:v>
      </x:c>
      <x:c r="C9" s="8" t="s">
        <x:v>361</x:v>
      </x:c>
      <x:c r="D9" s="8" t="s">
        <x:v>4508</x:v>
      </x:c>
      <x:c r="E9" s="8" t="s">
        <x:v>4509</x:v>
      </x:c>
    </x:row>
    <x:row r="10" ht="29.399999618530273" customHeight="1">
      <x:c r="A10" s="8" t="s">
        <x:v>4510</x:v>
      </x:c>
      <x:c r="B10" s="8" t="s">
        <x:v>361</x:v>
      </x:c>
      <x:c r="C10" s="8" t="s">
        <x:v>274</x:v>
      </x:c>
      <x:c r="D10" s="8" t="s">
        <x:v>4511</x:v>
      </x:c>
      <x:c r="E10" s="8" t="s">
        <x:v>4512</x:v>
      </x:c>
    </x:row>
    <x:row r="11" ht="29.399999618530273" customHeight="1">
      <x:c r="A11" s="8" t="s">
        <x:v>4513</x:v>
      </x:c>
      <x:c r="B11" s="8" t="s">
        <x:v>274</x:v>
      </x:c>
      <x:c r="C11" s="8" t="s">
        <x:v>50</x:v>
      </x:c>
      <x:c r="D11" s="8" t="s">
        <x:v>4514</x:v>
      </x:c>
      <x:c r="E11" s="8" t="s">
        <x:v>4515</x:v>
      </x:c>
    </x:row>
    <x:row r="12" ht="29.399999618530273" customHeight="1">
      <x:c r="A12" s="8" t="s">
        <x:v>4516</x:v>
      </x:c>
      <x:c r="B12" s="8" t="s">
        <x:v>274</x:v>
      </x:c>
      <x:c r="C12" s="8" t="s">
        <x:v>361</x:v>
      </x:c>
      <x:c r="D12" s="8" t="s">
        <x:v>4517</x:v>
      </x:c>
      <x:c r="E12" s="8" t="s">
        <x:v>4518</x:v>
      </x:c>
    </x:row>
    <x:row r="13" ht="29.399999618530273" customHeight="1">
      <x:c r="A13" s="8" t="s">
        <x:v>4519</x:v>
      </x:c>
      <x:c r="B13" s="8" t="s">
        <x:v>274</x:v>
      </x:c>
      <x:c r="C13" s="8" t="s">
        <x:v>3250</x:v>
      </x:c>
      <x:c r="D13" s="8" t="s">
        <x:v>4520</x:v>
      </x:c>
      <x:c r="E13" s="8" t="s">
        <x:v>4521</x:v>
      </x:c>
    </x:row>
  </x:sheetData>
  <x:mergeCells>
    <x:mergeCell ref="A1:E1"/>
    <x:mergeCell ref="A2:E2"/>
  </x:mergeCells>
  <x:pageMargins left="0.7" right="0.7" top="0.75" bottom="0.75" header="0.3" footer="0.3"/>
</x:worksheet>
</file>

<file path=xl/worksheets/sheet84.xml><?xml version="1.0" encoding="utf-8"?>
<x:worksheet xmlns:x="http://schemas.openxmlformats.org/spreadsheetml/2006/main">
  <x:sheetFormatPr baseColWidth="10" defaultColWidth="8.88671875" defaultRowHeight="14.399999618530273"/>
  <x:cols>
    <x:col min="1" max="1" width="25" customWidth="1"/>
    <x:col min="2" max="2" width="31" customWidth="1"/>
    <x:col min="3" max="3" width="33" customWidth="1"/>
    <x:col min="4" max="4" width="68" customWidth="1"/>
    <x:col min="5" max="5" width="93" customWidth="1"/>
  </x:cols>
  <x:sheetData>
    <x:row r="1" ht="19.799999237060547" customHeight="1">
      <x:c r="A1" s="550" t="s">
        <x:v>4522</x:v>
      </x:c>
      <x:c r="B1" s="550"/>
      <x:c r="C1" s="550"/>
      <x:c r="D1" s="550"/>
      <x:c r="E1" s="550"/>
    </x:row>
    <x:row r="2" ht="19.200000762939453" customHeight="1">
      <x:c r="A2" s="551" t="s">
        <x:v>4523</x:v>
      </x:c>
      <x:c r="B2" s="551"/>
      <x:c r="C2" s="551"/>
      <x:c r="D2" s="551"/>
      <x:c r="E2" s="551"/>
    </x:row>
    <x:row r="3" ht="16.649999618530273" customHeight="1">
      <x:c r="A3" s="301" t="s">
        <x:v>4524</x:v>
      </x:c>
      <x:c r="B3" s="301" t="s">
        <x:v>4415</x:v>
      </x:c>
      <x:c r="C3" s="301" t="s">
        <x:v>4416</x:v>
      </x:c>
      <x:c r="D3" s="301" t="s">
        <x:v>4525</x:v>
      </x:c>
      <x:c r="E3" s="301" t="s">
        <x:v>4418</x:v>
      </x:c>
    </x:row>
    <x:row r="4" ht="29.399999618530273" customHeight="1">
      <x:c r="A4" s="8" t="s">
        <x:v>4526</x:v>
      </x:c>
      <x:c r="B4" s="8" t="s">
        <x:v>3286</x:v>
      </x:c>
      <x:c r="C4" s="8" t="s">
        <x:v>167</x:v>
      </x:c>
      <x:c r="D4" s="8" t="s">
        <x:v>4527</x:v>
      </x:c>
      <x:c r="E4" s="8" t="s">
        <x:v>4528</x:v>
      </x:c>
    </x:row>
    <x:row r="5" ht="29.399999618530273" customHeight="1">
      <x:c r="A5" s="8" t="s">
        <x:v>4529</x:v>
      </x:c>
      <x:c r="B5" s="8" t="s">
        <x:v>167</x:v>
      </x:c>
      <x:c r="C5" s="8" t="s">
        <x:v>3298</x:v>
      </x:c>
      <x:c r="D5" s="8" t="s">
        <x:v>3296</x:v>
      </x:c>
      <x:c r="E5" s="8" t="s">
        <x:v>4530</x:v>
      </x:c>
    </x:row>
    <x:row r="6" ht="29.399999618530273" customHeight="1">
      <x:c r="A6" s="8" t="s">
        <x:v>4531</x:v>
      </x:c>
      <x:c r="B6" s="8" t="s">
        <x:v>3298</x:v>
      </x:c>
      <x:c r="C6" s="8" t="s">
        <x:v>167</x:v>
      </x:c>
      <x:c r="D6" s="8" t="s">
        <x:v>4532</x:v>
      </x:c>
      <x:c r="E6" s="8" t="s">
        <x:v>4533</x:v>
      </x:c>
    </x:row>
    <x:row r="7" ht="29.399999618530273" customHeight="1">
      <x:c r="A7" s="8" t="s">
        <x:v>4534</x:v>
      </x:c>
      <x:c r="B7" s="8" t="s">
        <x:v>167</x:v>
      </x:c>
      <x:c r="C7" s="8" t="s">
        <x:v>3286</x:v>
      </x:c>
      <x:c r="D7" s="8" t="s">
        <x:v>4535</x:v>
      </x:c>
      <x:c r="E7" s="8" t="s">
        <x:v>4536</x:v>
      </x:c>
    </x:row>
    <x:row r="8" ht="29.399999618530273" customHeight="1">
      <x:c r="A8" s="8" t="s">
        <x:v>4537</x:v>
      </x:c>
      <x:c r="B8" s="8" t="s">
        <x:v>3366</x:v>
      </x:c>
      <x:c r="C8" s="8" t="s">
        <x:v>167</x:v>
      </x:c>
      <x:c r="D8" s="8" t="s">
        <x:v>4538</x:v>
      </x:c>
      <x:c r="E8" s="8" t="s">
        <x:v>4539</x:v>
      </x:c>
    </x:row>
    <x:row r="9" ht="29.399999618530273" customHeight="1">
      <x:c r="A9" s="8" t="s">
        <x:v>4540</x:v>
      </x:c>
      <x:c r="B9" s="8" t="s">
        <x:v>167</x:v>
      </x:c>
      <x:c r="C9" s="8" t="s">
        <x:v>3376</x:v>
      </x:c>
      <x:c r="D9" s="8" t="s">
        <x:v>4541</x:v>
      </x:c>
      <x:c r="E9" s="8" t="s">
        <x:v>4542</x:v>
      </x:c>
    </x:row>
    <x:row r="10" ht="29.399999618530273" customHeight="1">
      <x:c r="A10" s="8" t="s">
        <x:v>4543</x:v>
      </x:c>
      <x:c r="B10" s="8" t="s">
        <x:v>3376</x:v>
      </x:c>
      <x:c r="C10" s="8" t="s">
        <x:v>167</x:v>
      </x:c>
      <x:c r="D10" s="8" t="s">
        <x:v>4544</x:v>
      </x:c>
      <x:c r="E10" s="8" t="s">
        <x:v>4545</x:v>
      </x:c>
    </x:row>
    <x:row r="11" ht="29.399999618530273" customHeight="1">
      <x:c r="A11" s="8" t="s">
        <x:v>4546</x:v>
      </x:c>
      <x:c r="B11" s="8" t="s">
        <x:v>167</x:v>
      </x:c>
      <x:c r="C11" s="8" t="s">
        <x:v>3366</x:v>
      </x:c>
      <x:c r="D11" s="8" t="s">
        <x:v>4547</x:v>
      </x:c>
      <x:c r="E11" s="8" t="s">
        <x:v>4548</x:v>
      </x:c>
    </x:row>
    <x:row r="13">
      <x:c r="A13" t="str">
        <x:v>Referencia de imagen TIVE</x:v>
      </x:c>
      <x:c r="B13" t="str">
        <x:v>RF54 / RF55 / RF56</x:v>
      </x:c>
      <x:c r="C13" t="str">
        <x:v>E_ImagenTIVE ↔ TIVE(idVehiculo)</x:v>
      </x:c>
      <x:c r="D13" t="str">
        <x:v>consultarImagenPorIdVehiculo(idVehiculo)</x:v>
      </x:c>
      <x:c r="E13" t="str">
        <x:v>Imagen opcional enlazada por idVehiculo. codigoVerificacion y VIN son datos de negocio; cambiarlos no obliga a migrar FK de la imagen.</x:v>
      </x:c>
    </x:row>
  </x:sheetData>
  <x:mergeCells>
    <x:mergeCell ref="A1:E1"/>
    <x:mergeCell ref="A2:E2"/>
  </x:mergeCells>
  <x:pageMargins left="0.7" right="0.7" top="0.75" bottom="0.75" header="0.3" footer="0.3"/>
</x:worksheet>
</file>

<file path=xl/worksheets/sheet85.xml><?xml version="1.0" encoding="utf-8"?>
<x:worksheet xmlns:x="http://schemas.openxmlformats.org/spreadsheetml/2006/main">
  <x:sheetFormatPr baseColWidth="10" defaultColWidth="8.88671875" defaultRowHeight="14.399999618530273"/>
  <x:cols>
    <x:col min="1" max="1" width="24" hidden="0" customWidth="1"/>
    <x:col min="2" max="2" width="66" hidden="0" customWidth="1"/>
    <x:col min="3" max="3" width="29" hidden="0" customWidth="1"/>
    <x:col min="4" max="4" width="88" hidden="0" customWidth="1"/>
    <x:col min="5" max="5" width="43" hidden="0" customWidth="1"/>
  </x:cols>
  <x:sheetData>
    <x:row r="1" ht="19.799999237060547" customHeight="1">
      <x:c r="A1" s="550" t="s">
        <x:v>4549</x:v>
      </x:c>
      <x:c r="B1" s="550"/>
      <x:c r="C1" s="550"/>
      <x:c r="D1" s="550"/>
      <x:c r="E1" s="550"/>
    </x:row>
    <x:row r="2" ht="19.200000762939453" customHeight="1">
      <x:c r="A2" s="551" t="s">
        <x:v>4550</x:v>
      </x:c>
      <x:c r="B2" s="551"/>
      <x:c r="C2" s="551"/>
      <x:c r="D2" s="551"/>
      <x:c r="E2" s="551"/>
    </x:row>
    <x:row r="3" ht="16.649999618530273" customHeight="1">
      <x:c r="A3" s="301" t="s">
        <x:v>4551</x:v>
      </x:c>
      <x:c r="B3" s="301" t="s">
        <x:v>4552</x:v>
      </x:c>
      <x:c r="C3" s="301" t="s">
        <x:v>4553</x:v>
      </x:c>
      <x:c r="D3" s="301" t="s">
        <x:v>4554</x:v>
      </x:c>
      <x:c r="E3" s="301" t="s">
        <x:v>4555</x:v>
      </x:c>
    </x:row>
    <x:row r="4" ht="29.399999618530273" customHeight="1">
      <x:c r="A4" s="8" t="s">
        <x:v>4556</x:v>
      </x:c>
      <x:c r="B4" s="8" t="s">
        <x:v>4557</x:v>
      </x:c>
      <x:c r="C4" s="8" t="s">
        <x:v>4558</x:v>
      </x:c>
      <x:c r="D4" s="8" t="s">
        <x:v>4559</x:v>
      </x:c>
      <x:c r="E4" s="8" t="s">
        <x:v>4560</x:v>
      </x:c>
    </x:row>
    <x:row r="5" ht="29.399999618530273" customHeight="1">
      <x:c r="A5" s="8" t="s">
        <x:v>4561</x:v>
      </x:c>
      <x:c r="B5" s="8" t="s">
        <x:v>4562</x:v>
      </x:c>
      <x:c r="C5" s="8" t="s">
        <x:v>4563</x:v>
      </x:c>
      <x:c r="D5" s="8" t="s">
        <x:v>4564</x:v>
      </x:c>
      <x:c r="E5" s="8" t="s">
        <x:v>4565</x:v>
      </x:c>
    </x:row>
    <x:row r="6" ht="29.399999618530273" customHeight="1">
      <x:c r="A6" s="8" t="s">
        <x:v>4566</x:v>
      </x:c>
      <x:c r="B6" s="8" t="s">
        <x:v>4567</x:v>
      </x:c>
      <x:c r="C6" s="8" t="s">
        <x:v>4568</x:v>
      </x:c>
      <x:c r="D6" s="8" t="s">
        <x:v>4569</x:v>
      </x:c>
      <x:c r="E6" s="8" t="s">
        <x:v>4570</x:v>
      </x:c>
    </x:row>
    <x:row r="7" ht="29.399999618530273" customHeight="1">
      <x:c r="A7" s="8" t="s">
        <x:v>4571</x:v>
      </x:c>
      <x:c r="B7" s="8" t="s">
        <x:v>4572</x:v>
      </x:c>
      <x:c r="C7" s="8" t="s">
        <x:v>4573</x:v>
      </x:c>
      <x:c r="D7" s="8" t="s">
        <x:v>4574</x:v>
      </x:c>
      <x:c r="E7" s="8" t="s">
        <x:v>4570</x:v>
      </x:c>
    </x:row>
    <x:row r="8" ht="29.399999618530273" customHeight="1">
      <x:c r="A8" s="8" t="s">
        <x:v>4575</x:v>
      </x:c>
      <x:c r="B8" s="8" t="s">
        <x:v>4576</x:v>
      </x:c>
      <x:c r="C8" s="8" t="s">
        <x:v>4577</x:v>
      </x:c>
      <x:c r="D8" s="8" t="s">
        <x:v>4578</x:v>
      </x:c>
      <x:c r="E8" s="8" t="s">
        <x:v>4570</x:v>
      </x:c>
    </x:row>
    <x:row r="9" ht="29.399999618530273" customHeight="1">
      <x:c r="A9" s="8" t="s">
        <x:v>4579</x:v>
      </x:c>
      <x:c r="B9" s="8" t="s">
        <x:v>4580</x:v>
      </x:c>
      <x:c r="C9" s="8" t="s">
        <x:v>4581</x:v>
      </x:c>
      <x:c r="D9" s="8" t="s">
        <x:v>4582</x:v>
      </x:c>
      <x:c r="E9" s="8" t="s">
        <x:v>4583</x:v>
      </x:c>
    </x:row>
    <x:row r="10" ht="29.399999618530273" customHeight="1">
      <x:c r="A10" s="8" t="s">
        <x:v>4584</x:v>
      </x:c>
      <x:c r="B10" s="8" t="s">
        <x:v>4585</x:v>
      </x:c>
      <x:c r="C10" s="8" t="s">
        <x:v>4586</x:v>
      </x:c>
      <x:c r="D10" s="8" t="s">
        <x:v>4587</x:v>
      </x:c>
      <x:c r="E10" s="8" t="s">
        <x:v>4588</x:v>
      </x:c>
    </x:row>
    <x:row r="11" ht="29.399999618530273" customHeight="1">
      <x:c r="A11" s="8" t="s">
        <x:v>4589</x:v>
      </x:c>
      <x:c r="B11" s="8" t="str">
        <x:v>RF51: alta de licencia solo PREMIUM con API; RF52: consulta conservada en solo lectura PREMIUM/FREE; RF53: recuperación de cuenta pendiente de eliminación (no licencia).</x:v>
      </x:c>
      <x:c r="C11" s="8" t="str">
        <x:v>RF23 / RF29 / RF30 / RF51–RF52 / RF60</x:v>
      </x:c>
      <x:c r="D11" s="8" t="s">
        <x:v>4590</x:v>
      </x:c>
      <x:c r="E11" s="8" t="s">
        <x:v>4591</x:v>
      </x:c>
    </x:row>
    <x:row r="12" ht="29.399999618530273" customHeight="1">
      <x:c r="A12" s="8" t="s">
        <x:v>4592</x:v>
      </x:c>
      <x:c r="B12" s="8" t="s">
        <x:v>4593</x:v>
      </x:c>
      <x:c r="C12" s="8" t="s">
        <x:v>4594</x:v>
      </x:c>
      <x:c r="D12" s="8" t="s">
        <x:v>4595</x:v>
      </x:c>
      <x:c r="E12" s="8" t="s">
        <x:v>4596</x:v>
      </x:c>
    </x:row>
    <x:row r="13" ht="29.399999618530273" customHeight="1">
      <x:c r="A13" s="8" t="s">
        <x:v>4597</x:v>
      </x:c>
      <x:c r="B13" s="8" t="s">
        <x:v>4598</x:v>
      </x:c>
      <x:c r="C13" s="8" t="s">
        <x:v>4599</x:v>
      </x:c>
      <x:c r="D13" s="8" t="s">
        <x:v>4600</x:v>
      </x:c>
      <x:c r="E13" s="8" t="s">
        <x:v>4601</x:v>
      </x:c>
    </x:row>
    <x:row r="14" ht="29.399999618530273" customHeight="1">
      <x:c r="A14" s="8" t="s">
        <x:v>4602</x:v>
      </x:c>
      <x:c r="B14" s="8" t="s">
        <x:v>4603</x:v>
      </x:c>
      <x:c r="C14" s="8" t="s">
        <x:v>4604</x:v>
      </x:c>
      <x:c r="D14" s="8" t="s">
        <x:v>4605</x:v>
      </x:c>
      <x:c r="E14" s="8" t="s">
        <x:v>4606</x:v>
      </x:c>
    </x:row>
    <x:row r="15" ht="29.399999618530273" customHeight="1">
      <x:c r="A15" s="8" t="s">
        <x:v>4607</x:v>
      </x:c>
      <x:c r="B15" s="8" t="s">
        <x:v>4608</x:v>
      </x:c>
      <x:c r="C15" s="8" t="s">
        <x:v>4609</x:v>
      </x:c>
      <x:c r="D15" s="8" t="s">
        <x:v>4610</x:v>
      </x:c>
      <x:c r="E15" s="8" t="s">
        <x:v>4611</x:v>
      </x:c>
    </x:row>
    <x:row r="16" ht="29.399999618530273" customHeight="1">
      <x:c r="A16" s="8" t="s">
        <x:v>4612</x:v>
      </x:c>
      <x:c r="B16" s="8" t="s">
        <x:v>4613</x:v>
      </x:c>
      <x:c r="C16" s="8" t="s">
        <x:v>4614</x:v>
      </x:c>
      <x:c r="D16" s="8" t="s">
        <x:v>4615</x:v>
      </x:c>
      <x:c r="E16" s="8" t="s">
        <x:v>4616</x:v>
      </x:c>
    </x:row>
    <x:row r="18" ht="72" customHeight="1">
      <x:c r="A18" s="8" t="s">
        <x:v>4617</x:v>
      </x:c>
      <x:c r="B18" s="8" t="s">
        <x:v>4618</x:v>
      </x:c>
      <x:c r="C18" s="8" t="s">
        <x:v>4619</x:v>
      </x:c>
      <x:c r="D18" s="8" t="s">
        <x:v>4620</x:v>
      </x:c>
      <x:c r="E18" s="8" t="s">
        <x:v>4621</x:v>
      </x:c>
    </x:row>
    <x:row r="19" ht="55" customHeight="1">
      <x:c r="A19" s="1523" t="str">
        <x:v>Identidad vehículo</x:v>
      </x:c>
      <x:c r="B19" s="1523" t="str">
        <x:v>VEHICULO.idVehiculo PK interna autogenerada; numeroVin opcional/UNIQUE cuando existe; placa obligatoria con verificación de duplicados</x:v>
      </x:c>
      <x:c r="C19" s="1523" t="str">
        <x:v>RF08–RF16; RF17–RF27; RF30–RF50; RF54–RF56</x:v>
      </x:c>
      <x:c r="D19" s="1523" t="str">
        <x:v>Toda FK hacia VEHICULO usa idVehiculo, nunca VIN ni placa; un dato opcional no puede ser PK. Unicidad VIN/placa debe tener respaldo físico.</x:v>
      </x:c>
      <x:c r="E19" s="1523" t="str">
        <x:v>CONFIRMADA por usuario · migración SQL pendiente</x:v>
      </x:c>
    </x:row>
    <x:row r="20" ht="55" customHeight="1">
      <x:c r="A20" s="1071" t="str">
        <x:v>Alta Free</x:v>
      </x:c>
      <x:c r="B20" s="1071" t="str">
        <x:v>Plan FREE: permite registro normal solo si cantidad TOTAL de vehículos registrados = 0; los inactivos también cuentan</x:v>
      </x:c>
      <x:c r="C20" s="1071" t="str">
        <x:v>RF08 / RF09 / RF12 / RF30</x:v>
      </x:c>
      <x:c r="D20" s="1071" t="str">
        <x:v>El servidor revalida plan efectivo y cupo en transacción antes de insertar. No eliminar ni esconder registros previos por superar el límite tras downgrade.</x:v>
      </x:c>
      <x:c r="E20" s="1071" t="str">
        <x:v>CONFIRMADA por usuario · revisar concurrencia</x:v>
      </x:c>
    </x:row>
    <x:row r="21" ht="55" customHeight="1">
      <x:c r="A21" s="1523" t="str">
        <x:v>Fin Premium</x:v>
      </x:c>
      <x:c r="B21" s="1523" t="str">
        <x:v>Al terminar Premium, conservar vehículos e históricos; únicamente principal permanece ACTIVO y secundarios quedan INACTIVOS</x:v>
      </x:c>
      <x:c r="C21" s="1523" t="str">
        <x:v>RF08 / RF09 / RF12 / RF13 / RF30 / RF46–RF50</x:v>
      </x:c>
      <x:c r="D21" s="1523" t="str">
        <x:v>Conciliación atómica/idempotente por usuario: un principal activo; los demás registros permanecen consultables y sin nuevos avisos.</x:v>
      </x:c>
      <x:c r="E21" s="1523" t="str">
        <x:v>CONFIRMADA por usuario · verificar caso sin principal</x:v>
      </x:c>
    </x:row>
    <x:row r="22" ht="55" customHeight="1">
      <x:c r="A22" s="1071" t="str">
        <x:v>Relación TIVE</x:v>
      </x:c>
      <x:c r="B22" s="1071" t="str">
        <x:v>VEHICULO (1) ↔ TIVE (0..1) por idVehiculo; TIVE.idVehiculo es PK/FK</x:v>
      </x:c>
      <x:c r="C22" s="1071" t="str">
        <x:v>RF09 / RF10 / RF11 / RF54 / RF55 / RF56</x:v>
      </x:c>
      <x:c r="D22" s="1071" t="str">
        <x:v>VIN existente requisito funcional para insertar TIVE, no PK/FK ni clave de consulta. codigoVerificacion es dato documental candidato UNIQUE. TIVE no tiene versiones.</x:v>
      </x:c>
      <x:c r="E22" s="1071" t="str">
        <x:v>CONFIRMADA por usuario · SQL por ajustar</x:v>
      </x:c>
    </x:row>
    <x:row r="23" ht="55" customHeight="1">
      <x:c r="A23" s="1523" t="str">
        <x:v>Imagen TIVE</x:v>
      </x:c>
      <x:c r="B23" s="1523" t="str">
        <x:v>E_ImagenTIVE se vincula a TIVE mediante idVehiculo; imagen opcional, referencia estable</x:v>
      </x:c>
      <x:c r="C23" s="1523" t="str">
        <x:v>RF54 / RF55 / RF56</x:v>
      </x:c>
      <x:c r="D23" s="1523" t="str">
        <x:v>Editar codigoVerificacion no exige trasladar la imagen: FK idVehiculo se mantiene. Consistencia de archivo SQL/externo antes de mostrar éxito.</x:v>
      </x:c>
      <x:c r="E23" s="1523" t="str">
        <x:v>CONTRATO propuesto coherente · revisar esquema final</x:v>
      </x:c>
    </x:row>
    <x:row r="24" ht="55" customHeight="1">
      <x:c r="A24" s="1071" t="str">
        <x:v>VIN con TIVE</x:v>
      </x:c>
      <x:c r="B24" s="1071" t="str">
        <x:v>RF11 impide modificar/eliminar numeroVin cuando ya existe TIVE; procedimiento separado y controlado para corregirlo</x:v>
      </x:c>
      <x:c r="C24" s="1071" t="str">
        <x:v>RF08 / RF11 / RF54 / RF56</x:v>
      </x:c>
      <x:c r="D24" s="1071" t="str">
        <x:v>Bloqueo UI y backend; validación atómica ante la carrera RF11↔RF54. No cambiar idVehiculo ni actualizar TIVE por VIN.</x:v>
      </x:c>
      <x:c r="E24" s="1071" t="str">
        <x:v>CONFIRMADA por usuario · procedimiento controlado pendiente de especificar</x:v>
      </x:c>
    </x:row>
    <x:row r="25" ht="55" customHeight="1">
      <x:c r="A25" s="1523" t="str">
        <x:v>Prioridad documental</x:v>
      </x:c>
      <x:c r="B25" s="1523" t="str">
        <x:v>Las reglas de esta hoja y DECISIONES_CIERRE_20261021 prevalecen sobre hojas históricas de auditoría</x:v>
      </x:c>
      <x:c r="C25" s="1523" t="str">
        <x:v>RF01–RF64</x:v>
      </x:c>
      <x:c r="D25" s="1523" t="str">
        <x:v>No reescribir automáticamente flujos no afectados; conservar auditoría histórica y anotar nueva precedencia.</x:v>
      </x:c>
      <x:c r="E25" s="1523" t="str">
        <x:v>Versión de reglas vigente 2026-10-21</x:v>
      </x:c>
    </x:row>
    <x:row r="27">
      <x:c r="A27" t="str">
        <x:v>Premium parametrizable</x:v>
      </x:c>
      <x:c r="B27" t="str">
        <x:v>Cupo registrados/activos configurable por plan; ningún tope Premium numérico fijado en RF; gracia únicamente si Google Play confirma beneficios.</x:v>
      </x:c>
      <x:c r="C27" t="str">
        <x:v>RF08/RF12/RF28/RF29/RF30/RF60</x:v>
      </x:c>
      <x:c r="D27" t="str">
        <x:v>Backend aplica plan y cupo vigentes bajo control concurrente; caída de proveedor no implica fin Premium.</x:v>
      </x:c>
      <x:c r="E27" t="str">
        <x:v>DECISIÓN APROBADA · contrato técnico proveedor pendiente</x:v>
      </x:c>
    </x:row>
    <x:row r="28">
      <x:c r="A28" t="str">
        <x:v>Identificadores TIVE</x:v>
      </x:c>
      <x:c r="B28" t="str">
        <x:v>TIVE.idVehiculo único PK/FK; numeroTitulo y codigoVerificacion son atributos documentales candidatos, no UNIQUE oficiales por defecto.</x:v>
      </x:c>
      <x:c r="C28" t="str">
        <x:v>RF54/RF56</x:v>
      </x:c>
      <x:c r="D28" t="str">
        <x:v>Coincidencias documentales no causan bloqueo automático sin autoridad para la regla; no se duplica idVehiculo.</x:v>
      </x:c>
      <x:c r="E28" t="str">
        <x:v>MODELO FUNCIONAL APROBADO · unicidad adicional pendiente</x:v>
      </x:c>
    </x:row>
    <x:row r="29">
      <x:c r="A29" t="str">
        <x:v>SOAT único ACTUAL</x:v>
      </x:c>
      <x:c r="B29" t="str">
        <x:v>Por vehículo una póliza esActual=true; renovaciones dejan anterior HISTÓRICA; cobertura temporal se deriva de fechas.</x:v>
      </x:c>
      <x:c r="C29" t="str">
        <x:v>RF09/RF12/RF13/RF31/RF32/RF33</x:v>
      </x:c>
      <x:c r="D29" t="str">
        <x:v>Renovación cambia ambas marcas en una transacción; estados VIGENTE/VENCIDO son distintos de esActual.</x:v>
      </x:c>
      <x:c r="E29" t="str">
        <x:v>DECISIÓN APROBADA · SQL por diseñar</x:v>
      </x:c>
    </x:row>
    <x:row r="30">
      <x:c r="A30" t="str">
        <x:v>Alerta manual equivalente</x:v>
      </x:c>
      <x:c r="B30" t="str">
        <x:v>Mismo vehículo, tipo, criterio, objetivos fecha/km y OTRO normalizado; solo estados no terminales bloquean.</x:v>
      </x:c>
      <x:c r="C30" t="str">
        <x:v>RF22/RF23/RF24</x:v>
      </x:c>
      <x:c r="D30" t="str">
        <x:v>Firma de equivalencia activa + idempotencia transaccional; no usar fecha de consulta como parte de la firma.</x:v>
      </x:c>
      <x:c r="E30" t="str">
        <x:v>DEFINICIÓN APLICADA · índice/lock SQL por diseñar</x:v>
      </x:c>
    </x:row>
    <x:row r="31">
      <x:c r="A31" t="str">
        <x:v>Corrección VIN excepcional</x:v>
      </x:c>
      <x:c r="B31" t="str">
        <x:v>RF11/RF56 no cambian VIN con TIVE. Soporte valida titularidad, evidencia y coherencia VEHICULO–TIVE; deja auditoría.</x:v>
      </x:c>
      <x:c r="C31" t="str">
        <x:v>RF11/RF54/RF56</x:v>
      </x:c>
      <x:c r="D31" t="str">
        <x:v>No ejecutable con flujos EF actuales; requiere procedimiento aparte aprobado previo a su implementación.</x:v>
      </x:c>
      <x:c r="E31" t="str">
        <x:v>RESPONSABLE APROBADO · flujo especial por diseñar</x:v>
      </x:c>
    </x:row>
    <x:row r="32">
      <x:c r="A32" t="str">
        <x:v>Licencias y retención</x:v>
      </x:c>
      <x:c r="B32" t="str">
        <x:v>RF51 depende de proveedor autorizado con contrato, campos y permisos reales. Cuenta recuperable 30 días calendario; retención posterior depende de política legal.</x:v>
      </x:c>
      <x:c r="C32" t="str">
        <x:v>RF07/RF51/RF52/RF53</x:v>
      </x:c>
      <x:c r="D32" t="str">
        <x:v>No presumir JSON.pe; no afirmar borrado físico general ni cumplimiento legal sin política validada.</x:v>
      </x:c>
      <x:c r="E32" t="str">
        <x:v>CONGELACIÓN FUNCIONAL PARCIAL · externas pendientes</x:v>
      </x:c>
    </x:row>
  </x:sheetData>
  <x:mergeCells>
    <x:mergeCell ref="A1:E1"/>
    <x:mergeCell ref="A2:E2"/>
  </x:mergeCells>
  <x:pageMargins left="0.7" right="0.7" top="0.75" bottom="0.75" header="0.3" footer="0.3"/>
</x:worksheet>
</file>

<file path=xl/worksheets/sheet86.xml><?xml version="1.0" encoding="utf-8"?>
<x:worksheet xmlns:x="http://schemas.openxmlformats.org/spreadsheetml/2006/main">
  <x:sheetFormatPr baseColWidth="10" defaultColWidth="8.88671875" defaultRowHeight="14.399999618530273"/>
  <x:cols>
    <x:col min="1" max="1" width="13" customWidth="1"/>
    <x:col min="2" max="2" width="34" customWidth="1"/>
    <x:col min="3" max="3" width="85" customWidth="1"/>
    <x:col min="4" max="4" width="101" customWidth="1"/>
    <x:col min="5" max="5" width="17" customWidth="1"/>
  </x:cols>
  <x:sheetData>
    <x:row r="1" ht="19.799999237060547" customHeight="1">
      <x:c r="A1" s="550" t="s">
        <x:v>4622</x:v>
      </x:c>
      <x:c r="B1" s="550"/>
      <x:c r="C1" s="550"/>
      <x:c r="D1" s="550"/>
      <x:c r="E1" s="550"/>
    </x:row>
    <x:row r="2" ht="19.200000762939453" customHeight="1">
      <x:c r="A2" s="551" t="s">
        <x:v>4623</x:v>
      </x:c>
      <x:c r="B2" s="551"/>
      <x:c r="C2" s="551"/>
      <x:c r="D2" s="551"/>
      <x:c r="E2" s="551"/>
    </x:row>
    <x:row r="3" ht="16.649999618530273" customHeight="1">
      <x:c r="A3" s="301" t="s">
        <x:v>4624</x:v>
      </x:c>
      <x:c r="B3" s="301" t="s">
        <x:v>4625</x:v>
      </x:c>
      <x:c r="C3" s="301" t="s">
        <x:v>4626</x:v>
      </x:c>
      <x:c r="D3" s="301" t="s">
        <x:v>4627</x:v>
      </x:c>
      <x:c r="E3" s="301" t="s">
        <x:v>4628</x:v>
      </x:c>
    </x:row>
    <x:row r="4" ht="29.399999618530273" customHeight="1">
      <x:c r="A4" s="8" t="s">
        <x:v>4629</x:v>
      </x:c>
      <x:c r="B4" s="8" t="s">
        <x:v>4630</x:v>
      </x:c>
      <x:c r="C4" s="8" t="s">
        <x:v>4631</x:v>
      </x:c>
      <x:c r="D4" s="8" t="s">
        <x:v>4632</x:v>
      </x:c>
      <x:c r="E4" s="8" t="s">
        <x:v>4633</x:v>
      </x:c>
    </x:row>
    <x:row r="5" ht="29.399999618530273" customHeight="1">
      <x:c r="A5" s="8" t="s">
        <x:v>4634</x:v>
      </x:c>
      <x:c r="B5" s="8" t="s">
        <x:v>4635</x:v>
      </x:c>
      <x:c r="C5" s="8" t="s">
        <x:v>4636</x:v>
      </x:c>
      <x:c r="D5" s="8" t="s">
        <x:v>4637</x:v>
      </x:c>
      <x:c r="E5" s="8" t="s">
        <x:v>4633</x:v>
      </x:c>
    </x:row>
    <x:row r="6" ht="29.399999618530273" customHeight="1">
      <x:c r="A6" s="8" t="s">
        <x:v>4638</x:v>
      </x:c>
      <x:c r="B6" s="8" t="s">
        <x:v>4639</x:v>
      </x:c>
      <x:c r="C6" s="8" t="s">
        <x:v>4640</x:v>
      </x:c>
      <x:c r="D6" s="8" t="s">
        <x:v>4641</x:v>
      </x:c>
      <x:c r="E6" s="8" t="s">
        <x:v>4633</x:v>
      </x:c>
    </x:row>
    <x:row r="7" ht="29.399999618530273" customHeight="1">
      <x:c r="A7" s="8" t="s">
        <x:v>4642</x:v>
      </x:c>
      <x:c r="B7" s="8" t="s">
        <x:v>4643</x:v>
      </x:c>
      <x:c r="C7" s="8" t="s">
        <x:v>4644</x:v>
      </x:c>
      <x:c r="D7" s="8" t="s">
        <x:v>4645</x:v>
      </x:c>
      <x:c r="E7" s="8" t="s">
        <x:v>4633</x:v>
      </x:c>
    </x:row>
    <x:row r="8" ht="29.399999618530273" customHeight="1">
      <x:c r="A8" s="8" t="s">
        <x:v>4646</x:v>
      </x:c>
      <x:c r="B8" s="8" t="s">
        <x:v>4647</x:v>
      </x:c>
      <x:c r="C8" s="8" t="str">
        <x:v>La antigua edición de licencia llamada RF53 fue retirada y el código se reasignó a recuperación de cuenta; renovación automática de licencia no tiene cobertura verificada.</x:v>
      </x:c>
      <x:c r="D8" s="8" t="s">
        <x:v>4648</x:v>
      </x:c>
      <x:c r="E8" s="8" t="s">
        <x:v>4649</x:v>
      </x:c>
    </x:row>
    <x:row r="9" ht="29.399999618530273" customHeight="1">
      <x:c r="A9" s="8" t="s">
        <x:v>4650</x:v>
      </x:c>
      <x:c r="B9" s="8" t="s">
        <x:v>4651</x:v>
      </x:c>
      <x:c r="C9" s="8" t="s">
        <x:v>4652</x:v>
      </x:c>
      <x:c r="D9" s="8" t="s">
        <x:v>4653</x:v>
      </x:c>
      <x:c r="E9" s="8" t="s">
        <x:v>4633</x:v>
      </x:c>
    </x:row>
    <x:row r="10" ht="29.399999618530273" customHeight="1">
      <x:c r="A10" s="8" t="s">
        <x:v>4654</x:v>
      </x:c>
      <x:c r="B10" s="8" t="s">
        <x:v>4584</x:v>
      </x:c>
      <x:c r="C10" s="8" t="s">
        <x:v>4655</x:v>
      </x:c>
      <x:c r="D10" s="8" t="s">
        <x:v>4656</x:v>
      </x:c>
      <x:c r="E10" s="8" t="s">
        <x:v>4633</x:v>
      </x:c>
    </x:row>
    <x:row r="11" ht="29.399999618530273" customHeight="1">
      <x:c r="A11" s="8" t="s">
        <x:v>4657</x:v>
      </x:c>
      <x:c r="B11" s="8" t="s">
        <x:v>4658</x:v>
      </x:c>
      <x:c r="C11" s="8" t="s">
        <x:v>4659</x:v>
      </x:c>
      <x:c r="D11" s="8" t="s">
        <x:v>4660</x:v>
      </x:c>
      <x:c r="E11" s="8" t="s">
        <x:v>4649</x:v>
      </x:c>
    </x:row>
    <x:row r="12" ht="29.399999618530273" customHeight="1">
      <x:c r="A12" s="8" t="s">
        <x:v>4661</x:v>
      </x:c>
      <x:c r="B12" s="8" t="s">
        <x:v>4662</x:v>
      </x:c>
      <x:c r="C12" s="8" t="s">
        <x:v>4663</x:v>
      </x:c>
      <x:c r="D12" s="8" t="s">
        <x:v>4664</x:v>
      </x:c>
      <x:c r="E12" s="8" t="s">
        <x:v>4649</x:v>
      </x:c>
    </x:row>
    <x:row r="13" ht="29.399999618530273" customHeight="1">
      <x:c r="A13" s="8" t="s">
        <x:v>4665</x:v>
      </x:c>
      <x:c r="B13" s="8" t="s">
        <x:v>4666</x:v>
      </x:c>
      <x:c r="C13" s="8" t="s">
        <x:v>4667</x:v>
      </x:c>
      <x:c r="D13" s="8" t="s">
        <x:v>4668</x:v>
      </x:c>
      <x:c r="E13" s="8" t="s">
        <x:v>4649</x:v>
      </x:c>
    </x:row>
    <x:row r="14">
      <x:c r="A14" t="str">
        <x:v>P011</x:v>
      </x:c>
      <x:c r="B14" t="str">
        <x:v>Cambio PK VEHICULO</x:v>
      </x:c>
      <x:c r="C14" t="str">
        <x:v>Modelo físico anterior pudo emplear NUMERO_VIN como PK, incompatible con VIN opcional.</x:v>
      </x:c>
      <x:c r="D14" t="str">
        <x:v>Diseñar migración segura a VEHICULO.idVehiculo; migrar TODAS las FK desde VIN/placa y revisar registros, índices y control de duplicados.</x:v>
      </x:c>
      <x:c r="E14" t="str">
        <x:v>Crítica</x:v>
      </x:c>
    </x:row>
    <x:row r="15">
      <x:c r="A15" t="str">
        <x:v>P012</x:v>
      </x:c>
      <x:c r="B15" t="str">
        <x:v>FK TIVE 1:0..1</x:v>
      </x:c>
      <x:c r="C15" t="str">
        <x:v>TIVE pudo usar CODIGO_VERIFICACION como PK o numeroVin como FK; E_ImagenTIVE pudo usar el código.</x:v>
      </x:c>
      <x:c r="D15" t="str">
        <x:v>Hacer TIVE.idVehiculo PK/FK UNIQUE referenciada a VEHICULO.idVehiculo; migrar referencias de imagen; no generar TIVE duplicada.</x:v>
      </x:c>
      <x:c r="E15" t="str">
        <x:v>Crítica</x:v>
      </x:c>
    </x:row>
    <x:row r="16">
      <x:c r="A16" t="str">
        <x:v>P013</x:v>
      </x:c>
      <x:c r="B16" t="str">
        <x:v>Corrección controlada VIN</x:v>
      </x:c>
      <x:c r="C16" t="str">
        <x:v>Se decidió bloquear cambios normales cuando exista TIVE, pero el flujo de corrección controlada no fue diseñado ni asignado a un RF.</x:v>
      </x:c>
      <x:c r="D16" t="str">
        <x:v>Definir responsable, autorización, verificación documental, trazabilidad y sincronización con datos de TIVE antes de implementarlo.</x:v>
      </x:c>
      <x:c r="E16" t="str">
        <x:v>Alta</x:v>
      </x:c>
    </x:row>
    <x:row r="17">
      <x:c r="A17" t="str">
        <x:v>P014</x:v>
      </x:c>
      <x:c r="B17" t="str">
        <x:v>Free y principal al terminar Premium</x:v>
      </x:c>
      <x:c r="C17" t="str">
        <x:v>El escenario de downgrade supone vehículo principal elegible y activo; caso de ausencia de principal aún requiere regla.</x:v>
      </x:c>
      <x:c r="D17" t="str">
        <x:v>Definir caso de no existir principal activo y asegurar transacción/idempotencia al conservar secundarios inactivos.</x:v>
      </x:c>
      <x:c r="E17" t="str">
        <x:v>Alta</x:v>
      </x:c>
    </x:row>
    <x:row r="18">
      <x:c r="A18" t="str">
        <x:v>P015</x:v>
      </x:c>
      <x:c r="B18" t="str">
        <x:v>Unicidad VIN, placa e imagen</x:v>
      </x:c>
      <x:c r="C18" t="str">
        <x:v>No se aportó SQL de índices; comparar antes de INSERT no basta con peticiones simultáneas.</x:v>
      </x:c>
      <x:c r="D18" t="str">
        <x:v>UNIQUE VIN nullable, unicidad de placa según dominio, FK imagen→TIVE por idVehiculo; pruebas de concurrencia RF08/RF11/RF54/RF56.</x:v>
      </x:c>
      <x:c r="E18" t="str">
        <x:v>Alta</x:v>
      </x:c>
    </x:row>
  </x:sheetData>
  <x:mergeCells>
    <x:mergeCell ref="A1:E1"/>
    <x:mergeCell ref="A2:E2"/>
  </x:mergeCells>
  <x:pageMargins left="0.7" right="0.7" top="0.75" bottom="0.75" header="0.3" footer="0.3"/>
</x:worksheet>
</file>

<file path=xl/worksheets/sheet87.xml><?xml version="1.0" encoding="utf-8"?>
<x:worksheet xmlns:x="http://schemas.openxmlformats.org/spreadsheetml/2006/main">
  <x:sheetFormatPr baseColWidth="10" defaultColWidth="8.88671875" defaultRowHeight="14.399999618530273"/>
  <x:cols>
    <x:col min="1" max="1" width="16" customWidth="1"/>
    <x:col min="2" max="3" width="37" customWidth="1"/>
    <x:col min="4" max="4" width="68" hidden="0" customWidth="1"/>
  </x:cols>
  <x:sheetData>
    <x:row r="1" ht="19.799999237060547" customHeight="1">
      <x:c r="A1" s="550" t="s">
        <x:v>4669</x:v>
      </x:c>
      <x:c r="B1" s="550"/>
      <x:c r="C1" s="550"/>
      <x:c r="D1" s="550"/>
    </x:row>
    <x:row r="2" ht="19.200000762939453" customHeight="1">
      <x:c r="A2" s="551" t="s">
        <x:v>4670</x:v>
      </x:c>
      <x:c r="B2" s="551"/>
      <x:c r="C2" s="551"/>
      <x:c r="D2" s="551"/>
    </x:row>
    <x:row r="3" ht="16.649999618530273" customHeight="1">
      <x:c r="A3" s="301" t="s">
        <x:v>4671</x:v>
      </x:c>
      <x:c r="B3" s="301" t="s">
        <x:v>4672</x:v>
      </x:c>
      <x:c r="C3" s="301" t="s">
        <x:v>4673</x:v>
      </x:c>
      <x:c r="D3" s="301" t="s">
        <x:v>4674</x:v>
      </x:c>
    </x:row>
    <x:row r="4" ht="29.399999618530273" customHeight="1">
      <x:c r="A4" s="8" t="s">
        <x:v>4609</x:v>
      </x:c>
      <x:c r="B4" s="8" t="str">
        <x:v>RF001-E1</x:v>
      </x:c>
      <x:c r="C4" s="8" t="str">
        <x:v>SUSTITUIDO 28/10 · FALTAN PRUEBAS</x:v>
      </x:c>
      <x:c r="D4" s="8" t="str">
        <x:v>EF completo incorporado de 01_Elsa_3_EF_FINAL.xlsx. Anexos preservados.</x:v>
      </x:c>
    </x:row>
    <x:row r="5" ht="29.399999618530273" customHeight="1">
      <x:c r="A5" s="8" t="s">
        <x:v>4675</x:v>
      </x:c>
      <x:c r="B5" s="8" t="str">
        <x:v>RF002-E1</x:v>
      </x:c>
      <x:c r="C5" s="8" t="str">
        <x:v>SUSTITUIDO 28/10 · FALTAN PRUEBAS</x:v>
      </x:c>
      <x:c r="D5" s="8" t="str">
        <x:v>EF completo incorporado de 01_Elsa_3_EF_FINAL.xlsx. Anexos preservados.</x:v>
      </x:c>
    </x:row>
    <x:row r="6" ht="29.399999618530273" customHeight="1">
      <x:c r="A6" s="8" t="s">
        <x:v>4676</x:v>
      </x:c>
      <x:c r="B6" s="8" t="s">
        <x:v>4677</x:v>
      </x:c>
      <x:c r="C6" s="8" t="s">
        <x:v>4678</x:v>
      </x:c>
      <x:c r="D6" s="8" t="s">
        <x:v>4679</x:v>
      </x:c>
    </x:row>
    <x:row r="7" ht="29.399999618530273" customHeight="1">
      <x:c r="A7" s="8" t="s">
        <x:v>4680</x:v>
      </x:c>
      <x:c r="B7" s="8" t="s">
        <x:v>4681</x:v>
      </x:c>
      <x:c r="C7" s="8" t="str">
        <x:v>CORREGIDO 28/10 · FALTAN PRUEBAS</x:v>
      </x:c>
      <x:c r="D7" s="8" t="str">
        <x:v>Coherencia RF01/RF23 revisada a nivel EF; RF65 solo propuesta post-MVP. Consultar AUDITORIA_CONSOLIDACION.</x:v>
      </x:c>
    </x:row>
    <x:row r="8" ht="29.399999618530273" customHeight="1">
      <x:c r="A8" s="8" t="s">
        <x:v>4682</x:v>
      </x:c>
      <x:c r="B8" s="8" t="s">
        <x:v>4683</x:v>
      </x:c>
      <x:c r="C8" s="8" t="s">
        <x:v>4684</x:v>
      </x:c>
      <x:c r="D8" s="8" t="s">
        <x:v>4685</x:v>
      </x:c>
    </x:row>
    <x:row r="9" ht="29.399999618530273" customHeight="1">
      <x:c r="A9" s="8" t="s">
        <x:v>4686</x:v>
      </x:c>
      <x:c r="B9" s="8" t="str">
        <x:v>RF006-E1</x:v>
      </x:c>
      <x:c r="C9" s="8" t="str">
        <x:v>SUSTITUIDO 28/10 · FALTAN PRUEBAS</x:v>
      </x:c>
      <x:c r="D9" s="8" t="str">
        <x:v>EF completo incorporado de 01_Elsa_3_EF_FINAL.xlsx. Anexos preservados.</x:v>
      </x:c>
    </x:row>
    <x:row r="10" ht="29.399999618530273" customHeight="1">
      <x:c r="A10" s="8" t="s">
        <x:v>4687</x:v>
      </x:c>
      <x:c r="B10" s="8" t="s">
        <x:v>4688</x:v>
      </x:c>
      <x:c r="C10" s="8" t="s">
        <x:v>4689</x:v>
      </x:c>
      <x:c r="D10" s="8" t="s">
        <x:v>4690</x:v>
      </x:c>
    </x:row>
    <x:row r="11" ht="29.399999618530273" customHeight="1">
      <x:c r="A11" s="8" t="s">
        <x:v>4691</x:v>
      </x:c>
      <x:c r="B11" s="8" t="str">
        <x:v>RF008-EF1</x:v>
      </x:c>
      <x:c r="C11" s="8" t="str">
        <x:v>SUSTITUIDO 28/10 · FALTAN PRUEBAS</x:v>
      </x:c>
      <x:c r="D11" s="8" t="str">
        <x:v>EF completo incorporado de 01_Diagramas_Exitosos_Francesca_4RF_CORREGIDOS.xlsx. Anexos preservados. RF65: CONDICIONAL POST-MVP.</x:v>
      </x:c>
    </x:row>
    <x:row r="12" ht="29.399999618530273" customHeight="1">
      <x:c r="A12" s="8" t="s">
        <x:v>4692</x:v>
      </x:c>
      <x:c r="B12" s="8" t="str">
        <x:v>RF009-EF1</x:v>
      </x:c>
      <x:c r="C12" s="8" t="str">
        <x:v>SUSTITUIDO 28/10 · FALTAN PRUEBAS</x:v>
      </x:c>
      <x:c r="D12" s="8" t="str">
        <x:v>EF completo incorporado de 01_Diagramas_Exitosos_Francesca_4RF_CORREGIDOS.xlsx. Anexos preservados. RF65: CONDICIONAL POST-MVP.</x:v>
      </x:c>
    </x:row>
    <x:row r="13" ht="29.399999618530273" customHeight="1">
      <x:c r="A13" s="8" t="s">
        <x:v>4693</x:v>
      </x:c>
      <x:c r="B13" s="8" t="str">
        <x:v>RF010-EF1</x:v>
      </x:c>
      <x:c r="C13" s="8" t="str">
        <x:v>SUSTITUIDO 28/10 · FALTAN PRUEBAS</x:v>
      </x:c>
      <x:c r="D13" s="8" t="str">
        <x:v>EF completo incorporado de 01_Diagramas_Exitosos_Francesca_4RF_CORREGIDOS.xlsx. Anexos preservados. RF65: CONDICIONAL POST-MVP.</x:v>
      </x:c>
    </x:row>
    <x:row r="14" ht="29.399999618530273" customHeight="1">
      <x:c r="A14" s="8" t="s">
        <x:v>4694</x:v>
      </x:c>
      <x:c r="B14" s="8" t="s">
        <x:v>4695</x:v>
      </x:c>
      <x:c r="C14" s="8" t="s">
        <x:v>4684</x:v>
      </x:c>
      <x:c r="D14" s="8" t="str">
        <x:v>Conservar EF, sujeto a auditoría de todos los alternativos y persistencia real. | 28/10: compatibilidad RF65 documentada condicional, sin aprobación de BD.</x:v>
      </x:c>
    </x:row>
    <x:row r="15" ht="29.399999618530273" customHeight="1">
      <x:c r="A15" s="8" t="s">
        <x:v>4696</x:v>
      </x:c>
      <x:c r="B15" s="8" t="s">
        <x:v>4697</x:v>
      </x:c>
      <x:c r="C15" s="8" t="str">
        <x:v>CORREGIDO 28/10 · FALTAN PRUEBAS</x:v>
      </x:c>
      <x:c r="D15" s="8" t="str">
        <x:v>Coherencia RF01/RF23 revisada a nivel EF; RF65 solo propuesta post-MVP. Consultar AUDITORIA_CONSOLIDACION.</x:v>
      </x:c>
    </x:row>
    <x:row r="16" ht="29.399999618530273" customHeight="1">
      <x:c r="A16" s="8" t="s">
        <x:v>4698</x:v>
      </x:c>
      <x:c r="B16" s="8" t="s">
        <x:v>4699</x:v>
      </x:c>
      <x:c r="C16" s="8" t="s">
        <x:v>4684</x:v>
      </x:c>
      <x:c r="D16" s="8" t="str">
        <x:v>Conservar EF, sujeto a auditoría de todos los alternativos y persistencia real. | 28/10: compatibilidad RF65 documentada condicional, sin aprobación de BD.</x:v>
      </x:c>
    </x:row>
    <x:row r="17" ht="29.399999618530273" customHeight="1">
      <x:c r="A17" s="8" t="s">
        <x:v>4568</x:v>
      </x:c>
      <x:c r="B17" s="8" t="str">
        <x:v>RF014-EF1</x:v>
      </x:c>
      <x:c r="C17" s="8" t="str">
        <x:v>SUSTITUIDO 28/10 · FALTAN PRUEBAS</x:v>
      </x:c>
      <x:c r="D17" s="8" t="str">
        <x:v>EF completo incorporado de 01_Diagramas_Exitosos_Francesca_4RF_CORREGIDOS.xlsx. Anexos preservados. RF65: CONDICIONAL POST-MVP.</x:v>
      </x:c>
    </x:row>
    <x:row r="18" ht="29.399999618530273" customHeight="1">
      <x:c r="A18" s="8" t="s">
        <x:v>4577</x:v>
      </x:c>
      <x:c r="B18" s="8" t="s">
        <x:v>4700</x:v>
      </x:c>
      <x:c r="C18" s="8" t="s">
        <x:v>4701</x:v>
      </x:c>
      <x:c r="D18" s="8" t="str">
        <x:v>Flujos Km rediseñados con vista previa; RF15 historial de solo lectura. | 28/10: compatibilidad RF65 documentada condicional, sin aprobación de BD.</x:v>
      </x:c>
    </x:row>
    <x:row r="19" ht="29.399999618530273" customHeight="1">
      <x:c r="A19" s="8" t="s">
        <x:v>4573</x:v>
      </x:c>
      <x:c r="B19" s="8" t="s">
        <x:v>4702</x:v>
      </x:c>
      <x:c r="C19" s="8" t="str">
        <x:v>CORREGIDO 28/10 · FALTAN PRUEBAS</x:v>
      </x:c>
      <x:c r="D19" s="8" t="str">
        <x:v>Coherencia RF01/RF23 revisada a nivel EF; RF65 solo propuesta post-MVP. Consultar AUDITORIA_CONSOLIDACION.</x:v>
      </x:c>
    </x:row>
    <x:row r="20" ht="29.399999618530273" customHeight="1">
      <x:c r="A20" s="8" t="s">
        <x:v>4703</x:v>
      </x:c>
      <x:c r="B20" s="8" t="str">
        <x:v>RF17</x:v>
      </x:c>
      <x:c r="C20" s="8" t="str">
        <x:v>SUSTITUIDO 28/10 · FALTAN PRUEBAS</x:v>
      </x:c>
      <x:c r="D20" s="8" t="str">
        <x:v>EF completo incorporado de 01_Diagramas_Exitosos_Nayu_4RF_Conciliados.xlsx. Anexos preservados. RF65: CONDICIONAL POST-MVP.</x:v>
      </x:c>
    </x:row>
    <x:row r="21" ht="29.399999618530273" customHeight="1">
      <x:c r="A21" s="8" t="s">
        <x:v>4704</x:v>
      </x:c>
      <x:c r="B21" s="8" t="str">
        <x:v>RF18</x:v>
      </x:c>
      <x:c r="C21" s="8" t="str">
        <x:v>SUSTITUIDO 28/10 · FALTAN PRUEBAS</x:v>
      </x:c>
      <x:c r="D21" s="8" t="str">
        <x:v>EF completo incorporado de 01_Diagramas_Exitosos_Nayu_4RF_Conciliados.xlsx. Anexos preservados. RF65: CONDICIONAL POST-MVP.</x:v>
      </x:c>
    </x:row>
    <x:row r="22" ht="29.399999618530273" customHeight="1">
      <x:c r="A22" s="8" t="s">
        <x:v>4705</x:v>
      </x:c>
      <x:c r="B22" s="8" t="s">
        <x:v>4705</x:v>
      </x:c>
      <x:c r="C22" s="8" t="s">
        <x:v>4684</x:v>
      </x:c>
      <x:c r="D22" s="8" t="str">
        <x:v>Conservar EF, sujeto a auditoría de todos los alternativos y persistencia real. | 28/10: compatibilidad RF65 documentada condicional, sin aprobación de BD.</x:v>
      </x:c>
    </x:row>
    <x:row r="23" ht="29.399999618530273" customHeight="1">
      <x:c r="A23" s="8" t="s">
        <x:v>4706</x:v>
      </x:c>
      <x:c r="B23" s="8" t="s">
        <x:v>4706</x:v>
      </x:c>
      <x:c r="C23" s="8" t="s">
        <x:v>4684</x:v>
      </x:c>
      <x:c r="D23" s="8" t="str">
        <x:v>Conservar EF, sujeto a auditoría de todos los alternativos y persistencia real. | 28/10: compatibilidad RF65 documentada condicional, sin aprobación de BD.</x:v>
      </x:c>
    </x:row>
    <x:row r="24" ht="29.399999618530273" customHeight="1">
      <x:c r="A24" s="8" t="s">
        <x:v>4707</x:v>
      </x:c>
      <x:c r="B24" s="8" t="s">
        <x:v>4707</x:v>
      </x:c>
      <x:c r="C24" s="8" t="s">
        <x:v>4684</x:v>
      </x:c>
      <x:c r="D24" s="8" t="str">
        <x:v>Conservar EF, sujeto a auditoría de todos los alternativos y persistencia real. | 28/10: compatibilidad RF65 documentada condicional, sin aprobación de BD.</x:v>
      </x:c>
    </x:row>
    <x:row r="25" ht="29.399999618530273" customHeight="1">
      <x:c r="A25" s="8" t="s">
        <x:v>4708</x:v>
      </x:c>
      <x:c r="B25" s="8" t="str">
        <x:v>RF22</x:v>
      </x:c>
      <x:c r="C25" s="8" t="str">
        <x:v>SUSTITUIDO 28/10 · FALTAN PRUEBAS</x:v>
      </x:c>
      <x:c r="D25" s="8" t="str">
        <x:v>EF completo incorporado de 01_Diagramas_Exitosos_Nayu_4RF_Conciliados.xlsx. Anexos preservados. RF65: CONDICIONAL POST-MVP.</x:v>
      </x:c>
    </x:row>
    <x:row r="26" ht="29.399999618530273" customHeight="1">
      <x:c r="A26" s="8" t="s">
        <x:v>4709</x:v>
      </x:c>
      <x:c r="B26" s="8" t="str">
        <x:v>RF23</x:v>
      </x:c>
      <x:c r="C26" s="8" t="str">
        <x:v>SUSTITUIDO 28/10 · FALTAN PRUEBAS</x:v>
      </x:c>
      <x:c r="D26" s="8" t="str">
        <x:v>EF completo incorporado de 01_Diagramas_Exitosos_Nayu_4RF_Conciliados.xlsx. Anexos preservados. RF65: CONDICIONAL POST-MVP.</x:v>
      </x:c>
    </x:row>
    <x:row r="27" ht="29.399999618530273" customHeight="1">
      <x:c r="A27" s="8" t="s">
        <x:v>4710</x:v>
      </x:c>
      <x:c r="B27" s="8" t="s">
        <x:v>4710</x:v>
      </x:c>
      <x:c r="C27" s="8" t="s">
        <x:v>4689</x:v>
      </x:c>
      <x:c r="D27" s="8" t="str">
        <x:v>Cambios de coherencia aplicados; validar EA y modelo físico. | 28/10: compatibilidad RF65 documentada condicional, sin aprobación de BD.</x:v>
      </x:c>
    </x:row>
    <x:row r="28" ht="29.399999618530273" customHeight="1">
      <x:c r="A28" s="8" t="s">
        <x:v>4711</x:v>
      </x:c>
      <x:c r="B28" s="8" t="s">
        <x:v>4711</x:v>
      </x:c>
      <x:c r="C28" s="8" t="s">
        <x:v>4684</x:v>
      </x:c>
      <x:c r="D28" s="8" t="str">
        <x:v>Conservar EF, sujeto a auditoría de todos los alternativos y persistencia real. | 28/10: compatibilidad RF65 documentada condicional, sin aprobación de BD.</x:v>
      </x:c>
    </x:row>
    <x:row r="29" ht="29.399999618530273" customHeight="1">
      <x:c r="A29" s="8" t="s">
        <x:v>4712</x:v>
      </x:c>
      <x:c r="B29" s="8" t="s">
        <x:v>4712</x:v>
      </x:c>
      <x:c r="C29" s="8" t="s">
        <x:v>4684</x:v>
      </x:c>
      <x:c r="D29" s="8" t="str">
        <x:v>Conservar EF, sujeto a auditoría de todos los alternativos y persistencia real. | 28/10: compatibilidad RF65 documentada condicional, sin aprobación de BD.</x:v>
      </x:c>
    </x:row>
    <x:row r="30" ht="29.399999618530273" customHeight="1">
      <x:c r="A30" s="8" t="s">
        <x:v>4713</x:v>
      </x:c>
      <x:c r="B30" s="8" t="s">
        <x:v>4713</x:v>
      </x:c>
      <x:c r="C30" s="8" t="s">
        <x:v>4684</x:v>
      </x:c>
      <x:c r="D30" s="8" t="str">
        <x:v>Conservar EF, sujeto a auditoría de todos los alternativos y persistencia real. | 28/10: compatibilidad RF65 documentada condicional, sin aprobación de BD.</x:v>
      </x:c>
    </x:row>
    <x:row r="31" ht="29.399999618530273" customHeight="1">
      <x:c r="A31" s="8" t="s">
        <x:v>4714</x:v>
      </x:c>
      <x:c r="B31" s="8" t="s">
        <x:v>4715</x:v>
      </x:c>
      <x:c r="C31" s="8" t="s">
        <x:v>4684</x:v>
      </x:c>
      <x:c r="D31" s="8" t="s">
        <x:v>4685</x:v>
      </x:c>
    </x:row>
    <x:row r="32" ht="29.399999618530273" customHeight="1">
      <x:c r="A32" s="8" t="s">
        <x:v>4716</x:v>
      </x:c>
      <x:c r="B32" s="8" t="s">
        <x:v>4717</x:v>
      </x:c>
      <x:c r="C32" s="8" t="s">
        <x:v>4678</x:v>
      </x:c>
      <x:c r="D32" s="8" t="s">
        <x:v>4679</x:v>
      </x:c>
    </x:row>
    <x:row r="33" ht="29.399999618530273" customHeight="1">
      <x:c r="A33" s="8" t="s">
        <x:v>4718</x:v>
      </x:c>
      <x:c r="B33" s="8" t="s">
        <x:v>4719</x:v>
      </x:c>
      <x:c r="C33" s="8" t="s">
        <x:v>4678</x:v>
      </x:c>
      <x:c r="D33" s="8" t="str">
        <x:v>Referencias a estados/pagos, permisos, automatismos o EA originales. | 28/10: compatibilidad RF65 documentada condicional, sin aprobación de BD.</x:v>
      </x:c>
    </x:row>
    <x:row r="34" ht="29.399999618530273" customHeight="1">
      <x:c r="A34" s="8" t="s">
        <x:v>4720</x:v>
      </x:c>
      <x:c r="B34" s="8" t="s">
        <x:v>4721</x:v>
      </x:c>
      <x:c r="C34" s="8" t="s">
        <x:v>4684</x:v>
      </x:c>
      <x:c r="D34" s="8" t="str">
        <x:v>Conservar EF, sujeto a auditoría de todos los alternativos y persistencia real. | 28/10: compatibilidad RF65 documentada condicional, sin aprobación de BD.</x:v>
      </x:c>
    </x:row>
    <x:row r="35" ht="29.399999618530273" customHeight="1">
      <x:c r="A35" s="8" t="s">
        <x:v>4722</x:v>
      </x:c>
      <x:c r="B35" s="8" t="s">
        <x:v>4723</x:v>
      </x:c>
      <x:c r="C35" s="8" t="s">
        <x:v>4684</x:v>
      </x:c>
      <x:c r="D35" s="8" t="str">
        <x:v>Conservar EF, sujeto a auditoría de todos los alternativos y persistencia real. | 28/10: compatibilidad RF65 documentada condicional, sin aprobación de BD.</x:v>
      </x:c>
    </x:row>
    <x:row r="36" ht="29.399999618530273" customHeight="1">
      <x:c r="A36" s="8" t="s">
        <x:v>4724</x:v>
      </x:c>
      <x:c r="B36" s="8" t="s">
        <x:v>4725</x:v>
      </x:c>
      <x:c r="C36" s="8" t="s">
        <x:v>4684</x:v>
      </x:c>
      <x:c r="D36" s="8" t="str">
        <x:v>Conservar EF, sujeto a auditoría de todos los alternativos y persistencia real. | 28/10: compatibilidad RF65 documentada condicional, sin aprobación de BD.</x:v>
      </x:c>
    </x:row>
    <x:row r="37" ht="29.399999618530273" customHeight="1">
      <x:c r="A37" s="8" t="s">
        <x:v>4726</x:v>
      </x:c>
      <x:c r="B37" s="8" t="s">
        <x:v>4727</x:v>
      </x:c>
      <x:c r="C37" s="8" t="s">
        <x:v>4684</x:v>
      </x:c>
      <x:c r="D37" s="8" t="s">
        <x:v>4685</x:v>
      </x:c>
    </x:row>
    <x:row r="38" ht="29.399999618530273" customHeight="1">
      <x:c r="A38" s="8" t="s">
        <x:v>4728</x:v>
      </x:c>
      <x:c r="B38" s="8" t="s">
        <x:v>4729</x:v>
      </x:c>
      <x:c r="C38" s="8" t="s">
        <x:v>4684</x:v>
      </x:c>
      <x:c r="D38" s="8" t="s">
        <x:v>4685</x:v>
      </x:c>
    </x:row>
    <x:row r="39" ht="29.399999618530273" customHeight="1">
      <x:c r="A39" s="8" t="s">
        <x:v>4730</x:v>
      </x:c>
      <x:c r="B39" s="8" t="s">
        <x:v>4731</x:v>
      </x:c>
      <x:c r="C39" s="8" t="s">
        <x:v>4684</x:v>
      </x:c>
      <x:c r="D39" s="8" t="s">
        <x:v>4685</x:v>
      </x:c>
    </x:row>
    <x:row r="40" ht="29.399999618530273" customHeight="1">
      <x:c r="A40" s="8" t="s">
        <x:v>4732</x:v>
      </x:c>
      <x:c r="B40" s="8" t="s">
        <x:v>4733</x:v>
      </x:c>
      <x:c r="C40" s="8" t="s">
        <x:v>4684</x:v>
      </x:c>
      <x:c r="D40" s="8" t="s">
        <x:v>4685</x:v>
      </x:c>
    </x:row>
    <x:row r="41" ht="29.399999618530273" customHeight="1">
      <x:c r="A41" s="8" t="s">
        <x:v>4734</x:v>
      </x:c>
      <x:c r="B41" s="8" t="s">
        <x:v>4735</x:v>
      </x:c>
      <x:c r="C41" s="8" t="s">
        <x:v>4684</x:v>
      </x:c>
      <x:c r="D41" s="8" t="s">
        <x:v>4685</x:v>
      </x:c>
    </x:row>
    <x:row r="42" ht="29.399999618530273" customHeight="1">
      <x:c r="A42" s="8" t="s">
        <x:v>4736</x:v>
      </x:c>
      <x:c r="B42" s="8" t="s">
        <x:v>4737</x:v>
      </x:c>
      <x:c r="C42" s="8" t="s">
        <x:v>4684</x:v>
      </x:c>
      <x:c r="D42" s="8" t="s">
        <x:v>4685</x:v>
      </x:c>
    </x:row>
    <x:row r="43" ht="29.399999618530273" customHeight="1">
      <x:c r="A43" s="8" t="s">
        <x:v>4738</x:v>
      </x:c>
      <x:c r="B43" s="8" t="s">
        <x:v>4739</x:v>
      </x:c>
      <x:c r="C43" s="8" t="s">
        <x:v>4684</x:v>
      </x:c>
      <x:c r="D43" s="8" t="s">
        <x:v>4685</x:v>
      </x:c>
    </x:row>
    <x:row r="44" ht="29.399999618530273" customHeight="1">
      <x:c r="A44" s="8" t="s">
        <x:v>4740</x:v>
      </x:c>
      <x:c r="B44" s="8" t="s">
        <x:v>4741</x:v>
      </x:c>
      <x:c r="C44" s="8" t="s">
        <x:v>4684</x:v>
      </x:c>
      <x:c r="D44" s="8" t="s">
        <x:v>4685</x:v>
      </x:c>
    </x:row>
    <x:row r="45" ht="29.399999618530273" customHeight="1">
      <x:c r="A45" s="8" t="s">
        <x:v>4742</x:v>
      </x:c>
      <x:c r="B45" s="8" t="s">
        <x:v>4743</x:v>
      </x:c>
      <x:c r="C45" s="8" t="s">
        <x:v>4684</x:v>
      </x:c>
      <x:c r="D45" s="8" t="s">
        <x:v>4685</x:v>
      </x:c>
    </x:row>
    <x:row r="46" ht="29.399999618530273" customHeight="1">
      <x:c r="A46" s="8" t="s">
        <x:v>4744</x:v>
      </x:c>
      <x:c r="B46" s="8" t="s">
        <x:v>4745</x:v>
      </x:c>
      <x:c r="C46" s="8" t="s">
        <x:v>4684</x:v>
      </x:c>
      <x:c r="D46" s="8" t="s">
        <x:v>4685</x:v>
      </x:c>
    </x:row>
    <x:row r="47" ht="29.399999618530273" customHeight="1">
      <x:c r="A47" s="8" t="s">
        <x:v>4746</x:v>
      </x:c>
      <x:c r="B47" s="8" t="s">
        <x:v>4747</x:v>
      </x:c>
      <x:c r="C47" s="8" t="s">
        <x:v>4678</x:v>
      </x:c>
      <x:c r="D47" s="8" t="str">
        <x:v>Referencias a estados/pagos, permisos, automatismos o EA originales. | 28/10: compatibilidad RF65 documentada condicional, sin aprobación de BD.</x:v>
      </x:c>
    </x:row>
    <x:row r="48" ht="29.399999618530273" customHeight="1">
      <x:c r="A48" s="8" t="s">
        <x:v>4748</x:v>
      </x:c>
      <x:c r="B48" s="8" t="s">
        <x:v>4749</x:v>
      </x:c>
      <x:c r="C48" s="8" t="s">
        <x:v>4684</x:v>
      </x:c>
      <x:c r="D48" s="8" t="str">
        <x:v>Conservar EF, sujeto a auditoría de todos los alternativos y persistencia real. | 28/10: compatibilidad RF65 documentada condicional, sin aprobación de BD.</x:v>
      </x:c>
    </x:row>
    <x:row r="49" ht="29.399999618530273" customHeight="1">
      <x:c r="A49" s="8" t="s">
        <x:v>4750</x:v>
      </x:c>
      <x:c r="B49" s="8" t="s">
        <x:v>4751</x:v>
      </x:c>
      <x:c r="C49" s="8" t="s">
        <x:v>4689</x:v>
      </x:c>
      <x:c r="D49" s="8" t="str">
        <x:v>Cambios de coherencia aplicados; validar EA y modelo físico. | 28/10: compatibilidad RF65 documentada condicional, sin aprobación de BD.</x:v>
      </x:c>
    </x:row>
    <x:row r="50" ht="29.399999618530273" customHeight="1">
      <x:c r="A50" s="8" t="s">
        <x:v>4752</x:v>
      </x:c>
      <x:c r="B50" s="8" t="s">
        <x:v>4753</x:v>
      </x:c>
      <x:c r="C50" s="8" t="s">
        <x:v>4689</x:v>
      </x:c>
      <x:c r="D50" s="8" t="str">
        <x:v>Cambios de coherencia aplicados; validar EA y modelo físico. | 28/10: compatibilidad RF65 documentada condicional, sin aprobación de BD.</x:v>
      </x:c>
    </x:row>
    <x:row r="51" ht="29.399999618530273" customHeight="1">
      <x:c r="A51" s="8" t="s">
        <x:v>4754</x:v>
      </x:c>
      <x:c r="B51" s="8" t="s">
        <x:v>4755</x:v>
      </x:c>
      <x:c r="C51" s="8" t="s">
        <x:v>4689</x:v>
      </x:c>
      <x:c r="D51" s="8" t="str">
        <x:v>Cambios de coherencia aplicados; validar EA y modelo físico. | 28/10: compatibilidad RF65 documentada condicional, sin aprobación de BD.</x:v>
      </x:c>
    </x:row>
    <x:row r="52" ht="29.399999618530273" customHeight="1">
      <x:c r="A52" s="8" t="s">
        <x:v>4756</x:v>
      </x:c>
      <x:c r="B52" s="8" t="s">
        <x:v>4757</x:v>
      </x:c>
      <x:c r="C52" s="8" t="s">
        <x:v>4689</x:v>
      </x:c>
      <x:c r="D52" s="8" t="str">
        <x:v>Cambios de coherencia aplicados; validar EA y modelo físico. | 28/10: compatibilidad RF65 documentada condicional, sin aprobación de BD.</x:v>
      </x:c>
    </x:row>
    <x:row r="53" ht="29.399999618530273" customHeight="1">
      <x:c r="A53" s="8" t="s">
        <x:v>4758</x:v>
      </x:c>
      <x:c r="B53" s="8" t="s">
        <x:v>4759</x:v>
      </x:c>
      <x:c r="C53" s="8" t="str">
        <x:v>CORREGIDO 28/10 · FALTAN PRUEBAS</x:v>
      </x:c>
      <x:c r="D53" s="8" t="str">
        <x:v>Coherencia RF01/RF23 revisada a nivel EF; RF65 solo propuesta post-MVP. Consultar AUDITORIA_CONSOLIDACION.</x:v>
      </x:c>
    </x:row>
    <x:row r="54" ht="29.399999618530273" customHeight="1">
      <x:c r="A54" s="8" t="s">
        <x:v>4760</x:v>
      </x:c>
      <x:c r="B54" s="8" t="s">
        <x:v>4761</x:v>
      </x:c>
      <x:c r="C54" s="8" t="s">
        <x:v>4689</x:v>
      </x:c>
      <x:c r="D54" s="8" t="s">
        <x:v>4690</x:v>
      </x:c>
    </x:row>
    <x:row r="55" ht="29.399999618530273" customHeight="1">
      <x:c r="A55" s="8" t="s">
        <x:v>4762</x:v>
      </x:c>
      <x:c r="B55" s="8" t="s">
        <x:v>4763</x:v>
      </x:c>
      <x:c r="C55" s="8" t="s">
        <x:v>4689</x:v>
      </x:c>
      <x:c r="D55" s="8" t="s">
        <x:v>4690</x:v>
      </x:c>
    </x:row>
    <x:row r="56" ht="29.399999618530273" customHeight="1">
      <x:c r="A56" s="8" t="s">
        <x:v>4764</x:v>
      </x:c>
      <x:c r="B56" s="8" t="s">
        <x:v>4765</x:v>
      </x:c>
      <x:c r="C56" s="8" t="s">
        <x:v>4766</x:v>
      </x:c>
      <x:c r="D56" s="8" t="s">
        <x:v>4767</x:v>
      </x:c>
    </x:row>
    <x:row r="57" ht="29.399999618530273" customHeight="1">
      <x:c r="A57" s="8" t="s">
        <x:v>4768</x:v>
      </x:c>
      <x:c r="B57" s="8" t="s">
        <x:v>4769</x:v>
      </x:c>
      <x:c r="C57" s="8" t="s">
        <x:v>4689</x:v>
      </x:c>
      <x:c r="D57" s="8" t="str">
        <x:v>Cambios de coherencia aplicados; validar EA y modelo físico. | 28/10: compatibilidad RF65 documentada condicional, sin aprobación de BD.</x:v>
      </x:c>
    </x:row>
    <x:row r="58" ht="29.399999618530273" customHeight="1">
      <x:c r="A58" s="8" t="s">
        <x:v>4770</x:v>
      </x:c>
      <x:c r="B58" s="8" t="s">
        <x:v>4771</x:v>
      </x:c>
      <x:c r="C58" s="8" t="s">
        <x:v>4689</x:v>
      </x:c>
      <x:c r="D58" s="8" t="str">
        <x:v>Cambios de coherencia aplicados; validar EA y modelo físico. | 28/10: compatibilidad RF65 documentada condicional, sin aprobación de BD.</x:v>
      </x:c>
    </x:row>
    <x:row r="59" ht="29.399999618530273" customHeight="1">
      <x:c r="A59" s="8" t="s">
        <x:v>4772</x:v>
      </x:c>
      <x:c r="B59" s="8" t="s">
        <x:v>4773</x:v>
      </x:c>
      <x:c r="C59" s="8" t="s">
        <x:v>4684</x:v>
      </x:c>
      <x:c r="D59" s="8" t="str">
        <x:v>Conservar EF, sujeto a auditoría de todos los alternativos y persistencia real. | 28/10: compatibilidad RF65 documentada condicional, sin aprobación de BD.</x:v>
      </x:c>
    </x:row>
    <x:row r="60" ht="29.399999618530273" customHeight="1">
      <x:c r="A60" s="8" t="s">
        <x:v>4774</x:v>
      </x:c>
      <x:c r="B60" s="8" t="s">
        <x:v>4775</x:v>
      </x:c>
      <x:c r="C60" s="8" t="s">
        <x:v>4684</x:v>
      </x:c>
      <x:c r="D60" s="8" t="s">
        <x:v>4685</x:v>
      </x:c>
    </x:row>
    <x:row r="61" ht="29.399999618530273" customHeight="1">
      <x:c r="A61" s="8" t="s">
        <x:v>4776</x:v>
      </x:c>
      <x:c r="B61" s="8" t="s">
        <x:v>4777</x:v>
      </x:c>
      <x:c r="C61" s="8" t="s">
        <x:v>4689</x:v>
      </x:c>
      <x:c r="D61" s="8" t="s">
        <x:v>4690</x:v>
      </x:c>
    </x:row>
    <x:row r="62" ht="29.399999618530273" customHeight="1">
      <x:c r="A62" s="8" t="s">
        <x:v>4778</x:v>
      </x:c>
      <x:c r="B62" s="8" t="s">
        <x:v>4779</x:v>
      </x:c>
      <x:c r="C62" s="8" t="s">
        <x:v>4689</x:v>
      </x:c>
      <x:c r="D62" s="8" t="s">
        <x:v>4690</x:v>
      </x:c>
    </x:row>
    <x:row r="63" ht="29.399999618530273" customHeight="1">
      <x:c r="A63" s="8" t="s">
        <x:v>4780</x:v>
      </x:c>
      <x:c r="B63" s="8" t="s">
        <x:v>4781</x:v>
      </x:c>
      <x:c r="C63" s="8" t="s">
        <x:v>4678</x:v>
      </x:c>
      <x:c r="D63" s="8" t="s">
        <x:v>4679</x:v>
      </x:c>
    </x:row>
    <x:row r="64" ht="29.399999618530273" customHeight="1">
      <x:c r="A64" s="8" t="s">
        <x:v>4782</x:v>
      </x:c>
      <x:c r="B64" s="8" t="s">
        <x:v>4783</x:v>
      </x:c>
      <x:c r="C64" s="8" t="s">
        <x:v>4678</x:v>
      </x:c>
      <x:c r="D64" s="8" t="s">
        <x:v>4679</x:v>
      </x:c>
    </x:row>
    <x:row r="65" ht="29.399999618530273" customHeight="1">
      <x:c r="A65" s="8" t="s">
        <x:v>4784</x:v>
      </x:c>
      <x:c r="B65" s="8" t="s">
        <x:v>4785</x:v>
      </x:c>
      <x:c r="C65" s="8" t="s">
        <x:v>4689</x:v>
      </x:c>
      <x:c r="D65" s="8" t="s">
        <x:v>4690</x:v>
      </x:c>
    </x:row>
    <x:row r="66" ht="29.399999618530273" customHeight="1">
      <x:c r="A66" s="8" t="s">
        <x:v>4786</x:v>
      </x:c>
      <x:c r="B66" s="8" t="s">
        <x:v>4787</x:v>
      </x:c>
      <x:c r="C66" s="8" t="s">
        <x:v>4678</x:v>
      </x:c>
      <x:c r="D66" s="8" t="s">
        <x:v>4679</x:v>
      </x:c>
    </x:row>
    <x:row r="67" ht="29.399999618530273" customHeight="1">
      <x:c r="A67" s="8" t="s">
        <x:v>4788</x:v>
      </x:c>
      <x:c r="B67" s="8" t="s">
        <x:v>4789</x:v>
      </x:c>
      <x:c r="C67" s="8" t="s">
        <x:v>4678</x:v>
      </x:c>
      <x:c r="D67" s="8" t="s">
        <x:v>4679</x:v>
      </x:c>
    </x:row>
    <x:row r="68">
      <x:c r="A68" s="1532" t="str">
        <x:v>RF65</x:v>
      </x:c>
      <x:c r="B68" s="1532" t="str">
        <x:v>01_RF065_EF1</x:v>
      </x:c>
      <x:c r="C68" s="1532" t="str">
        <x:v>PROPUESTA POST-MVP · NO APROBADO</x:v>
      </x:c>
      <x:c r="D68" s="1532" t="str">
        <x:v>13 EA + 20 RN + anexos. Es necesario aprobar borrado lógico, principal, liberación placa/VIN, retención y migración antes de implementar.</x:v>
      </x:c>
    </x:row>
  </x:sheetData>
  <x:mergeCells>
    <x:mergeCell ref="A1:D1"/>
    <x:mergeCell ref="A2:D2"/>
  </x:mergeCells>
  <x:pageMargins left="0.7" right="0.7" top="0.75" bottom="0.75" header="0.3" footer="0.3"/>
</x:worksheet>
</file>

<file path=xl/worksheets/sheet88.xml><?xml version="1.0" encoding="utf-8"?>
<x:worksheet xmlns:x="http://schemas.openxmlformats.org/spreadsheetml/2006/main">
  <x:sheetFormatPr baseColWidth="10" defaultColWidth="8.88671875" defaultRowHeight="14.399999618530273"/>
  <x:cols>
    <x:col min="1" max="1" width="33" customWidth="1"/>
    <x:col min="2" max="2" width="19" customWidth="1"/>
    <x:col min="3" max="3" width="68" customWidth="1"/>
    <x:col min="4" max="4" width="90" customWidth="1"/>
    <x:col min="5" max="5" width="71" customWidth="1"/>
    <x:col min="6" max="6" width="33" customWidth="1"/>
  </x:cols>
  <x:sheetData>
    <x:row r="1" ht="19.799999237060547" customHeight="1">
      <x:c r="A1" s="550" t="s">
        <x:v>4790</x:v>
      </x:c>
      <x:c r="B1" s="550"/>
      <x:c r="C1" s="550"/>
      <x:c r="D1" s="550"/>
      <x:c r="E1" s="550"/>
      <x:c r="F1" s="550"/>
    </x:row>
    <x:row r="2" ht="19.200000762939453" customHeight="1">
      <x:c r="A2" s="551" t="s">
        <x:v>4791</x:v>
      </x:c>
      <x:c r="B2" s="551"/>
      <x:c r="C2" s="551"/>
      <x:c r="D2" s="551"/>
      <x:c r="E2" s="551"/>
      <x:c r="F2" s="551"/>
    </x:row>
    <x:row r="3" ht="16.649999618530273" customHeight="1">
      <x:c r="A3" s="301" t="s">
        <x:v>4792</x:v>
      </x:c>
      <x:c r="B3" s="301" t="s">
        <x:v>4793</x:v>
      </x:c>
      <x:c r="C3" s="301" t="s">
        <x:v>4794</x:v>
      </x:c>
      <x:c r="D3" s="301" t="s">
        <x:v>4795</x:v>
      </x:c>
      <x:c r="E3" s="301" t="s">
        <x:v>4796</x:v>
      </x:c>
      <x:c r="F3" s="301" t="s">
        <x:v>4797</x:v>
      </x:c>
    </x:row>
    <x:row r="4" ht="29.399999618530273" customHeight="1">
      <x:c r="A4" s="8" t="s">
        <x:v>4798</x:v>
      </x:c>
      <x:c r="B4" s="8" t="s">
        <x:v>4799</x:v>
      </x:c>
      <x:c r="C4" s="8" t="s">
        <x:v>4800</x:v>
      </x:c>
      <x:c r="D4" s="8" t="s">
        <x:v>4801</x:v>
      </x:c>
      <x:c r="E4" s="8" t="s">
        <x:v>4802</x:v>
      </x:c>
      <x:c r="F4" s="8" t="s">
        <x:v>4803</x:v>
      </x:c>
    </x:row>
    <x:row r="5" ht="29.399999618530273" customHeight="1">
      <x:c r="A5" s="8" t="s">
        <x:v>4702</x:v>
      </x:c>
      <x:c r="B5" s="8" t="s">
        <x:v>4799</x:v>
      </x:c>
      <x:c r="C5" s="8" t="s">
        <x:v>4800</x:v>
      </x:c>
      <x:c r="D5" s="8" t="s">
        <x:v>4804</x:v>
      </x:c>
      <x:c r="E5" s="8" t="s">
        <x:v>4802</x:v>
      </x:c>
      <x:c r="F5" s="8" t="s">
        <x:v>4803</x:v>
      </x:c>
    </x:row>
    <x:row r="6" ht="29.399999618530273" customHeight="1">
      <x:c r="A6" s="8" t="s">
        <x:v>4700</x:v>
      </x:c>
      <x:c r="B6" s="8" t="s">
        <x:v>3507</x:v>
      </x:c>
      <x:c r="C6" s="8" t="s">
        <x:v>4805</x:v>
      </x:c>
      <x:c r="D6" s="8" t="s">
        <x:v>997</x:v>
      </x:c>
      <x:c r="E6" s="8" t="s">
        <x:v>4806</x:v>
      </x:c>
      <x:c r="F6" s="8" t="s">
        <x:v>4807</x:v>
      </x:c>
    </x:row>
    <x:row r="7" ht="29.399999618530273" customHeight="1">
      <x:c r="A7" s="8" t="s">
        <x:v>4700</x:v>
      </x:c>
      <x:c r="B7" s="8" t="s">
        <x:v>4808</x:v>
      </x:c>
      <x:c r="C7" s="8" t="s">
        <x:v>4809</x:v>
      </x:c>
      <x:c r="D7" s="8" t="s">
        <x:v>1038</x:v>
      </x:c>
      <x:c r="E7" s="8" t="s">
        <x:v>4810</x:v>
      </x:c>
      <x:c r="F7" s="8" t="s">
        <x:v>4573</x:v>
      </x:c>
    </x:row>
    <x:row r="8" ht="29.399999618530273" customHeight="1">
      <x:c r="A8" s="8" t="s">
        <x:v>4700</x:v>
      </x:c>
      <x:c r="B8" s="8" t="s">
        <x:v>4811</x:v>
      </x:c>
      <x:c r="C8" s="8" t="s">
        <x:v>4812</x:v>
      </x:c>
      <x:c r="D8" s="8" t="s">
        <x:v>1088</x:v>
      </x:c>
      <x:c r="E8" s="8" t="s">
        <x:v>4810</x:v>
      </x:c>
      <x:c r="F8" s="8" t="s">
        <x:v>4573</x:v>
      </x:c>
    </x:row>
    <x:row r="9" ht="29.399999618530273" customHeight="1">
      <x:c r="A9" s="8" t="s">
        <x:v>4765</x:v>
      </x:c>
      <x:c r="B9" s="8" t="s">
        <x:v>4813</x:v>
      </x:c>
      <x:c r="C9" s="8" t="s">
        <x:v>4814</x:v>
      </x:c>
      <x:c r="D9" s="8" t="s">
        <x:v>4815</x:v>
      </x:c>
      <x:c r="E9" s="8" t="s">
        <x:v>4816</x:v>
      </x:c>
      <x:c r="F9" s="8" t="s">
        <x:v>4817</x:v>
      </x:c>
    </x:row>
    <x:row r="10" ht="29.399999618530273" customHeight="1">
      <x:c r="A10" s="8" t="s">
        <x:v>4688</x:v>
      </x:c>
      <x:c r="B10" s="8" t="s">
        <x:v>4818</x:v>
      </x:c>
      <x:c r="C10" s="8" t="s">
        <x:v>274</x:v>
      </x:c>
      <x:c r="D10" s="8" t="s">
        <x:v>50</x:v>
      </x:c>
      <x:c r="E10" s="8" t="s">
        <x:v>4819</x:v>
      </x:c>
      <x:c r="F10" s="8" t="s">
        <x:v>4687</x:v>
      </x:c>
    </x:row>
    <x:row r="11" ht="29.399999618530273" customHeight="1">
      <x:c r="A11" s="8" t="s">
        <x:v>4688</x:v>
      </x:c>
      <x:c r="B11" s="8" t="s">
        <x:v>4820</x:v>
      </x:c>
      <x:c r="C11" s="8" t="s">
        <x:v>50</x:v>
      </x:c>
      <x:c r="D11" s="8" t="s">
        <x:v>303</x:v>
      </x:c>
      <x:c r="E11" s="8" t="s">
        <x:v>4819</x:v>
      </x:c>
      <x:c r="F11" s="8" t="s">
        <x:v>4687</x:v>
      </x:c>
    </x:row>
    <x:row r="12" ht="29.399999618530273" customHeight="1">
      <x:c r="A12" s="8" t="s">
        <x:v>4688</x:v>
      </x:c>
      <x:c r="B12" s="8" t="s">
        <x:v>4821</x:v>
      </x:c>
      <x:c r="C12" s="8" t="s">
        <x:v>274</x:v>
      </x:c>
      <x:c r="D12" s="8" t="s">
        <x:v>71</x:v>
      </x:c>
      <x:c r="E12" s="8" t="s">
        <x:v>4819</x:v>
      </x:c>
      <x:c r="F12" s="8" t="s">
        <x:v>4687</x:v>
      </x:c>
    </x:row>
    <x:row r="13" ht="29.399999618530273" customHeight="1">
      <x:c r="A13" s="8" t="s">
        <x:v>4688</x:v>
      </x:c>
      <x:c r="B13" s="8" t="s">
        <x:v>4822</x:v>
      </x:c>
      <x:c r="C13" s="8" t="s">
        <x:v>274</x:v>
      </x:c>
      <x:c r="D13" s="8" t="s">
        <x:v>303</x:v>
      </x:c>
      <x:c r="E13" s="8" t="s">
        <x:v>4823</x:v>
      </x:c>
      <x:c r="F13" s="8" t="s">
        <x:v>4687</x:v>
      </x:c>
    </x:row>
    <x:row r="14" ht="29.399999618530273" customHeight="1">
      <x:c r="A14" s="8" t="s">
        <x:v>4688</x:v>
      </x:c>
      <x:c r="B14" s="8" t="s">
        <x:v>4824</x:v>
      </x:c>
      <x:c r="C14" s="8" t="s">
        <x:v>4825</x:v>
      </x:c>
      <x:c r="D14" s="8" t="s">
        <x:v>303</x:v>
      </x:c>
      <x:c r="E14" s="8" t="s">
        <x:v>4819</x:v>
      </x:c>
      <x:c r="F14" s="8" t="s">
        <x:v>4687</x:v>
      </x:c>
    </x:row>
    <x:row r="15" ht="29.399999618530273" customHeight="1">
      <x:c r="A15" s="8" t="s">
        <x:v>4688</x:v>
      </x:c>
      <x:c r="B15" s="8" t="s">
        <x:v>4826</x:v>
      </x:c>
      <x:c r="C15" s="8" t="s">
        <x:v>71</x:v>
      </x:c>
      <x:c r="D15" s="8" t="s">
        <x:v>320</x:v>
      </x:c>
      <x:c r="E15" s="8" t="s">
        <x:v>4819</x:v>
      </x:c>
      <x:c r="F15" s="8" t="s">
        <x:v>4687</x:v>
      </x:c>
    </x:row>
    <x:row r="16" ht="29.399999618530273" customHeight="1">
      <x:c r="A16" s="8" t="s">
        <x:v>4827</x:v>
      </x:c>
      <x:c r="B16" s="8" t="s">
        <x:v>3507</x:v>
      </x:c>
      <x:c r="C16" s="8" t="s">
        <x:v>4828</x:v>
      </x:c>
      <x:c r="D16" s="8" t="s">
        <x:v>4829</x:v>
      </x:c>
      <x:c r="E16" s="8" t="s">
        <x:v>4830</x:v>
      </x:c>
      <x:c r="F16" s="8" t="s">
        <x:v>4831</x:v>
      </x:c>
    </x:row>
    <x:row r="17" ht="29.399999618530273" customHeight="1">
      <x:c r="A17" s="8" t="s">
        <x:v>4827</x:v>
      </x:c>
      <x:c r="B17" s="8" t="s">
        <x:v>4832</x:v>
      </x:c>
      <x:c r="C17" s="8" t="s">
        <x:v>4833</x:v>
      </x:c>
      <x:c r="D17" s="8" t="s">
        <x:v>3686</x:v>
      </x:c>
      <x:c r="E17" s="8" t="s">
        <x:v>4830</x:v>
      </x:c>
      <x:c r="F17" s="8" t="s">
        <x:v>4831</x:v>
      </x:c>
    </x:row>
    <x:row r="18" ht="29.399999618530273" customHeight="1">
      <x:c r="A18" s="8" t="s">
        <x:v>4777</x:v>
      </x:c>
      <x:c r="B18" s="8" t="s">
        <x:v>4834</x:v>
      </x:c>
      <x:c r="C18" s="8" t="s">
        <x:v>4835</x:v>
      </x:c>
      <x:c r="D18" s="8" t="s">
        <x:v>3556</x:v>
      </x:c>
      <x:c r="E18" s="8" t="s">
        <x:v>4836</x:v>
      </x:c>
      <x:c r="F18" s="8" t="s">
        <x:v>4837</x:v>
      </x:c>
    </x:row>
    <x:row r="19" ht="29.399999618530273" customHeight="1">
      <x:c r="A19" s="8" t="s">
        <x:v>4838</x:v>
      </x:c>
      <x:c r="B19" s="8" t="s">
        <x:v>4839</x:v>
      </x:c>
      <x:c r="C19" s="8" t="s">
        <x:v>4840</x:v>
      </x:c>
      <x:c r="D19" s="8" t="s">
        <x:v>3705</x:v>
      </x:c>
      <x:c r="E19" s="8" t="s">
        <x:v>4841</x:v>
      </x:c>
      <x:c r="F19" s="8" t="s">
        <x:v>4837</x:v>
      </x:c>
    </x:row>
    <x:row r="20" ht="29.399999618530273" customHeight="1">
      <x:c r="A20" s="8" t="s">
        <x:v>4827</x:v>
      </x:c>
      <x:c r="B20" s="8" t="s">
        <x:v>4842</x:v>
      </x:c>
      <x:c r="C20" s="8" t="s">
        <x:v>4843</x:v>
      </x:c>
      <x:c r="D20" s="8" t="s">
        <x:v>3684</x:v>
      </x:c>
      <x:c r="E20" s="8" t="s">
        <x:v>4844</x:v>
      </x:c>
      <x:c r="F20" s="8" t="s">
        <x:v>4845</x:v>
      </x:c>
    </x:row>
    <x:row r="21" ht="29.399999618530273" customHeight="1">
      <x:c r="A21" s="8" t="s">
        <x:v>4827</x:v>
      </x:c>
      <x:c r="B21" s="8" t="s">
        <x:v>3507</x:v>
      </x:c>
      <x:c r="C21" s="8" t="s">
        <x:v>4829</x:v>
      </x:c>
      <x:c r="D21" s="8" t="s">
        <x:v>3676</x:v>
      </x:c>
      <x:c r="E21" s="8" t="s">
        <x:v>4846</x:v>
      </x:c>
      <x:c r="F21" s="8" t="s">
        <x:v>4831</x:v>
      </x:c>
    </x:row>
    <x:row r="22" ht="29.399999618530273" customHeight="1">
      <x:c r="A22" s="8" t="s">
        <x:v>4777</x:v>
      </x:c>
      <x:c r="B22" s="8" t="s">
        <x:v>3507</x:v>
      </x:c>
      <x:c r="C22" s="8" t="s">
        <x:v>4847</x:v>
      </x:c>
      <x:c r="D22" s="8" t="s">
        <x:v>3514</x:v>
      </x:c>
      <x:c r="E22" s="8" t="s">
        <x:v>4846</x:v>
      </x:c>
      <x:c r="F22" s="8" t="s">
        <x:v>4831</x:v>
      </x:c>
    </x:row>
    <x:row r="23" ht="29.399999618530273" customHeight="1">
      <x:c r="A23" s="8" t="s">
        <x:v>4827</x:v>
      </x:c>
      <x:c r="B23" s="8" t="s">
        <x:v>4848</x:v>
      </x:c>
      <x:c r="C23" s="8" t="s">
        <x:v>4849</x:v>
      </x:c>
      <x:c r="D23" s="8" t="s">
        <x:v>3694</x:v>
      </x:c>
      <x:c r="E23" s="8" t="s">
        <x:v>4850</x:v>
      </x:c>
      <x:c r="F23" s="8" t="s">
        <x:v>4831</x:v>
      </x:c>
    </x:row>
    <x:row r="24" ht="29.399999618530273" customHeight="1">
      <x:c r="A24" s="8" t="s">
        <x:v>4827</x:v>
      </x:c>
      <x:c r="B24" s="8" t="s">
        <x:v>4851</x:v>
      </x:c>
      <x:c r="C24" s="8" t="s">
        <x:v>4852</x:v>
      </x:c>
      <x:c r="D24" s="8" t="s">
        <x:v>3695</x:v>
      </x:c>
      <x:c r="E24" s="8" t="s">
        <x:v>4850</x:v>
      </x:c>
      <x:c r="F24" s="8" t="s">
        <x:v>4831</x:v>
      </x:c>
    </x:row>
    <x:row r="25" ht="29.399999618530273" customHeight="1">
      <x:c r="A25" s="8" t="s">
        <x:v>4827</x:v>
      </x:c>
      <x:c r="B25" s="8" t="s">
        <x:v>4853</x:v>
      </x:c>
      <x:c r="C25" s="8" t="s">
        <x:v>4854</x:v>
      </x:c>
      <x:c r="D25" s="8" t="s">
        <x:v>3698</x:v>
      </x:c>
      <x:c r="E25" s="8" t="s">
        <x:v>4850</x:v>
      </x:c>
      <x:c r="F25" s="8" t="s">
        <x:v>4831</x:v>
      </x:c>
    </x:row>
    <x:row r="26" ht="29.399999618530273" customHeight="1">
      <x:c r="A26" s="8" t="s">
        <x:v>4827</x:v>
      </x:c>
      <x:c r="B26" s="8" t="s">
        <x:v>4855</x:v>
      </x:c>
      <x:c r="C26" s="8" t="s">
        <x:v>4856</x:v>
      </x:c>
      <x:c r="D26" s="8" t="s">
        <x:v>3699</x:v>
      </x:c>
      <x:c r="E26" s="8" t="s">
        <x:v>4850</x:v>
      </x:c>
      <x:c r="F26" s="8" t="s">
        <x:v>4831</x:v>
      </x:c>
    </x:row>
    <x:row r="27" ht="29.399999618530273" customHeight="1">
      <x:c r="A27" s="8" t="s">
        <x:v>4857</x:v>
      </x:c>
      <x:c r="B27" s="8" t="s">
        <x:v>4842</x:v>
      </x:c>
      <x:c r="C27" s="8" t="s">
        <x:v>4858</x:v>
      </x:c>
      <x:c r="D27" s="8" t="s">
        <x:v>4859</x:v>
      </x:c>
      <x:c r="E27" s="8" t="s">
        <x:v>4860</x:v>
      </x:c>
      <x:c r="F27" s="8" t="s">
        <x:v>4861</x:v>
      </x:c>
    </x:row>
    <x:row r="28" ht="29.399999618530273" customHeight="1">
      <x:c r="A28" s="8" t="s">
        <x:v>4857</x:v>
      </x:c>
      <x:c r="B28" s="8" t="s">
        <x:v>4862</x:v>
      </x:c>
      <x:c r="C28" s="8" t="s">
        <x:v>4863</x:v>
      </x:c>
      <x:c r="D28" s="8" t="s">
        <x:v>4864</x:v>
      </x:c>
      <x:c r="E28" s="8" t="s">
        <x:v>4860</x:v>
      </x:c>
      <x:c r="F28" s="8" t="s">
        <x:v>4861</x:v>
      </x:c>
    </x:row>
    <x:row r="29" ht="29.399999618530273" customHeight="1">
      <x:c r="A29" s="8" t="s">
        <x:v>4857</x:v>
      </x:c>
      <x:c r="B29" s="8" t="s">
        <x:v>4865</x:v>
      </x:c>
      <x:c r="C29" s="8" t="s">
        <x:v>4866</x:v>
      </x:c>
      <x:c r="D29" s="8" t="s">
        <x:v>4867</x:v>
      </x:c>
      <x:c r="E29" s="8" t="s">
        <x:v>4860</x:v>
      </x:c>
      <x:c r="F29" s="8" t="s">
        <x:v>4861</x:v>
      </x:c>
    </x:row>
    <x:row r="30" ht="29.399999618530273" customHeight="1">
      <x:c r="A30" s="8" t="s">
        <x:v>4703</x:v>
      </x:c>
      <x:c r="B30" s="8" t="s">
        <x:v>4868</x:v>
      </x:c>
      <x:c r="C30" s="8" t="s">
        <x:v>4869</x:v>
      </x:c>
      <x:c r="D30" s="8" t="s">
        <x:v>4870</x:v>
      </x:c>
      <x:c r="E30" s="8" t="s">
        <x:v>4871</x:v>
      </x:c>
      <x:c r="F30" s="8" t="s">
        <x:v>4872</x:v>
      </x:c>
    </x:row>
    <x:row r="31" ht="29.399999618530273" customHeight="1">
      <x:c r="A31" s="8" t="s">
        <x:v>4703</x:v>
      </x:c>
      <x:c r="B31" s="8" t="s">
        <x:v>4873</x:v>
      </x:c>
      <x:c r="C31" s="8" t="s">
        <x:v>4874</x:v>
      </x:c>
      <x:c r="D31" s="8" t="s">
        <x:v>4875</x:v>
      </x:c>
      <x:c r="E31" s="8" t="s">
        <x:v>4871</x:v>
      </x:c>
      <x:c r="F31" s="8" t="s">
        <x:v>4872</x:v>
      </x:c>
    </x:row>
    <x:row r="32" ht="29.399999618530273" customHeight="1">
      <x:c r="A32" s="8" t="s">
        <x:v>4708</x:v>
      </x:c>
      <x:c r="B32" s="8" t="s">
        <x:v>3507</x:v>
      </x:c>
      <x:c r="C32" s="8" t="s">
        <x:v>4876</x:v>
      </x:c>
      <x:c r="D32" s="8" t="s">
        <x:v>4877</x:v>
      </x:c>
      <x:c r="E32" s="8" t="s">
        <x:v>4871</x:v>
      </x:c>
      <x:c r="F32" s="8" t="s">
        <x:v>4872</x:v>
      </x:c>
    </x:row>
    <x:row r="33" ht="29.399999618530273" customHeight="1">
      <x:c r="A33" s="8" t="s">
        <x:v>4708</x:v>
      </x:c>
      <x:c r="B33" s="8" t="s">
        <x:v>4878</x:v>
      </x:c>
      <x:c r="C33" s="8" t="s">
        <x:v>4879</x:v>
      </x:c>
      <x:c r="D33" s="8" t="s">
        <x:v>4880</x:v>
      </x:c>
      <x:c r="E33" s="8" t="s">
        <x:v>4871</x:v>
      </x:c>
      <x:c r="F33" s="8" t="s">
        <x:v>4872</x:v>
      </x:c>
    </x:row>
    <x:row r="34" ht="29.399999618530273" customHeight="1">
      <x:c r="A34" s="8" t="s">
        <x:v>4710</x:v>
      </x:c>
      <x:c r="B34" s="8" t="s">
        <x:v>4881</x:v>
      </x:c>
      <x:c r="C34" s="8" t="s">
        <x:v>4882</x:v>
      </x:c>
      <x:c r="D34" s="8" t="s">
        <x:v>4883</x:v>
      </x:c>
      <x:c r="E34" s="8" t="s">
        <x:v>4871</x:v>
      </x:c>
      <x:c r="F34" s="8" t="s">
        <x:v>4872</x:v>
      </x:c>
    </x:row>
    <x:row r="35" ht="29.399999618530273" customHeight="1">
      <x:c r="A35" s="8" t="s">
        <x:v>4785</x:v>
      </x:c>
      <x:c r="B35" s="8" t="s">
        <x:v>3507</x:v>
      </x:c>
      <x:c r="C35" s="8" t="s">
        <x:v>4884</x:v>
      </x:c>
      <x:c r="D35" s="8" t="s">
        <x:v>3996</x:v>
      </x:c>
      <x:c r="E35" s="8" t="s">
        <x:v>4885</x:v>
      </x:c>
      <x:c r="F35" s="8" t="s">
        <x:v>4872</x:v>
      </x:c>
    </x:row>
    <x:row r="36" ht="29.399999618530273" customHeight="1">
      <x:c r="A36" s="8" t="s">
        <x:v>4703</x:v>
      </x:c>
      <x:c r="B36" s="8" t="s">
        <x:v>4868</x:v>
      </x:c>
      <x:c r="C36" s="8" t="s">
        <x:v>4870</x:v>
      </x:c>
      <x:c r="D36" s="8" t="s">
        <x:v>4886</x:v>
      </x:c>
      <x:c r="E36" s="8" t="s">
        <x:v>4887</x:v>
      </x:c>
      <x:c r="F36" s="8" t="s">
        <x:v>4784</x:v>
      </x:c>
    </x:row>
    <x:row r="37" ht="29.399999618530273" customHeight="1">
      <x:c r="A37" s="8" t="s">
        <x:v>4751</x:v>
      </x:c>
      <x:c r="B37" s="8" t="s">
        <x:v>4888</x:v>
      </x:c>
      <x:c r="C37" s="8" t="s">
        <x:v>4889</x:v>
      </x:c>
      <x:c r="D37" s="8" t="s">
        <x:v>4890</x:v>
      </x:c>
      <x:c r="E37" s="8" t="s">
        <x:v>4891</x:v>
      </x:c>
      <x:c r="F37" s="8" t="s">
        <x:v>4892</x:v>
      </x:c>
    </x:row>
    <x:row r="38" ht="29.399999618530273" customHeight="1">
      <x:c r="A38" s="8" t="s">
        <x:v>4751</x:v>
      </x:c>
      <x:c r="B38" s="8" t="s">
        <x:v>4893</x:v>
      </x:c>
      <x:c r="C38" s="8" t="s">
        <x:v>4894</x:v>
      </x:c>
      <x:c r="D38" s="8" t="s">
        <x:v>2707</x:v>
      </x:c>
      <x:c r="E38" s="8" t="s">
        <x:v>4891</x:v>
      </x:c>
      <x:c r="F38" s="8" t="s">
        <x:v>4892</x:v>
      </x:c>
    </x:row>
    <x:row r="39" ht="29.399999618530273" customHeight="1">
      <x:c r="A39" s="8" t="s">
        <x:v>4751</x:v>
      </x:c>
      <x:c r="B39" s="8" t="s">
        <x:v>4895</x:v>
      </x:c>
      <x:c r="C39" s="8" t="s">
        <x:v>4896</x:v>
      </x:c>
      <x:c r="D39" s="8" t="s">
        <x:v>2747</x:v>
      </x:c>
      <x:c r="E39" s="8" t="s">
        <x:v>4891</x:v>
      </x:c>
      <x:c r="F39" s="8" t="s">
        <x:v>4892</x:v>
      </x:c>
    </x:row>
    <x:row r="40" ht="29.399999618530273" customHeight="1">
      <x:c r="A40" s="8" t="s">
        <x:v>4751</x:v>
      </x:c>
      <x:c r="B40" s="8" t="s">
        <x:v>4897</x:v>
      </x:c>
      <x:c r="C40" s="8" t="s">
        <x:v>4898</x:v>
      </x:c>
      <x:c r="D40" s="8" t="s">
        <x:v>4899</x:v>
      </x:c>
      <x:c r="E40" s="8" t="s">
        <x:v>4891</x:v>
      </x:c>
      <x:c r="F40" s="8" t="s">
        <x:v>4892</x:v>
      </x:c>
    </x:row>
    <x:row r="41" ht="29.399999618530273" customHeight="1">
      <x:c r="A41" s="8" t="s">
        <x:v>4753</x:v>
      </x:c>
      <x:c r="B41" s="8" t="s">
        <x:v>4888</x:v>
      </x:c>
      <x:c r="C41" s="8" t="s">
        <x:v>4900</x:v>
      </x:c>
      <x:c r="D41" s="8" t="s">
        <x:v>2801</x:v>
      </x:c>
      <x:c r="E41" s="8" t="s">
        <x:v>4891</x:v>
      </x:c>
      <x:c r="F41" s="8" t="s">
        <x:v>4892</x:v>
      </x:c>
    </x:row>
    <x:row r="42" ht="29.399999618530273" customHeight="1">
      <x:c r="A42" s="8" t="s">
        <x:v>4757</x:v>
      </x:c>
      <x:c r="B42" s="8" t="s">
        <x:v>4901</x:v>
      </x:c>
      <x:c r="C42" s="8" t="s">
        <x:v>4902</x:v>
      </x:c>
      <x:c r="D42" s="8" t="s">
        <x:v>4903</x:v>
      </x:c>
      <x:c r="E42" s="8" t="s">
        <x:v>4891</x:v>
      </x:c>
      <x:c r="F42" s="8" t="s">
        <x:v>4892</x:v>
      </x:c>
    </x:row>
    <x:row r="43" ht="29.399999618530273" customHeight="1">
      <x:c r="A43" s="8" t="s">
        <x:v>4751</x:v>
      </x:c>
      <x:c r="B43" s="8" t="s">
        <x:v>3507</x:v>
      </x:c>
      <x:c r="C43" s="8" t="s">
        <x:v>4904</x:v>
      </x:c>
      <x:c r="D43" s="8" t="s">
        <x:v>2687</x:v>
      </x:c>
      <x:c r="E43" s="8" t="s">
        <x:v>4905</x:v>
      </x:c>
      <x:c r="F43" s="8" t="s">
        <x:v>4906</x:v>
      </x:c>
    </x:row>
    <x:row r="44" ht="29.399999618530273" customHeight="1">
      <x:c r="A44" s="8" t="s">
        <x:v>4753</x:v>
      </x:c>
      <x:c r="B44" s="8" t="s">
        <x:v>3507</x:v>
      </x:c>
      <x:c r="C44" s="8" t="s">
        <x:v>4907</x:v>
      </x:c>
      <x:c r="D44" s="8" t="s">
        <x:v>2788</x:v>
      </x:c>
      <x:c r="E44" s="8" t="s">
        <x:v>4908</x:v>
      </x:c>
      <x:c r="F44" s="8" t="s">
        <x:v>4909</x:v>
      </x:c>
    </x:row>
    <x:row r="45" ht="29.399999618530273" customHeight="1">
      <x:c r="A45" s="8" t="s">
        <x:v>4755</x:v>
      </x:c>
      <x:c r="B45" s="8" t="s">
        <x:v>3507</x:v>
      </x:c>
      <x:c r="C45" s="8" t="s">
        <x:v>4910</x:v>
      </x:c>
      <x:c r="D45" s="8" t="s">
        <x:v>4911</x:v>
      </x:c>
      <x:c r="E45" s="8" t="s">
        <x:v>4912</x:v>
      </x:c>
      <x:c r="F45" s="8" t="s">
        <x:v>4913</x:v>
      </x:c>
    </x:row>
    <x:row r="46" ht="29.399999618530273" customHeight="1">
      <x:c r="A46" s="8" t="s">
        <x:v>4757</x:v>
      </x:c>
      <x:c r="B46" s="8" t="s">
        <x:v>3507</x:v>
      </x:c>
      <x:c r="C46" s="8" t="s">
        <x:v>4914</x:v>
      </x:c>
      <x:c r="D46" s="8" t="s">
        <x:v>2908</x:v>
      </x:c>
      <x:c r="E46" s="8" t="s">
        <x:v>4915</x:v>
      </x:c>
      <x:c r="F46" s="8" t="s">
        <x:v>4916</x:v>
      </x:c>
    </x:row>
    <x:row r="47" ht="29.399999618530273" customHeight="1">
      <x:c r="A47" s="8" t="s">
        <x:v>4753</x:v>
      </x:c>
      <x:c r="B47" s="8" t="s">
        <x:v>4893</x:v>
      </x:c>
      <x:c r="C47" s="8" t="s">
        <x:v>4917</x:v>
      </x:c>
      <x:c r="D47" s="8" t="s">
        <x:v>2809</x:v>
      </x:c>
      <x:c r="E47" s="8" t="s">
        <x:v>4918</x:v>
      </x:c>
      <x:c r="F47" s="8" t="s">
        <x:v>4919</x:v>
      </x:c>
    </x:row>
    <x:row r="48" ht="29.399999618530273" customHeight="1">
      <x:c r="A48" s="8" t="s">
        <x:v>4757</x:v>
      </x:c>
      <x:c r="B48" s="8" t="s">
        <x:v>4901</x:v>
      </x:c>
      <x:c r="C48" s="8" t="s">
        <x:v>4903</x:v>
      </x:c>
      <x:c r="D48" s="8" t="s">
        <x:v>2911</x:v>
      </x:c>
      <x:c r="E48" s="8" t="s">
        <x:v>4918</x:v>
      </x:c>
      <x:c r="F48" s="8" t="s">
        <x:v>4919</x:v>
      </x:c>
    </x:row>
    <x:row r="49" ht="29.399999618530273" customHeight="1">
      <x:c r="A49" s="8" t="s">
        <x:v>4751</x:v>
      </x:c>
      <x:c r="B49" s="8" t="s">
        <x:v>4888</x:v>
      </x:c>
      <x:c r="C49" s="8" t="s">
        <x:v>4890</x:v>
      </x:c>
      <x:c r="D49" s="8" t="s">
        <x:v>2699</x:v>
      </x:c>
      <x:c r="E49" s="8" t="s">
        <x:v>4918</x:v>
      </x:c>
      <x:c r="F49" s="8" t="s">
        <x:v>4919</x:v>
      </x:c>
    </x:row>
    <x:row r="50" ht="29.399999618530273" customHeight="1">
      <x:c r="A50" s="8" t="s">
        <x:v>4761</x:v>
      </x:c>
      <x:c r="B50" s="8" t="s">
        <x:v>4901</x:v>
      </x:c>
      <x:c r="C50" s="8" t="s">
        <x:v>4920</x:v>
      </x:c>
      <x:c r="D50" s="8" t="s">
        <x:v>4921</x:v>
      </x:c>
      <x:c r="E50" s="8" t="s">
        <x:v>4918</x:v>
      </x:c>
      <x:c r="F50" s="8" t="s">
        <x:v>4919</x:v>
      </x:c>
    </x:row>
    <x:row r="51" ht="29.399999618530273" customHeight="1">
      <x:c r="A51" s="8" t="s">
        <x:v>4783</x:v>
      </x:c>
      <x:c r="B51" s="8" t="s">
        <x:v>4922</x:v>
      </x:c>
      <x:c r="C51" s="8" t="s">
        <x:v>4923</x:v>
      </x:c>
      <x:c r="D51" s="8" t="s">
        <x:v>3876</x:v>
      </x:c>
      <x:c r="E51" s="8" t="s">
        <x:v>4918</x:v>
      </x:c>
      <x:c r="F51" s="8" t="s">
        <x:v>4919</x:v>
      </x:c>
    </x:row>
    <x:row r="52" ht="29.399999618530273" customHeight="1">
      <x:c r="A52" s="8" t="s">
        <x:v>4783</x:v>
      </x:c>
      <x:c r="B52" s="8" t="s">
        <x:v>3507</x:v>
      </x:c>
      <x:c r="C52" s="8" t="s">
        <x:v>4924</x:v>
      </x:c>
      <x:c r="D52" s="8" t="s">
        <x:v>4925</x:v>
      </x:c>
      <x:c r="E52" s="8" t="s">
        <x:v>4926</x:v>
      </x:c>
      <x:c r="F52" s="8" t="s">
        <x:v>4614</x:v>
      </x:c>
    </x:row>
    <x:row r="53" ht="29.399999618530273" customHeight="1">
      <x:c r="A53" s="8" t="s">
        <x:v>4787</x:v>
      </x:c>
      <x:c r="B53" s="8" t="s">
        <x:v>3507</x:v>
      </x:c>
      <x:c r="C53" s="8" t="s">
        <x:v>4927</x:v>
      </x:c>
      <x:c r="D53" s="8" t="s">
        <x:v>4928</x:v>
      </x:c>
      <x:c r="E53" s="8" t="s">
        <x:v>4926</x:v>
      </x:c>
      <x:c r="F53" s="8" t="s">
        <x:v>4614</x:v>
      </x:c>
    </x:row>
    <x:row r="54" ht="29.399999618530273" customHeight="1">
      <x:c r="A54" s="8" t="s">
        <x:v>4769</x:v>
      </x:c>
      <x:c r="B54" s="8" t="s">
        <x:v>4929</x:v>
      </x:c>
      <x:c r="C54" s="8" t="s">
        <x:v>4930</x:v>
      </x:c>
      <x:c r="D54" s="8" t="s">
        <x:v>3297</x:v>
      </x:c>
      <x:c r="E54" s="8" t="s">
        <x:v>4931</x:v>
      </x:c>
      <x:c r="F54" s="8" t="s">
        <x:v>4932</x:v>
      </x:c>
    </x:row>
    <x:row r="55" ht="29.399999618530273" customHeight="1">
      <x:c r="A55" s="8" t="s">
        <x:v>4769</x:v>
      </x:c>
      <x:c r="B55" s="8" t="s">
        <x:v>4933</x:v>
      </x:c>
      <x:c r="C55" s="8" t="s">
        <x:v>3298</x:v>
      </x:c>
      <x:c r="D55" s="8" t="s">
        <x:v>167</x:v>
      </x:c>
      <x:c r="E55" s="8" t="s">
        <x:v>4934</x:v>
      </x:c>
      <x:c r="F55" s="8" t="s">
        <x:v>4932</x:v>
      </x:c>
    </x:row>
    <x:row r="56" ht="29.399999618530273" customHeight="1">
      <x:c r="A56" s="8" t="s">
        <x:v>4769</x:v>
      </x:c>
      <x:c r="B56" s="8" t="s">
        <x:v>4935</x:v>
      </x:c>
      <x:c r="C56" s="8" t="s">
        <x:v>4936</x:v>
      </x:c>
      <x:c r="D56" s="8" t="s">
        <x:v>3309</x:v>
      </x:c>
      <x:c r="E56" s="8" t="s">
        <x:v>4931</x:v>
      </x:c>
      <x:c r="F56" s="8" t="s">
        <x:v>4932</x:v>
      </x:c>
    </x:row>
    <x:row r="57" ht="29.399999618530273" customHeight="1">
      <x:c r="A57" s="8" t="s">
        <x:v>4769</x:v>
      </x:c>
      <x:c r="B57" s="8" t="s">
        <x:v>4937</x:v>
      </x:c>
      <x:c r="C57" s="8" t="s">
        <x:v>3286</x:v>
      </x:c>
      <x:c r="D57" s="8" t="s">
        <x:v>167</x:v>
      </x:c>
      <x:c r="E57" s="8" t="s">
        <x:v>4938</x:v>
      </x:c>
      <x:c r="F57" s="8" t="s">
        <x:v>4932</x:v>
      </x:c>
    </x:row>
    <x:row r="58" ht="29.399999618530273" customHeight="1">
      <x:c r="A58" s="8" t="s">
        <x:v>4771</x:v>
      </x:c>
      <x:c r="B58" s="8" t="s">
        <x:v>4878</x:v>
      </x:c>
      <x:c r="C58" s="8" t="s">
        <x:v>4939</x:v>
      </x:c>
      <x:c r="D58" s="8" t="s">
        <x:v>3375</x:v>
      </x:c>
      <x:c r="E58" s="8" t="s">
        <x:v>4931</x:v>
      </x:c>
      <x:c r="F58" s="8" t="s">
        <x:v>4932</x:v>
      </x:c>
    </x:row>
    <x:row r="59" ht="29.399999618530273" customHeight="1">
      <x:c r="A59" s="8" t="s">
        <x:v>4771</x:v>
      </x:c>
      <x:c r="B59" s="8" t="s">
        <x:v>4940</x:v>
      </x:c>
      <x:c r="C59" s="8" t="s">
        <x:v>3376</x:v>
      </x:c>
      <x:c r="D59" s="8" t="s">
        <x:v>167</x:v>
      </x:c>
      <x:c r="E59" s="8" t="s">
        <x:v>4934</x:v>
      </x:c>
      <x:c r="F59" s="8" t="s">
        <x:v>4932</x:v>
      </x:c>
    </x:row>
    <x:row r="60" ht="29.399999618530273" customHeight="1">
      <x:c r="A60" s="8" t="s">
        <x:v>4771</x:v>
      </x:c>
      <x:c r="B60" s="8" t="s">
        <x:v>4941</x:v>
      </x:c>
      <x:c r="C60" s="8" t="s">
        <x:v>4942</x:v>
      </x:c>
      <x:c r="D60" s="8" t="s">
        <x:v>3382</x:v>
      </x:c>
      <x:c r="E60" s="8" t="s">
        <x:v>4931</x:v>
      </x:c>
      <x:c r="F60" s="8" t="s">
        <x:v>4932</x:v>
      </x:c>
    </x:row>
    <x:row r="61" ht="29.399999618530273" customHeight="1">
      <x:c r="A61" s="8" t="s">
        <x:v>4771</x:v>
      </x:c>
      <x:c r="B61" s="8" t="s">
        <x:v>4943</x:v>
      </x:c>
      <x:c r="C61" s="8" t="s">
        <x:v>3366</x:v>
      </x:c>
      <x:c r="D61" s="8" t="s">
        <x:v>167</x:v>
      </x:c>
      <x:c r="E61" s="8" t="s">
        <x:v>4938</x:v>
      </x:c>
      <x:c r="F61" s="8" t="s">
        <x:v>4932</x:v>
      </x:c>
    </x:row>
    <x:row r="62" ht="29.399999618530273" customHeight="1">
      <x:c r="A62" s="8" t="s">
        <x:v>4688</x:v>
      </x:c>
      <x:c r="B62" s="8" t="s">
        <x:v>3507</x:v>
      </x:c>
      <x:c r="C62" s="8" t="s">
        <x:v>4944</x:v>
      </x:c>
      <x:c r="D62" s="8" t="s">
        <x:v>267</x:v>
      </x:c>
      <x:c r="E62" s="8" t="s">
        <x:v>4945</x:v>
      </x:c>
      <x:c r="F62" s="8" t="s">
        <x:v>4946</x:v>
      </x:c>
    </x:row>
    <x:row r="63" ht="29.399999618530273" customHeight="1">
      <x:c r="A63" s="8" t="s">
        <x:v>4719</x:v>
      </x:c>
      <x:c r="B63" s="8" t="s">
        <x:v>3507</x:v>
      </x:c>
      <x:c r="C63" s="8" t="s">
        <x:v>4947</x:v>
      </x:c>
      <x:c r="D63" s="8" t="s">
        <x:v>1780</x:v>
      </x:c>
      <x:c r="E63" s="8" t="s">
        <x:v>4948</x:v>
      </x:c>
      <x:c r="F63" s="8" t="s">
        <x:v>4949</x:v>
      </x:c>
    </x:row>
    <x:row r="64" ht="29.399999618530273" customHeight="1">
      <x:c r="A64" s="8" t="s">
        <x:v>4781</x:v>
      </x:c>
      <x:c r="B64" s="8" t="s">
        <x:v>3507</x:v>
      </x:c>
      <x:c r="C64" s="8" t="s">
        <x:v>4950</x:v>
      </x:c>
      <x:c r="D64" s="8" t="s">
        <x:v>4951</x:v>
      </x:c>
      <x:c r="E64" s="8" t="s">
        <x:v>4948</x:v>
      </x:c>
      <x:c r="F64" s="8" t="s">
        <x:v>4949</x:v>
      </x:c>
    </x:row>
    <x:row r="65" ht="29.399999618530273" customHeight="1">
      <x:c r="A65" s="8" t="s">
        <x:v>4952</x:v>
      </x:c>
      <x:c r="B65" s="8" t="s">
        <x:v>3507</x:v>
      </x:c>
      <x:c r="C65" s="8" t="s">
        <x:v>4953</x:v>
      </x:c>
      <x:c r="D65" s="8" t="s">
        <x:v>4954</x:v>
      </x:c>
      <x:c r="E65" s="8" t="s">
        <x:v>4955</x:v>
      </x:c>
      <x:c r="F65" s="8" t="s">
        <x:v>4956</x:v>
      </x:c>
    </x:row>
    <x:row r="66" ht="29.399999618530273" customHeight="1">
      <x:c r="A66" s="8" t="s">
        <x:v>4957</x:v>
      </x:c>
      <x:c r="B66" s="8" t="s">
        <x:v>3507</x:v>
      </x:c>
      <x:c r="C66" s="8" t="s">
        <x:v>4953</x:v>
      </x:c>
      <x:c r="D66" s="8" t="s">
        <x:v>4954</x:v>
      </x:c>
      <x:c r="E66" s="8" t="s">
        <x:v>4955</x:v>
      </x:c>
      <x:c r="F66" s="8" t="s">
        <x:v>4956</x:v>
      </x:c>
    </x:row>
    <x:row r="67" ht="29.399999618530273" customHeight="1">
      <x:c r="A67" s="8" t="s">
        <x:v>4958</x:v>
      </x:c>
      <x:c r="B67" s="8" t="s">
        <x:v>3507</x:v>
      </x:c>
      <x:c r="C67" s="8" t="s">
        <x:v>4953</x:v>
      </x:c>
      <x:c r="D67" s="8" t="s">
        <x:v>4954</x:v>
      </x:c>
      <x:c r="E67" s="8" t="s">
        <x:v>4955</x:v>
      </x:c>
      <x:c r="F67" s="8" t="s">
        <x:v>4956</x:v>
      </x:c>
    </x:row>
    <x:row r="68" ht="29.399999618530273" customHeight="1">
      <x:c r="A68" s="8" t="s">
        <x:v>4959</x:v>
      </x:c>
      <x:c r="B68" s="8" t="s">
        <x:v>3507</x:v>
      </x:c>
      <x:c r="C68" s="8" t="s">
        <x:v>4953</x:v>
      </x:c>
      <x:c r="D68" s="8" t="s">
        <x:v>4954</x:v>
      </x:c>
      <x:c r="E68" s="8" t="s">
        <x:v>4955</x:v>
      </x:c>
      <x:c r="F68" s="8" t="s">
        <x:v>4956</x:v>
      </x:c>
    </x:row>
    <x:row r="69" ht="29.399999618530273" customHeight="1">
      <x:c r="A69" s="8" t="s">
        <x:v>4960</x:v>
      </x:c>
      <x:c r="B69" s="8" t="s">
        <x:v>3507</x:v>
      </x:c>
      <x:c r="C69" s="8" t="s">
        <x:v>4953</x:v>
      </x:c>
      <x:c r="D69" s="8" t="s">
        <x:v>4954</x:v>
      </x:c>
      <x:c r="E69" s="8" t="s">
        <x:v>4955</x:v>
      </x:c>
      <x:c r="F69" s="8" t="s">
        <x:v>4956</x:v>
      </x:c>
    </x:row>
    <x:row r="70" ht="29.399999618530273" customHeight="1">
      <x:c r="A70" s="8" t="s">
        <x:v>4961</x:v>
      </x:c>
      <x:c r="B70" s="8" t="s">
        <x:v>3507</x:v>
      </x:c>
      <x:c r="C70" s="8" t="s">
        <x:v>4953</x:v>
      </x:c>
      <x:c r="D70" s="8" t="s">
        <x:v>4954</x:v>
      </x:c>
      <x:c r="E70" s="8" t="s">
        <x:v>4955</x:v>
      </x:c>
      <x:c r="F70" s="8" t="s">
        <x:v>4956</x:v>
      </x:c>
    </x:row>
    <x:row r="71" ht="29.399999618530273" customHeight="1">
      <x:c r="A71" s="8" t="s">
        <x:v>4962</x:v>
      </x:c>
      <x:c r="B71" s="8" t="s">
        <x:v>3507</x:v>
      </x:c>
      <x:c r="C71" s="8" t="s">
        <x:v>4953</x:v>
      </x:c>
      <x:c r="D71" s="8" t="s">
        <x:v>4954</x:v>
      </x:c>
      <x:c r="E71" s="8" t="s">
        <x:v>4955</x:v>
      </x:c>
      <x:c r="F71" s="8" t="s">
        <x:v>4956</x:v>
      </x:c>
    </x:row>
    <x:row r="72" ht="29.399999618530273" customHeight="1">
      <x:c r="A72" s="8" t="s">
        <x:v>4963</x:v>
      </x:c>
      <x:c r="B72" s="8" t="s">
        <x:v>3507</x:v>
      </x:c>
      <x:c r="C72" s="8" t="s">
        <x:v>4953</x:v>
      </x:c>
      <x:c r="D72" s="8" t="s">
        <x:v>4954</x:v>
      </x:c>
      <x:c r="E72" s="8" t="s">
        <x:v>4955</x:v>
      </x:c>
      <x:c r="F72" s="8" t="s">
        <x:v>4956</x:v>
      </x:c>
    </x:row>
    <x:row r="73" ht="29.399999618530273" customHeight="1">
      <x:c r="A73" s="8" t="s">
        <x:v>4964</x:v>
      </x:c>
      <x:c r="B73" s="8" t="s">
        <x:v>3507</x:v>
      </x:c>
      <x:c r="C73" s="8" t="s">
        <x:v>4953</x:v>
      </x:c>
      <x:c r="D73" s="8" t="s">
        <x:v>4954</x:v>
      </x:c>
      <x:c r="E73" s="8" t="s">
        <x:v>4955</x:v>
      </x:c>
      <x:c r="F73" s="8" t="s">
        <x:v>4956</x:v>
      </x:c>
    </x:row>
    <x:row r="74" ht="29.399999618530273" customHeight="1">
      <x:c r="A74" s="8" t="s">
        <x:v>4965</x:v>
      </x:c>
      <x:c r="B74" s="8" t="s">
        <x:v>3507</x:v>
      </x:c>
      <x:c r="C74" s="8" t="s">
        <x:v>4953</x:v>
      </x:c>
      <x:c r="D74" s="8" t="s">
        <x:v>4954</x:v>
      </x:c>
      <x:c r="E74" s="8" t="s">
        <x:v>4955</x:v>
      </x:c>
      <x:c r="F74" s="8" t="s">
        <x:v>4956</x:v>
      </x:c>
    </x:row>
    <x:row r="75" ht="29.399999618530273" customHeight="1">
      <x:c r="A75" s="8" t="s">
        <x:v>4966</x:v>
      </x:c>
      <x:c r="B75" s="8" t="s">
        <x:v>3507</x:v>
      </x:c>
      <x:c r="C75" s="8" t="s">
        <x:v>4953</x:v>
      </x:c>
      <x:c r="D75" s="8" t="s">
        <x:v>4954</x:v>
      </x:c>
      <x:c r="E75" s="8" t="s">
        <x:v>4955</x:v>
      </x:c>
      <x:c r="F75" s="8" t="s">
        <x:v>4956</x:v>
      </x:c>
    </x:row>
  </x:sheetData>
  <x:mergeCells>
    <x:mergeCell ref="A1:F1"/>
    <x:mergeCell ref="A2:F2"/>
  </x:mergeCells>
  <x:pageMargins left="0.7" right="0.7" top="0.75" bottom="0.75" header="0.3" footer="0.3"/>
</x:worksheet>
</file>

<file path=xl/worksheets/sheet89.xml><?xml version="1.0" encoding="utf-8"?>
<x:worksheet xmlns:x="http://schemas.openxmlformats.org/spreadsheetml/2006/main">
  <x:sheetFormatPr baseColWidth="10" defaultColWidth="8.88671875" defaultRowHeight="14.399999618530273"/>
  <x:cols>
    <x:col min="1" max="1" width="33" customWidth="1"/>
    <x:col min="2" max="2" width="68" customWidth="1"/>
    <x:col min="3" max="3" width="103" customWidth="1"/>
    <x:col min="4" max="4" width="27" customWidth="1"/>
    <x:col min="5" max="5" width="24" customWidth="1"/>
  </x:cols>
  <x:sheetData>
    <x:row r="1" ht="19.799999237060547" customHeight="1">
      <x:c r="A1" s="550" t="s">
        <x:v>4967</x:v>
      </x:c>
      <x:c r="B1" s="550"/>
      <x:c r="C1" s="550"/>
      <x:c r="D1" s="550"/>
      <x:c r="E1" s="550"/>
    </x:row>
    <x:row r="2" ht="19.200000762939453" customHeight="1">
      <x:c r="A2" s="551" t="s">
        <x:v>4968</x:v>
      </x:c>
      <x:c r="B2" s="551"/>
      <x:c r="C2" s="551"/>
      <x:c r="D2" s="551"/>
      <x:c r="E2" s="551"/>
    </x:row>
    <x:row r="3" ht="16.649999618530273" customHeight="1">
      <x:c r="A3" s="301" t="s">
        <x:v>4969</x:v>
      </x:c>
      <x:c r="B3" s="301" t="s">
        <x:v>4970</x:v>
      </x:c>
      <x:c r="C3" s="301" t="s">
        <x:v>4971</x:v>
      </x:c>
      <x:c r="D3" s="301" t="s">
        <x:v>4972</x:v>
      </x:c>
      <x:c r="E3" s="301" t="s">
        <x:v>4973</x:v>
      </x:c>
    </x:row>
    <x:row r="4" ht="29.399999618530273" customHeight="1">
      <x:c r="A4" s="8" t="s">
        <x:v>4974</x:v>
      </x:c>
      <x:c r="B4" s="8" t="s">
        <x:v>4975</x:v>
      </x:c>
      <x:c r="C4" s="8" t="s">
        <x:v>4976</x:v>
      </x:c>
      <x:c r="D4" s="8" t="s">
        <x:v>4977</x:v>
      </x:c>
      <x:c r="E4" s="8" t="s">
        <x:v>4568</x:v>
      </x:c>
    </x:row>
    <x:row r="5" ht="29.399999618530273" customHeight="1">
      <x:c r="A5" s="8" t="s">
        <x:v>4978</x:v>
      </x:c>
      <x:c r="B5" s="8" t="s">
        <x:v>4979</x:v>
      </x:c>
      <x:c r="C5" s="8" t="s">
        <x:v>4980</x:v>
      </x:c>
      <x:c r="D5" s="8" t="s">
        <x:v>4977</x:v>
      </x:c>
      <x:c r="E5" s="8" t="s">
        <x:v>4573</x:v>
      </x:c>
    </x:row>
    <x:row r="6" ht="29.399999618530273" customHeight="1">
      <x:c r="A6" s="8" t="s">
        <x:v>4981</x:v>
      </x:c>
      <x:c r="B6" s="8" t="s">
        <x:v>4982</x:v>
      </x:c>
      <x:c r="C6" s="8" t="s">
        <x:v>4983</x:v>
      </x:c>
      <x:c r="D6" s="8" t="s">
        <x:v>4977</x:v>
      </x:c>
      <x:c r="E6" s="8" t="s">
        <x:v>4984</x:v>
      </x:c>
    </x:row>
    <x:row r="7" ht="29.399999618530273" customHeight="1">
      <x:c r="A7" s="8" t="s">
        <x:v>4985</x:v>
      </x:c>
      <x:c r="B7" s="8" t="s">
        <x:v>4986</x:v>
      </x:c>
      <x:c r="C7" s="8" t="s">
        <x:v>4987</x:v>
      </x:c>
      <x:c r="D7" s="8" t="s">
        <x:v>4977</x:v>
      </x:c>
      <x:c r="E7" s="8" t="s">
        <x:v>4984</x:v>
      </x:c>
    </x:row>
    <x:row r="8" ht="29.399999618530273" customHeight="1">
      <x:c r="A8" s="8" t="s">
        <x:v>4988</x:v>
      </x:c>
      <x:c r="B8" s="8" t="s">
        <x:v>4989</x:v>
      </x:c>
      <x:c r="C8" s="8" t="s">
        <x:v>4990</x:v>
      </x:c>
      <x:c r="D8" s="8" t="s">
        <x:v>4977</x:v>
      </x:c>
      <x:c r="E8" s="8" t="s">
        <x:v>4984</x:v>
      </x:c>
    </x:row>
    <x:row r="9" ht="29.399999618530273" customHeight="1">
      <x:c r="A9" s="8" t="s">
        <x:v>4575</x:v>
      </x:c>
      <x:c r="B9" s="8" t="s">
        <x:v>4991</x:v>
      </x:c>
      <x:c r="C9" s="8" t="s">
        <x:v>4992</x:v>
      </x:c>
      <x:c r="D9" s="8" t="s">
        <x:v>4977</x:v>
      </x:c>
      <x:c r="E9" s="8" t="s">
        <x:v>4993</x:v>
      </x:c>
    </x:row>
    <x:row r="10" ht="29.399999618530273" customHeight="1">
      <x:c r="A10" s="8" t="s">
        <x:v>4994</x:v>
      </x:c>
      <x:c r="B10" s="8" t="s">
        <x:v>4995</x:v>
      </x:c>
      <x:c r="C10" s="8" t="s">
        <x:v>4996</x:v>
      </x:c>
      <x:c r="D10" s="8" t="s">
        <x:v>4977</x:v>
      </x:c>
      <x:c r="E10" s="8" t="str">
        <x:v>RF07,RF53,RF59</x:v>
      </x:c>
    </x:row>
    <x:row r="11" ht="29.399999618530273" customHeight="1">
      <x:c r="A11" s="8" t="s">
        <x:v>4997</x:v>
      </x:c>
      <x:c r="B11" s="8" t="s">
        <x:v>4998</x:v>
      </x:c>
      <x:c r="C11" s="8" t="s">
        <x:v>4999</x:v>
      </x:c>
      <x:c r="D11" s="8" t="s">
        <x:v>4977</x:v>
      </x:c>
      <x:c r="E11" s="8" t="str">
        <x:v>RF07,RF53,RF59</x:v>
      </x:c>
    </x:row>
    <x:row r="12" ht="29.399999618530273" customHeight="1">
      <x:c r="A12" s="8" t="s">
        <x:v>5000</x:v>
      </x:c>
      <x:c r="B12" s="8" t="s">
        <x:v>5001</x:v>
      </x:c>
      <x:c r="C12" s="8" t="s">
        <x:v>5002</x:v>
      </x:c>
      <x:c r="D12" s="8" t="s">
        <x:v>4977</x:v>
      </x:c>
      <x:c r="E12" s="8" t="s">
        <x:v>4872</x:v>
      </x:c>
    </x:row>
    <x:row r="13" ht="29.399999618530273" customHeight="1">
      <x:c r="A13" s="8" t="s">
        <x:v>4589</x:v>
      </x:c>
      <x:c r="B13" s="8" t="s">
        <x:v>5003</x:v>
      </x:c>
      <x:c r="C13" s="8" t="str">
        <x:v>RF52 ofrece consulta de licencia en solo lectura, sin edición oficial; RF53 es recuperación de cuenta, no edición de licencia.</x:v>
      </x:c>
      <x:c r="D13" s="8" t="s">
        <x:v>4977</x:v>
      </x:c>
      <x:c r="E13" s="8" t="str">
        <x:v>RF51,RF52</x:v>
      </x:c>
    </x:row>
    <x:row r="14" ht="29.399999618530273" customHeight="1">
      <x:c r="A14" s="8" t="s">
        <x:v>5004</x:v>
      </x:c>
      <x:c r="B14" s="8" t="s">
        <x:v>5005</x:v>
      </x:c>
      <x:c r="C14" s="8" t="s">
        <x:v>5006</x:v>
      </x:c>
      <x:c r="D14" s="8" t="s">
        <x:v>4977</x:v>
      </x:c>
      <x:c r="E14" s="8" t="s">
        <x:v>5007</x:v>
      </x:c>
    </x:row>
    <x:row r="15" ht="29.399999618530273" customHeight="1">
      <x:c r="A15" s="8" t="s">
        <x:v>5008</x:v>
      </x:c>
      <x:c r="B15" s="8" t="s">
        <x:v>5009</x:v>
      </x:c>
      <x:c r="C15" s="8" t="s">
        <x:v>5010</x:v>
      </x:c>
      <x:c r="D15" s="8" t="s">
        <x:v>4977</x:v>
      </x:c>
      <x:c r="E15" s="8" t="s">
        <x:v>5011</x:v>
      </x:c>
    </x:row>
  </x:sheetData>
  <x:mergeCells>
    <x:mergeCell ref="A1:E1"/>
    <x:mergeCell ref="A2:E2"/>
  </x:mergeCells>
  <x:pageMargins left="0.7" right="0.7" top="0.75" bottom="0.75" header="0.3" footer="0.3"/>
</x:worksheet>
</file>

<file path=xl/worksheets/sheet90.xml><?xml version="1.0" encoding="utf-8"?>
<x:worksheet xmlns:x="http://schemas.openxmlformats.org/spreadsheetml/2006/main">
  <x:sheetFormatPr baseColWidth="10" defaultColWidth="8.88671875" defaultRowHeight="14.399999618530273"/>
  <x:cols>
    <x:col min="1" max="1" width="20" customWidth="1"/>
    <x:col min="2" max="2" width="17" customWidth="1"/>
    <x:col min="3" max="3" width="51" customWidth="1"/>
    <x:col min="4" max="4" width="64" customWidth="1"/>
    <x:col min="5" max="5" width="42" customWidth="1"/>
  </x:cols>
  <x:sheetData>
    <x:row r="1" ht="20.549999237060547" customHeight="1">
      <x:c r="A1" s="306" t="s">
        <x:v>5012</x:v>
      </x:c>
      <x:c r="B1" s="306"/>
      <x:c r="C1" s="306"/>
      <x:c r="D1" s="306"/>
      <x:c r="E1" s="306"/>
    </x:row>
    <x:row r="2" ht="19.200000762939453" customHeight="1">
      <x:c r="A2" s="307" t="s">
        <x:v>5013</x:v>
      </x:c>
      <x:c r="B2" s="307"/>
      <x:c r="C2" s="307"/>
      <x:c r="D2" s="307"/>
      <x:c r="E2" s="307"/>
    </x:row>
    <x:row r="3" ht="15.899999618530273" customHeight="1">
      <x:c r="A3" s="308" t="s">
        <x:v>4792</x:v>
      </x:c>
      <x:c r="B3" s="308" t="s">
        <x:v>5014</x:v>
      </x:c>
      <x:c r="C3" s="308" t="s">
        <x:v>5015</x:v>
      </x:c>
      <x:c r="D3" s="308" t="s">
        <x:v>5016</x:v>
      </x:c>
      <x:c r="E3" s="308" t="s">
        <x:v>5017</x:v>
      </x:c>
    </x:row>
    <x:row r="4" ht="36.45000076293945" customHeight="1">
      <x:c r="A4" s="8" t="s">
        <x:v>4703</x:v>
      </x:c>
      <x:c r="B4" s="8" t="s">
        <x:v>5018</x:v>
      </x:c>
      <x:c r="C4" s="8" t="s">
        <x:v>5019</x:v>
      </x:c>
      <x:c r="D4" s="8" t="s">
        <x:v>5020</x:v>
      </x:c>
      <x:c r="E4" s="8" t="s">
        <x:v>5021</x:v>
      </x:c>
    </x:row>
    <x:row r="5" ht="36.45000076293945" customHeight="1">
      <x:c r="A5" s="8" t="s">
        <x:v>4703</x:v>
      </x:c>
      <x:c r="B5" s="8" t="s">
        <x:v>4941</x:v>
      </x:c>
      <x:c r="C5" s="8" t="s">
        <x:v>5022</x:v>
      </x:c>
      <x:c r="D5" s="8" t="s">
        <x:v>5023</x:v>
      </x:c>
      <x:c r="E5" s="8" t="s">
        <x:v>5024</x:v>
      </x:c>
    </x:row>
    <x:row r="6" ht="36.45000076293945" customHeight="1">
      <x:c r="A6" s="8" t="s">
        <x:v>4703</x:v>
      </x:c>
      <x:c r="B6" s="8" t="s">
        <x:v>4868</x:v>
      </x:c>
      <x:c r="C6" s="8" t="s">
        <x:v>5025</x:v>
      </x:c>
      <x:c r="D6" s="8" t="s">
        <x:v>5026</x:v>
      </x:c>
      <x:c r="E6" s="8" t="s">
        <x:v>5027</x:v>
      </x:c>
    </x:row>
    <x:row r="7" ht="36.45000076293945" customHeight="1">
      <x:c r="A7" s="8" t="s">
        <x:v>4703</x:v>
      </x:c>
      <x:c r="B7" s="8" t="s">
        <x:v>5028</x:v>
      </x:c>
      <x:c r="C7" s="8" t="s">
        <x:v>5029</x:v>
      </x:c>
      <x:c r="D7" s="8" t="s">
        <x:v>5030</x:v>
      </x:c>
      <x:c r="E7" s="8" t="s">
        <x:v>5031</x:v>
      </x:c>
    </x:row>
    <x:row r="8" ht="36.45000076293945" customHeight="1">
      <x:c r="A8" s="8" t="s">
        <x:v>4703</x:v>
      </x:c>
      <x:c r="B8" s="8" t="s">
        <x:v>4881</x:v>
      </x:c>
      <x:c r="C8" s="8" t="s">
        <x:v>5032</x:v>
      </x:c>
      <x:c r="D8" s="8" t="s">
        <x:v>5033</x:v>
      </x:c>
      <x:c r="E8" s="8" t="s">
        <x:v>5034</x:v>
      </x:c>
    </x:row>
    <x:row r="9" ht="36.45000076293945" customHeight="1">
      <x:c r="A9" s="8" t="s">
        <x:v>4708</x:v>
      </x:c>
      <x:c r="B9" s="8" t="s">
        <x:v>4862</x:v>
      </x:c>
      <x:c r="C9" s="8" t="s">
        <x:v>5035</x:v>
      </x:c>
      <x:c r="D9" s="8" t="s">
        <x:v>5036</x:v>
      </x:c>
      <x:c r="E9" s="8" t="s">
        <x:v>5037</x:v>
      </x:c>
    </x:row>
    <x:row r="10" ht="36.45000076293945" customHeight="1">
      <x:c r="A10" s="8" t="s">
        <x:v>4708</x:v>
      </x:c>
      <x:c r="B10" s="8" t="s">
        <x:v>5038</x:v>
      </x:c>
      <x:c r="C10" s="8" t="s">
        <x:v>5039</x:v>
      </x:c>
      <x:c r="D10" s="8" t="s">
        <x:v>5040</x:v>
      </x:c>
      <x:c r="E10" s="8" t="s">
        <x:v>5037</x:v>
      </x:c>
    </x:row>
    <x:row r="11" ht="36.45000076293945" customHeight="1">
      <x:c r="A11" s="8" t="s">
        <x:v>4708</x:v>
      </x:c>
      <x:c r="B11" s="8" t="s">
        <x:v>4893</x:v>
      </x:c>
      <x:c r="C11" s="8" t="s">
        <x:v>5041</x:v>
      </x:c>
      <x:c r="D11" s="8" t="s">
        <x:v>5042</x:v>
      </x:c>
      <x:c r="E11" s="8" t="s">
        <x:v>5037</x:v>
      </x:c>
    </x:row>
    <x:row r="12" ht="36.45000076293945" customHeight="1">
      <x:c r="A12" s="8" t="s">
        <x:v>4708</x:v>
      </x:c>
      <x:c r="B12" s="8" t="s">
        <x:v>4865</x:v>
      </x:c>
      <x:c r="C12" s="8" t="s">
        <x:v>5043</x:v>
      </x:c>
      <x:c r="D12" s="8" t="s">
        <x:v>5044</x:v>
      </x:c>
      <x:c r="E12" s="8" t="s">
        <x:v>5037</x:v>
      </x:c>
    </x:row>
    <x:row r="13" ht="36.45000076293945" customHeight="1">
      <x:c r="A13" s="8" t="s">
        <x:v>4708</x:v>
      </x:c>
      <x:c r="B13" s="8" t="s">
        <x:v>4878</x:v>
      </x:c>
      <x:c r="C13" s="8" t="s">
        <x:v>5045</x:v>
      </x:c>
      <x:c r="D13" s="8" t="s">
        <x:v>5046</x:v>
      </x:c>
      <x:c r="E13" s="8" t="s">
        <x:v>5037</x:v>
      </x:c>
    </x:row>
    <x:row r="14" ht="36.45000076293945" customHeight="1">
      <x:c r="A14" s="8" t="s">
        <x:v>4708</x:v>
      </x:c>
      <x:c r="B14" s="8" t="s">
        <x:v>4935</x:v>
      </x:c>
      <x:c r="C14" s="8" t="s">
        <x:v>5047</x:v>
      </x:c>
      <x:c r="D14" s="8" t="s">
        <x:v>5048</x:v>
      </x:c>
      <x:c r="E14" s="8" t="s">
        <x:v>5037</x:v>
      </x:c>
    </x:row>
    <x:row r="15" ht="36.45000076293945" customHeight="1">
      <x:c r="A15" s="8" t="s">
        <x:v>4708</x:v>
      </x:c>
      <x:c r="B15" s="8" t="s">
        <x:v>4941</x:v>
      </x:c>
      <x:c r="C15" s="8" t="s">
        <x:v>5049</x:v>
      </x:c>
      <x:c r="D15" s="8" t="s">
        <x:v>5050</x:v>
      </x:c>
      <x:c r="E15" s="8" t="s">
        <x:v>5037</x:v>
      </x:c>
    </x:row>
    <x:row r="16" ht="36.45000076293945" customHeight="1">
      <x:c r="A16" s="8" t="s">
        <x:v>4708</x:v>
      </x:c>
      <x:c r="B16" s="8" t="s">
        <x:v>5051</x:v>
      </x:c>
      <x:c r="C16" s="8" t="s">
        <x:v>5052</x:v>
      </x:c>
      <x:c r="D16" s="8" t="s">
        <x:v>5053</x:v>
      </x:c>
      <x:c r="E16" s="8" t="s">
        <x:v>5037</x:v>
      </x:c>
    </x:row>
    <x:row r="17" ht="36.45000076293945" customHeight="1">
      <x:c r="A17" s="8" t="s">
        <x:v>4708</x:v>
      </x:c>
      <x:c r="B17" s="8" t="s">
        <x:v>5054</x:v>
      </x:c>
      <x:c r="C17" s="8" t="s">
        <x:v>5055</x:v>
      </x:c>
      <x:c r="D17" s="8" t="s">
        <x:v>5056</x:v>
      </x:c>
      <x:c r="E17" s="8" t="s">
        <x:v>5037</x:v>
      </x:c>
    </x:row>
    <x:row r="18" ht="36.45000076293945" customHeight="1">
      <x:c r="A18" s="8" t="s">
        <x:v>4708</x:v>
      </x:c>
      <x:c r="B18" s="8" t="s">
        <x:v>5057</x:v>
      </x:c>
      <x:c r="C18" s="8" t="s">
        <x:v>5058</x:v>
      </x:c>
      <x:c r="D18" s="8" t="s">
        <x:v>5059</x:v>
      </x:c>
      <x:c r="E18" s="8" t="s">
        <x:v>5060</x:v>
      </x:c>
    </x:row>
    <x:row r="19" ht="36.45000076293945" customHeight="1">
      <x:c r="A19" s="8" t="s">
        <x:v>4708</x:v>
      </x:c>
      <x:c r="B19" s="8" t="s">
        <x:v>5061</x:v>
      </x:c>
      <x:c r="C19" s="8" t="s">
        <x:v>5062</x:v>
      </x:c>
      <x:c r="D19" s="8" t="s">
        <x:v>5063</x:v>
      </x:c>
      <x:c r="E19" s="8" t="s">
        <x:v>5064</x:v>
      </x:c>
    </x:row>
    <x:row r="20" ht="36.45000076293945" customHeight="1">
      <x:c r="A20" s="8" t="s">
        <x:v>4751</x:v>
      </x:c>
      <x:c r="B20" s="8" t="s">
        <x:v>5065</x:v>
      </x:c>
      <x:c r="C20" s="8" t="s">
        <x:v>5066</x:v>
      </x:c>
      <x:c r="D20" s="8" t="s">
        <x:v>2776</x:v>
      </x:c>
      <x:c r="E20" s="8" t="s">
        <x:v>5067</x:v>
      </x:c>
    </x:row>
    <x:row r="21" ht="36.45000076293945" customHeight="1">
      <x:c r="A21" s="8" t="s">
        <x:v>4751</x:v>
      </x:c>
      <x:c r="B21" s="8" t="s">
        <x:v>5068</x:v>
      </x:c>
      <x:c r="C21" s="8" t="s">
        <x:v>5069</x:v>
      </x:c>
      <x:c r="D21" s="8" t="s">
        <x:v>2777</x:v>
      </x:c>
      <x:c r="E21" s="8" t="s">
        <x:v>5070</x:v>
      </x:c>
    </x:row>
    <x:row r="22" ht="36.45000076293945" customHeight="1">
      <x:c r="A22" s="8" t="s">
        <x:v>4751</x:v>
      </x:c>
      <x:c r="B22" s="8" t="s">
        <x:v>4897</x:v>
      </x:c>
      <x:c r="C22" s="8" t="s">
        <x:v>4899</x:v>
      </x:c>
      <x:c r="D22" s="8" t="s">
        <x:v>2779</x:v>
      </x:c>
      <x:c r="E22" s="8" t="s">
        <x:v>5071</x:v>
      </x:c>
    </x:row>
    <x:row r="23" ht="36.45000076293945" customHeight="1">
      <x:c r="A23" s="8" t="s">
        <x:v>4751</x:v>
      </x:c>
      <x:c r="B23" s="8" t="s">
        <x:v>5072</x:v>
      </x:c>
      <x:c r="C23" s="8" t="s">
        <x:v>5073</x:v>
      </x:c>
      <x:c r="D23" s="8" t="s">
        <x:v>2781</x:v>
      </x:c>
      <x:c r="E23" s="8" t="s">
        <x:v>5074</x:v>
      </x:c>
    </x:row>
    <x:row r="24" ht="36.45000076293945" customHeight="1">
      <x:c r="A24" s="8" t="s">
        <x:v>4755</x:v>
      </x:c>
      <x:c r="B24" s="8" t="s">
        <x:v>3507</x:v>
      </x:c>
      <x:c r="C24" s="8" t="s">
        <x:v>4911</x:v>
      </x:c>
      <x:c r="D24" s="8" t="s">
        <x:v>2862</x:v>
      </x:c>
      <x:c r="E24" s="8" t="s">
        <x:v>5075</x:v>
      </x:c>
    </x:row>
    <x:row r="25" ht="36.45000076293945" customHeight="1">
      <x:c r="A25" s="8" t="s">
        <x:v>4857</x:v>
      </x:c>
      <x:c r="B25" s="8" t="s">
        <x:v>5076</x:v>
      </x:c>
      <x:c r="C25" s="8" t="s">
        <x:v>5077</x:v>
      </x:c>
      <x:c r="D25" s="8" t="s">
        <x:v>5078</x:v>
      </x:c>
      <x:c r="E25" s="8" t="s">
        <x:v>5079</x:v>
      </x:c>
    </x:row>
    <x:row r="26" ht="36.45000076293945" customHeight="1">
      <x:c r="A26" s="8" t="s">
        <x:v>4857</x:v>
      </x:c>
      <x:c r="B26" s="8" t="s">
        <x:v>5080</x:v>
      </x:c>
      <x:c r="C26" s="8" t="s">
        <x:v>5081</x:v>
      </x:c>
      <x:c r="D26" s="8" t="s">
        <x:v>5082</x:v>
      </x:c>
      <x:c r="E26" s="8" t="s">
        <x:v>5083</x:v>
      </x:c>
    </x:row>
    <x:row r="27" ht="36.45000076293945" customHeight="1">
      <x:c r="A27" s="8" t="s">
        <x:v>5084</x:v>
      </x:c>
      <x:c r="B27" s="8" t="s">
        <x:v>4834</x:v>
      </x:c>
      <x:c r="C27" s="8" t="s">
        <x:v>5085</x:v>
      </x:c>
      <x:c r="D27" s="8" t="s">
        <x:v>5086</x:v>
      </x:c>
      <x:c r="E27" s="8" t="s">
        <x:v>5087</x:v>
      </x:c>
    </x:row>
    <x:row r="28" ht="36.45000076293945" customHeight="1">
      <x:c r="A28" s="8" t="s">
        <x:v>5084</x:v>
      </x:c>
      <x:c r="B28" s="8" t="s">
        <x:v>4878</x:v>
      </x:c>
      <x:c r="C28" s="8" t="s">
        <x:v>5088</x:v>
      </x:c>
      <x:c r="D28" s="8" t="s">
        <x:v>5089</x:v>
      </x:c>
      <x:c r="E28" s="8" t="s">
        <x:v>5087</x:v>
      </x:c>
    </x:row>
    <x:row r="29" ht="36.45000076293945" customHeight="1">
      <x:c r="A29" s="8" t="s">
        <x:v>5084</x:v>
      </x:c>
      <x:c r="B29" s="8" t="s">
        <x:v>4941</x:v>
      </x:c>
      <x:c r="C29" s="8" t="s">
        <x:v>5090</x:v>
      </x:c>
      <x:c r="D29" s="8" t="s">
        <x:v>5091</x:v>
      </x:c>
      <x:c r="E29" s="8" t="s">
        <x:v>5092</x:v>
      </x:c>
    </x:row>
    <x:row r="30" ht="36.45000076293945" customHeight="1">
      <x:c r="A30" s="8" t="s">
        <x:v>4677</x:v>
      </x:c>
      <x:c r="B30" s="8" t="s">
        <x:v>4929</x:v>
      </x:c>
      <x:c r="C30" s="8" t="s">
        <x:v>5093</x:v>
      </x:c>
      <x:c r="D30" s="8" t="s">
        <x:v>52</x:v>
      </x:c>
      <x:c r="E30" s="8" t="s">
        <x:v>5094</x:v>
      </x:c>
    </x:row>
    <x:row r="31" ht="36.45000076293945" customHeight="1">
      <x:c r="A31" s="8" t="s">
        <x:v>4677</x:v>
      </x:c>
      <x:c r="B31" s="8" t="s">
        <x:v>4808</x:v>
      </x:c>
      <x:c r="C31" s="8" t="s">
        <x:v>5095</x:v>
      </x:c>
      <x:c r="D31" s="8" t="s">
        <x:v>59</x:v>
      </x:c>
      <x:c r="E31" s="8" t="s">
        <x:v>5096</x:v>
      </x:c>
    </x:row>
    <x:row r="32" ht="36.45000076293945" customHeight="1">
      <x:c r="A32" s="8" t="s">
        <x:v>4709</x:v>
      </x:c>
      <x:c r="B32" s="8" t="s">
        <x:v>5068</x:v>
      </x:c>
      <x:c r="C32" s="8" t="s">
        <x:v>5097</x:v>
      </x:c>
      <x:c r="D32" s="8" t="s">
        <x:v>5098</x:v>
      </x:c>
      <x:c r="E32" s="8" t="s">
        <x:v>5099</x:v>
      </x:c>
    </x:row>
    <x:row r="33" ht="36.45000076293945" customHeight="1">
      <x:c r="A33" s="8" t="s">
        <x:v>4709</x:v>
      </x:c>
      <x:c r="B33" s="8" t="s">
        <x:v>5100</x:v>
      </x:c>
      <x:c r="C33" s="8" t="s">
        <x:v>5101</x:v>
      </x:c>
      <x:c r="D33" s="8" t="s">
        <x:v>5102</x:v>
      </x:c>
      <x:c r="E33" s="8" t="s">
        <x:v>5103</x:v>
      </x:c>
    </x:row>
    <x:row r="34" ht="36.45000076293945" customHeight="1">
      <x:c r="A34" s="8" t="s">
        <x:v>4798</x:v>
      </x:c>
      <x:c r="B34" s="8" t="s">
        <x:v>5104</x:v>
      </x:c>
      <x:c r="C34" s="8" t="s">
        <x:v>5105</x:v>
      </x:c>
      <x:c r="D34" s="8" t="s">
        <x:v>5106</x:v>
      </x:c>
      <x:c r="E34" s="8" t="s">
        <x:v>5107</x:v>
      </x:c>
    </x:row>
    <x:row r="35" ht="36.45000076293945" customHeight="1">
      <x:c r="A35" s="8" t="s">
        <x:v>4798</x:v>
      </x:c>
      <x:c r="B35" s="8" t="s">
        <x:v>4811</x:v>
      </x:c>
      <x:c r="C35" s="8" t="s">
        <x:v>5108</x:v>
      </x:c>
      <x:c r="D35" s="8" t="s">
        <x:v>5109</x:v>
      </x:c>
      <x:c r="E35" s="8" t="s">
        <x:v>5110</x:v>
      </x:c>
    </x:row>
    <x:row r="36" ht="36.45000076293945" customHeight="1">
      <x:c r="A36" s="8" t="s">
        <x:v>4779</x:v>
      </x:c>
      <x:c r="B36" s="8" t="s">
        <x:v>5111</x:v>
      </x:c>
      <x:c r="C36" s="8" t="s">
        <x:v>5112</x:v>
      </x:c>
      <x:c r="D36" s="8" t="s">
        <x:v>5113</x:v>
      </x:c>
      <x:c r="E36" s="8" t="s">
        <x:v>5114</x:v>
      </x:c>
    </x:row>
    <x:row r="37" ht="36.45000076293945" customHeight="1">
      <x:c r="A37" s="8" t="s">
        <x:v>4781</x:v>
      </x:c>
      <x:c r="B37" s="8" t="s">
        <x:v>5115</x:v>
      </x:c>
      <x:c r="C37" s="8" t="s">
        <x:v>5116</x:v>
      </x:c>
      <x:c r="D37" s="8" t="s">
        <x:v>5117</x:v>
      </x:c>
      <x:c r="E37" s="8" t="s">
        <x:v>5114</x:v>
      </x:c>
    </x:row>
    <x:row r="38" ht="36.45000076293945" customHeight="1">
      <x:c r="A38" s="8" t="s">
        <x:v>4783</x:v>
      </x:c>
      <x:c r="B38" s="8" t="s">
        <x:v>5118</x:v>
      </x:c>
      <x:c r="C38" s="8" t="s">
        <x:v>5119</x:v>
      </x:c>
      <x:c r="D38" s="8" t="s">
        <x:v>5120</x:v>
      </x:c>
      <x:c r="E38" s="8" t="s">
        <x:v>5114</x:v>
      </x:c>
    </x:row>
    <x:row r="39" ht="36.45000076293945" customHeight="1">
      <x:c r="A39" s="8" t="s">
        <x:v>4783</x:v>
      </x:c>
      <x:c r="B39" s="8" t="s">
        <x:v>5121</x:v>
      </x:c>
      <x:c r="C39" s="8" t="s">
        <x:v>5122</x:v>
      </x:c>
      <x:c r="D39" s="8" t="s">
        <x:v>5123</x:v>
      </x:c>
      <x:c r="E39" s="8" t="s">
        <x:v>5114</x:v>
      </x:c>
    </x:row>
    <x:row r="40" ht="36.45000076293945" customHeight="1">
      <x:c r="A40" s="8" t="s">
        <x:v>4787</x:v>
      </x:c>
      <x:c r="B40" s="8" t="s">
        <x:v>5124</x:v>
      </x:c>
      <x:c r="C40" s="8" t="s">
        <x:v>5125</x:v>
      </x:c>
      <x:c r="D40" s="8" t="s">
        <x:v>5126</x:v>
      </x:c>
      <x:c r="E40" s="8" t="s">
        <x:v>5114</x:v>
      </x:c>
    </x:row>
    <x:row r="41" ht="36.45000076293945" customHeight="1">
      <x:c r="A41" s="8" t="s">
        <x:v>4787</x:v>
      </x:c>
      <x:c r="B41" s="8" t="s">
        <x:v>5127</x:v>
      </x:c>
      <x:c r="C41" s="8" t="s">
        <x:v>5128</x:v>
      </x:c>
      <x:c r="D41" s="8" t="s">
        <x:v>5129</x:v>
      </x:c>
      <x:c r="E41" s="8" t="s">
        <x:v>5114</x:v>
      </x:c>
    </x:row>
    <x:row r="42" ht="36.45000076293945" customHeight="1">
      <x:c r="A42" s="8" t="s">
        <x:v>4789</x:v>
      </x:c>
      <x:c r="B42" s="8" t="s">
        <x:v>5130</x:v>
      </x:c>
      <x:c r="C42" s="8" t="s">
        <x:v>5131</x:v>
      </x:c>
      <x:c r="D42" s="8" t="s">
        <x:v>5132</x:v>
      </x:c>
      <x:c r="E42" s="8" t="s">
        <x:v>5114</x:v>
      </x:c>
    </x:row>
    <x:row r="43" ht="36.45000076293945" customHeight="1">
      <x:c r="A43" s="8" t="s">
        <x:v>4798</x:v>
      </x:c>
      <x:c r="B43" s="8" t="s">
        <x:v>5133</x:v>
      </x:c>
      <x:c r="C43" s="8" t="s">
        <x:v>5134</x:v>
      </x:c>
      <x:c r="D43" s="8" t="s">
        <x:v>5135</x:v>
      </x:c>
      <x:c r="E43" s="8" t="s">
        <x:v>5136</x:v>
      </x:c>
    </x:row>
    <x:row r="44" ht="36.45000076293945" customHeight="1">
      <x:c r="A44" s="8" t="s">
        <x:v>4798</x:v>
      </x:c>
      <x:c r="B44" s="8" t="s">
        <x:v>5137</x:v>
      </x:c>
      <x:c r="C44" s="8" t="s">
        <x:v>5134</x:v>
      </x:c>
      <x:c r="D44" s="8" t="s">
        <x:v>5138</x:v>
      </x:c>
      <x:c r="E44" s="8" t="s">
        <x:v>5136</x:v>
      </x:c>
    </x:row>
    <x:row r="45" ht="36.45000076293945" customHeight="1">
      <x:c r="A45" s="8" t="s">
        <x:v>4798</x:v>
      </x:c>
      <x:c r="B45" s="8" t="s">
        <x:v>5139</x:v>
      </x:c>
      <x:c r="C45" s="8" t="s">
        <x:v>5134</x:v>
      </x:c>
      <x:c r="D45" s="8" t="s">
        <x:v>5140</x:v>
      </x:c>
      <x:c r="E45" s="8" t="s">
        <x:v>5136</x:v>
      </x:c>
    </x:row>
    <x:row r="46" ht="36.45000076293945" customHeight="1">
      <x:c r="A46" s="8" t="s">
        <x:v>4798</x:v>
      </x:c>
      <x:c r="B46" s="8" t="s">
        <x:v>5141</x:v>
      </x:c>
      <x:c r="C46" s="8" t="s">
        <x:v>5134</x:v>
      </x:c>
      <x:c r="D46" s="8" t="s">
        <x:v>5142</x:v>
      </x:c>
      <x:c r="E46" s="8" t="s">
        <x:v>5136</x:v>
      </x:c>
    </x:row>
    <x:row r="47" ht="36.45000076293945" customHeight="1">
      <x:c r="A47" s="8" t="s">
        <x:v>4703</x:v>
      </x:c>
      <x:c r="B47" s="8" t="s">
        <x:v>5143</x:v>
      </x:c>
      <x:c r="C47" s="8" t="s">
        <x:v>5144</x:v>
      </x:c>
      <x:c r="D47" s="8" t="s">
        <x:v>5145</x:v>
      </x:c>
      <x:c r="E47" s="8" t="s">
        <x:v>5146</x:v>
      </x:c>
    </x:row>
    <x:row r="48" ht="36.45000076293945" customHeight="1">
      <x:c r="A48" s="8" t="s">
        <x:v>4761</x:v>
      </x:c>
      <x:c r="B48" s="8" t="s">
        <x:v>4901</x:v>
      </x:c>
      <x:c r="C48" s="8" t="s">
        <x:v>4921</x:v>
      </x:c>
      <x:c r="D48" s="8" t="s">
        <x:v>3009</x:v>
      </x:c>
      <x:c r="E48" s="8" t="s">
        <x:v>5147</x:v>
      </x:c>
    </x:row>
    <x:row r="49" ht="36.45000076293945" customHeight="1">
      <x:c r="A49" s="8" t="s">
        <x:v>4763</x:v>
      </x:c>
      <x:c r="B49" s="8" t="s">
        <x:v>4878</x:v>
      </x:c>
      <x:c r="C49" s="8" t="s">
        <x:v>5148</x:v>
      </x:c>
      <x:c r="D49" s="8" t="s">
        <x:v>5149</x:v>
      </x:c>
      <x:c r="E49" s="8" t="s">
        <x:v>5150</x:v>
      </x:c>
    </x:row>
  </x:sheetData>
  <x:pageMargins left="0.7" right="0.7" top="0.75" bottom="0.75" header="0.3" footer="0.3"/>
</x:worksheet>
</file>

<file path=xl/worksheets/sheet91.xml><?xml version="1.0" encoding="utf-8"?>
<x:worksheet xmlns:x="http://schemas.openxmlformats.org/spreadsheetml/2006/main">
  <x:sheetFormatPr baseColWidth="10" defaultColWidth="8.88671875" defaultRowHeight="14.399999618530273"/>
  <x:cols>
    <x:col min="1" max="1" width="13" customWidth="1"/>
    <x:col min="2" max="2" width="27" customWidth="1"/>
    <x:col min="3" max="3" width="35" customWidth="1"/>
    <x:col min="4" max="4" width="94" customWidth="1"/>
  </x:cols>
  <x:sheetData>
    <x:row r="1" ht="20.549999237060547" customHeight="1">
      <x:c r="A1" s="306" t="s">
        <x:v>5151</x:v>
      </x:c>
      <x:c r="B1" s="306"/>
      <x:c r="C1" s="306"/>
      <x:c r="D1" s="306"/>
    </x:row>
    <x:row r="2" ht="19.200000762939453" customHeight="1">
      <x:c r="A2" s="307" t="s">
        <x:v>5152</x:v>
      </x:c>
      <x:c r="B2" s="307"/>
      <x:c r="C2" s="307"/>
      <x:c r="D2" s="307"/>
    </x:row>
    <x:row r="3" ht="15.899999618530273" customHeight="1">
      <x:c r="A3" s="308" t="s">
        <x:v>4973</x:v>
      </x:c>
      <x:c r="B3" s="308" t="s">
        <x:v>5153</x:v>
      </x:c>
      <x:c r="C3" s="308" t="s">
        <x:v>5154</x:v>
      </x:c>
      <x:c r="D3" s="308" t="s">
        <x:v>5155</x:v>
      </x:c>
    </x:row>
    <x:row r="4" ht="24.299999237060547" customHeight="1">
      <x:c r="A4" s="8" t="s">
        <x:v>4609</x:v>
      </x:c>
      <x:c r="B4" s="8" t="s">
        <x:v>4857</x:v>
      </x:c>
      <x:c r="C4" s="8" t="s">
        <x:v>5156</x:v>
      </x:c>
      <x:c r="D4" s="8" t="s">
        <x:v>5157</x:v>
      </x:c>
    </x:row>
    <x:row r="5" ht="24.299999237060547" customHeight="1">
      <x:c r="A5" s="8" t="s">
        <x:v>4675</x:v>
      </x:c>
      <x:c r="B5" s="8" t="s">
        <x:v>5084</x:v>
      </x:c>
      <x:c r="C5" s="8" t="s">
        <x:v>5156</x:v>
      </x:c>
      <x:c r="D5" s="8" t="s">
        <x:v>5158</x:v>
      </x:c>
    </x:row>
    <x:row r="6" ht="24.299999237060547" customHeight="1">
      <x:c r="A6" s="8" t="s">
        <x:v>4676</x:v>
      </x:c>
      <x:c r="B6" s="8" t="s">
        <x:v>4677</x:v>
      </x:c>
      <x:c r="C6" s="8" t="s">
        <x:v>5156</x:v>
      </x:c>
      <x:c r="D6" s="8" t="s">
        <x:v>5159</x:v>
      </x:c>
    </x:row>
    <x:row r="7" ht="24.299999237060547" customHeight="1">
      <x:c r="A7" s="8" t="s">
        <x:v>4680</x:v>
      </x:c>
      <x:c r="B7" s="8" t="s">
        <x:v>4681</x:v>
      </x:c>
      <x:c r="C7" s="8" t="s">
        <x:v>5156</x:v>
      </x:c>
      <x:c r="D7" s="8" t="s">
        <x:v>5158</x:v>
      </x:c>
    </x:row>
    <x:row r="8" ht="24.299999237060547" customHeight="1">
      <x:c r="A8" s="8" t="s">
        <x:v>4682</x:v>
      </x:c>
      <x:c r="B8" s="8" t="s">
        <x:v>4683</x:v>
      </x:c>
      <x:c r="C8" s="8" t="s">
        <x:v>5156</x:v>
      </x:c>
      <x:c r="D8" s="8" t="s">
        <x:v>5158</x:v>
      </x:c>
    </x:row>
    <x:row r="9" ht="24.299999237060547" customHeight="1">
      <x:c r="A9" s="8" t="s">
        <x:v>4686</x:v>
      </x:c>
      <x:c r="B9" s="8" t="s">
        <x:v>5160</x:v>
      </x:c>
      <x:c r="C9" s="8" t="s">
        <x:v>5156</x:v>
      </x:c>
      <x:c r="D9" s="8" t="s">
        <x:v>5161</x:v>
      </x:c>
    </x:row>
    <x:row r="10" ht="24.299999237060547" customHeight="1">
      <x:c r="A10" s="8" t="s">
        <x:v>4687</x:v>
      </x:c>
      <x:c r="B10" s="8" t="s">
        <x:v>4688</x:v>
      </x:c>
      <x:c r="C10" s="8" t="s">
        <x:v>5156</x:v>
      </x:c>
      <x:c r="D10" s="8" t="s">
        <x:v>5162</x:v>
      </x:c>
    </x:row>
    <x:row r="11" ht="24.299999237060547" customHeight="1">
      <x:c r="A11" s="8" t="s">
        <x:v>4691</x:v>
      </x:c>
      <x:c r="B11" s="8" t="s">
        <x:v>5163</x:v>
      </x:c>
      <x:c r="C11" s="8" t="s">
        <x:v>5156</x:v>
      </x:c>
      <x:c r="D11" s="8" t="s">
        <x:v>5164</x:v>
      </x:c>
    </x:row>
    <x:row r="12" ht="24.299999237060547" customHeight="1">
      <x:c r="A12" s="8" t="s">
        <x:v>4692</x:v>
      </x:c>
      <x:c r="B12" s="8" t="s">
        <x:v>5165</x:v>
      </x:c>
      <x:c r="C12" s="8" t="s">
        <x:v>5156</x:v>
      </x:c>
      <x:c r="D12" s="8" t="s">
        <x:v>5166</x:v>
      </x:c>
    </x:row>
    <x:row r="13" ht="24.299999237060547" customHeight="1">
      <x:c r="A13" s="8" t="s">
        <x:v>4693</x:v>
      </x:c>
      <x:c r="B13" s="8" t="s">
        <x:v>5167</x:v>
      </x:c>
      <x:c r="C13" s="8" t="s">
        <x:v>5156</x:v>
      </x:c>
      <x:c r="D13" s="8" t="s">
        <x:v>5168</x:v>
      </x:c>
    </x:row>
    <x:row r="14" ht="24.299999237060547" customHeight="1">
      <x:c r="A14" s="8" t="s">
        <x:v>4694</x:v>
      </x:c>
      <x:c r="B14" s="8" t="s">
        <x:v>4695</x:v>
      </x:c>
      <x:c r="C14" s="8" t="s">
        <x:v>5156</x:v>
      </x:c>
      <x:c r="D14" s="8" t="s">
        <x:v>5169</x:v>
      </x:c>
    </x:row>
    <x:row r="15" ht="24.299999237060547" customHeight="1">
      <x:c r="A15" s="8" t="s">
        <x:v>4696</x:v>
      </x:c>
      <x:c r="B15" s="8" t="s">
        <x:v>4697</x:v>
      </x:c>
      <x:c r="C15" s="8" t="s">
        <x:v>5156</x:v>
      </x:c>
      <x:c r="D15" s="8" t="s">
        <x:v>5170</x:v>
      </x:c>
    </x:row>
    <x:row r="16" ht="24.299999237060547" customHeight="1">
      <x:c r="A16" s="8" t="s">
        <x:v>4698</x:v>
      </x:c>
      <x:c r="B16" s="8" t="s">
        <x:v>4699</x:v>
      </x:c>
      <x:c r="C16" s="8" t="s">
        <x:v>5156</x:v>
      </x:c>
      <x:c r="D16" s="8" t="s">
        <x:v>5171</x:v>
      </x:c>
    </x:row>
    <x:row r="17" ht="24.299999237060547" customHeight="1">
      <x:c r="A17" s="8" t="s">
        <x:v>4568</x:v>
      </x:c>
      <x:c r="B17" s="8" t="s">
        <x:v>4798</x:v>
      </x:c>
      <x:c r="C17" s="8" t="s">
        <x:v>5156</x:v>
      </x:c>
      <x:c r="D17" s="8" t="s">
        <x:v>5166</x:v>
      </x:c>
    </x:row>
    <x:row r="18" ht="24.299999237060547" customHeight="1">
      <x:c r="A18" s="8" t="s">
        <x:v>4577</x:v>
      </x:c>
      <x:c r="B18" s="8" t="s">
        <x:v>4700</x:v>
      </x:c>
      <x:c r="C18" s="8" t="s">
        <x:v>5156</x:v>
      </x:c>
      <x:c r="D18" s="8" t="s">
        <x:v>5172</x:v>
      </x:c>
    </x:row>
    <x:row r="19" ht="24.299999237060547" customHeight="1">
      <x:c r="A19" s="8" t="s">
        <x:v>4573</x:v>
      </x:c>
      <x:c r="B19" s="8" t="s">
        <x:v>4702</x:v>
      </x:c>
      <x:c r="C19" s="8" t="s">
        <x:v>5156</x:v>
      </x:c>
      <x:c r="D19" s="8" t="s">
        <x:v>5173</x:v>
      </x:c>
    </x:row>
    <x:row r="20" ht="24.299999237060547" customHeight="1">
      <x:c r="A20" s="8" t="s">
        <x:v>4703</x:v>
      </x:c>
      <x:c r="B20" s="8" t="s">
        <x:v>4703</x:v>
      </x:c>
      <x:c r="C20" s="8" t="s">
        <x:v>5156</x:v>
      </x:c>
      <x:c r="D20" s="8" t="s">
        <x:v>5174</x:v>
      </x:c>
    </x:row>
    <x:row r="21" ht="24.299999237060547" customHeight="1">
      <x:c r="A21" s="8" t="s">
        <x:v>4704</x:v>
      </x:c>
      <x:c r="B21" s="8" t="s">
        <x:v>4704</x:v>
      </x:c>
      <x:c r="C21" s="8" t="s">
        <x:v>5156</x:v>
      </x:c>
      <x:c r="D21" s="8" t="s">
        <x:v>5157</x:v>
      </x:c>
    </x:row>
    <x:row r="22" ht="24.299999237060547" customHeight="1">
      <x:c r="A22" s="8" t="s">
        <x:v>4705</x:v>
      </x:c>
      <x:c r="B22" s="8" t="s">
        <x:v>4705</x:v>
      </x:c>
      <x:c r="C22" s="8" t="s">
        <x:v>5156</x:v>
      </x:c>
      <x:c r="D22" s="8" t="s">
        <x:v>5175</x:v>
      </x:c>
    </x:row>
    <x:row r="23" ht="24.299999237060547" customHeight="1">
      <x:c r="A23" s="8" t="s">
        <x:v>4706</x:v>
      </x:c>
      <x:c r="B23" s="8" t="s">
        <x:v>4706</x:v>
      </x:c>
      <x:c r="C23" s="8" t="s">
        <x:v>5156</x:v>
      </x:c>
      <x:c r="D23" s="8" t="s">
        <x:v>5158</x:v>
      </x:c>
    </x:row>
    <x:row r="24" ht="24.299999237060547" customHeight="1">
      <x:c r="A24" s="8" t="s">
        <x:v>4707</x:v>
      </x:c>
      <x:c r="B24" s="8" t="s">
        <x:v>4707</x:v>
      </x:c>
      <x:c r="C24" s="8" t="s">
        <x:v>5156</x:v>
      </x:c>
      <x:c r="D24" s="8" t="s">
        <x:v>5157</x:v>
      </x:c>
    </x:row>
    <x:row r="25" ht="24.299999237060547" customHeight="1">
      <x:c r="A25" s="8" t="s">
        <x:v>4708</x:v>
      </x:c>
      <x:c r="B25" s="8" t="s">
        <x:v>4708</x:v>
      </x:c>
      <x:c r="C25" s="8" t="s">
        <x:v>5156</x:v>
      </x:c>
      <x:c r="D25" s="8" t="s">
        <x:v>5176</x:v>
      </x:c>
    </x:row>
    <x:row r="26" ht="24.299999237060547" customHeight="1">
      <x:c r="A26" s="8" t="s">
        <x:v>4709</x:v>
      </x:c>
      <x:c r="B26" s="8" t="s">
        <x:v>4709</x:v>
      </x:c>
      <x:c r="C26" s="8" t="s">
        <x:v>5156</x:v>
      </x:c>
      <x:c r="D26" s="8" t="s">
        <x:v>5177</x:v>
      </x:c>
    </x:row>
    <x:row r="27" ht="24.299999237060547" customHeight="1">
      <x:c r="A27" s="8" t="s">
        <x:v>4710</x:v>
      </x:c>
      <x:c r="B27" s="8" t="s">
        <x:v>4710</x:v>
      </x:c>
      <x:c r="C27" s="8" t="s">
        <x:v>5156</x:v>
      </x:c>
      <x:c r="D27" s="8" t="s">
        <x:v>5177</x:v>
      </x:c>
    </x:row>
    <x:row r="28" ht="24.299999237060547" customHeight="1">
      <x:c r="A28" s="8" t="s">
        <x:v>4711</x:v>
      </x:c>
      <x:c r="B28" s="8" t="s">
        <x:v>4711</x:v>
      </x:c>
      <x:c r="C28" s="8" t="s">
        <x:v>5156</x:v>
      </x:c>
      <x:c r="D28" s="8" t="s">
        <x:v>5178</x:v>
      </x:c>
    </x:row>
    <x:row r="29" ht="24.299999237060547" customHeight="1">
      <x:c r="A29" s="8" t="s">
        <x:v>4712</x:v>
      </x:c>
      <x:c r="B29" s="8" t="s">
        <x:v>4712</x:v>
      </x:c>
      <x:c r="C29" s="8" t="s">
        <x:v>5156</x:v>
      </x:c>
      <x:c r="D29" s="8" t="s">
        <x:v>5179</x:v>
      </x:c>
    </x:row>
    <x:row r="30" ht="24.299999237060547" customHeight="1">
      <x:c r="A30" s="8" t="s">
        <x:v>4713</x:v>
      </x:c>
      <x:c r="B30" s="8" t="s">
        <x:v>4713</x:v>
      </x:c>
      <x:c r="C30" s="8" t="s">
        <x:v>5156</x:v>
      </x:c>
      <x:c r="D30" s="8" t="s">
        <x:v>5180</x:v>
      </x:c>
    </x:row>
    <x:row r="31" ht="24.299999237060547" customHeight="1">
      <x:c r="A31" s="8" t="s">
        <x:v>4714</x:v>
      </x:c>
      <x:c r="B31" s="8" t="s">
        <x:v>4715</x:v>
      </x:c>
      <x:c r="C31" s="8" t="s">
        <x:v>5156</x:v>
      </x:c>
      <x:c r="D31" s="8" t="s">
        <x:v>5181</x:v>
      </x:c>
    </x:row>
    <x:row r="32" ht="24.299999237060547" customHeight="1">
      <x:c r="A32" s="8" t="s">
        <x:v>4716</x:v>
      </x:c>
      <x:c r="B32" s="8" t="s">
        <x:v>4717</x:v>
      </x:c>
      <x:c r="C32" s="8" t="s">
        <x:v>5156</x:v>
      </x:c>
      <x:c r="D32" s="8" t="s">
        <x:v>5178</x:v>
      </x:c>
    </x:row>
    <x:row r="33" ht="24.299999237060547" customHeight="1">
      <x:c r="A33" s="8" t="s">
        <x:v>4718</x:v>
      </x:c>
      <x:c r="B33" s="8" t="s">
        <x:v>4719</x:v>
      </x:c>
      <x:c r="C33" s="8" t="s">
        <x:v>5156</x:v>
      </x:c>
      <x:c r="D33" s="8" t="s">
        <x:v>5182</x:v>
      </x:c>
    </x:row>
    <x:row r="34" ht="24.299999237060547" customHeight="1">
      <x:c r="A34" s="8" t="s">
        <x:v>4720</x:v>
      </x:c>
      <x:c r="B34" s="8" t="s">
        <x:v>4721</x:v>
      </x:c>
      <x:c r="C34" s="8" t="s">
        <x:v>5156</x:v>
      </x:c>
      <x:c r="D34" s="8" t="s">
        <x:v>5183</x:v>
      </x:c>
    </x:row>
    <x:row r="35" ht="24.299999237060547" customHeight="1">
      <x:c r="A35" s="8" t="s">
        <x:v>4722</x:v>
      </x:c>
      <x:c r="B35" s="8" t="s">
        <x:v>4723</x:v>
      </x:c>
      <x:c r="C35" s="8" t="s">
        <x:v>5156</x:v>
      </x:c>
      <x:c r="D35" s="8" t="s">
        <x:v>5184</x:v>
      </x:c>
    </x:row>
    <x:row r="36" ht="24.299999237060547" customHeight="1">
      <x:c r="A36" s="8" t="s">
        <x:v>4724</x:v>
      </x:c>
      <x:c r="B36" s="8" t="s">
        <x:v>4725</x:v>
      </x:c>
      <x:c r="C36" s="8" t="s">
        <x:v>5156</x:v>
      </x:c>
      <x:c r="D36" s="8" t="s">
        <x:v>5185</x:v>
      </x:c>
    </x:row>
    <x:row r="37" ht="24.299999237060547" customHeight="1">
      <x:c r="A37" s="8" t="s">
        <x:v>4726</x:v>
      </x:c>
      <x:c r="B37" s="8" t="s">
        <x:v>4727</x:v>
      </x:c>
      <x:c r="C37" s="8" t="s">
        <x:v>5156</x:v>
      </x:c>
      <x:c r="D37" s="8" t="s">
        <x:v>5186</x:v>
      </x:c>
    </x:row>
    <x:row r="38" ht="24.299999237060547" customHeight="1">
      <x:c r="A38" s="8" t="s">
        <x:v>4728</x:v>
      </x:c>
      <x:c r="B38" s="8" t="s">
        <x:v>4729</x:v>
      </x:c>
      <x:c r="C38" s="8" t="s">
        <x:v>5156</x:v>
      </x:c>
      <x:c r="D38" s="8" t="s">
        <x:v>5187</x:v>
      </x:c>
    </x:row>
    <x:row r="39" ht="24.299999237060547" customHeight="1">
      <x:c r="A39" s="8" t="s">
        <x:v>4730</x:v>
      </x:c>
      <x:c r="B39" s="8" t="s">
        <x:v>4731</x:v>
      </x:c>
      <x:c r="C39" s="8" t="s">
        <x:v>5156</x:v>
      </x:c>
      <x:c r="D39" s="8" t="s">
        <x:v>5186</x:v>
      </x:c>
    </x:row>
    <x:row r="40" ht="24.299999237060547" customHeight="1">
      <x:c r="A40" s="8" t="s">
        <x:v>4732</x:v>
      </x:c>
      <x:c r="B40" s="8" t="s">
        <x:v>4733</x:v>
      </x:c>
      <x:c r="C40" s="8" t="s">
        <x:v>5156</x:v>
      </x:c>
      <x:c r="D40" s="8" t="s">
        <x:v>5175</x:v>
      </x:c>
    </x:row>
    <x:row r="41" ht="24.299999237060547" customHeight="1">
      <x:c r="A41" s="8" t="s">
        <x:v>4734</x:v>
      </x:c>
      <x:c r="B41" s="8" t="s">
        <x:v>4735</x:v>
      </x:c>
      <x:c r="C41" s="8" t="s">
        <x:v>5156</x:v>
      </x:c>
      <x:c r="D41" s="8" t="s">
        <x:v>5188</x:v>
      </x:c>
    </x:row>
    <x:row r="42" ht="24.299999237060547" customHeight="1">
      <x:c r="A42" s="8" t="s">
        <x:v>4736</x:v>
      </x:c>
      <x:c r="B42" s="8" t="s">
        <x:v>4737</x:v>
      </x:c>
      <x:c r="C42" s="8" t="s">
        <x:v>5156</x:v>
      </x:c>
      <x:c r="D42" s="8" t="s">
        <x:v>5188</x:v>
      </x:c>
    </x:row>
    <x:row r="43" ht="24.299999237060547" customHeight="1">
      <x:c r="A43" s="8" t="s">
        <x:v>4738</x:v>
      </x:c>
      <x:c r="B43" s="8" t="s">
        <x:v>4739</x:v>
      </x:c>
      <x:c r="C43" s="8" t="s">
        <x:v>5156</x:v>
      </x:c>
      <x:c r="D43" s="8" t="s">
        <x:v>5189</x:v>
      </x:c>
    </x:row>
    <x:row r="44" ht="24.299999237060547" customHeight="1">
      <x:c r="A44" s="8" t="s">
        <x:v>4740</x:v>
      </x:c>
      <x:c r="B44" s="8" t="s">
        <x:v>4741</x:v>
      </x:c>
      <x:c r="C44" s="8" t="s">
        <x:v>5156</x:v>
      </x:c>
      <x:c r="D44" s="8" t="s">
        <x:v>5190</x:v>
      </x:c>
    </x:row>
    <x:row r="45" ht="24.299999237060547" customHeight="1">
      <x:c r="A45" s="8" t="s">
        <x:v>4742</x:v>
      </x:c>
      <x:c r="B45" s="8" t="s">
        <x:v>4743</x:v>
      </x:c>
      <x:c r="C45" s="8" t="s">
        <x:v>5156</x:v>
      </x:c>
      <x:c r="D45" s="8" t="s">
        <x:v>5191</x:v>
      </x:c>
    </x:row>
    <x:row r="46" ht="24.299999237060547" customHeight="1">
      <x:c r="A46" s="8" t="s">
        <x:v>4744</x:v>
      </x:c>
      <x:c r="B46" s="8" t="s">
        <x:v>4745</x:v>
      </x:c>
      <x:c r="C46" s="8" t="s">
        <x:v>5156</x:v>
      </x:c>
      <x:c r="D46" s="8" t="s">
        <x:v>5191</x:v>
      </x:c>
    </x:row>
    <x:row r="47" ht="24.299999237060547" customHeight="1">
      <x:c r="A47" s="8" t="s">
        <x:v>4746</x:v>
      </x:c>
      <x:c r="B47" s="8" t="s">
        <x:v>4747</x:v>
      </x:c>
      <x:c r="C47" s="8" t="s">
        <x:v>5156</x:v>
      </x:c>
      <x:c r="D47" s="8" t="s">
        <x:v>5192</x:v>
      </x:c>
    </x:row>
    <x:row r="48" ht="24.299999237060547" customHeight="1">
      <x:c r="A48" s="8" t="s">
        <x:v>4748</x:v>
      </x:c>
      <x:c r="B48" s="8" t="s">
        <x:v>4749</x:v>
      </x:c>
      <x:c r="C48" s="8" t="s">
        <x:v>5156</x:v>
      </x:c>
      <x:c r="D48" s="8" t="s">
        <x:v>5168</x:v>
      </x:c>
    </x:row>
    <x:row r="49" ht="24.299999237060547" customHeight="1">
      <x:c r="A49" s="8" t="s">
        <x:v>4750</x:v>
      </x:c>
      <x:c r="B49" s="8" t="s">
        <x:v>4751</x:v>
      </x:c>
      <x:c r="C49" s="8" t="s">
        <x:v>5156</x:v>
      </x:c>
      <x:c r="D49" s="8" t="s">
        <x:v>5193</x:v>
      </x:c>
    </x:row>
    <x:row r="50" ht="24.299999237060547" customHeight="1">
      <x:c r="A50" s="8" t="s">
        <x:v>4752</x:v>
      </x:c>
      <x:c r="B50" s="8" t="s">
        <x:v>4753</x:v>
      </x:c>
      <x:c r="C50" s="8" t="s">
        <x:v>5156</x:v>
      </x:c>
      <x:c r="D50" s="8" t="s">
        <x:v>5194</x:v>
      </x:c>
    </x:row>
    <x:row r="51" ht="24.299999237060547" customHeight="1">
      <x:c r="A51" s="8" t="s">
        <x:v>4754</x:v>
      </x:c>
      <x:c r="B51" s="8" t="s">
        <x:v>4755</x:v>
      </x:c>
      <x:c r="C51" s="8" t="s">
        <x:v>5156</x:v>
      </x:c>
      <x:c r="D51" s="8" t="s">
        <x:v>5195</x:v>
      </x:c>
    </x:row>
    <x:row r="52" ht="24.299999237060547" customHeight="1">
      <x:c r="A52" s="8" t="s">
        <x:v>4756</x:v>
      </x:c>
      <x:c r="B52" s="8" t="s">
        <x:v>4757</x:v>
      </x:c>
      <x:c r="C52" s="8" t="s">
        <x:v>5156</x:v>
      </x:c>
      <x:c r="D52" s="8" t="s">
        <x:v>5196</x:v>
      </x:c>
    </x:row>
    <x:row r="53" ht="24.299999237060547" customHeight="1">
      <x:c r="A53" s="8" t="s">
        <x:v>4758</x:v>
      </x:c>
      <x:c r="B53" s="8" t="s">
        <x:v>4759</x:v>
      </x:c>
      <x:c r="C53" s="8" t="s">
        <x:v>5156</x:v>
      </x:c>
      <x:c r="D53" s="8" t="s">
        <x:v>5171</x:v>
      </x:c>
    </x:row>
    <x:row r="54" ht="24.299999237060547" customHeight="1">
      <x:c r="A54" s="8" t="s">
        <x:v>4760</x:v>
      </x:c>
      <x:c r="B54" s="8" t="s">
        <x:v>4761</x:v>
      </x:c>
      <x:c r="C54" s="8" t="s">
        <x:v>5156</x:v>
      </x:c>
      <x:c r="D54" s="8" t="s">
        <x:v>5197</x:v>
      </x:c>
    </x:row>
    <x:row r="55" ht="24.299999237060547" customHeight="1">
      <x:c r="A55" s="8" t="s">
        <x:v>4762</x:v>
      </x:c>
      <x:c r="B55" s="8" t="s">
        <x:v>4763</x:v>
      </x:c>
      <x:c r="C55" s="8" t="s">
        <x:v>5156</x:v>
      </x:c>
      <x:c r="D55" s="8" t="s">
        <x:v>5181</x:v>
      </x:c>
    </x:row>
    <x:row r="56" ht="24.299999237060547" customHeight="1">
      <x:c r="A56" s="8" t="s">
        <x:v>4764</x:v>
      </x:c>
      <x:c r="B56" s="8" t="s">
        <x:v>4765</x:v>
      </x:c>
      <x:c r="C56" s="8" t="str">
        <x:v>HISTÓRICO / SUPERADO: RF53 REINCORPORADO</x:v>
      </x:c>
      <x:c r="D56" s="8" t="str">
        <x:v>La edición manual de licencia sigue retirada; RF053-EF1 incorpora reactivación de cuenta. Revisar flujo y alternativos.</x:v>
      </x:c>
    </x:row>
    <x:row r="57" ht="24.299999237060547" customHeight="1">
      <x:c r="A57" s="8" t="s">
        <x:v>4768</x:v>
      </x:c>
      <x:c r="B57" s="8" t="s">
        <x:v>4769</x:v>
      </x:c>
      <x:c r="C57" s="8" t="s">
        <x:v>5156</x:v>
      </x:c>
      <x:c r="D57" s="8" t="s">
        <x:v>5172</x:v>
      </x:c>
    </x:row>
    <x:row r="58" ht="24.299999237060547" customHeight="1">
      <x:c r="A58" s="8" t="s">
        <x:v>4770</x:v>
      </x:c>
      <x:c r="B58" s="8" t="s">
        <x:v>4771</x:v>
      </x:c>
      <x:c r="C58" s="8" t="s">
        <x:v>5156</x:v>
      </x:c>
      <x:c r="D58" s="8" t="s">
        <x:v>5175</x:v>
      </x:c>
    </x:row>
    <x:row r="59" ht="24.299999237060547" customHeight="1">
      <x:c r="A59" s="8" t="s">
        <x:v>4772</x:v>
      </x:c>
      <x:c r="B59" s="8" t="s">
        <x:v>4773</x:v>
      </x:c>
      <x:c r="C59" s="8" t="s">
        <x:v>5156</x:v>
      </x:c>
      <x:c r="D59" s="8" t="s">
        <x:v>5173</x:v>
      </x:c>
    </x:row>
    <x:row r="60" ht="24.299999237060547" customHeight="1">
      <x:c r="A60" s="8" t="s">
        <x:v>4774</x:v>
      </x:c>
      <x:c r="B60" s="8" t="s">
        <x:v>4775</x:v>
      </x:c>
      <x:c r="C60" s="8" t="s">
        <x:v>5156</x:v>
      </x:c>
      <x:c r="D60" s="8" t="s">
        <x:v>5190</x:v>
      </x:c>
    </x:row>
    <x:row r="61" ht="24.299999237060547" customHeight="1">
      <x:c r="A61" s="8" t="s">
        <x:v>4776</x:v>
      </x:c>
      <x:c r="B61" s="8" t="s">
        <x:v>4777</x:v>
      </x:c>
      <x:c r="C61" s="8" t="s">
        <x:v>5156</x:v>
      </x:c>
      <x:c r="D61" s="8" t="s">
        <x:v>5189</x:v>
      </x:c>
    </x:row>
    <x:row r="62" ht="24.299999237060547" customHeight="1">
      <x:c r="A62" s="8" t="s">
        <x:v>4778</x:v>
      </x:c>
      <x:c r="B62" s="8" t="s">
        <x:v>4779</x:v>
      </x:c>
      <x:c r="C62" s="8" t="s">
        <x:v>5156</x:v>
      </x:c>
      <x:c r="D62" s="8" t="s">
        <x:v>5198</x:v>
      </x:c>
    </x:row>
    <x:row r="63" ht="24.299999237060547" customHeight="1">
      <x:c r="A63" s="8" t="s">
        <x:v>4780</x:v>
      </x:c>
      <x:c r="B63" s="8" t="s">
        <x:v>4781</x:v>
      </x:c>
      <x:c r="C63" s="8" t="s">
        <x:v>5156</x:v>
      </x:c>
      <x:c r="D63" s="8" t="s">
        <x:v>5199</x:v>
      </x:c>
    </x:row>
    <x:row r="64" ht="24.299999237060547" customHeight="1">
      <x:c r="A64" s="8" t="s">
        <x:v>4782</x:v>
      </x:c>
      <x:c r="B64" s="8" t="s">
        <x:v>4783</x:v>
      </x:c>
      <x:c r="C64" s="8" t="s">
        <x:v>5156</x:v>
      </x:c>
      <x:c r="D64" s="8" t="s">
        <x:v>5193</x:v>
      </x:c>
    </x:row>
    <x:row r="65" ht="24.299999237060547" customHeight="1">
      <x:c r="A65" s="8" t="s">
        <x:v>4784</x:v>
      </x:c>
      <x:c r="B65" s="8" t="s">
        <x:v>4785</x:v>
      </x:c>
      <x:c r="C65" s="8" t="s">
        <x:v>5156</x:v>
      </x:c>
      <x:c r="D65" s="8" t="s">
        <x:v>5188</x:v>
      </x:c>
    </x:row>
    <x:row r="66" ht="24.299999237060547" customHeight="1">
      <x:c r="A66" s="8" t="s">
        <x:v>4786</x:v>
      </x:c>
      <x:c r="B66" s="8" t="s">
        <x:v>4787</x:v>
      </x:c>
      <x:c r="C66" s="8" t="s">
        <x:v>5156</x:v>
      </x:c>
      <x:c r="D66" s="8" t="s">
        <x:v>5200</x:v>
      </x:c>
    </x:row>
    <x:row r="67" ht="24.299999237060547" customHeight="1">
      <x:c r="A67" s="8" t="s">
        <x:v>4788</x:v>
      </x:c>
      <x:c r="B67" s="8" t="s">
        <x:v>4789</x:v>
      </x:c>
      <x:c r="C67" s="8" t="s">
        <x:v>5156</x:v>
      </x:c>
      <x:c r="D67" s="8" t="s">
        <x:v>5161</x:v>
      </x:c>
    </x:row>
    <x:row r="68" ht="24.299999237060547" customHeight="1">
      <x:c r="A68" s="8" t="s">
        <x:v>5201</x:v>
      </x:c>
      <x:c r="B68" s="8" t="s">
        <x:v>5202</x:v>
      </x:c>
      <x:c r="C68" s="8" t="s">
        <x:v>4972</x:v>
      </x:c>
      <x:c r="D68" s="8" t="s">
        <x:v>5203</x:v>
      </x:c>
    </x:row>
    <x:row r="69" ht="24.299999237060547" customHeight="1">
      <x:c r="A69" s="8" t="s">
        <x:v>5204</x:v>
      </x:c>
      <x:c r="B69" s="8" t="s">
        <x:v>5205</x:v>
      </x:c>
      <x:c r="C69" s="8" t="s">
        <x:v>5206</x:v>
      </x:c>
      <x:c r="D69" s="8" t="s">
        <x:v>5207</x:v>
      </x:c>
    </x:row>
    <x:row r="70" ht="24.299999237060547" customHeight="1">
      <x:c r="A70" s="8" t="s">
        <x:v>5208</x:v>
      </x:c>
      <x:c r="B70" s="8" t="s">
        <x:v>5209</x:v>
      </x:c>
      <x:c r="C70" s="8" t="s">
        <x:v>5206</x:v>
      </x:c>
      <x:c r="D70" s="8" t="s">
        <x:v>5210</x:v>
      </x:c>
    </x:row>
    <x:row r="71" ht="24.299999237060547" customHeight="1">
      <x:c r="A71" s="8" t="s">
        <x:v>4556</x:v>
      </x:c>
      <x:c r="B71" s="8" t="s">
        <x:v>5211</x:v>
      </x:c>
      <x:c r="C71" s="8" t="s">
        <x:v>5206</x:v>
      </x:c>
      <x:c r="D71" s="8" t="s">
        <x:v>5212</x:v>
      </x:c>
    </x:row>
    <x:row r="72" ht="24.299999237060547" customHeight="1">
      <x:c r="A72" s="8" t="s">
        <x:v>4589</x:v>
      </x:c>
      <x:c r="B72" s="8" t="s">
        <x:v>4764</x:v>
      </x:c>
      <x:c r="C72" s="8" t="str">
        <x:v>HISTÓRICO / SUPERADO</x:v>
      </x:c>
      <x:c r="D72" s="8" t="str">
        <x:v>RF52 solo lectura; RF53 actualmente reactivación de cuenta, sin edición oficial de licencia.</x:v>
      </x:c>
    </x:row>
    <x:row r="73" ht="24.299999237060547" customHeight="1">
      <x:c r="A73" s="8" t="s">
        <x:v>5213</x:v>
      </x:c>
      <x:c r="B73" s="8" t="s">
        <x:v>5214</x:v>
      </x:c>
      <x:c r="C73" s="8" t="s">
        <x:v>5215</x:v>
      </x:c>
      <x:c r="D73" s="8" t="s">
        <x:v>5216</x:v>
      </x:c>
    </x:row>
    <x:row r="74" ht="24.299999237060547" customHeight="1">
      <x:c r="A74" s="8" t="s">
        <x:v>5217</x:v>
      </x:c>
      <x:c r="B74" s="8" t="s">
        <x:v>4568</x:v>
      </x:c>
      <x:c r="C74" s="8" t="s">
        <x:v>5215</x:v>
      </x:c>
      <x:c r="D74" s="8" t="s">
        <x:v>5218</x:v>
      </x:c>
    </x:row>
    <x:row r="75" ht="24.299999237060547" customHeight="1">
      <x:c r="A75" s="8" t="s">
        <x:v>5219</x:v>
      </x:c>
      <x:c r="B75" s="8" t="s">
        <x:v>5220</x:v>
      </x:c>
      <x:c r="C75" s="8" t="s">
        <x:v>5221</x:v>
      </x:c>
      <x:c r="D75" s="8" t="s">
        <x:v>5222</x:v>
      </x:c>
    </x:row>
  </x:sheetData>
  <x:pageMargins left="0.7" right="0.7" top="0.75" bottom="0.75" header="0.3" footer="0.3"/>
</x:worksheet>
</file>

<file path=xl/worksheets/sheet92.xml><?xml version="1.0" encoding="utf-8"?>
<x:worksheet xmlns:x="http://schemas.openxmlformats.org/spreadsheetml/2006/main">
  <x:sheetFormatPr baseColWidth="10" defaultColWidth="8.88671875" defaultRowHeight="14.399999618530273"/>
  <x:cols>
    <x:col min="1" max="1" width="13" customWidth="1"/>
    <x:col min="2" max="2" width="23" customWidth="1"/>
    <x:col min="3" max="3" width="58" customWidth="1"/>
    <x:col min="4" max="4" width="68" customWidth="1"/>
  </x:cols>
  <x:sheetData>
    <x:row r="1" ht="19.799999237060547" customHeight="1">
      <x:c r="A1" s="309" t="s">
        <x:v>5223</x:v>
      </x:c>
      <x:c r="B1" s="309"/>
      <x:c r="C1" s="309"/>
      <x:c r="D1" s="309"/>
    </x:row>
    <x:row r="2">
      <x:c r="A2" t="str">
        <x:v>Auditoría histórica al 20/10/2026; observaciones sobre RF53 reservado quedan superadas por RF053-EF1. No certifica EA, SQL ni proveedores.</x:v>
      </x:c>
    </x:row>
    <x:row r="3" ht="16.649999618530273" customHeight="1">
      <x:c r="A3" s="310" t="s">
        <x:v>4624</x:v>
      </x:c>
      <x:c r="B3" s="310" t="s">
        <x:v>5224</x:v>
      </x:c>
      <x:c r="C3" s="310" t="s">
        <x:v>5225</x:v>
      </x:c>
      <x:c r="D3" s="310" t="s">
        <x:v>5226</x:v>
      </x:c>
    </x:row>
    <x:row r="4" ht="26.25" customHeight="1">
      <x:c r="A4" s="8" t="s">
        <x:v>5227</x:v>
      </x:c>
      <x:c r="B4" s="8" t="s">
        <x:v>5228</x:v>
      </x:c>
      <x:c r="C4" s="8" t="s">
        <x:v>5229</x:v>
      </x:c>
      <x:c r="D4" s="8" t="s">
        <x:v>5230</x:v>
      </x:c>
    </x:row>
    <x:row r="5" ht="26.25" customHeight="1">
      <x:c r="A5" s="8" t="s">
        <x:v>5231</x:v>
      </x:c>
      <x:c r="B5" s="8" t="s">
        <x:v>5232</x:v>
      </x:c>
      <x:c r="C5" s="8" t="s">
        <x:v>5233</x:v>
      </x:c>
      <x:c r="D5" s="8" t="s">
        <x:v>5234</x:v>
      </x:c>
    </x:row>
    <x:row r="6" ht="26.25" customHeight="1">
      <x:c r="A6" s="8" t="s">
        <x:v>5235</x:v>
      </x:c>
      <x:c r="B6" s="8" t="s">
        <x:v>5236</x:v>
      </x:c>
      <x:c r="C6" s="8" t="s">
        <x:v>5237</x:v>
      </x:c>
      <x:c r="D6" s="8" t="s">
        <x:v>5238</x:v>
      </x:c>
    </x:row>
    <x:row r="7" ht="26.25" customHeight="1">
      <x:c r="A7" s="8" t="s">
        <x:v>5239</x:v>
      </x:c>
      <x:c r="B7" s="8" t="s">
        <x:v>5240</x:v>
      </x:c>
      <x:c r="C7" s="8" t="s">
        <x:v>5241</x:v>
      </x:c>
      <x:c r="D7" s="8" t="s">
        <x:v>5242</x:v>
      </x:c>
    </x:row>
    <x:row r="8" ht="26.25" customHeight="1">
      <x:c r="A8" s="8" t="s">
        <x:v>5243</x:v>
      </x:c>
      <x:c r="B8" s="8" t="s">
        <x:v>5244</x:v>
      </x:c>
      <x:c r="C8" s="8" t="s">
        <x:v>5245</x:v>
      </x:c>
      <x:c r="D8" s="8" t="s">
        <x:v>5246</x:v>
      </x:c>
    </x:row>
    <x:row r="9" ht="26.25" customHeight="1">
      <x:c r="A9" s="8" t="s">
        <x:v>5247</x:v>
      </x:c>
      <x:c r="B9" s="8" t="s">
        <x:v>5248</x:v>
      </x:c>
      <x:c r="C9" s="8" t="s">
        <x:v>5249</x:v>
      </x:c>
      <x:c r="D9" s="8" t="s">
        <x:v>5250</x:v>
      </x:c>
    </x:row>
    <x:row r="10" ht="26.25" customHeight="1">
      <x:c r="A10" s="8" t="s">
        <x:v>5251</x:v>
      </x:c>
      <x:c r="B10" s="8" t="s">
        <x:v>5252</x:v>
      </x:c>
      <x:c r="C10" s="8" t="s">
        <x:v>5253</x:v>
      </x:c>
      <x:c r="D10" s="8" t="s">
        <x:v>5254</x:v>
      </x:c>
    </x:row>
    <x:row r="11" ht="26.25" customHeight="1">
      <x:c r="A11" s="8" t="s">
        <x:v>5255</x:v>
      </x:c>
      <x:c r="B11" s="8" t="s">
        <x:v>5256</x:v>
      </x:c>
      <x:c r="C11" s="8" t="s">
        <x:v>5257</x:v>
      </x:c>
      <x:c r="D11" s="8" t="s">
        <x:v>5258</x:v>
      </x:c>
    </x:row>
    <x:row r="12" ht="26.25" customHeight="1">
      <x:c r="A12" s="8" t="s">
        <x:v>5259</x:v>
      </x:c>
      <x:c r="B12" s="8" t="s">
        <x:v>5260</x:v>
      </x:c>
      <x:c r="C12" s="8" t="s">
        <x:v>5261</x:v>
      </x:c>
      <x:c r="D12" s="8" t="s">
        <x:v>5262</x:v>
      </x:c>
    </x:row>
    <x:row r="13" ht="26.25" customHeight="1">
      <x:c r="A13" s="8" t="s">
        <x:v>5263</x:v>
      </x:c>
      <x:c r="B13" s="8" t="s">
        <x:v>4764</x:v>
      </x:c>
      <x:c r="C13" s="8" t="str">
        <x:v>Conclusión histórica superada: RF53 retirado (licencia)</x:v>
      </x:c>
      <x:c r="D13" s="8" t="str">
        <x:v>RF53 se reasignó a reactivar cuenta pendiente de eliminación; RF52 sigue solo lectura. Pendiente auditoría de alternativos.</x:v>
      </x:c>
    </x:row>
    <x:row r="14" ht="26.25" customHeight="1">
      <x:c r="A14" s="8" t="s">
        <x:v>5264</x:v>
      </x:c>
      <x:c r="B14" s="8" t="s">
        <x:v>5265</x:v>
      </x:c>
      <x:c r="C14" s="8" t="s">
        <x:v>5266</x:v>
      </x:c>
      <x:c r="D14" s="8" t="s">
        <x:v>5267</x:v>
      </x:c>
    </x:row>
    <x:row r="15" ht="26.25" customHeight="1">
      <x:c r="A15" s="8" t="s">
        <x:v>5268</x:v>
      </x:c>
      <x:c r="B15" s="8" t="s">
        <x:v>5269</x:v>
      </x:c>
      <x:c r="C15" s="8" t="s">
        <x:v>5270</x:v>
      </x:c>
      <x:c r="D15" s="8" t="s">
        <x:v>5271</x:v>
      </x:c>
    </x:row>
    <x:row r="16" ht="26.25" customHeight="1">
      <x:c r="A16" s="8" t="s">
        <x:v>5272</x:v>
      </x:c>
      <x:c r="B16" s="8" t="s">
        <x:v>5273</x:v>
      </x:c>
      <x:c r="C16" s="8" t="s">
        <x:v>5274</x:v>
      </x:c>
      <x:c r="D16" s="8" t="s">
        <x:v>5275</x:v>
      </x:c>
    </x:row>
  </x:sheetData>
  <x:pageMargins left="0.7" right="0.7" top="0.75" bottom="0.75" header="0.3" footer="0.3"/>
</x:worksheet>
</file>

<file path=xl/worksheets/sheet93.xml><?xml version="1.0" encoding="utf-8"?>
<x:worksheet xmlns:x="http://schemas.openxmlformats.org/spreadsheetml/2006/main">
  <x:sheetFormatPr baseColWidth="10" defaultColWidth="8.88671875" defaultRowHeight="14.399999618530273"/>
  <x:cols>
    <x:col min="1" max="1" width="28" customWidth="1"/>
    <x:col min="2" max="2" width="23" customWidth="1"/>
    <x:col min="3" max="3" width="78" customWidth="1"/>
  </x:cols>
  <x:sheetData>
    <x:row r="1" ht="16.649999618530273" customHeight="1">
      <x:c r="A1" s="309" t="s">
        <x:v>4792</x:v>
      </x:c>
      <x:c r="B1" s="309" t="s">
        <x:v>5276</x:v>
      </x:c>
      <x:c r="C1" s="309" t="s">
        <x:v>5277</x:v>
      </x:c>
    </x:row>
    <x:row r="2" ht="22.5" customHeight="1">
      <x:c r="A2" s="8" t="s">
        <x:v>4688</x:v>
      </x:c>
      <x:c r="B2" s="8" t="s">
        <x:v>5278</x:v>
      </x:c>
      <x:c r="C2" s="8" t="s">
        <x:v>5279</x:v>
      </x:c>
    </x:row>
    <x:row r="3" ht="22.5" customHeight="1">
      <x:c r="A3" s="8" t="s">
        <x:v>4688</x:v>
      </x:c>
      <x:c r="B3" s="8" t="s">
        <x:v>5280</x:v>
      </x:c>
      <x:c r="C3" s="8" t="s">
        <x:v>5281</x:v>
      </x:c>
    </x:row>
    <x:row r="4" ht="22.5" customHeight="1">
      <x:c r="A4" s="8" t="s">
        <x:v>4688</x:v>
      </x:c>
      <x:c r="B4" s="8" t="s">
        <x:v>5282</x:v>
      </x:c>
      <x:c r="C4" s="8" t="s">
        <x:v>5283</x:v>
      </x:c>
    </x:row>
    <x:row r="5" ht="22.5" customHeight="1">
      <x:c r="A5" s="8" t="s">
        <x:v>4688</x:v>
      </x:c>
      <x:c r="B5" s="8" t="s">
        <x:v>5284</x:v>
      </x:c>
      <x:c r="C5" s="8" t="s">
        <x:v>5285</x:v>
      </x:c>
    </x:row>
    <x:row r="6" ht="22.5" customHeight="1">
      <x:c r="A6" s="8" t="s">
        <x:v>4688</x:v>
      </x:c>
      <x:c r="B6" s="8" t="s">
        <x:v>5286</x:v>
      </x:c>
      <x:c r="C6" s="8" t="s">
        <x:v>5287</x:v>
      </x:c>
    </x:row>
    <x:row r="7" ht="22.5" customHeight="1">
      <x:c r="A7" s="8" t="s">
        <x:v>4763</x:v>
      </x:c>
      <x:c r="B7" s="8" t="s">
        <x:v>5288</x:v>
      </x:c>
      <x:c r="C7" s="8" t="s">
        <x:v>5289</x:v>
      </x:c>
    </x:row>
    <x:row r="8" ht="22.5" customHeight="1">
      <x:c r="A8" s="8" t="s">
        <x:v>4763</x:v>
      </x:c>
      <x:c r="B8" s="8" t="s">
        <x:v>5290</x:v>
      </x:c>
      <x:c r="C8" s="8" t="s">
        <x:v>5291</x:v>
      </x:c>
    </x:row>
    <x:row r="9" ht="22.5" customHeight="1">
      <x:c r="A9" s="8" t="s">
        <x:v>4763</x:v>
      </x:c>
      <x:c r="B9" s="8" t="s">
        <x:v>5292</x:v>
      </x:c>
      <x:c r="C9" s="8" t="s">
        <x:v>5293</x:v>
      </x:c>
    </x:row>
    <x:row r="10" ht="22.5" customHeight="1">
      <x:c r="A10" s="8" t="s">
        <x:v>4763</x:v>
      </x:c>
      <x:c r="B10" s="8" t="s">
        <x:v>5294</x:v>
      </x:c>
      <x:c r="C10" s="8" t="s">
        <x:v>5295</x:v>
      </x:c>
    </x:row>
    <x:row r="11" ht="22.5" customHeight="1">
      <x:c r="A11" s="8" t="s">
        <x:v>4763</x:v>
      </x:c>
      <x:c r="B11" s="8" t="s">
        <x:v>5296</x:v>
      </x:c>
      <x:c r="C11" s="8" t="s">
        <x:v>5297</x:v>
      </x:c>
    </x:row>
    <x:row r="12" ht="22.5" customHeight="1">
      <x:c r="A12" s="8" t="s">
        <x:v>4709</x:v>
      </x:c>
      <x:c r="B12" s="8" t="s">
        <x:v>5298</x:v>
      </x:c>
      <x:c r="C12" s="8" t="s">
        <x:v>5299</x:v>
      </x:c>
    </x:row>
    <x:row r="13" ht="22.5" customHeight="1">
      <x:c r="A13" s="8" t="s">
        <x:v>4709</x:v>
      </x:c>
      <x:c r="B13" s="8" t="s">
        <x:v>5300</x:v>
      </x:c>
      <x:c r="C13" s="8" t="s">
        <x:v>5301</x:v>
      </x:c>
    </x:row>
    <x:row r="14" ht="22.5" customHeight="1">
      <x:c r="A14" s="8" t="s">
        <x:v>4709</x:v>
      </x:c>
      <x:c r="B14" s="8" t="s">
        <x:v>5302</x:v>
      </x:c>
      <x:c r="C14" s="8" t="s">
        <x:v>5303</x:v>
      </x:c>
    </x:row>
    <x:row r="15" ht="22.5" customHeight="1">
      <x:c r="A15" s="8" t="s">
        <x:v>4709</x:v>
      </x:c>
      <x:c r="B15" s="8" t="s">
        <x:v>5304</x:v>
      </x:c>
      <x:c r="C15" s="8" t="s">
        <x:v>5305</x:v>
      </x:c>
    </x:row>
    <x:row r="16" ht="22.5" customHeight="1">
      <x:c r="A16" s="8" t="s">
        <x:v>4709</x:v>
      </x:c>
      <x:c r="B16" s="8" t="s">
        <x:v>5306</x:v>
      </x:c>
      <x:c r="C16" s="8" t="s">
        <x:v>5307</x:v>
      </x:c>
    </x:row>
    <x:row r="17" ht="22.5" customHeight="1">
      <x:c r="A17" s="8" t="s">
        <x:v>4717</x:v>
      </x:c>
      <x:c r="B17" s="8" t="s">
        <x:v>5308</x:v>
      </x:c>
      <x:c r="C17" s="8" t="s">
        <x:v>5309</x:v>
      </x:c>
    </x:row>
    <x:row r="18" ht="22.5" customHeight="1">
      <x:c r="A18" s="8" t="s">
        <x:v>4779</x:v>
      </x:c>
      <x:c r="B18" s="8" t="s">
        <x:v>5310</x:v>
      </x:c>
      <x:c r="C18" s="8" t="s">
        <x:v>5311</x:v>
      </x:c>
    </x:row>
    <x:row r="19" ht="22.5" customHeight="1">
      <x:c r="A19" s="8" t="s">
        <x:v>4779</x:v>
      </x:c>
      <x:c r="B19" s="8" t="s">
        <x:v>5312</x:v>
      </x:c>
      <x:c r="C19" s="8" t="s">
        <x:v>5313</x:v>
      </x:c>
    </x:row>
    <x:row r="20" ht="22.5" customHeight="1">
      <x:c r="A20" s="8" t="s">
        <x:v>4779</x:v>
      </x:c>
      <x:c r="B20" s="8" t="s">
        <x:v>5314</x:v>
      </x:c>
      <x:c r="C20" s="8" t="s">
        <x:v>5315</x:v>
      </x:c>
    </x:row>
    <x:row r="21" ht="22.5" customHeight="1">
      <x:c r="A21" s="8" t="s">
        <x:v>4783</x:v>
      </x:c>
      <x:c r="B21" s="8" t="s">
        <x:v>5316</x:v>
      </x:c>
      <x:c r="C21" s="8" t="s">
        <x:v>5317</x:v>
      </x:c>
    </x:row>
    <x:row r="22" ht="22.5" customHeight="1">
      <x:c r="A22" s="8" t="s">
        <x:v>4787</x:v>
      </x:c>
      <x:c r="B22" s="8" t="s">
        <x:v>5318</x:v>
      </x:c>
      <x:c r="C22" s="8" t="s">
        <x:v>5319</x:v>
      </x:c>
    </x:row>
    <x:row r="23" ht="22.5" customHeight="1">
      <x:c r="A23" s="8" t="s">
        <x:v>4787</x:v>
      </x:c>
      <x:c r="B23" s="8" t="s">
        <x:v>5320</x:v>
      </x:c>
      <x:c r="C23" s="8" t="s">
        <x:v>5321</x:v>
      </x:c>
    </x:row>
    <x:row r="24" ht="22.5" customHeight="1">
      <x:c r="A24" s="8" t="s">
        <x:v>4787</x:v>
      </x:c>
      <x:c r="B24" s="8" t="s">
        <x:v>5322</x:v>
      </x:c>
      <x:c r="C24" s="8" t="s">
        <x:v>5323</x:v>
      </x:c>
    </x:row>
    <x:row r="25" ht="22.5" customHeight="1">
      <x:c r="A25" s="8" t="s">
        <x:v>4787</x:v>
      </x:c>
      <x:c r="B25" s="8" t="s">
        <x:v>5324</x:v>
      </x:c>
      <x:c r="C25" s="8" t="s">
        <x:v>5325</x:v>
      </x:c>
    </x:row>
  </x:sheetData>
  <x:pageMargins left="0.7" right="0.7" top="0.75" bottom="0.75" header="0.3" footer="0.3"/>
</x:worksheet>
</file>

<file path=xl/worksheets/sheet94.xml><?xml version="1.0" encoding="utf-8"?>
<x:worksheet xmlns:x="http://schemas.openxmlformats.org/spreadsheetml/2006/main">
  <x:sheetViews>
    <x:sheetView workbookViewId="0">
      <x:pane ySplit="1" topLeftCell="A2" activePane="bottomLeft" state="frozen"/>
    </x:sheetView>
  </x:sheetViews>
  <x:sheetFormatPr baseColWidth="10" defaultColWidth="8.88671875" defaultRowHeight="14.399999618530273"/>
  <x:cols>
    <x:col min="1" max="1" width="27" customWidth="1"/>
    <x:col min="2" max="2" width="34" customWidth="1"/>
    <x:col min="3" max="3" width="88" customWidth="1"/>
    <x:col min="4" max="4" width="72" customWidth="1"/>
  </x:cols>
  <x:sheetData>
    <x:row r="1">
      <x:c r="A1" s="347" t="s">
        <x:v>5326</x:v>
      </x:c>
      <x:c r="B1" s="347" t="s">
        <x:v>5327</x:v>
      </x:c>
      <x:c r="C1" s="347" t="s">
        <x:v>5328</x:v>
      </x:c>
      <x:c r="D1" s="347" t="s">
        <x:v>5329</x:v>
      </x:c>
    </x:row>
    <x:row r="2" ht="64.94999694824219" customHeight="1">
      <x:c r="A2" s="8" t="s">
        <x:v>4765</x:v>
      </x:c>
      <x:c r="B2" s="8" t="s">
        <x:v>5330</x:v>
      </x:c>
      <x:c r="C2" s="8" t="s">
        <x:v>5331</x:v>
      </x:c>
      <x:c r="D2" s="8" t="s">
        <x:v>5332</x:v>
      </x:c>
    </x:row>
    <x:row r="3" ht="64.94999694824219" customHeight="1">
      <x:c r="A3" s="8" t="s">
        <x:v>4688</x:v>
      </x:c>
      <x:c r="B3" s="8" t="s">
        <x:v>5333</x:v>
      </x:c>
      <x:c r="C3" s="8" t="s">
        <x:v>5334</x:v>
      </x:c>
      <x:c r="D3" s="8" t="s">
        <x:v>5335</x:v>
      </x:c>
    </x:row>
    <x:row r="4" ht="64.94999694824219" customHeight="1">
      <x:c r="A4" s="8" t="s">
        <x:v>5336</x:v>
      </x:c>
      <x:c r="B4" s="8" t="s">
        <x:v>5337</x:v>
      </x:c>
      <x:c r="C4" s="8" t="s">
        <x:v>5338</x:v>
      </x:c>
      <x:c r="D4" s="8" t="s">
        <x:v>5339</x:v>
      </x:c>
    </x:row>
    <x:row r="5" ht="64.94999694824219" customHeight="1">
      <x:c r="A5" s="8" t="s">
        <x:v>5340</x:v>
      </x:c>
      <x:c r="B5" s="8" t="s">
        <x:v>5341</x:v>
      </x:c>
      <x:c r="C5" s="8" t="s">
        <x:v>5342</x:v>
      </x:c>
      <x:c r="D5" s="8" t="s">
        <x:v>5343</x:v>
      </x:c>
    </x:row>
    <x:row r="6" ht="64.94999694824219" customHeight="1">
      <x:c r="A6" s="8" t="s">
        <x:v>5344</x:v>
      </x:c>
      <x:c r="B6" s="8" t="s">
        <x:v>5345</x:v>
      </x:c>
      <x:c r="C6" s="8" t="s">
        <x:v>5346</x:v>
      </x:c>
      <x:c r="D6" s="8" t="s">
        <x:v>5347</x:v>
      </x:c>
    </x:row>
  </x:sheetData>
  <x:pageMargins left="0.7" right="0.7" top="0.75" bottom="0.75" header="0.3" footer="0.3"/>
</x:worksheet>
</file>

<file path=xl/worksheets/sheet9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5" hidden="0" customWidth="1"/>
    <x:col min="2" max="2" width="46" hidden="0" customWidth="1"/>
    <x:col min="3" max="3" width="63" hidden="0" customWidth="1"/>
    <x:col min="4" max="4" width="63" hidden="0" customWidth="1"/>
  </x:cols>
  <x:sheetData>
    <x:row r="1" ht="33" customHeight="1">
      <x:c r="A1" s="1007" t="str">
        <x:v>MYCAR · AUDITORÍA CRUZADA — 21/10/2026</x:v>
      </x:c>
      <x:c r="B1" s="1007" t="str"/>
      <x:c r="C1" s="1007" t="str"/>
      <x:c r="D1" s="1007" t="str"/>
      <x:c r="E1" s="1007" t="str"/>
      <x:c r="F1" s="1007" t="str"/>
      <x:c r="G1" s="1007" t="str"/>
    </x:row>
    <x:row r="2">
      <x:c r="A2" t="str">
        <x:v>Base: RF - ACTUALIZADO(1).xlsx; 97 hojas originales + anexos nuevos</x:v>
      </x:c>
      <x:c r="B2" t="str"/>
      <x:c r="C2" t="str"/>
      <x:c r="D2" t="str"/>
      <x:c r="E2" t="str"/>
      <x:c r="F2" t="str"/>
      <x:c r="G2" t="str"/>
    </x:row>
    <x:row r="3" ht="25" customHeight="1">
      <x:c r="A3" s="1011" t="str">
        <x:v>RESULTADO</x:v>
      </x:c>
      <x:c r="B3" s="1011" t="str">
        <x:v>VALOR</x:v>
      </x:c>
      <x:c r="C3" s="1011" t="str">
        <x:v>LECTURA</x:v>
      </x:c>
      <x:c r="D3" s="1011" t="str">
        <x:v>PRÓXIMA ACCIÓN</x:v>
      </x:c>
      <x:c r="E3" t="str"/>
      <x:c r="F3" t="str"/>
      <x:c r="G3" t="str"/>
    </x:row>
    <x:row r="4">
      <x:c r="A4" t="str">
        <x:v>RF con escenario principal</x:v>
      </x:c>
      <x:c r="B4" t="n">
        <x:v>64</x:v>
      </x:c>
      <x:c r="C4" t="str">
        <x:v>Todos los RF01–RF64 tienen una hoja de escenario principal.</x:v>
      </x:c>
      <x:c r="D4" t="str">
        <x:v>No implica validación semántica completa.</x:v>
      </x:c>
      <x:c r="E4" t="str"/>
      <x:c r="F4" t="str"/>
      <x:c r="G4" t="str"/>
    </x:row>
    <x:row r="5">
      <x:c r="A5" t="str">
        <x:v>Mensajes BCE tabulados</x:v>
      </x:c>
      <x:c r="B5" t="n">
        <x:v>2569</x:v>
      </x:c>
      <x:c r="C5" t="str">
        <x:v>Mensajes extraídos, incluyendo RF16 corregido.</x:v>
      </x:c>
      <x:c r="D5" t="str">
        <x:v>Contrastar componentes con implementación.</x:v>
      </x:c>
      <x:c r="E5" t="str"/>
      <x:c r="F5" t="str"/>
      <x:c r="G5" t="str"/>
    </x:row>
    <x:row r="6">
      <x:c r="A6" t="str">
        <x:v>Hojas iniciales</x:v>
      </x:c>
      <x:c r="B6" t="n">
        <x:v>97</x:v>
      </x:c>
      <x:c r="C6" t="str">
        <x:v>Abarca 64 RF más alternativos, reglas y controles.</x:v>
      </x:c>
      <x:c r="D6" t="str">
        <x:v>Mantener bitácora de versiones.</x:v>
      </x:c>
      <x:c r="E6" t="str"/>
      <x:c r="F6" t="str"/>
      <x:c r="G6" t="str"/>
    </x:row>
    <x:row r="7">
      <x:c r="A7" t="str">
        <x:v>RF con alternativas identificadas</x:v>
      </x:c>
      <x:c r="B7" t="n">
        <x:v>12</x:v>
      </x:c>
      <x:c r="C7" t="str">
        <x:v>No prueba cobertura total de escenarios alternativos.</x:v>
      </x:c>
      <x:c r="D7" t="str">
        <x:v>Aportar y revisar EA faltantes.</x:v>
      </x:c>
      <x:c r="E7" t="str"/>
      <x:c r="F7" t="str"/>
      <x:c r="G7" t="str"/>
    </x:row>
    <x:row r="8">
      <x:c r="A8" t="str">
        <x:v>Hallazgos documentados</x:v>
      </x:c>
      <x:c r="B8" t="n">
        <x:v>22</x:v>
      </x:c>
      <x:c r="C8" t="str">
        <x:v>Correcciones demostrables y riesgos sin evidencia separados.</x:v>
      </x:c>
      <x:c r="D8" t="str">
        <x:v>Priorizar críticos y altos.</x:v>
      </x:c>
      <x:c r="E8" t="str"/>
      <x:c r="F8" t="str"/>
      <x:c r="G8" t="str"/>
    </x:row>
    <x:row r="9">
      <x:c r="A9" t="str">
        <x:v>Correcciones registradas</x:v>
      </x:c>
      <x:c r="B9" t="n">
        <x:v>36</x:v>
      </x:c>
      <x:c r="C9" t="str">
        <x:v>Incluye reescritura documentada del RF16.</x:v>
      </x:c>
      <x:c r="D9" t="str">
        <x:v>Revisar cambios y aprobar con el equipo.</x:v>
      </x:c>
      <x:c r="E9" t="str"/>
      <x:c r="F9" t="str"/>
      <x:c r="G9" t="str"/>
    </x:row>
    <x:row r="10">
      <x:c r="A10" t="str">
        <x:v>Casos de prueba</x:v>
      </x:c>
      <x:c r="B10" t="n">
        <x:v>36</x:v>
      </x:c>
      <x:c r="C10" t="str">
        <x:v>TODOS pendientes: no se ejecutaron pruebas reales.</x:v>
      </x:c>
      <x:c r="D10" t="str">
        <x:v>Ejecutar sobre software + MySQL.</x:v>
      </x:c>
      <x:c r="E10" t="str"/>
      <x:c r="F10" t="str"/>
      <x:c r="G10" t="str"/>
    </x:row>
    <x:row r="11">
      <x:c r="A11" t="str">
        <x:v>Estado global</x:v>
      </x:c>
      <x:c r="B11" t="str">
        <x:v>NO CERTIFICADO</x:v>
      </x:c>
      <x:c r="C11" t="str">
        <x:v>Sin SQL completo, EA completos ni pruebas externas verificadas.</x:v>
      </x:c>
      <x:c r="D11" t="str">
        <x:v>No declarar congelamiento técnico.</x:v>
      </x:c>
      <x:c r="E11" t="str"/>
      <x:c r="F11" t="str"/>
      <x:c r="G11" t="str"/>
    </x:row>
    <x:row r="12" ht="25" customHeight="1">
      <x:c r="A12" s="1011" t="str">
        <x:v>ORDEN DE LECTURA</x:v>
      </x:c>
      <x:c r="B12" s="1011" t="str"/>
      <x:c r="C12" s="1011" t="str"/>
      <x:c r="D12" s="1011" t="str"/>
      <x:c r="E12" t="str"/>
      <x:c r="F12" t="str"/>
      <x:c r="G12" t="str"/>
    </x:row>
    <x:row r="13">
      <x:c r="A13" t="str">
        <x:v>1</x:v>
      </x:c>
      <x:c r="B13" t="str">
        <x:v>AUD_HALLAZGOS</x:v>
      </x:c>
      <x:c r="C13" t="str">
        <x:v>Hallazgos ubicados por hoja/paso</x:v>
      </x:c>
      <x:c r="D13" t="str"/>
      <x:c r="E13" t="str"/>
      <x:c r="F13" t="str"/>
      <x:c r="G13" t="str"/>
    </x:row>
    <x:row r="14">
      <x:c r="A14" t="str">
        <x:v>2</x:v>
      </x:c>
      <x:c r="B14" t="str">
        <x:v>AUD_RF64</x:v>
      </x:c>
      <x:c r="C14" t="str">
        <x:v>Inventario y estado provisional de RF01–RF64</x:v>
      </x:c>
      <x:c r="D14" t="str"/>
      <x:c r="E14" t="str"/>
      <x:c r="F14" t="str"/>
      <x:c r="G14" t="str"/>
    </x:row>
    <x:row r="15">
      <x:c r="A15" t="str">
        <x:v>3</x:v>
      </x:c>
      <x:c r="B15" t="str">
        <x:v>AUD_DEPENDENCIAS</x:v>
      </x:c>
      <x:c r="C15" t="str">
        <x:v>Intersecciones de entidades/controladores y menciones de RF</x:v>
      </x:c>
      <x:c r="D15" t="str"/>
      <x:c r="E15" t="str"/>
      <x:c r="F15" t="str"/>
      <x:c r="G15" t="str"/>
    </x:row>
    <x:row r="16">
      <x:c r="A16" t="str">
        <x:v>4</x:v>
      </x:c>
      <x:c r="B16" t="str">
        <x:v>AUD_CONTRATOS</x:v>
      </x:c>
      <x:c r="C16" t="str">
        <x:v>Métodos y contratos compartidos por homogeneizar</x:v>
      </x:c>
      <x:c r="D16" t="str"/>
      <x:c r="E16" t="str"/>
      <x:c r="F16" t="str"/>
      <x:c r="G16" t="str"/>
    </x:row>
    <x:row r="17">
      <x:c r="A17" t="str">
        <x:v>5</x:v>
      </x:c>
      <x:c r="B17" t="str">
        <x:v>AUD_OBJETOS / AUD_METODOS</x:v>
      </x:c>
      <x:c r="C17" t="str">
        <x:v>Inventario total extraído, NO validación física</x:v>
      </x:c>
      <x:c r="D17" t="str"/>
      <x:c r="E17" t="str"/>
      <x:c r="F17" t="str"/>
      <x:c r="G17" t="str"/>
    </x:row>
    <x:row r="18">
      <x:c r="A18" t="str">
        <x:v>6</x:v>
      </x:c>
      <x:c r="B18" t="str">
        <x:v>AUD_REGLAS / AUD_PRUEBAS</x:v>
      </x:c>
      <x:c r="C18" t="str">
        <x:v>Reglas transversales y casos de regresión pendientes</x:v>
      </x:c>
      <x:c r="D18" t="str"/>
      <x:c r="E18" t="str"/>
      <x:c r="F18" t="str"/>
      <x:c r="G18" t="str"/>
    </x:row>
    <x:row r="19">
      <x:c r="A19" t="str">
        <x:v>7</x:v>
      </x:c>
      <x:c r="B19" t="str">
        <x:v>AUD_CAMBIOS_2110</x:v>
      </x:c>
      <x:c r="C19" t="str">
        <x:v>Celda anterior, nueva, motivo, RF impactados</x:v>
      </x:c>
      <x:c r="D19" t="str"/>
      <x:c r="E19" t="str"/>
      <x:c r="F19" t="str"/>
      <x:c r="G19" t="str"/>
    </x:row>
    <x:row r="20">
      <x:c r="A20" t="str">
        <x:v>ADVERTENCIA</x:v>
      </x:c>
      <x:c r="B20" t="str">
        <x:v>Las referencias a RF en descripciones no prueban llamadas reales. Los catálogos extraídos aún no son API definitiva.</x:v>
      </x:c>
      <x:c r="C20" t="str"/>
      <x:c r="D20" t="str"/>
      <x:c r="E20" t="str"/>
      <x:c r="F20" t="str"/>
      <x:c r="G20" t="str"/>
    </x:row>
  </x:sheetData>
  <x:pageMargins left="0.7" right="0.7" top="0.75" bottom="0.75" header="0.3" footer="0.3"/>
</x:worksheet>
</file>

<file path=xl/worksheets/sheet9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8" hidden="0" customWidth="1"/>
    <x:col min="3" max="3" width="40" hidden="0" customWidth="1"/>
    <x:col min="4" max="4" width="25" hidden="0" customWidth="1"/>
    <x:col min="5" max="5" width="78" hidden="0" customWidth="1"/>
    <x:col min="6" max="6" width="29" hidden="0" customWidth="1"/>
    <x:col min="7" max="7" width="60" hidden="0" customWidth="1"/>
    <x:col min="8" max="8" width="78" hidden="0" customWidth="1"/>
    <x:col min="9" max="9" width="15" hidden="0" customWidth="1"/>
    <x:col min="10" max="10" width="25" hidden="0" customWidth="1"/>
  </x:cols>
  <x:sheetData>
    <x:row r="1" ht="29" customHeight="1">
      <x:c r="A1" s="1015" t="str">
        <x:v>ID</x:v>
      </x:c>
      <x:c r="B1" s="1015" t="str">
        <x:v>RF afectados</x:v>
      </x:c>
      <x:c r="C1" s="1015" t="str">
        <x:v>Hoja y celda exacta</x:v>
      </x:c>
      <x:c r="D1" s="1015" t="str">
        <x:v>Tipo</x:v>
      </x:c>
      <x:c r="E1" s="1015" t="str">
        <x:v>Problema concreto</x:v>
      </x:c>
      <x:c r="F1" s="1015" t="str">
        <x:v>RF relacionados</x:v>
      </x:c>
      <x:c r="G1" s="1015" t="str">
        <x:v>Consecuencia al programar</x:v>
      </x:c>
      <x:c r="H1" s="1015" t="str">
        <x:v>Corrección propuesta</x:v>
      </x:c>
      <x:c r="I1" s="1015" t="str">
        <x:v>Prioridad</x:v>
      </x:c>
      <x:c r="J1" s="1015" t="str">
        <x:v>Estado</x:v>
      </x:c>
    </x:row>
    <x:row r="2" ht="27" customHeight="1">
      <x:c r="A2" t="str">
        <x:v>H001</x:v>
      </x:c>
      <x:c r="B2" t="str">
        <x:v>RF07</x:v>
      </x:c>
      <x:c r="C2" t="str">
        <x:v>RF007-E1!C33,C35,C37:C40</x:v>
      </x:c>
      <x:c r="D2" t="str">
        <x:v>BCE / remitente</x:v>
      </x:c>
      <x:c r="E2" t="str">
        <x:v>Seis mensajes asignan el retorno o llamada a un origen que contradice la operación descrita; C39 contiene "0".</x:v>
      </x:c>
      <x:c r="F2" t="str">
        <x:v>RF07,RF53</x:v>
      </x:c>
      <x:c r="G2" t="str">
        <x:v>Errores al convertir la secuencia a llamadas/retornos entre componentes.</x:v>
      </x:c>
      <x:c r="H2" t="str">
        <x:v>Corregir los seis emisores conforme a los métodos y destinos presentes.</x:v>
      </x:c>
      <x:c r="I2" t="str">
        <x:v>Crítica</x:v>
      </x:c>
      <x:c r="J2" t="str">
        <x:v>CORREGIDO EN COPIA</x:v>
      </x:c>
    </x:row>
    <x:row r="3" ht="27" customHeight="1">
      <x:c r="A3" t="str">
        <x:v>H002</x:v>
      </x:c>
      <x:c r="B3" t="str">
        <x:v>RF53</x:v>
      </x:c>
      <x:c r="C3" t="str">
        <x:v>RF053-EF1!E5,C6,E60,C61</x:v>
      </x:c>
      <x:c r="D3" t="str">
        <x:v>Navegación / alias</x:v>
      </x:c>
      <x:c r="E3" t="str">
        <x:v>I_IniciarSesion y I_InicioSesion nombran la misma pantalla de inicio usada por RF02/RF57.</x:v>
      </x:c>
      <x:c r="F3" t="str">
        <x:v>RF02,RF53,RF57</x:v>
      </x:c>
      <x:c r="G3" t="str">
        <x:v>Implementación duplicada o navegación a pantalla inexistente.</x:v>
      </x:c>
      <x:c r="H3" t="str">
        <x:v>Unificar a I_InicioSesion.</x:v>
      </x:c>
      <x:c r="I3" t="str">
        <x:v>Alta</x:v>
      </x:c>
      <x:c r="J3" t="str">
        <x:v>CORREGIDO EN COPIA</x:v>
      </x:c>
    </x:row>
    <x:row r="4" ht="27" customHeight="1">
      <x:c r="A4" t="str">
        <x:v>H003</x:v>
      </x:c>
      <x:c r="B4" t="str">
        <x:v>RF16</x:v>
      </x:c>
      <x:c r="C4" t="str">
        <x:v>RF016-EF1!E44,C45</x:v>
      </x:c>
      <x:c r="D4" t="str">
        <x:v>Nomenclatura</x:v>
      </x:c>
      <x:c r="E4" t="str">
        <x:v>La confirmación de corregir kilometraje se llama I_ConfirmacionCorreguirKM.</x:v>
      </x:c>
      <x:c r="F4" t="str">
        <x:v>RF14,RF15,RF16</x:v>
      </x:c>
      <x:c r="G4" t="str">
        <x:v>Identificador mal escrito en el contrato de interfaz.</x:v>
      </x:c>
      <x:c r="H4" t="str">
        <x:v>Renombrar a I_ConfirmacionCorregirKM.</x:v>
      </x:c>
      <x:c r="I4" t="str">
        <x:v>Media</x:v>
      </x:c>
      <x:c r="J4" t="str">
        <x:v>CORREGIDO EN COPIA</x:v>
      </x:c>
    </x:row>
    <x:row r="5" ht="27" customHeight="1">
      <x:c r="A5" t="str">
        <x:v>H004</x:v>
      </x:c>
      <x:c r="B5" t="str">
        <x:v>RF51,RF52,RF53</x:v>
      </x:c>
      <x:c r="C5" t="str">
        <x:v>REGLAS_TRANSVERSALES!B11:C11</x:v>
      </x:c>
      <x:c r="D5" t="str">
        <x:v>Regla contradictoria</x:v>
      </x:c>
      <x:c r="E5" t="str">
        <x:v>La regla de licencia dice que RF53 está retirado, aunque RF053-EF1 ya define reactivación de cuenta.</x:v>
      </x:c>
      <x:c r="F5" t="str">
        <x:v>RF07,RF23,RF51,RF52,RF53</x:v>
      </x:c>
      <x:c r="G5" t="str">
        <x:v>Un mismo ID funcional obtiene dos significados incompatibles.</x:v>
      </x:c>
      <x:c r="H5" t="str">
        <x:v>Separar el alcance de licencia (RF51/52) y la reactivación (RF53).</x:v>
      </x:c>
      <x:c r="I5" t="str">
        <x:v>Crítica</x:v>
      </x:c>
      <x:c r="J5" t="str">
        <x:v>CORREGIDO EN COPIA</x:v>
      </x:c>
    </x:row>
    <x:row r="6" ht="27" customHeight="1">
      <x:c r="A6" t="str">
        <x:v>H005</x:v>
      </x:c>
      <x:c r="B6" t="str">
        <x:v>RF53</x:v>
      </x:c>
      <x:c r="C6" t="str">
        <x:v>PENDIENTES_VERIFICACION!C8; REVISION_CRUZADA_EXITOSOS!C56,D56,C72,D72</x:v>
      </x:c>
      <x:c r="D6" t="str">
        <x:v>Versionado documental</x:v>
      </x:c>
      <x:c r="E6" t="str">
        <x:v>Hojas antiguas registran RF53 como retirado, sin distinguir la vieja edición de licencia del RF53 reintroducido.</x:v>
      </x:c>
      <x:c r="F6" t="str">
        <x:v>RF51,RF52,RF53</x:v>
      </x:c>
      <x:c r="G6" t="str">
        <x:v>Trazabilidad contradicha por informes previos.</x:v>
      </x:c>
      <x:c r="H6" t="str">
        <x:v>Actualizar aclaración del alcance y marcar como superadas las conclusiones históricas.</x:v>
      </x:c>
      <x:c r="I6" t="str">
        <x:v>Alta</x:v>
      </x:c>
      <x:c r="J6" t="str">
        <x:v>CORREGIDO EN COPIA</x:v>
      </x:c>
    </x:row>
    <x:row r="7" ht="27" customHeight="1">
      <x:c r="A7" t="str">
        <x:v>H006</x:v>
      </x:c>
      <x:c r="B7" t="str">
        <x:v>RF53</x:v>
      </x:c>
      <x:c r="C7" t="str">
        <x:v>AUDITORIA_EXITOSOS_FINAL!A2,C13,D13; CAMBIOS_RF53_RF07!C2</x:v>
      </x:c>
      <x:c r="D7" t="str">
        <x:v>Versionado documental</x:v>
      </x:c>
      <x:c r="E7" t="str">
        <x:v>Un informe anterior indica que RF53 no tiene secuencia ejecutable, pero hay EF01 completo de 51 mensajes.</x:v>
      </x:c>
      <x:c r="F7" t="str">
        <x:v>RF53</x:v>
      </x:c>
      <x:c r="G7" t="str">
        <x:v>Falso congelamiento o exclusión del módulo durante programación.</x:v>
      </x:c>
      <x:c r="H7" t="str">
        <x:v>Fechar alcance histórico y referenciar la nueva secuencia.</x:v>
      </x:c>
      <x:c r="I7" t="str">
        <x:v>Alta</x:v>
      </x:c>
      <x:c r="J7" t="str">
        <x:v>CORREGIDO EN COPIA</x:v>
      </x:c>
    </x:row>
    <x:row r="8" ht="27" customHeight="1">
      <x:c r="A8" t="str">
        <x:v>H007</x:v>
      </x:c>
      <x:c r="B8" t="str">
        <x:v>RF23,RF53</x:v>
      </x:c>
      <x:c r="C8" t="str">
        <x:v>RF23!G103; VALIDACION_FINAL!C13,E13</x:v>
      </x:c>
      <x:c r="D8" t="str">
        <x:v>Referencia cruzada</x:v>
      </x:c>
      <x:c r="E8" t="str">
        <x:v>La consulta de licencia aún alude a RF53 como retirado y una prueba declara inexistente su flujo.</x:v>
      </x:c>
      <x:c r="F8" t="str">
        <x:v>RF07,RF23,RF51,RF52,RF53</x:v>
      </x:c>
      <x:c r="G8" t="str">
        <x:v>Pruebas y comentarios no reflejan la funcionalidad vigente.</x:v>
      </x:c>
      <x:c r="H8" t="str">
        <x:v>Corregir comentarios y vincular RF53 a las pruebas de cuenta.</x:v>
      </x:c>
      <x:c r="I8" t="str">
        <x:v>Alta</x:v>
      </x:c>
      <x:c r="J8" t="str">
        <x:v>CORREGIDO EN COPIA</x:v>
      </x:c>
    </x:row>
    <x:row r="9" ht="27" customHeight="1">
      <x:c r="A9" t="str">
        <x:v>H008</x:v>
      </x:c>
      <x:c r="B9" t="str">
        <x:v>RF01–RF56</x:v>
      </x:c>
      <x:c r="C9" t="str">
        <x:v>PENDIENTES_VERIFICACION!C4</x:v>
      </x:c>
      <x:c r="D9" t="str">
        <x:v>Cobertura EA</x:v>
      </x:c>
      <x:c r="E9" t="str">
        <x:v>Faltan los diagramas independientes de numerosos escenarios alternativos originales.</x:v>
      </x:c>
      <x:c r="F9" t="str">
        <x:v>RF01–RF56</x:v>
      </x:c>
      <x:c r="G9" t="str">
        <x:v>No se pueden aprobar rutas de error, cancelación, falla de sesión y recuperación.</x:v>
      </x:c>
      <x:c r="H9" t="str">
        <x:v>Adjuntar EA restantes, enlazarlos con cada EF y ejecutar revisión de consistencia.</x:v>
      </x:c>
      <x:c r="I9" t="str">
        <x:v>Alta</x:v>
      </x:c>
      <x:c r="J9" t="str">
        <x:v>REQUIERE EVIDENCIA</x:v>
      </x:c>
    </x:row>
    <x:row r="10" ht="27" customHeight="1">
      <x:c r="A10" t="str">
        <x:v>H009</x:v>
      </x:c>
      <x:c r="B10" t="str">
        <x:v>RF01–RF64</x:v>
      </x:c>
      <x:c r="C10" t="str">
        <x:v>PENDIENTES_VERIFICACION!C5</x:v>
      </x:c>
      <x:c r="D10" t="str">
        <x:v>Modelo de datos</x:v>
      </x:c>
      <x:c r="E10" t="str">
        <x:v>No hay CREATE TABLE final de toda la aplicación para validar nombres, PK/FK, índices, unicidad, estados ni transacciones.</x:v>
      </x:c>
      <x:c r="F10" t="str">
        <x:v>TODOS</x:v>
      </x:c>
      <x:c r="G10" t="str">
        <x:v>Riesgo de implementar diagramas que no coincidan con la BD.</x:v>
      </x:c>
      <x:c r="H10" t="str">
        <x:v>Contrastar diccionario técnico contra script MySQL 8 y verificar constraints.</x:v>
      </x:c>
      <x:c r="I10" t="str">
        <x:v>Crítica</x:v>
      </x:c>
      <x:c r="J10" t="str">
        <x:v>REQUIERE EVIDENCIA</x:v>
      </x:c>
    </x:row>
    <x:row r="11" ht="27" customHeight="1">
      <x:c r="A11" t="str">
        <x:v>H010</x:v>
      </x:c>
      <x:c r="B11" t="str">
        <x:v>RF29,RF30,RF60</x:v>
      </x:c>
      <x:c r="C11" t="str">
        <x:v>PENDIENTES_VERIFICACION!C7</x:v>
      </x:c>
      <x:c r="D11" t="str">
        <x:v>Proveedor externo</x:v>
      </x:c>
      <x:c r="E11" t="str">
        <x:v>La validación de compra/renovación de Google Play carece de prueba real y contrato verificado.</x:v>
      </x:c>
      <x:c r="F11" t="str">
        <x:v>RF08,RF12,RF13,RF29,RF30,RF60</x:v>
      </x:c>
      <x:c r="G11" t="str">
        <x:v>Premium incorrecto ante reintentos, grace period, reembolsos o estados no previstos.</x:v>
      </x:c>
      <x:c r="H11" t="str">
        <x:v>Probar backend con token real, idempotencia, revocación y cambios de derecho.</x:v>
      </x:c>
      <x:c r="I11" t="str">
        <x:v>Alta</x:v>
      </x:c>
      <x:c r="J11" t="str">
        <x:v>REQUIERE EVIDENCIA</x:v>
      </x:c>
    </x:row>
    <x:row r="12" ht="27" customHeight="1">
      <x:c r="A12" t="str">
        <x:v>H011</x:v>
      </x:c>
      <x:c r="B12" t="str">
        <x:v>RF51,RF52</x:v>
      </x:c>
      <x:c r="C12" t="str">
        <x:v>PENDIENTES_VERIFICACION!C6</x:v>
      </x:c>
      <x:c r="D12" t="str">
        <x:v>API externa</x:v>
      </x:c>
      <x:c r="E12" t="str">
        <x:v>El contrato de JSON.pe para DNI/licencia y estados no está comprobado.</x:v>
      </x:c>
      <x:c r="F12" t="str">
        <x:v>RF23,RF46,RF47,RF51,RF52</x:v>
      </x:c>
      <x:c r="G12" t="str">
        <x:v>Error al registrar o interpretar licencia oficial.</x:v>
      </x:c>
      <x:c r="H12" t="str">
        <x:v>Verificar endpoints, campos, nulos, credenciales y estados reales.</x:v>
      </x:c>
      <x:c r="I12" t="str">
        <x:v>Alta</x:v>
      </x:c>
      <x:c r="J12" t="str">
        <x:v>REQUIERE EVIDENCIA</x:v>
      </x:c>
    </x:row>
    <x:row r="13" ht="27" customHeight="1">
      <x:c r="A13" t="str">
        <x:v>H012</x:v>
      </x:c>
      <x:c r="B13" t="str">
        <x:v>RF53</x:v>
      </x:c>
      <x:c r="C13" t="str">
        <x:v>RF053-EF1!G34,G54</x:v>
      </x:c>
      <x:c r="D13" t="str">
        <x:v>Transacción / OTP</x:v>
      </x:c>
      <x:c r="E13" t="str">
        <x:v>El texto exige confirmar OTP+correo antes de mostrar formulario, pero la secuencia no representa claramente ese COMMIT y entrega; también exige consumo OTP atómico.</x:v>
      </x:c>
      <x:c r="F13" t="str">
        <x:v>RF07,RF53</x:v>
      </x:c>
      <x:c r="G13" t="str">
        <x:v>Ambigüedad de los límites de transacción y posibilidad de usar un código no persistido.</x:v>
      </x:c>
      <x:c r="H13" t="str">
        <x:v>Especificar transacción OTP/outbox separada y transacción recuperación con consumo idempotente; validar ambas con SQL.</x:v>
      </x:c>
      <x:c r="I13" t="str">
        <x:v>Alta</x:v>
      </x:c>
      <x:c r="J13" t="str">
        <x:v>REQUIERE DECISIÓN TÉCNICA</x:v>
      </x:c>
    </x:row>
    <x:row r="14" ht="27" customHeight="1">
      <x:c r="A14" t="str">
        <x:v>H013</x:v>
      </x:c>
      <x:c r="B14" t="str">
        <x:v>RF07,RF53,RF59</x:v>
      </x:c>
      <x:c r="C14" t="str">
        <x:v>PENDIENTES_VERIFICACION!C9; SUBFLUJO_ELIMINACION_30D</x:v>
      </x:c>
      <x:c r="D14" t="str">
        <x:v>Concurrencia / automatismo</x:v>
      </x:c>
      <x:c r="E14" t="str">
        <x:v>La carrera recuperación simultánea versus baja automática a 30 días no está probada.</x:v>
      </x:c>
      <x:c r="F14" t="str">
        <x:v>RF07,RF53,RF59</x:v>
      </x:c>
      <x:c r="G14" t="str">
        <x:v>Cuenta reactivada podría procesarse para eliminación indebidamente.</x:v>
      </x:c>
      <x:c r="H14" t="str">
        <x:v>Prueba de bloqueos transaccionales y relectura de estado/fecha en job.</x:v>
      </x:c>
      <x:c r="I14" t="str">
        <x:v>Crítica</x:v>
      </x:c>
      <x:c r="J14" t="str">
        <x:v>REQUIERE PRUEBA</x:v>
      </x:c>
    </x:row>
    <x:row r="15" ht="27" customHeight="1">
      <x:c r="A15" t="str">
        <x:v>H014</x:v>
      </x:c>
      <x:c r="B15" t="str">
        <x:v>RF14,RF16</x:v>
      </x:c>
      <x:c r="C15" t="str">
        <x:v>REGLAS_TRANSVERSALES!D9; VALIDACION_FINAL!C7:C8</x:v>
      </x:c>
      <x:c r="D15" t="str">
        <x:v>Concurrencia / Km</x:v>
      </x:c>
      <x:c r="E15" t="str">
        <x:v>Versionado e idempotencia de kilometraje son exigidos pero faltan índices físicos y pruebas.</x:v>
      </x:c>
      <x:c r="F15" t="str">
        <x:v>RF10,RF14,RF15,RF16,RF44</x:v>
      </x:c>
      <x:c r="G15" t="str">
        <x:v>Doble inserción o actualización perdida ante clientes simultáneos.</x:v>
      </x:c>
      <x:c r="H15" t="str">
        <x:v>Comprobar unique de comando y CAS/versiones, con pruebas de reintento.</x:v>
      </x:c>
      <x:c r="I15" t="str">
        <x:v>Alta</x:v>
      </x:c>
      <x:c r="J15" t="str">
        <x:v>REQUIERE PRUEBA</x:v>
      </x:c>
    </x:row>
    <x:row r="16" ht="27" customHeight="1">
      <x:c r="A16" t="str">
        <x:v>H015</x:v>
      </x:c>
      <x:c r="B16" t="str">
        <x:v>RF08,RF12,RF13</x:v>
      </x:c>
      <x:c r="C16" t="str">
        <x:v>RF030_ALT_FIN_PREMIUM; PENDIENTES_VERIFICACION!C7</x:v>
      </x:c>
      <x:c r="D16" t="str">
        <x:v>Plan / vehículos</x:v>
      </x:c>
      <x:c r="E16" t="str">
        <x:v>La transición Premium→Free debe dejar solo principal activo, pero no se ha validado el proceso completo contra la BD ni los cambios simultáneos.</x:v>
      </x:c>
      <x:c r="F16" t="str">
        <x:v>RF08–RF13,RF29,RF30,RF60</x:v>
      </x:c>
      <x:c r="G16" t="str">
        <x:v>Dos vehículos activos Free o desactivación del vehículo equivocado.</x:v>
      </x:c>
      <x:c r="H16" t="str">
        <x:v>Probar downgrade y cambio de principal con transacción y restricciones del servidor.</x:v>
      </x:c>
      <x:c r="I16" t="str">
        <x:v>Alta</x:v>
      </x:c>
      <x:c r="J16" t="str">
        <x:v>REQUIERE PRUEBA</x:v>
      </x:c>
    </x:row>
    <x:row r="17" ht="27" customHeight="1">
      <x:c r="A17" t="str">
        <x:v>H016</x:v>
      </x:c>
      <x:c r="B17" t="str">
        <x:v>RF54,RF55,RF56</x:v>
      </x:c>
      <x:c r="C17" t="str">
        <x:v>BCE_TIVE; PENDIENTES_VERIFICACION!C5</x:v>
      </x:c>
      <x:c r="D17" t="str">
        <x:v>Integridad TIVE</x:v>
      </x:c>
      <x:c r="E17" t="str">
        <x:v>Relación TIVE-vehículo 1:1 y requisito previo VIN requieren UNIQUE/FK reales todavía no demostrados.</x:v>
      </x:c>
      <x:c r="F17" t="str">
        <x:v>RF08,RF10,RF11,RF54–RF56</x:v>
      </x:c>
      <x:c r="G17" t="str">
        <x:v>TIVE duplicada o huérfana, o falla al completar VIN.</x:v>
      </x:c>
      <x:c r="H17" t="str">
        <x:v>Verificar FK+UNIQUE y validación del flujo de retorno tras registrar VIN.</x:v>
      </x:c>
      <x:c r="I17" t="str">
        <x:v>Alta</x:v>
      </x:c>
      <x:c r="J17" t="str">
        <x:v>REQUIERE EVIDENCIA</x:v>
      </x:c>
    </x:row>
    <x:row r="18" ht="27" customHeight="1">
      <x:c r="A18" t="str">
        <x:v>H017</x:v>
      </x:c>
      <x:c r="B18" t="str">
        <x:v>RF17,RF22,RF24,RF62</x:v>
      </x:c>
      <x:c r="C18" t="str">
        <x:v>REGLAS_TRANSVERSALES!B10; PENDIENTES_VERIFICACION!C10</x:v>
      </x:c>
      <x:c r="D18" t="str">
        <x:v>Catálogos</x:v>
      </x:c>
      <x:c r="E18" t="str">
        <x:v>Catálogo ACTIVO ampliable documentado; el esquema físico podría mantener lista cerrada de siete tipos.</x:v>
      </x:c>
      <x:c r="F18" t="str">
        <x:v>RF17,RF22,RF24,RF62</x:v>
      </x:c>
      <x:c r="G18" t="str">
        <x:v>Tipos nuevos no seleccionables o históricos rotos.</x:v>
      </x:c>
      <x:c r="H18" t="str">
        <x:v>Verificar catálogo administrable y mantener históricos por referencia estable.</x:v>
      </x:c>
      <x:c r="I18" t="str">
        <x:v>Alta</x:v>
      </x:c>
      <x:c r="J18" t="str">
        <x:v>REQUIERE EVIDENCIA</x:v>
      </x:c>
    </x:row>
    <x:row r="19" ht="27" customHeight="1">
      <x:c r="A19" t="str">
        <x:v>H018</x:v>
      </x:c>
      <x:c r="B19" t="str">
        <x:v>RF57–RF64</x:v>
      </x:c>
      <x:c r="C19" t="str">
        <x:v>PENDIENTES_VERIFICACION!C11</x:v>
      </x:c>
      <x:c r="D19" t="str">
        <x:v>Autorización</x:v>
      </x:c>
      <x:c r="E19" t="str">
        <x:v>Alternativos y políticas de permisos por mutación no validados contra modelo físico.</x:v>
      </x:c>
      <x:c r="F19" t="str">
        <x:v>RF02,RF57–RF64</x:v>
      </x:c>
      <x:c r="G19" t="str">
        <x:v>Operaciones de administrador/soporte con autorización inconsistente.</x:v>
      </x:c>
      <x:c r="H19" t="str">
        <x:v>Probar matriz de permisos y concurrencia, especialmente RF59–RF63.</x:v>
      </x:c>
      <x:c r="I19" t="str">
        <x:v>Alta</x:v>
      </x:c>
      <x:c r="J19" t="str">
        <x:v>REQUIERE EVIDENCIA</x:v>
      </x:c>
    </x:row>
    <x:row r="20" ht="27" customHeight="1">
      <x:c r="A20" t="str">
        <x:v>H019</x:v>
      </x:c>
      <x:c r="B20" t="str">
        <x:v>RF23</x:v>
      </x:c>
      <x:c r="C20" t="str">
        <x:v>RF23!A2,A47,A84</x:v>
      </x:c>
      <x:c r="D20" t="str">
        <x:v>Estructura secuencia</x:v>
      </x:c>
      <x:c r="E20" t="str">
        <x:v>RF23 reúne consulta de vehículo, motor de alertas autónomo y consulta de licencia como rutas independientes en una sola numeración.</x:v>
      </x:c>
      <x:c r="F20" t="str">
        <x:v>RF22,RF23,RF24,RF44,RF46</x:v>
      </x:c>
      <x:c r="G20" t="str">
        <x:v>El programador puede interpretar el motor autónomo como una llamada obligatoria de la consulta.</x:v>
      </x:c>
      <x:c r="H20" t="str">
        <x:v>Representar estos disparadores como fragmentos separados o diagramas complementarios, sin cambiar reglas.</x:v>
      </x:c>
      <x:c r="I20" t="str">
        <x:v>Media</x:v>
      </x:c>
      <x:c r="J20" t="str">
        <x:v>REQUIERE DECISIÓN DE DIAGRAMA</x:v>
      </x:c>
    </x:row>
    <x:row r="21" ht="27" customHeight="1">
      <x:c r="A21" t="str">
        <x:v>H020</x:v>
      </x:c>
      <x:c r="B21" t="str">
        <x:v>RF01–RF64</x:v>
      </x:c>
      <x:c r="C21" t="str">
        <x:v>PENDIENTES_VERIFICACION!C12:C13</x:v>
      </x:c>
      <x:c r="D21" t="str">
        <x:v>UX / normativa</x:v>
      </x:c>
      <x:c r="E21" t="str">
        <x:v>No se aportó Figma vigente ni evidencia de política de privacidad/retención.</x:v>
      </x:c>
      <x:c r="F21" t="str">
        <x:v>RF01,RF07,RF14,RF16,RF53</x:v>
      </x:c>
      <x:c r="G21" t="str">
        <x:v>No se valida navegación real, consentimiento ni supresión.</x:v>
      </x:c>
      <x:c r="H21" t="str">
        <x:v>Contrastar prototipo y textos normativos antes de publicar.</x:v>
      </x:c>
      <x:c r="I21" t="str">
        <x:v>Media</x:v>
      </x:c>
      <x:c r="J21" t="str">
        <x:v>REQUIERE EVIDENCIA</x:v>
      </x:c>
    </x:row>
    <x:row r="22" ht="27" customHeight="1">
      <x:c r="A22" t="str">
        <x:v>H021</x:v>
      </x:c>
      <x:c r="B22" t="str">
        <x:v>RF01–RF64</x:v>
      </x:c>
      <x:c r="C22" t="str">
        <x:v>VALIDACION_FINAL!D4:D15</x:v>
      </x:c>
      <x:c r="D22" t="str">
        <x:v>Pruebas</x:v>
      </x:c>
      <x:c r="E22" t="str">
        <x:v>Todas las pruebas de regresión del archivo aparecen PENDIENTE EJECUCIÓN.</x:v>
      </x:c>
      <x:c r="F22" t="str">
        <x:v>TODOS</x:v>
      </x:c>
      <x:c r="G22" t="str">
        <x:v>No existen resultados observados que acrediten comportamiento implementado.</x:v>
      </x:c>
      <x:c r="H22" t="str">
        <x:v>Ejecutar pruebas y adjuntar evidencias/versiones, sin marcar aprobaciones ficticias.</x:v>
      </x:c>
      <x:c r="I22" t="str">
        <x:v>Alta</x:v>
      </x:c>
      <x:c r="J22" t="str">
        <x:v>REQUIERE PRUEBA</x:v>
      </x:c>
    </x:row>
    <x:row r="23" ht="27" customHeight="1">
      <x:c r="A23" t="str">
        <x:v>H022</x:v>
      </x:c>
      <x:c r="B23" t="str">
        <x:v>RF16</x:v>
      </x:c>
      <x:c r="C23" t="str">
        <x:v>RF016-EF1!A1:G46; RF016_ALT_PREVIA!A2,C4:C11</x:v>
      </x:c>
      <x:c r="D23" t="str">
        <x:v>Contradicción de negocio / UX</x:v>
      </x:c>
      <x:c r="E23" t="str">
        <x:v>RF16 EF exigía motivo, tres campos y guardado directo sin vista previa, contra REGLAS_TRANSVERSALES (sin motivo) y la auditoría de vista previa.</x:v>
      </x:c>
      <x:c r="F23" t="str">
        <x:v>RF14,RF15,RF16,RF23,RF44</x:v>
      </x:c>
      <x:c r="G23" t="str">
        <x:v>Programar dos comportamientos distintos o guardar antes de aprobación.</x:v>
      </x:c>
      <x:c r="H23" t="str">
        <x:v>Reescribir EF con 39 mensajes, mismo formulario Km en modo corrección, vista previa y escritura tras confirmar; alinear alternativos.</x:v>
      </x:c>
      <x:c r="I23" t="str">
        <x:v>Crítica</x:v>
      </x:c>
      <x:c r="J23" t="str">
        <x:v>CORREGIDO EN COPIA</x:v>
      </x:c>
    </x:row>
  </x:sheetData>
  <x:pageMargins left="0.7" right="0.7" top="0.75" bottom="0.75" header="0.3" footer="0.3"/>
</x:worksheet>
</file>

<file path=xl/worksheets/sheet9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4" hidden="0" customWidth="1"/>
    <x:col min="3" max="3" width="80" hidden="0" customWidth="1"/>
    <x:col min="4" max="4" width="15" hidden="0" customWidth="1"/>
    <x:col min="5" max="5" width="11" hidden="0" customWidth="1"/>
    <x:col min="6" max="6" width="51" hidden="0" customWidth="1"/>
    <x:col min="7" max="7" width="42" hidden="0" customWidth="1"/>
    <x:col min="8" max="8" width="25" hidden="0" customWidth="1"/>
    <x:col min="9" max="9" width="77" hidden="0" customWidth="1"/>
  </x:cols>
  <x:sheetData>
    <x:row r="1" ht="29" customHeight="1">
      <x:c r="A1" s="1015" t="str">
        <x:v>RF</x:v>
      </x:c>
      <x:c r="B1" s="1015" t="str">
        <x:v>Hoja de EF</x:v>
      </x:c>
      <x:c r="C1" s="1015" t="str">
        <x:v>Nombre del flujo</x:v>
      </x:c>
      <x:c r="D1" s="1015" t="str">
        <x:v>Mensajes EF</x:v>
      </x:c>
      <x:c r="E1" s="1015" t="str">
        <x:v>Hojas ALT</x:v>
      </x:c>
      <x:c r="F1" s="1015" t="str">
        <x:v>Cobertura documental</x:v>
      </x:c>
      <x:c r="G1" s="1015" t="str">
        <x:v>Módulos relacionados</x:v>
      </x:c>
      <x:c r="H1" s="1015" t="str">
        <x:v>Estado provisional</x:v>
      </x:c>
      <x:c r="I1" s="1015" t="str">
        <x:v>Observaciones / límites</x:v>
      </x:c>
    </x:row>
    <x:row r="2" ht="27" customHeight="1">
      <x:c r="A2" t="str">
        <x:v>RF01</x:v>
      </x:c>
      <x:c r="B2" t="str">
        <x:v>RF001-E1</x:v>
      </x:c>
      <x:c r="C2" t="str">
        <x:v>DIAGRAMA DE SECUENCIAS — RF-001-Registrar usuario en la aplicación  |  EVENTO EXITOSO</x:v>
      </x:c>
      <x:c r="D2" t="n">
        <x:v>42</x:v>
      </x:c>
      <x:c r="E2" t="n">
        <x:v>0</x:v>
      </x:c>
      <x:c r="F2" t="str">
        <x:v>EF localizado; EA originales no completos</x:v>
      </x:c>
      <x:c r="G2" t="str">
        <x:v>Cuentas y acceso</x:v>
      </x:c>
      <x:c r="H2" t="str">
        <x:v>APTO CON OBSERVACIONES</x:v>
      </x:c>
      <x:c r="I2" t="str">
        <x:v>Solo coherencia estructural documental; no certificación técnica ni EA.</x:v>
      </x:c>
    </x:row>
    <x:row r="3" ht="27" customHeight="1">
      <x:c r="A3" t="str">
        <x:v>RF02</x:v>
      </x:c>
      <x:c r="B3" t="str">
        <x:v>RF002-E1</x:v>
      </x:c>
      <x:c r="C3" t="str">
        <x:v>DIAGRAMA DE SECUENCIAS — RF-002-Iniciar sesión en la aplicación  |  EVENTO EXITOSO</x:v>
      </x:c>
      <x:c r="D3" t="n">
        <x:v>35</x:v>
      </x:c>
      <x:c r="E3" t="n">
        <x:v>0</x:v>
      </x:c>
      <x:c r="F3" t="str">
        <x:v>EF localizado; EA originales no completos</x:v>
      </x:c>
      <x:c r="G3" t="str">
        <x:v>Cuentas y acceso · Administración e incidencias</x:v>
      </x:c>
      <x:c r="H3" t="str">
        <x:v>APTO CON OBSERVACIONES</x:v>
      </x:c>
      <x:c r="I3" t="str">
        <x:v>Solo coherencia estructural documental; no certificación técnica ni EA.</x:v>
      </x:c>
    </x:row>
    <x:row r="4" ht="27" customHeight="1">
      <x:c r="A4" t="str">
        <x:v>RF03</x:v>
      </x:c>
      <x:c r="B4" t="str">
        <x:v>RF003-E1</x:v>
      </x:c>
      <x:c r="C4" t="str">
        <x:v>DIAGRAMA DE SECUENCIAS — RF-003-Recuperar acceso a la cuenta  |  EVENTO EXITOSO</x:v>
      </x:c>
      <x:c r="D4" t="n">
        <x:v>61</x:v>
      </x:c>
      <x:c r="E4" t="n">
        <x:v>0</x:v>
      </x:c>
      <x:c r="F4" t="str">
        <x:v>EF localizado; EA originales no completos</x:v>
      </x:c>
      <x:c r="G4" t="str">
        <x:v>Cuentas y acceso</x:v>
      </x:c>
      <x:c r="H4" t="str">
        <x:v>APTO CON OBSERVACIONES</x:v>
      </x:c>
      <x:c r="I4" t="str">
        <x:v>Solo coherencia estructural documental; no certificación técnica ni EA.</x:v>
      </x:c>
    </x:row>
    <x:row r="5" ht="27" customHeight="1">
      <x:c r="A5" t="str">
        <x:v>RF04</x:v>
      </x:c>
      <x:c r="B5" t="str">
        <x:v>RF004-E1</x:v>
      </x:c>
      <x:c r="C5" t="str">
        <x:v>DIAGRAMA DE SECUENCIAS — RF-004-Consultar y modificar datos personales  |  EVENTO EXITOSO</x:v>
      </x:c>
      <x:c r="D5" t="n">
        <x:v>35</x:v>
      </x:c>
      <x:c r="E5" t="n">
        <x:v>0</x:v>
      </x:c>
      <x:c r="F5" t="str">
        <x:v>EF localizado; EA originales no completos</x:v>
      </x:c>
      <x:c r="G5" t="str">
        <x:v>Cuentas y acceso</x:v>
      </x:c>
      <x:c r="H5" t="str">
        <x:v>APTO CON OBSERVACIONES</x:v>
      </x:c>
      <x:c r="I5" t="str">
        <x:v>Solo coherencia estructural documental; no certificación técnica ni EA.</x:v>
      </x:c>
    </x:row>
    <x:row r="6" ht="27" customHeight="1">
      <x:c r="A6" t="str">
        <x:v>RF05</x:v>
      </x:c>
      <x:c r="B6" t="str">
        <x:v>RF005-E1</x:v>
      </x:c>
      <x:c r="C6" t="str">
        <x:v>DIAGRAMA DE SECUENCIAS — RF-005-Cambiar contraseña  |  EVENTO EXITOSO</x:v>
      </x:c>
      <x:c r="D6" t="n">
        <x:v>35</x:v>
      </x:c>
      <x:c r="E6" t="n">
        <x:v>0</x:v>
      </x:c>
      <x:c r="F6" t="str">
        <x:v>EF localizado; EA originales no completos</x:v>
      </x:c>
      <x:c r="G6" t="str">
        <x:v>Cuentas y acceso</x:v>
      </x:c>
      <x:c r="H6" t="str">
        <x:v>APTO CON OBSERVACIONES</x:v>
      </x:c>
      <x:c r="I6" t="str">
        <x:v>Solo coherencia estructural documental; no certificación técnica ni EA.</x:v>
      </x:c>
    </x:row>
    <x:row r="7" ht="27" customHeight="1">
      <x:c r="A7" t="str">
        <x:v>RF06</x:v>
      </x:c>
      <x:c r="B7" t="str">
        <x:v>RF006-E1</x:v>
      </x:c>
      <x:c r="C7" t="str">
        <x:v>DIAGRAMA DE SECUENCIAS — RF-006-Cerrar sesión  |  EVENTO EXITOSO</x:v>
      </x:c>
      <x:c r="D7" t="n">
        <x:v>23</x:v>
      </x:c>
      <x:c r="E7" t="n">
        <x:v>0</x:v>
      </x:c>
      <x:c r="F7" t="str">
        <x:v>EF localizado; EA originales no completos</x:v>
      </x:c>
      <x:c r="G7" t="str">
        <x:v>Cuentas y acceso</x:v>
      </x:c>
      <x:c r="H7" t="str">
        <x:v>APTO CON OBSERVACIONES</x:v>
      </x:c>
      <x:c r="I7" t="str">
        <x:v>Solo coherencia estructural documental; no certificación técnica ni EA.</x:v>
      </x:c>
    </x:row>
    <x:row r="8" ht="27" customHeight="1">
      <x:c r="A8" t="str">
        <x:v>RF07</x:v>
      </x:c>
      <x:c r="B8" t="str">
        <x:v>RF007-E1</x:v>
      </x:c>
      <x:c r="C8" t="str">
        <x:v>DIAGRAMA DE SECUENCIAS — RF-007 — Solicitar eliminación de cuenta (30 días) | EVENTO EXITOSO</x:v>
      </x:c>
      <x:c r="D8" t="n">
        <x:v>71</x:v>
      </x:c>
      <x:c r="E8" t="n">
        <x:v>0</x:v>
      </x:c>
      <x:c r="F8" t="str">
        <x:v>EF localizado; EA originales no completos</x:v>
      </x:c>
      <x:c r="G8" t="str">
        <x:v>Cuentas y acceso · Administración e incidencias</x:v>
      </x:c>
      <x:c r="H8" t="str">
        <x:v>BLOQUEADO</x:v>
      </x:c>
      <x:c r="I8" t="str">
        <x:v>Se aplicaron cambios documentales; falta verificar BD, EA y/o prueba.</x:v>
      </x:c>
    </x:row>
    <x:row r="9" ht="27" customHeight="1">
      <x:c r="A9" t="str">
        <x:v>RF08</x:v>
      </x:c>
      <x:c r="B9" t="str">
        <x:v>RF008-EF1</x:v>
      </x:c>
      <x:c r="C9" t="str">
        <x:v>DIAGRAMA DE SECUENCIAS — RF-008-Registrar vehículo  |  EVENTO EXITOSO</x:v>
      </x:c>
      <x:c r="D9" t="n">
        <x:v>54</x:v>
      </x:c>
      <x:c r="E9" t="n">
        <x:v>0</x:v>
      </x:c>
      <x:c r="F9" t="str">
        <x:v>EF localizado; EA originales no completos</x:v>
      </x:c>
      <x:c r="G9" t="str">
        <x:v>Vehículos · Kilometraje · Planes y pagos · TIVE</x:v>
      </x:c>
      <x:c r="H9" t="str">
        <x:v>APTO CON OBSERVACIONES</x:v>
      </x:c>
      <x:c r="I9" t="str">
        <x:v>Solo coherencia estructural documental; no certificación técnica ni EA.</x:v>
      </x:c>
    </x:row>
    <x:row r="10" ht="27" customHeight="1">
      <x:c r="A10" t="str">
        <x:v>RF09</x:v>
      </x:c>
      <x:c r="B10" t="str">
        <x:v>RF009-EF1</x:v>
      </x:c>
      <x:c r="C10" t="str">
        <x:v>DIAGRAMA DE SECUENCIAS — RF-009 Consultar vehículos registrados | EVENTO EXITOSO</x:v>
      </x:c>
      <x:c r="D10" t="n">
        <x:v>49</x:v>
      </x:c>
      <x:c r="E10" t="n">
        <x:v>0</x:v>
      </x:c>
      <x:c r="F10" t="str">
        <x:v>EF localizado; EA originales no completos</x:v>
      </x:c>
      <x:c r="G10" t="str">
        <x:v>Vehículos</x:v>
      </x:c>
      <x:c r="H10" t="str">
        <x:v>APTO CON OBSERVACIONES</x:v>
      </x:c>
      <x:c r="I10" t="str">
        <x:v>Solo coherencia estructural documental; no certificación técnica ni EA.</x:v>
      </x:c>
    </x:row>
    <x:row r="11" ht="27" customHeight="1">
      <x:c r="A11" t="str">
        <x:v>RF10</x:v>
      </x:c>
      <x:c r="B11" t="str">
        <x:v>RF010-EF1</x:v>
      </x:c>
      <x:c r="C11" t="str">
        <x:v>DIAGRAMA DE SECUENCIAS — RF-010 Consultar detalle del vehículo | EVENTO EXITOSO</x:v>
      </x:c>
      <x:c r="D11" t="n">
        <x:v>24</x:v>
      </x:c>
      <x:c r="E11" t="n">
        <x:v>0</x:v>
      </x:c>
      <x:c r="F11" t="str">
        <x:v>EF localizado; EA originales no completos</x:v>
      </x:c>
      <x:c r="G11" t="str">
        <x:v>Vehículos · Kilometraje · TIVE</x:v>
      </x:c>
      <x:c r="H11" t="str">
        <x:v>APTO CON OBSERVACIONES</x:v>
      </x:c>
      <x:c r="I11" t="str">
        <x:v>Solo coherencia estructural documental; no certificación técnica ni EA.</x:v>
      </x:c>
    </x:row>
    <x:row r="12" ht="27" customHeight="1">
      <x:c r="A12" t="str">
        <x:v>RF11</x:v>
      </x:c>
      <x:c r="B12" t="str">
        <x:v>RF011-EF1</x:v>
      </x:c>
      <x:c r="C12" t="str">
        <x:v>DIAGRAMA DE SECUENCIAS — RF-011 Modificar datos del vehículo | EVENTO EXITOSO</x:v>
      </x:c>
      <x:c r="D12" t="n">
        <x:v>32</x:v>
      </x:c>
      <x:c r="E12" t="n">
        <x:v>0</x:v>
      </x:c>
      <x:c r="F12" t="str">
        <x:v>EF localizado; EA originales no completos</x:v>
      </x:c>
      <x:c r="G12" t="str">
        <x:v>Vehículos · TIVE</x:v>
      </x:c>
      <x:c r="H12" t="str">
        <x:v>APTO CON OBSERVACIONES</x:v>
      </x:c>
      <x:c r="I12" t="str">
        <x:v>Solo coherencia estructural documental; no certificación técnica ni EA.</x:v>
      </x:c>
    </x:row>
    <x:row r="13" ht="27" customHeight="1">
      <x:c r="A13" t="str">
        <x:v>RF12</x:v>
      </x:c>
      <x:c r="B13" t="str">
        <x:v>RF012-EF1</x:v>
      </x:c>
      <x:c r="C13" t="str">
        <x:v>DIAGRAMA DE SECUENCIAS — RF-012 Activar o desactivar vehículo | EVENTO EXITOSO</x:v>
      </x:c>
      <x:c r="D13" t="n">
        <x:v>63</x:v>
      </x:c>
      <x:c r="E13" t="n">
        <x:v>0</x:v>
      </x:c>
      <x:c r="F13" t="str">
        <x:v>EF localizado; EA originales no completos</x:v>
      </x:c>
      <x:c r="G13" t="str">
        <x:v>Vehículos · Planes y pagos</x:v>
      </x:c>
      <x:c r="H13" t="str">
        <x:v>APTO CON OBSERVACIONES</x:v>
      </x:c>
      <x:c r="I13" t="str">
        <x:v>Solo coherencia estructural documental; no certificación técnica ni EA.</x:v>
      </x:c>
    </x:row>
    <x:row r="14" ht="27" customHeight="1">
      <x:c r="A14" t="str">
        <x:v>RF13</x:v>
      </x:c>
      <x:c r="B14" t="str">
        <x:v>RF013-EF1</x:v>
      </x:c>
      <x:c r="C14" t="str">
        <x:v>DIAGRAMA DE SECUENCIAS — RF-013 Establecer vehículo principal | EVENTO EXITOSO</x:v>
      </x:c>
      <x:c r="D14" t="n">
        <x:v>44</x:v>
      </x:c>
      <x:c r="E14" t="n">
        <x:v>0</x:v>
      </x:c>
      <x:c r="F14" t="str">
        <x:v>EF localizado; EA originales no completos</x:v>
      </x:c>
      <x:c r="G14" t="str">
        <x:v>Vehículos · Planes y pagos</x:v>
      </x:c>
      <x:c r="H14" t="str">
        <x:v>APTO CON OBSERVACIONES</x:v>
      </x:c>
      <x:c r="I14" t="str">
        <x:v>Solo coherencia estructural documental; no certificación técnica ni EA.</x:v>
      </x:c>
    </x:row>
    <x:row r="15" ht="27" customHeight="1">
      <x:c r="A15" t="str">
        <x:v>RF14</x:v>
      </x:c>
      <x:c r="B15" t="str">
        <x:v>RF014-EF1</x:v>
      </x:c>
      <x:c r="C15" t="str">
        <x:v>DIAGRAMA DE SECUENCIAS — RF014 · ACTUALIZAR KILOMETRAJE | VISTA PREVIA OBLIGATORIA</x:v>
      </x:c>
      <x:c r="D15" t="n">
        <x:v>49</x:v>
      </x:c>
      <x:c r="E15" t="n">
        <x:v>1</x:v>
      </x:c>
      <x:c r="F15" t="str">
        <x:v>EF + 1 hoja(s) ALT; EA no necesariamente completos</x:v>
      </x:c>
      <x:c r="G15" t="str">
        <x:v>Kilometraje</x:v>
      </x:c>
      <x:c r="H15" t="str">
        <x:v>BLOQUEADO</x:v>
      </x:c>
      <x:c r="I15" t="str">
        <x:v>Servicio externo/SQL/regla cruzada pendiente de prueba.</x:v>
      </x:c>
    </x:row>
    <x:row r="16" ht="27" customHeight="1">
      <x:c r="A16" t="str">
        <x:v>RF15</x:v>
      </x:c>
      <x:c r="B16" t="str">
        <x:v>RF015-EF1</x:v>
      </x:c>
      <x:c r="C16" t="str">
        <x:v>DIAGRAMA DE SECUENCIAS — RF-015 Consultar historial de kilometraje | EVENTO EXITOSO</x:v>
      </x:c>
      <x:c r="D16" t="n">
        <x:v>45</x:v>
      </x:c>
      <x:c r="E16" t="n">
        <x:v>0</x:v>
      </x:c>
      <x:c r="F16" t="str">
        <x:v>EF localizado; EA originales no completos</x:v>
      </x:c>
      <x:c r="G16" t="str">
        <x:v>Kilometraje</x:v>
      </x:c>
      <x:c r="H16" t="str">
        <x:v>APTO CON OBSERVACIONES</x:v>
      </x:c>
      <x:c r="I16" t="str">
        <x:v>Solo coherencia estructural documental; no certificación técnica ni EA.</x:v>
      </x:c>
    </x:row>
    <x:row r="17" ht="27" customHeight="1">
      <x:c r="A17" t="str">
        <x:v>RF16</x:v>
      </x:c>
      <x:c r="B17" t="str">
        <x:v>RF016-EF1</x:v>
      </x:c>
      <x:c r="C17" t="str">
        <x:v>DIAGRAMA DE SECUENCIAS — RF016 · CORREGIR KILOMETRAJE (MODO COMPARTIDO) | EF01 CORREGIDO</x:v>
      </x:c>
      <x:c r="D17" t="n">
        <x:v>39</x:v>
      </x:c>
      <x:c r="E17" t="n">
        <x:v>1</x:v>
      </x:c>
      <x:c r="F17" t="str">
        <x:v>EF + 1 hoja(s) ALT; EA no necesariamente completos</x:v>
      </x:c>
      <x:c r="G17" t="str">
        <x:v>Kilometraje</x:v>
      </x:c>
      <x:c r="H17" t="str">
        <x:v>BLOQUEADO</x:v>
      </x:c>
      <x:c r="I17" t="str">
        <x:v>Se aplicaron cambios documentales; falta verificar BD, EA y/o prueba.</x:v>
      </x:c>
    </x:row>
    <x:row r="18" ht="27" customHeight="1">
      <x:c r="A18" t="str">
        <x:v>RF17</x:v>
      </x:c>
      <x:c r="B18" t="str">
        <x:v>RF17</x:v>
      </x:c>
      <x:c r="C18" t="str">
        <x:v>DIAGRAMA DE SECUENCIAS — RF-017 — Registrar mantenimiento realizado | EVENTO EXITOSO CORREGIDO</x:v>
      </x:c>
      <x:c r="D18" t="n">
        <x:v>75</x:v>
      </x:c>
      <x:c r="E18" t="n">
        <x:v>0</x:v>
      </x:c>
      <x:c r="F18" t="str">
        <x:v>EF localizado; EA originales no completos</x:v>
      </x:c>
      <x:c r="G18" t="str">
        <x:v>Kilometraje · Mantenimientos · Talleres</x:v>
      </x:c>
      <x:c r="H18" t="str">
        <x:v>BLOQUEADO</x:v>
      </x:c>
      <x:c r="I18" t="str">
        <x:v>Servicio externo/SQL/regla cruzada pendiente de prueba.</x:v>
      </x:c>
    </x:row>
    <x:row r="19" ht="27" customHeight="1">
      <x:c r="A19" t="str">
        <x:v>RF18</x:v>
      </x:c>
      <x:c r="B19" t="str">
        <x:v>RF18</x:v>
      </x:c>
      <x:c r="C19" t="str">
        <x:v>DIAGRAMA DE SECUENCIAS — RF-018 - Consultar historial de mantenimiento. | EVENTO EXITOSO</x:v>
      </x:c>
      <x:c r="D19" t="n">
        <x:v>42</x:v>
      </x:c>
      <x:c r="E19" t="n">
        <x:v>0</x:v>
      </x:c>
      <x:c r="F19" t="str">
        <x:v>EF localizado; EA originales no completos</x:v>
      </x:c>
      <x:c r="G19" t="str">
        <x:v>Mantenimientos</x:v>
      </x:c>
      <x:c r="H19" t="str">
        <x:v>APTO CON OBSERVACIONES</x:v>
      </x:c>
      <x:c r="I19" t="str">
        <x:v>Solo coherencia estructural documental; no certificación técnica ni EA.</x:v>
      </x:c>
    </x:row>
    <x:row r="20" ht="27" customHeight="1">
      <x:c r="A20" t="str">
        <x:v>RF19</x:v>
      </x:c>
      <x:c r="B20" t="str">
        <x:v>RF19</x:v>
      </x:c>
      <x:c r="C20" t="str">
        <x:v>DIAGRAMA DE SECUENCIAS — RF-019- Consultar detalle de mantenimiento. | EVENTO EXITOSO</x:v>
      </x:c>
      <x:c r="D20" t="n">
        <x:v>22</x:v>
      </x:c>
      <x:c r="E20" t="n">
        <x:v>0</x:v>
      </x:c>
      <x:c r="F20" t="str">
        <x:v>EF localizado; EA originales no completos</x:v>
      </x:c>
      <x:c r="G20" t="str">
        <x:v>Mantenimientos</x:v>
      </x:c>
      <x:c r="H20" t="str">
        <x:v>APTO CON OBSERVACIONES</x:v>
      </x:c>
      <x:c r="I20" t="str">
        <x:v>Solo coherencia estructural documental; no certificación técnica ni EA.</x:v>
      </x:c>
    </x:row>
    <x:row r="21" ht="27" customHeight="1">
      <x:c r="A21" t="str">
        <x:v>RF20</x:v>
      </x:c>
      <x:c r="B21" t="str">
        <x:v>RF20</x:v>
      </x:c>
      <x:c r="C21" t="str">
        <x:v>RF20 — DIAGRAMA DE SECUENCIA | ESCENARIO EXITOSO CORREGIDO</x:v>
      </x:c>
      <x:c r="D21" t="n">
        <x:v>35</x:v>
      </x:c>
      <x:c r="E21" t="n">
        <x:v>0</x:v>
      </x:c>
      <x:c r="F21" t="str">
        <x:v>EF localizado; EA originales no completos</x:v>
      </x:c>
      <x:c r="G21" t="str">
        <x:v>Mantenimientos</x:v>
      </x:c>
      <x:c r="H21" t="str">
        <x:v>APTO CON OBSERVACIONES</x:v>
      </x:c>
      <x:c r="I21" t="str">
        <x:v>Solo coherencia estructural documental; no certificación técnica ni EA.</x:v>
      </x:c>
    </x:row>
    <x:row r="22" ht="27" customHeight="1">
      <x:c r="A22" t="str">
        <x:v>RF21</x:v>
      </x:c>
      <x:c r="B22" t="str">
        <x:v>RF21</x:v>
      </x:c>
      <x:c r="C22" t="str">
        <x:v>RF21 — DIAGRAMA DE SECUENCIA | ESCENARIO EXITOSO CORREGIDO</x:v>
      </x:c>
      <x:c r="D22" t="n">
        <x:v>42</x:v>
      </x:c>
      <x:c r="E22" t="n">
        <x:v>0</x:v>
      </x:c>
      <x:c r="F22" t="str">
        <x:v>EF localizado; EA originales no completos</x:v>
      </x:c>
      <x:c r="G22" t="str">
        <x:v>Mantenimientos</x:v>
      </x:c>
      <x:c r="H22" t="str">
        <x:v>APTO CON OBSERVACIONES</x:v>
      </x:c>
      <x:c r="I22" t="str">
        <x:v>Solo coherencia estructural documental; no certificación técnica ni EA.</x:v>
      </x:c>
    </x:row>
    <x:row r="23" ht="27" customHeight="1">
      <x:c r="A23" t="str">
        <x:v>RF22</x:v>
      </x:c>
      <x:c r="B23" t="str">
        <x:v>RF22</x:v>
      </x:c>
      <x:c r="C23" t="str">
        <x:v>DIAGRAMA DE SECUENCIAS — RF-022 — Crear alerta preventiva manual | EF CORREGIDO (OTRO CON SUGERENCIAS)</x:v>
      </x:c>
      <x:c r="D23" t="n">
        <x:v>102</x:v>
      </x:c>
      <x:c r="E23" t="n">
        <x:v>0</x:v>
      </x:c>
      <x:c r="F23" t="str">
        <x:v>EF localizado; EA originales no completos</x:v>
      </x:c>
      <x:c r="G23" t="str">
        <x:v>Kilometraje · Mantenimientos · Alertas y notificaciones</x:v>
      </x:c>
      <x:c r="H23" t="str">
        <x:v>BLOQUEADO</x:v>
      </x:c>
      <x:c r="I23" t="str">
        <x:v>Servicio externo/SQL/regla cruzada pendiente de prueba.</x:v>
      </x:c>
    </x:row>
    <x:row r="24" ht="27" customHeight="1">
      <x:c r="A24" t="str">
        <x:v>RF23</x:v>
      </x:c>
      <x:c r="B24" t="str">
        <x:v>RF23</x:v>
      </x:c>
      <x:c r="C24" t="str">
        <x:v>DIAGRAMA DE SECUENCIA — RF23 · Consultar alertas registradas | Vehículos + Licencia</x:v>
      </x:c>
      <x:c r="D24" t="n">
        <x:v>88</x:v>
      </x:c>
      <x:c r="E24" t="n">
        <x:v>0</x:v>
      </x:c>
      <x:c r="F24" t="str">
        <x:v>EF localizado; EA originales no completos</x:v>
      </x:c>
      <x:c r="G24" t="str">
        <x:v>Kilometraje · Mantenimientos · Alertas y notificaciones · SOAT · Licencia</x:v>
      </x:c>
      <x:c r="H24" t="str">
        <x:v>BLOQUEADO</x:v>
      </x:c>
      <x:c r="I24" t="str">
        <x:v>Se aplicaron cambios documentales; falta verificar BD, EA y/o prueba.</x:v>
      </x:c>
    </x:row>
    <x:row r="25" ht="27" customHeight="1">
      <x:c r="A25" t="str">
        <x:v>RF24</x:v>
      </x:c>
      <x:c r="B25" t="str">
        <x:v>RF24</x:v>
      </x:c>
      <x:c r="C25" t="str">
        <x:v>MYCAR · RF24 | ESCENARIO EXITOSO EF1</x:v>
      </x:c>
      <x:c r="D25" t="n">
        <x:v>88</x:v>
      </x:c>
      <x:c r="E25" t="n">
        <x:v>0</x:v>
      </x:c>
      <x:c r="F25" t="str">
        <x:v>EF localizado; EA originales no completos</x:v>
      </x:c>
      <x:c r="G25" t="str">
        <x:v>Mantenimientos · Alertas y notificaciones</x:v>
      </x:c>
      <x:c r="H25" t="str">
        <x:v>BLOQUEADO</x:v>
      </x:c>
      <x:c r="I25" t="str">
        <x:v>Servicio externo/SQL/regla cruzada pendiente de prueba.</x:v>
      </x:c>
    </x:row>
    <x:row r="26" ht="27" customHeight="1">
      <x:c r="A26" t="str">
        <x:v>RF25</x:v>
      </x:c>
      <x:c r="B26" t="str">
        <x:v>RF25</x:v>
      </x:c>
      <x:c r="C26" t="str">
        <x:v>MYCAR · RF25 | ESCENARIO EXITOSO EF1</x:v>
      </x:c>
      <x:c r="D26" t="n">
        <x:v>40</x:v>
      </x:c>
      <x:c r="E26" t="n">
        <x:v>0</x:v>
      </x:c>
      <x:c r="F26" t="str">
        <x:v>EF localizado; EA originales no completos</x:v>
      </x:c>
      <x:c r="G26" t="str">
        <x:v>Mantenimientos · Alertas y notificaciones</x:v>
      </x:c>
      <x:c r="H26" t="str">
        <x:v>APTO CON OBSERVACIONES</x:v>
      </x:c>
      <x:c r="I26" t="str">
        <x:v>Solo coherencia estructural documental; no certificación técnica ni EA.</x:v>
      </x:c>
    </x:row>
    <x:row r="27" ht="27" customHeight="1">
      <x:c r="A27" t="str">
        <x:v>RF26</x:v>
      </x:c>
      <x:c r="B27" t="str">
        <x:v>RF26</x:v>
      </x:c>
      <x:c r="C27" t="str">
        <x:v>DIAGRAMA DE SECUENCIAS — RF-026 — Filtrar historial según criterios | EVENTO EXITOSO · RAMAS A/B</x:v>
      </x:c>
      <x:c r="D27" t="n">
        <x:v>39</x:v>
      </x:c>
      <x:c r="E27" t="n">
        <x:v>0</x:v>
      </x:c>
      <x:c r="F27" t="str">
        <x:v>EF localizado; EA originales no completos</x:v>
      </x:c>
      <x:c r="G27" t="str">
        <x:v>Mantenimientos</x:v>
      </x:c>
      <x:c r="H27" t="str">
        <x:v>APTO CON OBSERVACIONES</x:v>
      </x:c>
      <x:c r="I27" t="str">
        <x:v>Solo coherencia estructural documental; no certificación técnica ni EA.</x:v>
      </x:c>
    </x:row>
    <x:row r="28" ht="27" customHeight="1">
      <x:c r="A28" t="str">
        <x:v>RF27</x:v>
      </x:c>
      <x:c r="B28" t="str">
        <x:v>RF27</x:v>
      </x:c>
      <x:c r="C28" t="str">
        <x:v>DIAGRAMA DE SECUENCIAS — RF-027 — Exportar historial de mantenimientos | EVENTO EXITOSO</x:v>
      </x:c>
      <x:c r="D28" t="n">
        <x:v>56</x:v>
      </x:c>
      <x:c r="E28" t="n">
        <x:v>0</x:v>
      </x:c>
      <x:c r="F28" t="str">
        <x:v>EF localizado; EA originales no completos</x:v>
      </x:c>
      <x:c r="G28" t="str">
        <x:v>Mantenimientos</x:v>
      </x:c>
      <x:c r="H28" t="str">
        <x:v>APTO CON OBSERVACIONES</x:v>
      </x:c>
      <x:c r="I28" t="str">
        <x:v>Solo coherencia estructural documental; no certificación técnica ni EA.</x:v>
      </x:c>
    </x:row>
    <x:row r="29" ht="27" customHeight="1">
      <x:c r="A29" t="str">
        <x:v>RF28</x:v>
      </x:c>
      <x:c r="B29" t="str">
        <x:v>RF028-E1</x:v>
      </x:c>
      <x:c r="C29" t="str">
        <x:v>DIAGRAMA DE SECUENCIAS — RF-028-Consultar planes disponibles  |  EVENTO EXITOSO</x:v>
      </x:c>
      <x:c r="D29" t="n">
        <x:v>19</x:v>
      </x:c>
      <x:c r="E29" t="n">
        <x:v>0</x:v>
      </x:c>
      <x:c r="F29" t="str">
        <x:v>EF localizado; EA originales no completos</x:v>
      </x:c>
      <x:c r="G29" t="str">
        <x:v>Planes y pagos</x:v>
      </x:c>
      <x:c r="H29" t="str">
        <x:v>APTO CON OBSERVACIONES</x:v>
      </x:c>
      <x:c r="I29" t="str">
        <x:v>Solo coherencia estructural documental; no certificación técnica ni EA.</x:v>
      </x:c>
    </x:row>
    <x:row r="30" ht="27" customHeight="1">
      <x:c r="A30" t="str">
        <x:v>RF29</x:v>
      </x:c>
      <x:c r="B30" t="str">
        <x:v>RF029-E1</x:v>
      </x:c>
      <x:c r="C30" t="str">
        <x:v>DIAGRAMA DE SECUENCIAS — RF-029-Contratar plan Premium  |  EVENTO EXITOSO</x:v>
      </x:c>
      <x:c r="D30" t="n">
        <x:v>43</x:v>
      </x:c>
      <x:c r="E30" t="n">
        <x:v>0</x:v>
      </x:c>
      <x:c r="F30" t="str">
        <x:v>EF localizado; EA originales no completos</x:v>
      </x:c>
      <x:c r="G30" t="str">
        <x:v>Planes y pagos</x:v>
      </x:c>
      <x:c r="H30" t="str">
        <x:v>BLOQUEADO</x:v>
      </x:c>
      <x:c r="I30" t="str">
        <x:v>Servicio externo/SQL/regla cruzada pendiente de prueba.</x:v>
      </x:c>
    </x:row>
    <x:row r="31" ht="27" customHeight="1">
      <x:c r="A31" t="str">
        <x:v>RF30</x:v>
      </x:c>
      <x:c r="B31" t="str">
        <x:v>RF030-E1</x:v>
      </x:c>
      <x:c r="C31" t="str">
        <x:v>DIAGRAMA DE SECUENCIAS — RF-030-Consultar estado de suscripción  |  EVENTO EXITOSO</x:v>
      </x:c>
      <x:c r="D31" t="n">
        <x:v>17</x:v>
      </x:c>
      <x:c r="E31" t="n">
        <x:v>1</x:v>
      </x:c>
      <x:c r="F31" t="str">
        <x:v>EF + 1 hoja(s) ALT; EA no necesariamente completos</x:v>
      </x:c>
      <x:c r="G31" t="str">
        <x:v>Planes y pagos</x:v>
      </x:c>
      <x:c r="H31" t="str">
        <x:v>BLOQUEADO</x:v>
      </x:c>
      <x:c r="I31" t="str">
        <x:v>Servicio externo/SQL/regla cruzada pendiente de prueba.</x:v>
      </x:c>
    </x:row>
    <x:row r="32" ht="27" customHeight="1">
      <x:c r="A32" t="str">
        <x:v>RF31</x:v>
      </x:c>
      <x:c r="B32" t="str">
        <x:v>RF031-EF1</x:v>
      </x:c>
      <x:c r="C32" t="str">
        <x:v>DIAGRAMA DE SECUENCIAS — RF-031-Registrar información del SOAT del vehículo  |  EVENTO EXITOSO</x:v>
      </x:c>
      <x:c r="D32" t="n">
        <x:v>48</x:v>
      </x:c>
      <x:c r="E32" t="n">
        <x:v>0</x:v>
      </x:c>
      <x:c r="F32" t="str">
        <x:v>EF localizado; EA originales no completos</x:v>
      </x:c>
      <x:c r="G32" t="str">
        <x:v>SOAT</x:v>
      </x:c>
      <x:c r="H32" t="str">
        <x:v>APTO CON OBSERVACIONES</x:v>
      </x:c>
      <x:c r="I32" t="str">
        <x:v>Solo coherencia estructural documental; no certificación técnica ni EA.</x:v>
      </x:c>
    </x:row>
    <x:row r="33" ht="27" customHeight="1">
      <x:c r="A33" t="str">
        <x:v>RF32</x:v>
      </x:c>
      <x:c r="B33" t="str">
        <x:v>RF032-EF1</x:v>
      </x:c>
      <x:c r="C33" t="str">
        <x:v>DIAGRAMA DE SECUENCIAS — RF-032-Actualizar información del SOAT  |  EVENTO EXITOSO</x:v>
      </x:c>
      <x:c r="D33" t="n">
        <x:v>77</x:v>
      </x:c>
      <x:c r="E33" t="n">
        <x:v>0</x:v>
      </x:c>
      <x:c r="F33" t="str">
        <x:v>EF localizado; EA originales no completos</x:v>
      </x:c>
      <x:c r="G33" t="str">
        <x:v>SOAT</x:v>
      </x:c>
      <x:c r="H33" t="str">
        <x:v>APTO CON OBSERVACIONES</x:v>
      </x:c>
      <x:c r="I33" t="str">
        <x:v>Solo coherencia estructural documental; no certificación técnica ni EA.</x:v>
      </x:c>
    </x:row>
    <x:row r="34" ht="27" customHeight="1">
      <x:c r="A34" t="str">
        <x:v>RF33</x:v>
      </x:c>
      <x:c r="B34" t="str">
        <x:v>RF033-EF1</x:v>
      </x:c>
      <x:c r="C34" t="str">
        <x:v>DIAGRAMA DE SECUENCIAS — RF-033-Configurar recordatorio de vencimiento del SOAT  |  EVENTO EXITOSO</x:v>
      </x:c>
      <x:c r="D34" t="n">
        <x:v>55</x:v>
      </x:c>
      <x:c r="E34" t="n">
        <x:v>0</x:v>
      </x:c>
      <x:c r="F34" t="str">
        <x:v>EF localizado; EA originales no completos</x:v>
      </x:c>
      <x:c r="G34" t="str">
        <x:v>Alertas y notificaciones · SOAT</x:v>
      </x:c>
      <x:c r="H34" t="str">
        <x:v>APTO CON OBSERVACIONES</x:v>
      </x:c>
      <x:c r="I34" t="str">
        <x:v>Solo coherencia estructural documental; no certificación técnica ni EA.</x:v>
      </x:c>
    </x:row>
    <x:row r="35" ht="27" customHeight="1">
      <x:c r="A35" t="str">
        <x:v>RF34</x:v>
      </x:c>
      <x:c r="B35" t="str">
        <x:v>RF034-EF1</x:v>
      </x:c>
      <x:c r="C35" t="str">
        <x:v>DIAGRAMA DE SECUENCIAS — RF-034-Registrar taller asociado  |  EVENTO EXITOSO</x:v>
      </x:c>
      <x:c r="D35" t="n">
        <x:v>25</x:v>
      </x:c>
      <x:c r="E35" t="n">
        <x:v>0</x:v>
      </x:c>
      <x:c r="F35" t="str">
        <x:v>EF localizado; EA originales no completos</x:v>
      </x:c>
      <x:c r="G35" t="str">
        <x:v>Talleres</x:v>
      </x:c>
      <x:c r="H35" t="str">
        <x:v>APTO CON OBSERVACIONES</x:v>
      </x:c>
      <x:c r="I35" t="str">
        <x:v>Solo coherencia estructural documental; no certificación técnica ni EA.</x:v>
      </x:c>
    </x:row>
    <x:row r="36" ht="27" customHeight="1">
      <x:c r="A36" t="str">
        <x:v>RF35</x:v>
      </x:c>
      <x:c r="B36" t="str">
        <x:v>RF035-EF1</x:v>
      </x:c>
      <x:c r="C36" t="str">
        <x:v>DIAGRAMA DE SECUENCIAS — RF-035-Modificar taller registrado  |  EVENTO EXITOSO</x:v>
      </x:c>
      <x:c r="D36" t="n">
        <x:v>30</x:v>
      </x:c>
      <x:c r="E36" t="n">
        <x:v>0</x:v>
      </x:c>
      <x:c r="F36" t="str">
        <x:v>EF localizado; EA originales no completos</x:v>
      </x:c>
      <x:c r="G36" t="str">
        <x:v>Talleres</x:v>
      </x:c>
      <x:c r="H36" t="str">
        <x:v>APTO CON OBSERVACIONES</x:v>
      </x:c>
      <x:c r="I36" t="str">
        <x:v>Solo coherencia estructural documental; no certificación técnica ni EA.</x:v>
      </x:c>
    </x:row>
    <x:row r="37" ht="27" customHeight="1">
      <x:c r="A37" t="str">
        <x:v>RF36</x:v>
      </x:c>
      <x:c r="B37" t="str">
        <x:v>RF036-EF1</x:v>
      </x:c>
      <x:c r="C37" t="str">
        <x:v>DIAGRAMA DE SECUENCIAS — RF-036-Eliminar taller  |  EVENTO EXITOSO</x:v>
      </x:c>
      <x:c r="D37" t="n">
        <x:v>25</x:v>
      </x:c>
      <x:c r="E37" t="n">
        <x:v>0</x:v>
      </x:c>
      <x:c r="F37" t="str">
        <x:v>EF localizado; EA originales no completos</x:v>
      </x:c>
      <x:c r="G37" t="str">
        <x:v>Talleres</x:v>
      </x:c>
      <x:c r="H37" t="str">
        <x:v>APTO CON OBSERVACIONES</x:v>
      </x:c>
      <x:c r="I37" t="str">
        <x:v>Solo coherencia estructural documental; no certificación técnica ni EA.</x:v>
      </x:c>
    </x:row>
    <x:row r="38" ht="27" customHeight="1">
      <x:c r="A38" t="str">
        <x:v>RF37</x:v>
      </x:c>
      <x:c r="B38" t="str">
        <x:v>RF037-EF1</x:v>
      </x:c>
      <x:c r="C38" t="str">
        <x:v>DIAGRAMA DE SECUENCIAS — RF-037-Marcar taller como favorito  |  EVENTO EXITOSO</x:v>
      </x:c>
      <x:c r="D38" t="n">
        <x:v>22</x:v>
      </x:c>
      <x:c r="E38" t="n">
        <x:v>0</x:v>
      </x:c>
      <x:c r="F38" t="str">
        <x:v>EF localizado; EA originales no completos</x:v>
      </x:c>
      <x:c r="G38" t="str">
        <x:v>Talleres</x:v>
      </x:c>
      <x:c r="H38" t="str">
        <x:v>APTO CON OBSERVACIONES</x:v>
      </x:c>
      <x:c r="I38" t="str">
        <x:v>Solo coherencia estructural documental; no certificación técnica ni EA.</x:v>
      </x:c>
    </x:row>
    <x:row r="39" ht="27" customHeight="1">
      <x:c r="A39" t="str">
        <x:v>RF38</x:v>
      </x:c>
      <x:c r="B39" t="str">
        <x:v>RF038-E1</x:v>
      </x:c>
      <x:c r="C39" t="str">
        <x:v>DIAGRAMA DE SECUENCIAS — RF-038-Registrar foto de perfil  |  EVENTO EXITOSO</x:v>
      </x:c>
      <x:c r="D39" t="n">
        <x:v>31</x:v>
      </x:c>
      <x:c r="E39" t="n">
        <x:v>0</x:v>
      </x:c>
      <x:c r="F39" t="str">
        <x:v>EF localizado; EA originales no completos</x:v>
      </x:c>
      <x:c r="G39" t="str">
        <x:v>Cuentas y acceso</x:v>
      </x:c>
      <x:c r="H39" t="str">
        <x:v>APTO CON OBSERVACIONES</x:v>
      </x:c>
      <x:c r="I39" t="str">
        <x:v>Solo coherencia estructural documental; no certificación técnica ni EA.</x:v>
      </x:c>
    </x:row>
    <x:row r="40" ht="27" customHeight="1">
      <x:c r="A40" t="str">
        <x:v>RF39</x:v>
      </x:c>
      <x:c r="B40" t="str">
        <x:v>RF039-E1</x:v>
      </x:c>
      <x:c r="C40" t="str">
        <x:v>DIAGRAMA DE SECUENCIAS — RF-039-Actualizar foto de perfil  |  EVENTO EXITOSO</x:v>
      </x:c>
      <x:c r="D40" t="n">
        <x:v>31</x:v>
      </x:c>
      <x:c r="E40" t="n">
        <x:v>0</x:v>
      </x:c>
      <x:c r="F40" t="str">
        <x:v>EF localizado; EA originales no completos</x:v>
      </x:c>
      <x:c r="G40" t="str">
        <x:v>Cuentas y acceso</x:v>
      </x:c>
      <x:c r="H40" t="str">
        <x:v>APTO CON OBSERVACIONES</x:v>
      </x:c>
      <x:c r="I40" t="str">
        <x:v>Solo coherencia estructural documental; no certificación técnica ni EA.</x:v>
      </x:c>
    </x:row>
    <x:row r="41" ht="27" customHeight="1">
      <x:c r="A41" t="str">
        <x:v>RF40</x:v>
      </x:c>
      <x:c r="B41" t="str">
        <x:v>RF040-E1</x:v>
      </x:c>
      <x:c r="C41" t="str">
        <x:v>DIAGRAMA DE SECUENCIAS — RF-040-Eliminar foto de perfil  |  EVENTO EXITOSO</x:v>
      </x:c>
      <x:c r="D41" t="n">
        <x:v>27</x:v>
      </x:c>
      <x:c r="E41" t="n">
        <x:v>0</x:v>
      </x:c>
      <x:c r="F41" t="str">
        <x:v>EF localizado; EA originales no completos</x:v>
      </x:c>
      <x:c r="G41" t="str">
        <x:v>Cuentas y acceso</x:v>
      </x:c>
      <x:c r="H41" t="str">
        <x:v>APTO CON OBSERVACIONES</x:v>
      </x:c>
      <x:c r="I41" t="str">
        <x:v>Solo coherencia estructural documental; no certificación técnica ni EA.</x:v>
      </x:c>
    </x:row>
    <x:row r="42" ht="27" customHeight="1">
      <x:c r="A42" t="str">
        <x:v>RF41</x:v>
      </x:c>
      <x:c r="B42" t="str">
        <x:v>RF041-EF1</x:v>
      </x:c>
      <x:c r="C42" t="str">
        <x:v>DIAGRAMA DE SECUENCIAS — RF-041 Compartir información pública del vehículo | EVENTO EXITOSO</x:v>
      </x:c>
      <x:c r="D42" t="n">
        <x:v>18</x:v>
      </x:c>
      <x:c r="E42" t="n">
        <x:v>0</x:v>
      </x:c>
      <x:c r="F42" t="str">
        <x:v>EF localizado; EA originales no completos</x:v>
      </x:c>
      <x:c r="G42" t="str">
        <x:v>Vehículos</x:v>
      </x:c>
      <x:c r="H42" t="str">
        <x:v>APTO CON OBSERVACIONES</x:v>
      </x:c>
      <x:c r="I42" t="str">
        <x:v>Solo coherencia estructural documental; no certificación técnica ni EA.</x:v>
      </x:c>
    </x:row>
    <x:row r="43" ht="27" customHeight="1">
      <x:c r="A43" t="str">
        <x:v>RF42</x:v>
      </x:c>
      <x:c r="B43" t="str">
        <x:v>RF042-EF1</x:v>
      </x:c>
      <x:c r="C43" t="str">
        <x:v>DIAGRAMA DE SECUENCIAS — RF-042 Registrar imagen del vehículo | EVENTO EXITOSO</x:v>
      </x:c>
      <x:c r="D43" t="n">
        <x:v>28</x:v>
      </x:c>
      <x:c r="E43" t="n">
        <x:v>0</x:v>
      </x:c>
      <x:c r="F43" t="str">
        <x:v>EF localizado; EA originales no completos</x:v>
      </x:c>
      <x:c r="G43" t="str">
        <x:v>Vehículos</x:v>
      </x:c>
      <x:c r="H43" t="str">
        <x:v>APTO CON OBSERVACIONES</x:v>
      </x:c>
      <x:c r="I43" t="str">
        <x:v>Solo coherencia estructural documental; no certificación técnica ni EA.</x:v>
      </x:c>
    </x:row>
    <x:row r="44" ht="27" customHeight="1">
      <x:c r="A44" t="str">
        <x:v>RF43</x:v>
      </x:c>
      <x:c r="B44" t="str">
        <x:v>RF043-EF1</x:v>
      </x:c>
      <x:c r="C44" t="str">
        <x:v>DIAGRAMA DE SECUENCIAS — RF-043 Actualizar imagen del vehículo | EVENTO EXITOSO</x:v>
      </x:c>
      <x:c r="D44" t="n">
        <x:v>28</x:v>
      </x:c>
      <x:c r="E44" t="n">
        <x:v>0</x:v>
      </x:c>
      <x:c r="F44" t="str">
        <x:v>EF localizado; EA originales no completos</x:v>
      </x:c>
      <x:c r="G44" t="str">
        <x:v>Vehículos</x:v>
      </x:c>
      <x:c r="H44" t="str">
        <x:v>APTO CON OBSERVACIONES</x:v>
      </x:c>
      <x:c r="I44" t="str">
        <x:v>Solo coherencia estructural documental; no certificación técnica ni EA.</x:v>
      </x:c>
    </x:row>
    <x:row r="45" ht="27" customHeight="1">
      <x:c r="A45" t="str">
        <x:v>RF44</x:v>
      </x:c>
      <x:c r="B45" t="str">
        <x:v>RF044-EF1</x:v>
      </x:c>
      <x:c r="C45" t="str">
        <x:v>DIAGRAMA DE SECUENCIAS — RF-044-Gestionar ciclo de recordatorios de kilometraje  |  EVENTO EXITOSO</x:v>
      </x:c>
      <x:c r="D45" t="n">
        <x:v>57</x:v>
      </x:c>
      <x:c r="E45" t="n">
        <x:v>0</x:v>
      </x:c>
      <x:c r="F45" t="str">
        <x:v>EF localizado; EA originales no completos</x:v>
      </x:c>
      <x:c r="G45" t="str">
        <x:v>Kilometraje · Alertas y notificaciones</x:v>
      </x:c>
      <x:c r="H45" t="str">
        <x:v>BLOQUEADO</x:v>
      </x:c>
      <x:c r="I45" t="str">
        <x:v>Servicio externo/SQL/regla cruzada pendiente de prueba.</x:v>
      </x:c>
    </x:row>
    <x:row r="46" ht="27" customHeight="1">
      <x:c r="A46" t="str">
        <x:v>RF45</x:v>
      </x:c>
      <x:c r="B46" t="str">
        <x:v>RF045-EF1</x:v>
      </x:c>
      <x:c r="C46" t="str">
        <x:v>DIAGRAMA DE SECUENCIAS — RF-045 Eliminar imagen del vehículo | EVENTO EXITOSO</x:v>
      </x:c>
      <x:c r="D46" t="n">
        <x:v>24</x:v>
      </x:c>
      <x:c r="E46" t="n">
        <x:v>0</x:v>
      </x:c>
      <x:c r="F46" t="str">
        <x:v>EF localizado; EA originales no completos</x:v>
      </x:c>
      <x:c r="G46" t="str">
        <x:v>Vehículos</x:v>
      </x:c>
      <x:c r="H46" t="str">
        <x:v>APTO CON OBSERVACIONES</x:v>
      </x:c>
      <x:c r="I46" t="str">
        <x:v>Solo coherencia estructural documental; no certificación técnica ni EA.</x:v>
      </x:c>
    </x:row>
    <x:row r="47" ht="27" customHeight="1">
      <x:c r="A47" t="str">
        <x:v>RF46</x:v>
      </x:c>
      <x:c r="B47" t="str">
        <x:v>RF046-EF1</x:v>
      </x:c>
      <x:c r="C47" t="str">
        <x:v>DIAGRAMA DE SECUENCIAS — RF-046-Consultar notificaciones  |  EVENTO EXITOSO</x:v>
      </x:c>
      <x:c r="D47" t="n">
        <x:v>50</x:v>
      </x:c>
      <x:c r="E47" t="n">
        <x:v>0</x:v>
      </x:c>
      <x:c r="F47" t="str">
        <x:v>EF localizado; EA originales no completos</x:v>
      </x:c>
      <x:c r="G47" t="str">
        <x:v>Kilometraje · Alertas y notificaciones · SOAT · Licencia</x:v>
      </x:c>
      <x:c r="H47" t="str">
        <x:v>APTO CON OBSERVACIONES</x:v>
      </x:c>
      <x:c r="I47" t="str">
        <x:v>Solo coherencia estructural documental; no certificación técnica ni EA.</x:v>
      </x:c>
    </x:row>
    <x:row r="48" ht="27" customHeight="1">
      <x:c r="A48" t="str">
        <x:v>RF47</x:v>
      </x:c>
      <x:c r="B48" t="str">
        <x:v>RF047-EF1</x:v>
      </x:c>
      <x:c r="C48" t="str">
        <x:v>DIAGRAMA DE SECUENCIAS — RF-047-Acceder al destino de una notificación  |  EVENTO EXITOSO</x:v>
      </x:c>
      <x:c r="D48" t="n">
        <x:v>33</x:v>
      </x:c>
      <x:c r="E48" t="n">
        <x:v>1</x:v>
      </x:c>
      <x:c r="F48" t="str">
        <x:v>EF + 1 hoja(s) ALT; EA no necesariamente completos</x:v>
      </x:c>
      <x:c r="G48" t="str">
        <x:v>Alertas y notificaciones · SOAT · Licencia</x:v>
      </x:c>
      <x:c r="H48" t="str">
        <x:v>APTO CON OBSERVACIONES</x:v>
      </x:c>
      <x:c r="I48" t="str">
        <x:v>Solo coherencia estructural documental; no certificación técnica ni EA.</x:v>
      </x:c>
    </x:row>
    <x:row r="49" ht="27" customHeight="1">
      <x:c r="A49" t="str">
        <x:v>RF48</x:v>
      </x:c>
      <x:c r="B49" t="str">
        <x:v>RF048-EF1</x:v>
      </x:c>
      <x:c r="C49" t="str">
        <x:v>DIAGRAMA DE SECUENCIAS — RF-048-Configurar preferencias de notificaciones externas  |  EVENTO EXITOSO</x:v>
      </x:c>
      <x:c r="D49" t="n">
        <x:v>21</x:v>
      </x:c>
      <x:c r="E49" t="n">
        <x:v>0</x:v>
      </x:c>
      <x:c r="F49" t="str">
        <x:v>EF localizado; EA originales no completos</x:v>
      </x:c>
      <x:c r="G49" t="str">
        <x:v>Alertas y notificaciones</x:v>
      </x:c>
      <x:c r="H49" t="str">
        <x:v>APTO CON OBSERVACIONES</x:v>
      </x:c>
      <x:c r="I49" t="str">
        <x:v>Solo coherencia estructural documental; no certificación técnica ni EA.</x:v>
      </x:c>
    </x:row>
    <x:row r="50" ht="27" customHeight="1">
      <x:c r="A50" t="str">
        <x:v>RF49</x:v>
      </x:c>
      <x:c r="B50" t="str">
        <x:v>RF049-EF1</x:v>
      </x:c>
      <x:c r="C50" t="str">
        <x:v>DIAGRAMA DE SECUENCIAS — RF-049-Filtrar notificaciones por categoría  |  EVENTO EXITOSO</x:v>
      </x:c>
      <x:c r="D50" t="n">
        <x:v>14</x:v>
      </x:c>
      <x:c r="E50" t="n">
        <x:v>0</x:v>
      </x:c>
      <x:c r="F50" t="str">
        <x:v>EF localizado; EA originales no completos</x:v>
      </x:c>
      <x:c r="G50" t="str">
        <x:v>Alertas y notificaciones</x:v>
      </x:c>
      <x:c r="H50" t="str">
        <x:v>APTO CON OBSERVACIONES</x:v>
      </x:c>
      <x:c r="I50" t="str">
        <x:v>Solo coherencia estructural documental; no certificación técnica ni EA.</x:v>
      </x:c>
    </x:row>
    <x:row r="51" ht="27" customHeight="1">
      <x:c r="A51" t="str">
        <x:v>RF50</x:v>
      </x:c>
      <x:c r="B51" t="str">
        <x:v>RF050-EF1</x:v>
      </x:c>
      <x:c r="C51" t="str">
        <x:v>DIAGRAMA DE SECUENCIAS — RF-050-Consultar resumen de Inicio | EVENTO EXITOSO</x:v>
      </x:c>
      <x:c r="D51" t="n">
        <x:v>44</x:v>
      </x:c>
      <x:c r="E51" t="n">
        <x:v>0</x:v>
      </x:c>
      <x:c r="F51" t="str">
        <x:v>EF localizado; EA originales no completos</x:v>
      </x:c>
      <x:c r="G51" t="str">
        <x:v>Vehículos · Kilometraje</x:v>
      </x:c>
      <x:c r="H51" t="str">
        <x:v>APTO CON OBSERVACIONES</x:v>
      </x:c>
      <x:c r="I51" t="str">
        <x:v>Solo coherencia estructural documental; no certificación técnica ni EA.</x:v>
      </x:c>
    </x:row>
    <x:row r="52" ht="27" customHeight="1">
      <x:c r="A52" t="str">
        <x:v>RF51</x:v>
      </x:c>
      <x:c r="B52" t="str">
        <x:v>RF051-EF1</x:v>
      </x:c>
      <x:c r="C52" t="str">
        <x:v>DIAGRAMA DE SECUENCIAS — RF-051 — REGISTRAR LICENCIA — EF01</x:v>
      </x:c>
      <x:c r="D52" t="n">
        <x:v>53</x:v>
      </x:c>
      <x:c r="E52" t="n">
        <x:v>0</x:v>
      </x:c>
      <x:c r="F52" t="str">
        <x:v>EF localizado; EA originales no completos</x:v>
      </x:c>
      <x:c r="G52" t="str">
        <x:v>Planes y pagos · Licencia</x:v>
      </x:c>
      <x:c r="H52" t="str">
        <x:v>BLOQUEADO</x:v>
      </x:c>
      <x:c r="I52" t="str">
        <x:v>Servicio externo/SQL/regla cruzada pendiente de prueba.</x:v>
      </x:c>
    </x:row>
    <x:row r="53" ht="27" customHeight="1">
      <x:c r="A53" t="str">
        <x:v>RF52</x:v>
      </x:c>
      <x:c r="B53" t="str">
        <x:v>RF052-EF1</x:v>
      </x:c>
      <x:c r="C53" t="str">
        <x:v>DIAGRAMA DE SECUENCIAS — RF-052 — CONSULTAR LICENCIA — EF01</x:v>
      </x:c>
      <x:c r="D53" t="n">
        <x:v>19</x:v>
      </x:c>
      <x:c r="E53" t="n">
        <x:v>0</x:v>
      </x:c>
      <x:c r="F53" t="str">
        <x:v>EF localizado; EA originales no completos</x:v>
      </x:c>
      <x:c r="G53" t="str">
        <x:v>Planes y pagos · Licencia</x:v>
      </x:c>
      <x:c r="H53" t="str">
        <x:v>BLOQUEADO</x:v>
      </x:c>
      <x:c r="I53" t="str">
        <x:v>Servicio externo/SQL/regla cruzada pendiente de prueba.</x:v>
      </x:c>
    </x:row>
    <x:row r="54" ht="27" customHeight="1">
      <x:c r="A54" t="str">
        <x:v>RF53</x:v>
      </x:c>
      <x:c r="B54" t="str">
        <x:v>RF053-EF1</x:v>
      </x:c>
      <x:c r="C54" t="str">
        <x:v>RF053 — REACTIVAR CUENTA DENTRO DE LOS 30 DÍAS CALENDARIO · EF01</x:v>
      </x:c>
      <x:c r="D54" t="n">
        <x:v>51</x:v>
      </x:c>
      <x:c r="E54" t="n">
        <x:v>0</x:v>
      </x:c>
      <x:c r="F54" t="str">
        <x:v>EF localizado; EA originales no completos</x:v>
      </x:c>
      <x:c r="G54" t="str">
        <x:v>Cuentas y acceso · Administración e incidencias</x:v>
      </x:c>
      <x:c r="H54" t="str">
        <x:v>BLOQUEADO</x:v>
      </x:c>
      <x:c r="I54" t="str">
        <x:v>Se aplicaron cambios documentales; falta verificar BD, EA y/o prueba.</x:v>
      </x:c>
    </x:row>
    <x:row r="55" ht="27" customHeight="1">
      <x:c r="A55" t="str">
        <x:v>RF54</x:v>
      </x:c>
      <x:c r="B55" t="str">
        <x:v>RF054-EF1</x:v>
      </x:c>
      <x:c r="C55" t="str">
        <x:v>DIAGRAMA DE SECUENCIAS — RF-054 Registrar TIVE | EVENTO EXITOSO</x:v>
      </x:c>
      <x:c r="D55" t="n">
        <x:v>45</x:v>
      </x:c>
      <x:c r="E55" t="n">
        <x:v>0</x:v>
      </x:c>
      <x:c r="F55" t="str">
        <x:v>EF localizado; EA originales no completos</x:v>
      </x:c>
      <x:c r="G55" t="str">
        <x:v>Vehículos · TIVE</x:v>
      </x:c>
      <x:c r="H55" t="str">
        <x:v>BLOQUEADO</x:v>
      </x:c>
      <x:c r="I55" t="str">
        <x:v>Servicio externo/SQL/regla cruzada pendiente de prueba.</x:v>
      </x:c>
    </x:row>
    <x:row r="56" ht="27" customHeight="1">
      <x:c r="A56" t="str">
        <x:v>RF55</x:v>
      </x:c>
      <x:c r="B56" t="str">
        <x:v>RF055-EF1</x:v>
      </x:c>
      <x:c r="C56" t="str">
        <x:v>DIAGRAMA DE SECUENCIAS — RF-055 Consultar TIVE | EVENTO EXITOSO</x:v>
      </x:c>
      <x:c r="D56" t="n">
        <x:v>22</x:v>
      </x:c>
      <x:c r="E56" t="n">
        <x:v>0</x:v>
      </x:c>
      <x:c r="F56" t="str">
        <x:v>EF localizado; EA originales no completos</x:v>
      </x:c>
      <x:c r="G56" t="str">
        <x:v>Vehículos · TIVE</x:v>
      </x:c>
      <x:c r="H56" t="str">
        <x:v>BLOQUEADO</x:v>
      </x:c>
      <x:c r="I56" t="str">
        <x:v>Servicio externo/SQL/regla cruzada pendiente de prueba.</x:v>
      </x:c>
    </x:row>
    <x:row r="57" ht="27" customHeight="1">
      <x:c r="A57" t="str">
        <x:v>RF56</x:v>
      </x:c>
      <x:c r="B57" t="str">
        <x:v>RF056-EF1</x:v>
      </x:c>
      <x:c r="C57" t="str">
        <x:v>DIAGRAMA DE SECUENCIAS — RF-056 Editar TIVE | EVENTO EXITOSO</x:v>
      </x:c>
      <x:c r="D57" t="n">
        <x:v>38</x:v>
      </x:c>
      <x:c r="E57" t="n">
        <x:v>0</x:v>
      </x:c>
      <x:c r="F57" t="str">
        <x:v>EF localizado; EA originales no completos</x:v>
      </x:c>
      <x:c r="G57" t="str">
        <x:v>Vehículos · TIVE</x:v>
      </x:c>
      <x:c r="H57" t="str">
        <x:v>BLOQUEADO</x:v>
      </x:c>
      <x:c r="I57" t="str">
        <x:v>Servicio externo/SQL/regla cruzada pendiente de prueba.</x:v>
      </x:c>
    </x:row>
    <x:row r="58" ht="27" customHeight="1">
      <x:c r="A58" t="str">
        <x:v>RF57</x:v>
      </x:c>
      <x:c r="B58" t="str">
        <x:v>RF057_EXITOSO</x:v>
      </x:c>
      <x:c r="C58" t="str">
        <x:v>RF57 – ACCEDER AL PANEL ADMINISTRATIVO | EVENTO EXITOSO</x:v>
      </x:c>
      <x:c r="D58" t="n">
        <x:v>18</x:v>
      </x:c>
      <x:c r="E58" t="n">
        <x:v>1</x:v>
      </x:c>
      <x:c r="F58" t="str">
        <x:v>EF + 1 hoja(s) ALT; EA no necesariamente completos</x:v>
      </x:c>
      <x:c r="G58" t="str">
        <x:v>Cuentas y acceso · Administración e incidencias</x:v>
      </x:c>
      <x:c r="H58" t="str">
        <x:v>APTO CON OBSERVACIONES</x:v>
      </x:c>
      <x:c r="I58" t="str">
        <x:v>Solo coherencia estructural documental; no certificación técnica ni EA.</x:v>
      </x:c>
    </x:row>
    <x:row r="59" ht="27" customHeight="1">
      <x:c r="A59" t="str">
        <x:v>RF58</x:v>
      </x:c>
      <x:c r="B59" t="str">
        <x:v>RF058_EXITOSO</x:v>
      </x:c>
      <x:c r="C59" t="str">
        <x:v>RF58 – CONSULTAR USUARIOS REGISTRADOS | EVENTO EXITOSO</x:v>
      </x:c>
      <x:c r="D59" t="n">
        <x:v>27</x:v>
      </x:c>
      <x:c r="E59" t="n">
        <x:v>1</x:v>
      </x:c>
      <x:c r="F59" t="str">
        <x:v>EF + 1 hoja(s) ALT; EA no necesariamente completos</x:v>
      </x:c>
      <x:c r="G59" t="str">
        <x:v>Cuentas y acceso · Administración e incidencias</x:v>
      </x:c>
      <x:c r="H59" t="str">
        <x:v>APTO CON OBSERVACIONES</x:v>
      </x:c>
      <x:c r="I59" t="str">
        <x:v>Solo coherencia estructural documental; no certificación técnica ni EA.</x:v>
      </x:c>
    </x:row>
    <x:row r="60" ht="27" customHeight="1">
      <x:c r="A60" t="str">
        <x:v>RF59</x:v>
      </x:c>
      <x:c r="B60" t="str">
        <x:v>RF059_EXITOSO</x:v>
      </x:c>
      <x:c r="C60" t="str">
        <x:v>RF59 – GESTIONAR ESTADO DE CUENTA: SUSPENSIÓN AUTORIZADA | EVENTO EXITOSO</x:v>
      </x:c>
      <x:c r="D60" t="n">
        <x:v>20</x:v>
      </x:c>
      <x:c r="E60" t="n">
        <x:v>3</x:v>
      </x:c>
      <x:c r="F60" t="str">
        <x:v>EF + 3 hoja(s) ALT; EA no necesariamente completos</x:v>
      </x:c>
      <x:c r="G60" t="str">
        <x:v>Cuentas y acceso · Administración e incidencias</x:v>
      </x:c>
      <x:c r="H60" t="str">
        <x:v>BLOQUEADO</x:v>
      </x:c>
      <x:c r="I60" t="str">
        <x:v>Servicio externo/SQL/regla cruzada pendiente de prueba.</x:v>
      </x:c>
    </x:row>
    <x:row r="61" ht="27" customHeight="1">
      <x:c r="A61" t="str">
        <x:v>RF60</x:v>
      </x:c>
      <x:c r="B61" t="str">
        <x:v>RF060_EXITOSO</x:v>
      </x:c>
      <x:c r="C61" t="str">
        <x:v>RF60 – SUPERVISAR SUSCRIPCIONES Y VERIFICAR ESTADO | EVENTO EXITOSO</x:v>
      </x:c>
      <x:c r="D61" t="n">
        <x:v>36</x:v>
      </x:c>
      <x:c r="E61" t="n">
        <x:v>2</x:v>
      </x:c>
      <x:c r="F61" t="str">
        <x:v>EF + 2 hoja(s) ALT; EA no necesariamente completos</x:v>
      </x:c>
      <x:c r="G61" t="str">
        <x:v>Planes y pagos · Administración e incidencias</x:v>
      </x:c>
      <x:c r="H61" t="str">
        <x:v>BLOQUEADO</x:v>
      </x:c>
      <x:c r="I61" t="str">
        <x:v>Servicio externo/SQL/regla cruzada pendiente de prueba.</x:v>
      </x:c>
    </x:row>
    <x:row r="62" ht="27" customHeight="1">
      <x:c r="A62" t="str">
        <x:v>RF61</x:v>
      </x:c>
      <x:c r="B62" t="str">
        <x:v>RF061_EXITOSO</x:v>
      </x:c>
      <x:c r="C62" t="str">
        <x:v>RF61 – GESTIONAR INCIDENCIA REPORTADA POR USUARIO | EVENTO EXITOSO</x:v>
      </x:c>
      <x:c r="D62" t="n">
        <x:v>60</x:v>
      </x:c>
      <x:c r="E62" t="n">
        <x:v>2</x:v>
      </x:c>
      <x:c r="F62" t="str">
        <x:v>EF + 2 hoja(s) ALT; EA no necesariamente completos</x:v>
      </x:c>
      <x:c r="G62" t="str">
        <x:v>Administración e incidencias</x:v>
      </x:c>
      <x:c r="H62" t="str">
        <x:v>BLOQUEADO</x:v>
      </x:c>
      <x:c r="I62" t="str">
        <x:v>Servicio externo/SQL/regla cruzada pendiente de prueba.</x:v>
      </x:c>
    </x:row>
    <x:row r="63" ht="27" customHeight="1">
      <x:c r="A63" t="str">
        <x:v>RF62</x:v>
      </x:c>
      <x:c r="B63" t="str">
        <x:v>RF062_EXITOSO</x:v>
      </x:c>
      <x:c r="C63" t="str">
        <x:v>RF62 – GESTIONAR CATÁLOGOS: REGISTRAR TIPO DE MANTENIMIENTO | EVENTO EXITOSO</x:v>
      </x:c>
      <x:c r="D63" t="n">
        <x:v>31</x:v>
      </x:c>
      <x:c r="E63" t="n">
        <x:v>4</x:v>
      </x:c>
      <x:c r="F63" t="str">
        <x:v>EF + 4 hoja(s) ALT; EA no necesariamente completos</x:v>
      </x:c>
      <x:c r="G63" t="str">
        <x:v>Mantenimientos · Administración e incidencias</x:v>
      </x:c>
      <x:c r="H63" t="str">
        <x:v>BLOQUEADO</x:v>
      </x:c>
      <x:c r="I63" t="str">
        <x:v>Servicio externo/SQL/regla cruzada pendiente de prueba.</x:v>
      </x:c>
    </x:row>
    <x:row r="64" ht="27" customHeight="1">
      <x:c r="A64" t="str">
        <x:v>RF63</x:v>
      </x:c>
      <x:c r="B64" t="str">
        <x:v>RF063_EXITOSO</x:v>
      </x:c>
      <x:c r="C64" t="str">
        <x:v>RF63 – REPORTAR INCIDENCIA DESDE PERFIL | EVENTO EXITOSO</x:v>
      </x:c>
      <x:c r="D64" t="n">
        <x:v>29</x:v>
      </x:c>
      <x:c r="E64" t="n">
        <x:v>2</x:v>
      </x:c>
      <x:c r="F64" t="str">
        <x:v>EF + 2 hoja(s) ALT; EA no necesariamente completos</x:v>
      </x:c>
      <x:c r="G64" t="str">
        <x:v>Administración e incidencias</x:v>
      </x:c>
      <x:c r="H64" t="str">
        <x:v>BLOQUEADO</x:v>
      </x:c>
      <x:c r="I64" t="str">
        <x:v>Servicio externo/SQL/regla cruzada pendiente de prueba.</x:v>
      </x:c>
    </x:row>
    <x:row r="65" ht="27" customHeight="1">
      <x:c r="A65" t="str">
        <x:v>RF64</x:v>
      </x:c>
      <x:c r="B65" t="str">
        <x:v>RF064_EXITOSO</x:v>
      </x:c>
      <x:c r="C65" t="str">
        <x:v>RF64 – CONSULTAR MIS INCIDENCIAS Y DETALLE CON AVANCES | EVENTO EXITOSO</x:v>
      </x:c>
      <x:c r="D65" t="n">
        <x:v>23</x:v>
      </x:c>
      <x:c r="E65" t="n">
        <x:v>2</x:v>
      </x:c>
      <x:c r="F65" t="str">
        <x:v>EF + 2 hoja(s) ALT; EA no necesariamente completos</x:v>
      </x:c>
      <x:c r="G65" t="str">
        <x:v>Administración e incidencias</x:v>
      </x:c>
      <x:c r="H65" t="str">
        <x:v>APTO CON OBSERVACIONES</x:v>
      </x:c>
      <x:c r="I65" t="str">
        <x:v>Solo coherencia estructural documental; no certificación técnica ni EA.</x:v>
      </x:c>
    </x:row>
  </x:sheetData>
  <x:pageMargins left="0.7" right="0.7" top="0.75" bottom="0.75" header="0.3" footer="0.3"/>
</x:worksheet>
</file>

<file path=xl/worksheets/sheet9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4" hidden="0" customWidth="1"/>
    <x:col min="3" max="3" width="48" hidden="0" customWidth="1"/>
    <x:col min="4" max="4" width="56" hidden="0" customWidth="1"/>
    <x:col min="5" max="5" width="74" hidden="0" customWidth="1"/>
    <x:col min="6" max="6" width="74" hidden="0" customWidth="1"/>
    <x:col min="7" max="7" width="75" hidden="0" customWidth="1"/>
    <x:col min="8" max="8" width="72" hidden="0" customWidth="1"/>
  </x:cols>
  <x:sheetData>
    <x:row r="1" ht="29" customHeight="1">
      <x:c r="A1" s="1015" t="str">
        <x:v>RF</x:v>
      </x:c>
      <x:c r="B1" s="1015" t="str">
        <x:v>Hoja</x:v>
      </x:c>
      <x:c r="C1" s="1015" t="str">
        <x:v>Módulos vinculados</x:v>
      </x:c>
      <x:c r="D1" s="1015" t="str">
        <x:v>Menciones textuales a otros RF</x:v>
      </x:c>
      <x:c r="E1" s="1015" t="str">
        <x:v>Entidades compartidas (coincidencia)</x:v>
      </x:c>
      <x:c r="F1" s="1015" t="str">
        <x:v>Controles compartidos (coincidencia)</x:v>
      </x:c>
      <x:c r="G1" s="1015" t="str">
        <x:v>Interfaces utilizadas</x:v>
      </x:c>
      <x:c r="H1" s="1015" t="str">
        <x:v>Interpretación</x:v>
      </x:c>
    </x:row>
    <x:row r="2" ht="27" customHeight="1">
      <x:c r="A2" t="str">
        <x:v>RF01</x:v>
      </x:c>
      <x:c r="B2" t="str">
        <x:v>RF001-E1</x:v>
      </x:c>
      <x:c r="C2" t="str">
        <x:v>Cuentas y acceso</x:v>
      </x:c>
      <x:c r="D2" t="str">
        <x:v>RF44, RF48</x:v>
      </x:c>
      <x:c r="E2" t="str">
        <x:v>E_ConfigRecordatorioKmUsuario, E_PreferenciaNotificacion, E_Suscripcion, E_Usuario</x:v>
      </x:c>
      <x:c r="F2" t="str">
        <x:v>C_ControlSuscripcion</x:v>
      </x:c>
      <x:c r="G2" t="str">
        <x:v>I_Bienvenida, I_ConfirmacionOperacion, I_InicioSesion, I_RegistroUsuario</x:v>
      </x:c>
      <x:c r="H2" t="str">
        <x:v>Referencias explícitas y coincidencias de objetos: verificar si existe llamada real.</x:v>
      </x:c>
    </x:row>
    <x:row r="3" ht="27" customHeight="1">
      <x:c r="A3" t="str">
        <x:v>RF02</x:v>
      </x:c>
      <x:c r="B3" t="str">
        <x:v>RF002-E1</x:v>
      </x:c>
      <x:c r="C3" t="str">
        <x:v>Cuentas y acceso | Administración e incidencias</x:v>
      </x:c>
      <x:c r="D3" t="str">
        <x:v>RF59</x:v>
      </x:c>
      <x:c r="E3" t="str">
        <x:v>E_Sesion, E_Usuario, E_Vehiculo</x:v>
      </x:c>
      <x:c r="F3" t="str">
        <x:v>C_ControlVehiculoPrincipal, C_InicioSesion, C_PerfilUsuario</x:v>
      </x:c>
      <x:c r="G3" t="str">
        <x:v>I_Bienvenida, I_Inicio, I_InicioSesion</x:v>
      </x:c>
      <x:c r="H3" t="str">
        <x:v>Referencias explícitas y coincidencias de objetos: verificar si existe llamada real.</x:v>
      </x:c>
    </x:row>
    <x:row r="4" ht="27" customHeight="1">
      <x:c r="A4" t="str">
        <x:v>RF03</x:v>
      </x:c>
      <x:c r="B4" t="str">
        <x:v>RF003-E1</x:v>
      </x:c>
      <x:c r="C4" t="str">
        <x:v>Cuentas y acceso</x:v>
      </x:c>
      <x:c r="D4" t="str">
        <x:v>RF02, RF59</x:v>
      </x:c>
      <x:c r="E4" t="str">
        <x:v>E_CodigoRecuperacion, E_Usuario</x:v>
      </x:c>
      <x:c r="F4" t="str">
        <x:v>C_InicioSesion</x:v>
      </x:c>
      <x:c r="G4" t="str">
        <x:v>I_Bienvenida, I_ConfirmacionOperacion, I_InicioSesion, I_NuevaContrasena, I_RecuperacionContrasena, I_VerificarCodigo</x:v>
      </x:c>
      <x:c r="H4" t="str">
        <x:v>Referencias explícitas y coincidencias de objetos: verificar si existe llamada real.</x:v>
      </x:c>
    </x:row>
    <x:row r="5" ht="27" customHeight="1">
      <x:c r="A5" t="str">
        <x:v>RF04</x:v>
      </x:c>
      <x:c r="B5" t="str">
        <x:v>RF004-E1</x:v>
      </x:c>
      <x:c r="C5" t="str">
        <x:v>Cuentas y acceso</x:v>
      </x:c>
      <x:c r="D5" t="str">
        <x:v>Sin cita textual</x:v>
      </x:c>
      <x:c r="E5" t="str">
        <x:v>E_Usuario</x:v>
      </x:c>
      <x:c r="F5" t="str">
        <x:v>C_Navegacion, C_PerfilUsuario</x:v>
      </x:c>
      <x:c r="G5" t="str">
        <x:v>I_ConfirmacionOperacion, I_EditarPerfil, I_Inicio, I_Perfil</x:v>
      </x:c>
      <x:c r="H5" t="str">
        <x:v>Referencias explícitas y coincidencias de objetos: verificar si existe llamada real.</x:v>
      </x:c>
    </x:row>
    <x:row r="6" ht="27" customHeight="1">
      <x:c r="A6" t="str">
        <x:v>RF05</x:v>
      </x:c>
      <x:c r="B6" t="str">
        <x:v>RF005-E1</x:v>
      </x:c>
      <x:c r="C6" t="str">
        <x:v>Cuentas y acceso</x:v>
      </x:c>
      <x:c r="D6" t="str">
        <x:v>Sin cita textual</x:v>
      </x:c>
      <x:c r="E6" t="str">
        <x:v>E_Usuario</x:v>
      </x:c>
      <x:c r="F6" t="str">
        <x:v>C_Navegacion, C_PerfilUsuario</x:v>
      </x:c>
      <x:c r="G6" t="str">
        <x:v>I_CambiarContrasena, I_ConfirmacionOperacion, I_Inicio, I_Perfil</x:v>
      </x:c>
      <x:c r="H6" t="str">
        <x:v>Referencias explícitas y coincidencias de objetos: verificar si existe llamada real.</x:v>
      </x:c>
    </x:row>
    <x:row r="7" ht="27" customHeight="1">
      <x:c r="A7" t="str">
        <x:v>RF06</x:v>
      </x:c>
      <x:c r="B7" t="str">
        <x:v>RF006-E1</x:v>
      </x:c>
      <x:c r="C7" t="str">
        <x:v>Cuentas y acceso</x:v>
      </x:c>
      <x:c r="D7" t="str">
        <x:v>Sin cita textual</x:v>
      </x:c>
      <x:c r="E7" t="str">
        <x:v>E_Sesion, E_Usuario</x:v>
      </x:c>
      <x:c r="F7" t="str">
        <x:v>C_Navegacion, C_PerfilUsuario</x:v>
      </x:c>
      <x:c r="G7" t="str">
        <x:v>I_Bienvenida, I_ConfirmacionOperacion, I_Inicio, I_Perfil</x:v>
      </x:c>
      <x:c r="H7" t="str">
        <x:v>Referencias explícitas y coincidencias de objetos: verificar si existe llamada real.</x:v>
      </x:c>
    </x:row>
    <x:row r="8" ht="27" customHeight="1">
      <x:c r="A8" t="str">
        <x:v>RF07</x:v>
      </x:c>
      <x:c r="B8" t="str">
        <x:v>RF007-E1</x:v>
      </x:c>
      <x:c r="C8" t="str">
        <x:v>Cuentas y acceso | Administración e incidencias</x:v>
      </x:c>
      <x:c r="D8" t="str">
        <x:v>Sin cita textual</x:v>
      </x:c>
      <x:c r="E8" t="str">
        <x:v>E_CodigoRecuperacion, E_CorreoPendiente, E_Sesion, E_SolicitudEliminacion, E_Usuario</x:v>
      </x:c>
      <x:c r="F8" t="str">
        <x:v>C_ControlAlerta, C_ControlNotificacion, C_Navegacion, C_PerfilUsuario, C_RecordatorioKm, C_ValidacionCuenta</x:v>
      </x:c>
      <x:c r="G8" t="str">
        <x:v>I_ConfirmacionOperacion, I_InformacionEliminacionCuenta, I_Inicio, I_MotivoEliminacionCuenta, I_Perfil, I_VerificarEliminacionCuenta</x:v>
      </x:c>
      <x:c r="H8" t="str">
        <x:v>Referencias explícitas y coincidencias de objetos: verificar si existe llamada real.</x:v>
      </x:c>
    </x:row>
    <x:row r="9" ht="27" customHeight="1">
      <x:c r="A9" t="str">
        <x:v>RF08</x:v>
      </x:c>
      <x:c r="B9" t="str">
        <x:v>RF008-EF1</x:v>
      </x:c>
      <x:c r="C9" t="str">
        <x:v>Vehículos | Kilometraje | Planes y pagos | TIVE</x:v>
      </x:c>
      <x:c r="D9" t="str">
        <x:v>RF30, RF44</x:v>
      </x:c>
      <x:c r="E9" t="str">
        <x:v>E_Kilometraje, E_RecordatorioKilometraje, E_Suscripcion, E_Vehiculo</x:v>
      </x:c>
      <x:c r="F9" t="str">
        <x:v>C_ControlImagenVehiculo, C_ControlKilometraje, C_ControlSuscripcion, C_Navegacion, C_RecordatorioKm, C_ValidacionImagenVehiculo, C_ValidacionVehiculo</x:v>
      </x:c>
      <x:c r="G9" t="str">
        <x:v>I_Autos, I_ConfirmacionOperacion, I_Inicio, I_RegistroVehiculo</x:v>
      </x:c>
      <x:c r="H9" t="str">
        <x:v>Referencias explícitas y coincidencias de objetos: verificar si existe llamada real.</x:v>
      </x:c>
    </x:row>
    <x:row r="10" ht="27" customHeight="1">
      <x:c r="A10" t="str">
        <x:v>RF09</x:v>
      </x:c>
      <x:c r="B10" t="str">
        <x:v>RF009-EF1</x:v>
      </x:c>
      <x:c r="C10" t="str">
        <x:v>Vehículos</x:v>
      </x:c>
      <x:c r="D10" t="str">
        <x:v>RF08</x:v>
      </x:c>
      <x:c r="E10" t="str">
        <x:v>E_Kilometraje, E_SOAT, E_TIVE, E_Vehiculo</x:v>
      </x:c>
      <x:c r="F10" t="str">
        <x:v>C_ControlImagenVehiculo, C_ControlKilometraje, C_ControlListadoVehiculos, C_ControlSOAT, C_ControlTIVE, C_Navegacion</x:v>
      </x:c>
      <x:c r="G10" t="str">
        <x:v>I_Autos, I_Inicio</x:v>
      </x:c>
      <x:c r="H10" t="str">
        <x:v>Referencias explícitas y coincidencias de objetos: verificar si existe llamada real.</x:v>
      </x:c>
    </x:row>
    <x:row r="11" ht="27" customHeight="1">
      <x:c r="A11" t="str">
        <x:v>RF10</x:v>
      </x:c>
      <x:c r="B11" t="str">
        <x:v>RF010-EF1</x:v>
      </x:c>
      <x:c r="C11" t="str">
        <x:v>Vehículos | Kilometraje | TIVE</x:v>
      </x:c>
      <x:c r="D11" t="str">
        <x:v>RF09</x:v>
      </x:c>
      <x:c r="E11" t="str">
        <x:v>E_ImagenVehiculo, E_Kilometraje, E_SOAT, E_TIVE, E_Vehiculo</x:v>
      </x:c>
      <x:c r="F11" t="str">
        <x:v>C_ControlDetalleVehiculo, C_ControlImagenVehiculo, C_ControlKilometraje, C_ControlSOAT, C_ControlTIVE</x:v>
      </x:c>
      <x:c r="G11" t="str">
        <x:v>I_Autos, I_DetalleVehiculo</x:v>
      </x:c>
      <x:c r="H11" t="str">
        <x:v>Referencias explícitas y coincidencias de objetos: verificar si existe llamada real.</x:v>
      </x:c>
    </x:row>
    <x:row r="12" ht="27" customHeight="1">
      <x:c r="A12" t="str">
        <x:v>RF11</x:v>
      </x:c>
      <x:c r="B12" t="str">
        <x:v>RF011-EF1</x:v>
      </x:c>
      <x:c r="C12" t="str">
        <x:v>Vehículos | TIVE</x:v>
      </x:c>
      <x:c r="D12" t="str">
        <x:v>RF08, RF10</x:v>
      </x:c>
      <x:c r="E12" t="str">
        <x:v>E_Kilometraje, E_Vehiculo</x:v>
      </x:c>
      <x:c r="F12" t="str">
        <x:v>C_ControlDetalleVehiculo, C_ControlImagenVehiculo, C_ControlKilometraje, C_ValidacionVehiculo</x:v>
      </x:c>
      <x:c r="G12" t="str">
        <x:v>I_DetalleVehiculo, I_EdicionVehiculo</x:v>
      </x:c>
      <x:c r="H12" t="str">
        <x:v>Referencias explícitas y coincidencias de objetos: verificar si existe llamada real.</x:v>
      </x:c>
    </x:row>
    <x:row r="13" ht="27" customHeight="1">
      <x:c r="A13" t="str">
        <x:v>RF12</x:v>
      </x:c>
      <x:c r="B13" t="str">
        <x:v>RF012-EF1</x:v>
      </x:c>
      <x:c r="C13" t="str">
        <x:v>Vehículos | Planes y pagos</x:v>
      </x:c>
      <x:c r="D13" t="str">
        <x:v>RF08, RF09, RF10, RF23, RF30, RF44</x:v>
      </x:c>
      <x:c r="E13" t="str">
        <x:v>E_Alerta, E_HistorialAlerta, E_Kilometraje, E_Notificacion, E_SOAT, E_Suscripcion, E_TIVE, E_Vehiculo</x:v>
      </x:c>
      <x:c r="F13" t="str">
        <x:v>C_ControlAlerta, C_ControlImagenVehiculo, C_ControlKilometraje, C_ControlListadoVehiculos, C_ControlNotificacion, C_ControlSOAT, C_ControlSuscripcion, C_ControlTIVE</x:v>
      </x:c>
      <x:c r="G13" t="str">
        <x:v>I_Autos, I_ConfirmacionEstadoVehiculo, I_ConfirmacionOperacion, I_DetalleVehiculo</x:v>
      </x:c>
      <x:c r="H13" t="str">
        <x:v>Referencias explícitas y coincidencias de objetos: verificar si existe llamada real.</x:v>
      </x:c>
    </x:row>
    <x:row r="14" ht="27" customHeight="1">
      <x:c r="A14" t="str">
        <x:v>RF13</x:v>
      </x:c>
      <x:c r="B14" t="str">
        <x:v>RF013-EF1</x:v>
      </x:c>
      <x:c r="C14" t="str">
        <x:v>Vehículos | Planes y pagos</x:v>
      </x:c>
      <x:c r="D14" t="str">
        <x:v>RF09, RF10, RF12</x:v>
      </x:c>
      <x:c r="E14" t="str">
        <x:v>E_Kilometraje, E_SOAT, E_TIVE, E_Vehiculo</x:v>
      </x:c>
      <x:c r="F14" t="str">
        <x:v>C_ControlImagenVehiculo, C_ControlKilometraje, C_ControlListadoVehiculos, C_ControlSOAT, C_ControlTIVE, C_ControlVehiculoPrincipal</x:v>
      </x:c>
      <x:c r="G14" t="str">
        <x:v>I_Autos, I_ConfirmacionOperacion, I_ConfirmacionPrincipal, I_DetalleVehiculo</x:v>
      </x:c>
      <x:c r="H14" t="str">
        <x:v>Referencias explícitas y coincidencias de objetos: verificar si existe llamada real.</x:v>
      </x:c>
    </x:row>
    <x:row r="15" ht="27" customHeight="1">
      <x:c r="A15" t="str">
        <x:v>RF14</x:v>
      </x:c>
      <x:c r="B15" t="str">
        <x:v>RF014-EF1</x:v>
      </x:c>
      <x:c r="C15" t="str">
        <x:v>Kilometraje</x:v>
      </x:c>
      <x:c r="D15" t="str">
        <x:v>RF12, RF16, RF23, RF44, RF46</x:v>
      </x:c>
      <x:c r="E15" t="str">
        <x:v>E_Alerta, E_HistorialAlerta, E_Kilometraje, E_Notificacion, E_RecordatorioKilometraje, E_Vehiculo</x:v>
      </x:c>
      <x:c r="F15" t="str">
        <x:v>C_ControlAlerta, C_ControlKilometraje, C_ControlNotificacion, C_ControlVehiculo, C_RecordatorioKm</x:v>
      </x:c>
      <x:c r="G15" t="str">
        <x:v>I_ActualizarKilometraje, I_DetalleVehiculo, I_VistaPreviaKilometraje</x:v>
      </x:c>
      <x:c r="H15" t="str">
        <x:v>Referencias explícitas y coincidencias de objetos: verificar si existe llamada real.</x:v>
      </x:c>
    </x:row>
    <x:row r="16" ht="27" customHeight="1">
      <x:c r="A16" t="str">
        <x:v>RF15</x:v>
      </x:c>
      <x:c r="B16" t="str">
        <x:v>RF015-EF1</x:v>
      </x:c>
      <x:c r="C16" t="str">
        <x:v>Kilometraje</x:v>
      </x:c>
      <x:c r="D16" t="str">
        <x:v>RF14, RF16</x:v>
      </x:c>
      <x:c r="E16" t="str">
        <x:v>E_CorreccionKilometraje, E_Kilometraje, E_Vehiculo</x:v>
      </x:c>
      <x:c r="F16" t="str">
        <x:v>C_ControlHistorial, C_ControlKilometraje, C_ControlVehiculo, C_Navegacion</x:v>
      </x:c>
      <x:c r="G16" t="str">
        <x:v>I_FiltrosHistorial, I_HistorialKilometraje, I_HistorialVehiculo, I_Inicio</x:v>
      </x:c>
      <x:c r="H16" t="str">
        <x:v>Referencias explícitas y coincidencias de objetos: verificar si existe llamada real.</x:v>
      </x:c>
    </x:row>
    <x:row r="17" ht="27" customHeight="1">
      <x:c r="A17" t="str">
        <x:v>RF16</x:v>
      </x:c>
      <x:c r="B17" t="str">
        <x:v>RF016-EF1</x:v>
      </x:c>
      <x:c r="C17" t="str">
        <x:v>Kilometraje</x:v>
      </x:c>
      <x:c r="D17" t="str">
        <x:v>RF14, RF23, RF44</x:v>
      </x:c>
      <x:c r="E17" t="str">
        <x:v>E_Alerta, E_CorreccionKilometraje, E_HistorialAlerta, E_Kilometraje, E_Vehiculo</x:v>
      </x:c>
      <x:c r="F17" t="str">
        <x:v>C_ControlAlerta, C_ControlKilometraje, C_ControlVehiculo</x:v>
      </x:c>
      <x:c r="G17" t="str">
        <x:v>I_ActualizarKilometraje, I_VistaPreviaKilometraje</x:v>
      </x:c>
      <x:c r="H17" t="str">
        <x:v>Referencias explícitas y coincidencias de objetos: verificar si existe llamada real.</x:v>
      </x:c>
    </x:row>
    <x:row r="18" ht="27" customHeight="1">
      <x:c r="A18" t="str">
        <x:v>RF17</x:v>
      </x:c>
      <x:c r="B18" t="str">
        <x:v>RF17</x:v>
      </x:c>
      <x:c r="C18" t="str">
        <x:v>Kilometraje | Mantenimientos | Talleres</x:v>
      </x:c>
      <x:c r="D18" t="str">
        <x:v>RF08, RF11, RF14, RF18, RF22, RF24, RF37, RF62</x:v>
      </x:c>
      <x:c r="E18" t="str">
        <x:v>E_Kilometraje, E_Mantenimiento, E_Taller, E_TipoMantenimiento, E_Vehiculo</x:v>
      </x:c>
      <x:c r="F18" t="str">
        <x:v>C_ControlHistorial, C_ControlKilometraje, C_ControlMantenimiento, C_ControlTaller, C_ControlTipoMantenimiento, C_ControlVehiculo, C_Navegacion, C_ValidacionMantenimiento</x:v>
      </x:c>
      <x:c r="G18" t="str">
        <x:v>I_ConfirmacionRegistroMantenimiento, I_HistorialMantenimiento, I_HistorialVehiculo, I_Inicio, I_RegistroMantenimiento</x:v>
      </x:c>
      <x:c r="H18" t="str">
        <x:v>Referencias explícitas y coincidencias de objetos: verificar si existe llamada real.</x:v>
      </x:c>
    </x:row>
    <x:row r="19" ht="27" customHeight="1">
      <x:c r="A19" t="str">
        <x:v>RF18</x:v>
      </x:c>
      <x:c r="B19" t="str">
        <x:v>RF18</x:v>
      </x:c>
      <x:c r="C19" t="str">
        <x:v>Mantenimientos</x:v>
      </x:c>
      <x:c r="D19" t="str">
        <x:v>RF17, RF19</x:v>
      </x:c>
      <x:c r="E19" t="str">
        <x:v>E_Mantenimiento, E_Taller, E_Vehiculo</x:v>
      </x:c>
      <x:c r="F19" t="str">
        <x:v>C_ControlHistorial, C_ControlTaller, C_ControlVehiculo, C_Navegacion</x:v>
      </x:c>
      <x:c r="G19" t="str">
        <x:v>I_HistorialMantenimiento, I_HistorialVehiculo, I_Inicio</x:v>
      </x:c>
      <x:c r="H19" t="str">
        <x:v>Referencias explícitas y coincidencias de objetos: verificar si existe llamada real.</x:v>
      </x:c>
    </x:row>
    <x:row r="20" ht="27" customHeight="1">
      <x:c r="A20" t="str">
        <x:v>RF19</x:v>
      </x:c>
      <x:c r="B20" t="str">
        <x:v>RF19</x:v>
      </x:c>
      <x:c r="C20" t="str">
        <x:v>Mantenimientos</x:v>
      </x:c>
      <x:c r="D20" t="str">
        <x:v>RF17</x:v>
      </x:c>
      <x:c r="E20" t="str">
        <x:v>E_Mantenimiento, E_MantenimientoRepuesto, E_Repuesto, E_Taller, E_Vehiculo</x:v>
      </x:c>
      <x:c r="F20" t="str">
        <x:v>C_ControlHistorial, C_ControlRepuesto, C_ControlTaller, C_ControlVehiculo</x:v>
      </x:c>
      <x:c r="G20" t="str">
        <x:v>I_DetalleMantenimiento, I_HistorialMantenimiento</x:v>
      </x:c>
      <x:c r="H20" t="str">
        <x:v>Referencias explícitas y coincidencias de objetos: verificar si existe llamada real.</x:v>
      </x:c>
    </x:row>
    <x:row r="21" ht="27" customHeight="1">
      <x:c r="A21" t="str">
        <x:v>RF20</x:v>
      </x:c>
      <x:c r="B21" t="str">
        <x:v>RF20</x:v>
      </x:c>
      <x:c r="C21" t="str">
        <x:v>Mantenimientos</x:v>
      </x:c>
      <x:c r="D21" t="str">
        <x:v>RF17, RF19</x:v>
      </x:c>
      <x:c r="E21" t="str">
        <x:v>E_Mantenimiento, E_MantenimientoRepuesto, E_Taller, E_Vehiculo</x:v>
      </x:c>
      <x:c r="F21" t="str">
        <x:v>C_ControlMantenimiento, C_ControlRepuesto, C_ControlTaller, C_ControlVehiculo</x:v>
      </x:c>
      <x:c r="G21" t="str">
        <x:v>I_ConfirmacionOperacion, I_DetalleMantenimiento, I_EditarMantenimiento</x:v>
      </x:c>
      <x:c r="H21" t="str">
        <x:v>Referencias explícitas y coincidencias de objetos: verificar si existe llamada real.</x:v>
      </x:c>
    </x:row>
    <x:row r="22" ht="27" customHeight="1">
      <x:c r="A22" t="str">
        <x:v>RF21</x:v>
      </x:c>
      <x:c r="B22" t="str">
        <x:v>RF21</x:v>
      </x:c>
      <x:c r="C22" t="str">
        <x:v>Mantenimientos</x:v>
      </x:c>
      <x:c r="D22" t="str">
        <x:v>RF14, RF18, RF19</x:v>
      </x:c>
      <x:c r="E22" t="str">
        <x:v>E_Kilometraje, E_Mantenimiento, E_Taller, E_Vehiculo</x:v>
      </x:c>
      <x:c r="F22" t="str">
        <x:v>C_ControlAlerta, C_ControlHistorial, C_ControlKilometraje, C_ControlMantenimiento, C_ControlTaller, C_ControlVehiculo</x:v>
      </x:c>
      <x:c r="G22" t="str">
        <x:v>I_AnulacionMantenimiento, I_DetalleMantenimiento, I_HistorialMantenimiento</x:v>
      </x:c>
      <x:c r="H22" t="str">
        <x:v>Referencias explícitas y coincidencias de objetos: verificar si existe llamada real.</x:v>
      </x:c>
    </x:row>
    <x:row r="23" ht="27" customHeight="1">
      <x:c r="A23" t="str">
        <x:v>RF22</x:v>
      </x:c>
      <x:c r="B23" t="str">
        <x:v>RF22</x:v>
      </x:c>
      <x:c r="C23" t="str">
        <x:v>Kilometraje | Mantenimientos | Alertas y notificaciones</x:v>
      </x:c>
      <x:c r="D23" t="str">
        <x:v>RF14, RF17, RF24, RF62</x:v>
      </x:c>
      <x:c r="E23" t="str">
        <x:v>E_Alerta, E_HistorialAlerta, E_Kilometraje, E_Mantenimiento, E_Notificacion, E_TipoMantenimiento, E_Vehiculo</x:v>
      </x:c>
      <x:c r="F23" t="str">
        <x:v>C_ControlAlerta, C_ControlKilometraje, C_ControlListadoVehiculos, C_ControlMantenimiento, C_ControlNotificacion, C_ControlTipoMantenimiento, C_ControlVehiculo</x:v>
      </x:c>
      <x:c r="G23" t="str">
        <x:v>I_AlertaProgramada, I_Alertas, I_ConfirmacionProgramacion, I_ProgramarAlerta</x:v>
      </x:c>
      <x:c r="H23" t="str">
        <x:v>Referencias explícitas y coincidencias de objetos: verificar si existe llamada real.</x:v>
      </x:c>
    </x:row>
    <x:row r="24" ht="27" customHeight="1">
      <x:c r="A24" t="str">
        <x:v>RF23</x:v>
      </x:c>
      <x:c r="B24" t="str">
        <x:v>RF23</x:v>
      </x:c>
      <x:c r="C24" t="str">
        <x:v>Kilometraje | Mantenimientos | Alertas y notificaciones | SOAT | Licencia</x:v>
      </x:c>
      <x:c r="D24" t="str">
        <x:v>RF14, RF22, RF31, RF33, RF46, RF51, RF53</x:v>
      </x:c>
      <x:c r="E24" t="str">
        <x:v>E_Alerta, E_HistorialAlerta, E_Kilometraje, E_Licencia, E_Notificacion, E_Suscripcion, E_Usuario, E_Vehiculo</x:v>
      </x:c>
      <x:c r="F24" t="str">
        <x:v>C_ControlAlerta, C_ControlKilometraje, C_ControlLicencia, C_ControlListadoVehiculos, C_ControlNotificacion, C_ControlSuscripcion, C_ControlUsuario, C_ControlVehiculo, C_Navegacion</x:v>
      </x:c>
      <x:c r="G24" t="str">
        <x:v>I_Alertas, I_Inicio</x:v>
      </x:c>
      <x:c r="H24" t="str">
        <x:v>Referencias explícitas y coincidencias de objetos: verificar si existe llamada real.</x:v>
      </x:c>
    </x:row>
    <x:row r="25" ht="27" customHeight="1">
      <x:c r="A25" t="str">
        <x:v>RF24</x:v>
      </x:c>
      <x:c r="B25" t="str">
        <x:v>RF24</x:v>
      </x:c>
      <x:c r="C25" t="str">
        <x:v>Mantenimientos | Alertas y notificaciones</x:v>
      </x:c>
      <x:c r="D25" t="str">
        <x:v>RF08, RF11, RF14, RF17, RF23, RF25, RF27, RF37, RF46, RF62</x:v>
      </x:c>
      <x:c r="E25" t="str">
        <x:v>E_Alerta, E_HistorialAlerta, E_Kilometraje, E_Mantenimiento, E_Notificacion, E_Taller, E_Vehiculo</x:v>
      </x:c>
      <x:c r="F25" t="str">
        <x:v>C_ControlAlerta, C_ControlKilometraje, C_ControlMantenimiento, C_ControlNotificacion, C_ControlTaller, C_ControlTipoMantenimiento, C_ControlVehiculo, C_ValidacionMantenimiento</x:v>
      </x:c>
      <x:c r="G25" t="str">
        <x:v>I_Alertas, I_DetalleAlerta, I_RegistroMantenimiento</x:v>
      </x:c>
      <x:c r="H25" t="str">
        <x:v>Referencias explícitas y coincidencias de objetos: verificar si existe llamada real.</x:v>
      </x:c>
    </x:row>
    <x:row r="26" ht="27" customHeight="1">
      <x:c r="A26" t="str">
        <x:v>RF25</x:v>
      </x:c>
      <x:c r="B26" t="str">
        <x:v>RF25</x:v>
      </x:c>
      <x:c r="C26" t="str">
        <x:v>Mantenimientos | Alertas y notificaciones</x:v>
      </x:c>
      <x:c r="D26" t="str">
        <x:v>RF14, RF17, RF21, RF37</x:v>
      </x:c>
      <x:c r="E26" t="str">
        <x:v>E_CorreccionKilometraje, E_Kilometraje, E_Mantenimiento, E_Taller, E_Vehiculo</x:v>
      </x:c>
      <x:c r="F26" t="str">
        <x:v>C_ControlHistorial, C_ControlKilometraje, C_ControlTaller, C_ControlVehiculo, C_Navegacion</x:v>
      </x:c>
      <x:c r="G26" t="str">
        <x:v>I_HistorialVehiculo, I_Inicio</x:v>
      </x:c>
      <x:c r="H26" t="str">
        <x:v>Referencias explícitas y coincidencias de objetos: verificar si existe llamada real.</x:v>
      </x:c>
    </x:row>
    <x:row r="27" ht="27" customHeight="1">
      <x:c r="A27" t="str">
        <x:v>RF26</x:v>
      </x:c>
      <x:c r="B27" t="str">
        <x:v>RF26</x:v>
      </x:c>
      <x:c r="C27" t="str">
        <x:v>Mantenimientos</x:v>
      </x:c>
      <x:c r="D27" t="str">
        <x:v>RF14, RF16, RF17, RF25</x:v>
      </x:c>
      <x:c r="E27" t="str">
        <x:v>E_CorreccionKilometraje, E_Kilometraje, E_Mantenimiento, E_Taller, E_TipoMantenimiento, E_Vehiculo</x:v>
      </x:c>
      <x:c r="F27" t="str">
        <x:v>C_ControlHistorial, C_ControlKilometraje, C_ControlTaller, C_ControlTipoMantenimiento, C_ControlVehiculo</x:v>
      </x:c>
      <x:c r="G27" t="str">
        <x:v>I_FiltrosHistorial, I_HistorialVehiculo</x:v>
      </x:c>
      <x:c r="H27" t="str">
        <x:v>Referencias explícitas y coincidencias de objetos: verificar si existe llamada real.</x:v>
      </x:c>
    </x:row>
    <x:row r="28" ht="27" customHeight="1">
      <x:c r="A28" t="str">
        <x:v>RF27</x:v>
      </x:c>
      <x:c r="B28" t="str">
        <x:v>RF27</x:v>
      </x:c>
      <x:c r="C28" t="str">
        <x:v>Mantenimientos</x:v>
      </x:c>
      <x:c r="D28" t="str">
        <x:v>RF17, RF21, RF25</x:v>
      </x:c>
      <x:c r="E28" t="str">
        <x:v>E_Kilometraje, E_Mantenimiento, E_MantenimientoRepuesto, E_Repuesto, E_Suscripcion, E_Taller, E_TipoMantenimiento, E_Vehiculo</x:v>
      </x:c>
      <x:c r="F28" t="str">
        <x:v>C_ControlHistorial, C_ControlKilometraje, C_ControlRepuesto, C_ControlSuscripcion, C_ControlTaller, C_ControlTipoMantenimiento, C_ControlVehiculo</x:v>
      </x:c>
      <x:c r="G28" t="str">
        <x:v>I_ExportarHistorial, I_HistorialVehiculo</x:v>
      </x:c>
      <x:c r="H28" t="str">
        <x:v>Referencias explícitas y coincidencias de objetos: verificar si existe llamada real.</x:v>
      </x:c>
    </x:row>
    <x:row r="29" ht="27" customHeight="1">
      <x:c r="A29" t="str">
        <x:v>RF28</x:v>
      </x:c>
      <x:c r="B29" t="str">
        <x:v>RF028-E1</x:v>
      </x:c>
      <x:c r="C29" t="str">
        <x:v>Planes y pagos</x:v>
      </x:c>
      <x:c r="D29" t="str">
        <x:v>RF29</x:v>
      </x:c>
      <x:c r="E29" t="str">
        <x:v>E_Suscripcion, E_Usuario</x:v>
      </x:c>
      <x:c r="F29" t="str">
        <x:v>C_ControlSuscripcion, C_Navegacion, C_PerfilUsuario</x:v>
      </x:c>
      <x:c r="G29" t="str">
        <x:v>I_Inicio, I_Perfil, I_Planes</x:v>
      </x:c>
      <x:c r="H29" t="str">
        <x:v>Referencias explícitas y coincidencias de objetos: verificar si existe llamada real.</x:v>
      </x:c>
    </x:row>
    <x:row r="30" ht="27" customHeight="1">
      <x:c r="A30" t="str">
        <x:v>RF29</x:v>
      </x:c>
      <x:c r="B30" t="str">
        <x:v>RF029-E1</x:v>
      </x:c>
      <x:c r="C30" t="str">
        <x:v>Planes y pagos</x:v>
      </x:c>
      <x:c r="D30" t="str">
        <x:v>Sin cita textual</x:v>
      </x:c>
      <x:c r="E30" t="str">
        <x:v>E_Pago, E_Suscripcion, E_Usuario</x:v>
      </x:c>
      <x:c r="F30" t="str">
        <x:v>C_ControlPago, C_ControlSuscripcion, C_Navegacion, C_PerfilUsuario</x:v>
      </x:c>
      <x:c r="G30" t="str">
        <x:v>I_ConfirmacionOperacion, I_Inicio, I_Perfil, I_Planes, I_Suscripcion</x:v>
      </x:c>
      <x:c r="H30" t="str">
        <x:v>Referencias explícitas y coincidencias de objetos: verificar si existe llamada real.</x:v>
      </x:c>
    </x:row>
    <x:row r="31" ht="27" customHeight="1">
      <x:c r="A31" t="str">
        <x:v>RF30</x:v>
      </x:c>
      <x:c r="B31" t="str">
        <x:v>RF030-E1</x:v>
      </x:c>
      <x:c r="C31" t="str">
        <x:v>Planes y pagos</x:v>
      </x:c>
      <x:c r="D31" t="str">
        <x:v>RF28, RF29, RF52</x:v>
      </x:c>
      <x:c r="E31" t="str">
        <x:v>E_Pago, E_Suscripcion</x:v>
      </x:c>
      <x:c r="F31" t="str">
        <x:v>C_ControlPago, C_ControlSuscripcion, C_Navegacion</x:v>
      </x:c>
      <x:c r="G31" t="str">
        <x:v>I_EstadoSuscripcion, I_Inicio, I_Perfil, I_Planes</x:v>
      </x:c>
      <x:c r="H31" t="str">
        <x:v>Referencias explícitas y coincidencias de objetos: verificar si existe llamada real.</x:v>
      </x:c>
    </x:row>
    <x:row r="32" ht="27" customHeight="1">
      <x:c r="A32" t="str">
        <x:v>RF31</x:v>
      </x:c>
      <x:c r="B32" t="str">
        <x:v>RF031-EF1</x:v>
      </x:c>
      <x:c r="C32" t="str">
        <x:v>SOAT</x:v>
      </x:c>
      <x:c r="D32" t="str">
        <x:v>RF46, RF48</x:v>
      </x:c>
      <x:c r="E32" t="str">
        <x:v>E_Alerta, E_HistorialAlerta, E_Notificacion, E_SOAT, E_Vehiculo</x:v>
      </x:c>
      <x:c r="F32" t="str">
        <x:v>C_ControlAlerta, C_ControlNotificacion, C_ControlSOAT, C_ControlVehiculo, C_Navegacion</x:v>
      </x:c>
      <x:c r="G32" t="str">
        <x:v>I_AlertasSOAT, I_Autos, I_ConfirmacionOperacion, I_DetalleVehiculo, I_Inicio, I_SOAT</x:v>
      </x:c>
      <x:c r="H32" t="str">
        <x:v>Referencias explícitas y coincidencias de objetos: verificar si existe llamada real.</x:v>
      </x:c>
    </x:row>
    <x:row r="33" ht="27" customHeight="1">
      <x:c r="A33" t="str">
        <x:v>RF32</x:v>
      </x:c>
      <x:c r="B33" t="str">
        <x:v>RF032-EF1</x:v>
      </x:c>
      <x:c r="C33" t="str">
        <x:v>SOAT</x:v>
      </x:c>
      <x:c r="D33" t="str">
        <x:v>RF24, RF31, RF46</x:v>
      </x:c>
      <x:c r="E33" t="str">
        <x:v>E_Alerta, E_HistorialAlerta, E_Notificacion, E_SOAT, E_Vehiculo</x:v>
      </x:c>
      <x:c r="F33" t="str">
        <x:v>C_ControlAlerta, C_ControlNotificacion, C_ControlSOAT, C_ControlVehiculo, C_Navegacion</x:v>
      </x:c>
      <x:c r="G33" t="str">
        <x:v>I_Autos, I_ConfirmacionOperacion, I_DetalleSOAT, I_DetalleVehiculo, I_Inicio, I_SOAT</x:v>
      </x:c>
      <x:c r="H33" t="str">
        <x:v>Referencias explícitas y coincidencias de objetos: verificar si existe llamada real.</x:v>
      </x:c>
    </x:row>
    <x:row r="34" ht="27" customHeight="1">
      <x:c r="A34" t="str">
        <x:v>RF33</x:v>
      </x:c>
      <x:c r="B34" t="str">
        <x:v>RF033-EF1</x:v>
      </x:c>
      <x:c r="C34" t="str">
        <x:v>Alertas y notificaciones | SOAT</x:v>
      </x:c>
      <x:c r="D34" t="str">
        <x:v>RF46</x:v>
      </x:c>
      <x:c r="E34" t="str">
        <x:v>E_Alerta, E_HistorialAlerta, E_Notificacion, E_SOAT, E_Vehiculo</x:v>
      </x:c>
      <x:c r="F34" t="str">
        <x:v>C_ControlAlerta, C_ControlNotificacion, C_ControlSOAT, C_ControlVehiculo, C_Navegacion</x:v>
      </x:c>
      <x:c r="G34" t="str">
        <x:v>I_AlertasSOAT, I_Autos, I_DetalleSOAT, I_DetalleVehiculo, I_Inicio</x:v>
      </x:c>
      <x:c r="H34" t="str">
        <x:v>Referencias explícitas y coincidencias de objetos: verificar si existe llamada real.</x:v>
      </x:c>
    </x:row>
    <x:row r="35" ht="27" customHeight="1">
      <x:c r="A35" t="str">
        <x:v>RF34</x:v>
      </x:c>
      <x:c r="B35" t="str">
        <x:v>RF034-EF1</x:v>
      </x:c>
      <x:c r="C35" t="str">
        <x:v>Talleres</x:v>
      </x:c>
      <x:c r="D35" t="str">
        <x:v>RF25, RF37</x:v>
      </x:c>
      <x:c r="E35" t="str">
        <x:v>E_Taller</x:v>
      </x:c>
      <x:c r="F35" t="str">
        <x:v>C_ControlTaller, C_Navegacion</x:v>
      </x:c>
      <x:c r="G35" t="str">
        <x:v>I_ConfirmacionOperacion, I_HistorialVehiculo, I_Inicio, I_RegistroTaller, I_Taller</x:v>
      </x:c>
      <x:c r="H35" t="str">
        <x:v>Referencias explícitas y coincidencias de objetos: verificar si existe llamada real.</x:v>
      </x:c>
    </x:row>
    <x:row r="36" ht="27" customHeight="1">
      <x:c r="A36" t="str">
        <x:v>RF35</x:v>
      </x:c>
      <x:c r="B36" t="str">
        <x:v>RF035-EF1</x:v>
      </x:c>
      <x:c r="C36" t="str">
        <x:v>Talleres</x:v>
      </x:c>
      <x:c r="D36" t="str">
        <x:v>RF25</x:v>
      </x:c>
      <x:c r="E36" t="str">
        <x:v>E_Taller</x:v>
      </x:c>
      <x:c r="F36" t="str">
        <x:v>C_ControlTaller, C_Navegacion</x:v>
      </x:c>
      <x:c r="G36" t="str">
        <x:v>I_EditarTaller, I_HistorialVehiculo, I_Inicio, I_Taller</x:v>
      </x:c>
      <x:c r="H36" t="str">
        <x:v>Referencias explícitas y coincidencias de objetos: verificar si existe llamada real.</x:v>
      </x:c>
    </x:row>
    <x:row r="37" ht="27" customHeight="1">
      <x:c r="A37" t="str">
        <x:v>RF36</x:v>
      </x:c>
      <x:c r="B37" t="str">
        <x:v>RF036-EF1</x:v>
      </x:c>
      <x:c r="C37" t="str">
        <x:v>Talleres</x:v>
      </x:c>
      <x:c r="D37" t="str">
        <x:v>Sin cita textual</x:v>
      </x:c>
      <x:c r="E37" t="str">
        <x:v>E_Taller</x:v>
      </x:c>
      <x:c r="F37" t="str">
        <x:v>C_ControlTaller, C_Navegacion</x:v>
      </x:c>
      <x:c r="G37" t="str">
        <x:v>I_ConfirmacionOperacion, I_HistorialVehiculo, I_Inicio, I_Taller</x:v>
      </x:c>
      <x:c r="H37" t="str">
        <x:v>Referencias explícitas y coincidencias de objetos: verificar si existe llamada real.</x:v>
      </x:c>
    </x:row>
    <x:row r="38" ht="27" customHeight="1">
      <x:c r="A38" t="str">
        <x:v>RF37</x:v>
      </x:c>
      <x:c r="B38" t="str">
        <x:v>RF037-EF1</x:v>
      </x:c>
      <x:c r="C38" t="str">
        <x:v>Talleres</x:v>
      </x:c>
      <x:c r="D38" t="str">
        <x:v>Sin cita textual</x:v>
      </x:c>
      <x:c r="E38" t="str">
        <x:v>E_Taller</x:v>
      </x:c>
      <x:c r="F38" t="str">
        <x:v>C_ControlTaller, C_Navegacion</x:v>
      </x:c>
      <x:c r="G38" t="str">
        <x:v>I_HistorialVehiculo, I_Inicio, I_Taller</x:v>
      </x:c>
      <x:c r="H38" t="str">
        <x:v>Referencias explícitas y coincidencias de objetos: verificar si existe llamada real.</x:v>
      </x:c>
    </x:row>
    <x:row r="39" ht="27" customHeight="1">
      <x:c r="A39" t="str">
        <x:v>RF38</x:v>
      </x:c>
      <x:c r="B39" t="str">
        <x:v>RF038-E1</x:v>
      </x:c>
      <x:c r="C39" t="str">
        <x:v>Cuentas y acceso</x:v>
      </x:c>
      <x:c r="D39" t="str">
        <x:v>Sin cita textual</x:v>
      </x:c>
      <x:c r="E39" t="str">
        <x:v>E_Usuario</x:v>
      </x:c>
      <x:c r="F39" t="str">
        <x:v>C_FotoPerfil, C_Navegacion, C_PerfilUsuario, C_ValidacionFoto</x:v>
      </x:c>
      <x:c r="G39" t="str">
        <x:v>I_Inicio, I_OpcionesFotoPerfil, I_Perfil, I_ResultadoOperacion, I_SeleccionFoto</x:v>
      </x:c>
      <x:c r="H39" t="str">
        <x:v>Referencias explícitas y coincidencias de objetos: verificar si existe llamada real.</x:v>
      </x:c>
    </x:row>
    <x:row r="40" ht="27" customHeight="1">
      <x:c r="A40" t="str">
        <x:v>RF39</x:v>
      </x:c>
      <x:c r="B40" t="str">
        <x:v>RF039-E1</x:v>
      </x:c>
      <x:c r="C40" t="str">
        <x:v>Cuentas y acceso</x:v>
      </x:c>
      <x:c r="D40" t="str">
        <x:v>Sin cita textual</x:v>
      </x:c>
      <x:c r="E40" t="str">
        <x:v>E_Usuario</x:v>
      </x:c>
      <x:c r="F40" t="str">
        <x:v>C_FotoPerfil, C_Navegacion, C_PerfilUsuario, C_ValidacionFoto</x:v>
      </x:c>
      <x:c r="G40" t="str">
        <x:v>I_Inicio, I_OpcionesFotoPerfil, I_Perfil, I_ResultadoOperacion, I_SeleccionFoto</x:v>
      </x:c>
      <x:c r="H40" t="str">
        <x:v>Referencias explícitas y coincidencias de objetos: verificar si existe llamada real.</x:v>
      </x:c>
    </x:row>
    <x:row r="41" ht="27" customHeight="1">
      <x:c r="A41" t="str">
        <x:v>RF40</x:v>
      </x:c>
      <x:c r="B41" t="str">
        <x:v>RF040-E1</x:v>
      </x:c>
      <x:c r="C41" t="str">
        <x:v>Cuentas y acceso</x:v>
      </x:c>
      <x:c r="D41" t="str">
        <x:v>Sin cita textual</x:v>
      </x:c>
      <x:c r="E41" t="str">
        <x:v>E_Usuario</x:v>
      </x:c>
      <x:c r="F41" t="str">
        <x:v>C_FotoPerfil, C_Navegacion, C_PerfilUsuario</x:v>
      </x:c>
      <x:c r="G41" t="str">
        <x:v>I_ConfirmacionEliminarFoto, I_Inicio, I_OpcionesFotoPerfil, I_Perfil, I_ResultadoOperacion</x:v>
      </x:c>
      <x:c r="H41" t="str">
        <x:v>Referencias explícitas y coincidencias de objetos: verificar si existe llamada real.</x:v>
      </x:c>
    </x:row>
    <x:row r="42" ht="27" customHeight="1">
      <x:c r="A42" t="str">
        <x:v>RF41</x:v>
      </x:c>
      <x:c r="B42" t="str">
        <x:v>RF041-EF1</x:v>
      </x:c>
      <x:c r="C42" t="str">
        <x:v>Vehículos</x:v>
      </x:c>
      <x:c r="D42" t="str">
        <x:v>RF08</x:v>
      </x:c>
      <x:c r="E42" t="str">
        <x:v>E_Vehiculo</x:v>
      </x:c>
      <x:c r="F42" t="str">
        <x:v>C_ControlImagenVehiculo</x:v>
      </x:c>
      <x:c r="G42" t="str">
        <x:v>I_Autos, I_VistaPreviaCompartirVehiculo</x:v>
      </x:c>
      <x:c r="H42" t="str">
        <x:v>Referencias explícitas y coincidencias de objetos: verificar si existe llamada real.</x:v>
      </x:c>
    </x:row>
    <x:row r="43" ht="27" customHeight="1">
      <x:c r="A43" t="str">
        <x:v>RF42</x:v>
      </x:c>
      <x:c r="B43" t="str">
        <x:v>RF042-EF1</x:v>
      </x:c>
      <x:c r="C43" t="str">
        <x:v>Vehículos</x:v>
      </x:c>
      <x:c r="D43" t="str">
        <x:v>RF08, RF10</x:v>
      </x:c>
      <x:c r="E43" t="str">
        <x:v>E_ImagenVehiculo</x:v>
      </x:c>
      <x:c r="F43" t="str">
        <x:v>C_ControlDetalleVehiculo, C_ControlImagenVehiculo, C_ValidacionImagenVehiculo</x:v>
      </x:c>
      <x:c r="G43" t="str">
        <x:v>I_ConfirmacionOperacion, I_DetalleVehiculo, I_RegistrarImagenVehiculo, I_VistaPreviaImagen</x:v>
      </x:c>
      <x:c r="H43" t="str">
        <x:v>Referencias explícitas y coincidencias de objetos: verificar si existe llamada real.</x:v>
      </x:c>
    </x:row>
    <x:row r="44" ht="27" customHeight="1">
      <x:c r="A44" t="str">
        <x:v>RF43</x:v>
      </x:c>
      <x:c r="B44" t="str">
        <x:v>RF043-EF1</x:v>
      </x:c>
      <x:c r="C44" t="str">
        <x:v>Vehículos</x:v>
      </x:c>
      <x:c r="D44" t="str">
        <x:v>RF08, RF10</x:v>
      </x:c>
      <x:c r="E44" t="str">
        <x:v>E_ImagenVehiculo</x:v>
      </x:c>
      <x:c r="F44" t="str">
        <x:v>C_ControlDetalleVehiculo, C_ControlImagenVehiculo, C_ValidacionImagenVehiculo</x:v>
      </x:c>
      <x:c r="G44" t="str">
        <x:v>I_ActualizarImagenVehiculo, I_ConfirmacionOperacion, I_DetalleVehiculo, I_VistaPreviaImagen</x:v>
      </x:c>
      <x:c r="H44" t="str">
        <x:v>Referencias explícitas y coincidencias de objetos: verificar si existe llamada real.</x:v>
      </x:c>
    </x:row>
    <x:row r="45" ht="27" customHeight="1">
      <x:c r="A45" t="str">
        <x:v>RF44</x:v>
      </x:c>
      <x:c r="B45" t="str">
        <x:v>RF044-EF1</x:v>
      </x:c>
      <x:c r="C45" t="str">
        <x:v>Kilometraje | Alertas y notificaciones</x:v>
      </x:c>
      <x:c r="D45" t="str">
        <x:v>RF14, RF30, RF46, RF48</x:v>
      </x:c>
      <x:c r="E45" t="str">
        <x:v>E_ConfigRecordatorioKmUsuario, E_Kilometraje, E_Notificacion, E_RecordatorioKilometraje, E_Vehiculo</x:v>
      </x:c>
      <x:c r="F45" t="str">
        <x:v>C_ControlKilometraje, C_ControlNotificacion, C_ControlVehiculo, C_Navegacion, C_RecordatorioKm</x:v>
      </x:c>
      <x:c r="G45" t="str">
        <x:v>I_ConfigurarRecordatorioKm, I_Inicio, I_Perfil</x:v>
      </x:c>
      <x:c r="H45" t="str">
        <x:v>Referencias explícitas y coincidencias de objetos: verificar si existe llamada real.</x:v>
      </x:c>
    </x:row>
    <x:row r="46" ht="27" customHeight="1">
      <x:c r="A46" t="str">
        <x:v>RF45</x:v>
      </x:c>
      <x:c r="B46" t="str">
        <x:v>RF045-EF1</x:v>
      </x:c>
      <x:c r="C46" t="str">
        <x:v>Vehículos</x:v>
      </x:c>
      <x:c r="D46" t="str">
        <x:v>RF10</x:v>
      </x:c>
      <x:c r="E46" t="str">
        <x:v>E_ImagenVehiculo</x:v>
      </x:c>
      <x:c r="F46" t="str">
        <x:v>C_ControlDetalleVehiculo, C_ControlImagenVehiculo</x:v>
      </x:c>
      <x:c r="G46" t="str">
        <x:v>I_ConfirmacionOperacion, I_DetalleVehiculo, I_EliminarImagenVehiculo</x:v>
      </x:c>
      <x:c r="H46" t="str">
        <x:v>Referencias explícitas y coincidencias de objetos: verificar si existe llamada real.</x:v>
      </x:c>
    </x:row>
    <x:row r="47" ht="27" customHeight="1">
      <x:c r="A47" t="str">
        <x:v>RF46</x:v>
      </x:c>
      <x:c r="B47" t="str">
        <x:v>RF046-EF1</x:v>
      </x:c>
      <x:c r="C47" t="str">
        <x:v>Kilometraje | Alertas y notificaciones | SOAT | Licencia</x:v>
      </x:c>
      <x:c r="D47" t="str">
        <x:v>RF23, RF44, RF47, RF48, RF49</x:v>
      </x:c>
      <x:c r="E47" t="str">
        <x:v>E_Alerta, E_ConfigRecordatorioKmUsuario, E_Notificacion, E_PreferenciaNotificacion, E_RecordatorioKilometraje, E_Vehiculo</x:v>
      </x:c>
      <x:c r="F47" t="str">
        <x:v>C_ControlAlerta, C_ControlNotificacion, C_ControlVehiculo, C_RecordatorioKm</x:v>
      </x:c>
      <x:c r="G47" t="str">
        <x:v>I_CentroNotificaciones, I_Inicio, I_NotificacionDispositivo</x:v>
      </x:c>
      <x:c r="H47" t="str">
        <x:v>Referencias explícitas y coincidencias de objetos: verificar si existe llamada real.</x:v>
      </x:c>
    </x:row>
    <x:row r="48" ht="27" customHeight="1">
      <x:c r="A48" t="str">
        <x:v>RF47</x:v>
      </x:c>
      <x:c r="B48" t="str">
        <x:v>RF047-EF1</x:v>
      </x:c>
      <x:c r="C48" t="str">
        <x:v>Alertas y notificaciones | SOAT | Licencia</x:v>
      </x:c>
      <x:c r="D48" t="str">
        <x:v>RF14, RF23, RF24, RF32, RF33, RF46, RF52, RF53</x:v>
      </x:c>
      <x:c r="E48" t="str">
        <x:v>E_Alerta, E_Kilometraje, E_Notificacion, E_SOAT</x:v>
      </x:c>
      <x:c r="F48" t="str">
        <x:v>C_ControlAlerta, C_ControlKilometraje, C_ControlNotificacion, C_ControlSOAT</x:v>
      </x:c>
      <x:c r="G48" t="str">
        <x:v>I_ActualizarKilometraje, I_CentroNotificaciones, I_DetalleAlerta, I_DetalleSOAT</x:v>
      </x:c>
      <x:c r="H48" t="str">
        <x:v>Referencias explícitas y coincidencias de objetos: verificar si existe llamada real.</x:v>
      </x:c>
    </x:row>
    <x:row r="49" ht="27" customHeight="1">
      <x:c r="A49" t="str">
        <x:v>RF48</x:v>
      </x:c>
      <x:c r="B49" t="str">
        <x:v>RF048-EF1</x:v>
      </x:c>
      <x:c r="C49" t="str">
        <x:v>Alertas y notificaciones</x:v>
      </x:c>
      <x:c r="D49" t="str">
        <x:v>RF01, RF44, RF46</x:v>
      </x:c>
      <x:c r="E49" t="str">
        <x:v>E_PreferenciaNotificacion</x:v>
      </x:c>
      <x:c r="F49" t="str">
        <x:v>C_ControlNotificacion, C_Navegacion</x:v>
      </x:c>
      <x:c r="G49" t="str">
        <x:v>I_ConfigNotificaciones, I_Inicio, I_Perfil</x:v>
      </x:c>
      <x:c r="H49" t="str">
        <x:v>Referencias explícitas y coincidencias de objetos: verificar si existe llamada real.</x:v>
      </x:c>
    </x:row>
    <x:row r="50" ht="27" customHeight="1">
      <x:c r="A50" t="str">
        <x:v>RF49</x:v>
      </x:c>
      <x:c r="B50" t="str">
        <x:v>RF049-EF1</x:v>
      </x:c>
      <x:c r="C50" t="str">
        <x:v>Alertas y notificaciones</x:v>
      </x:c>
      <x:c r="D50" t="str">
        <x:v>RF23, RF44, RF46</x:v>
      </x:c>
      <x:c r="E50" t="str">
        <x:v>E_Notificacion</x:v>
      </x:c>
      <x:c r="F50" t="str">
        <x:v>C_ControlNotificacion</x:v>
      </x:c>
      <x:c r="G50" t="str">
        <x:v>I_CentroNotificaciones</x:v>
      </x:c>
      <x:c r="H50" t="str">
        <x:v>Referencias explícitas y coincidencias de objetos: verificar si existe llamada real.</x:v>
      </x:c>
    </x:row>
    <x:row r="51" ht="27" customHeight="1">
      <x:c r="A51" t="str">
        <x:v>RF50</x:v>
      </x:c>
      <x:c r="B51" t="str">
        <x:v>RF050-EF1</x:v>
      </x:c>
      <x:c r="C51" t="str">
        <x:v>Vehículos | Kilometraje</x:v>
      </x:c>
      <x:c r="D51" t="str">
        <x:v>RF10, RF13, RF14, RF23, RF30</x:v>
      </x:c>
      <x:c r="E51" t="str">
        <x:v>E_Alerta, E_HistorialAlerta, E_ImagenVehiculo, E_Kilometraje, E_Mantenimiento, E_Notificacion, E_Usuario, E_Vehiculo</x:v>
      </x:c>
      <x:c r="F51" t="str">
        <x:v>C_ControlAlerta, C_ControlHistorial, C_ControlImagenVehiculo, C_ControlKilometraje, C_ControlNotificacion, C_ControlUsuario, C_ControlVehiculo</x:v>
      </x:c>
      <x:c r="G51" t="str">
        <x:v>I_Inicio</x:v>
      </x:c>
      <x:c r="H51" t="str">
        <x:v>Referencias explícitas y coincidencias de objetos: verificar si existe llamada real.</x:v>
      </x:c>
    </x:row>
    <x:row r="52" ht="27" customHeight="1">
      <x:c r="A52" t="str">
        <x:v>RF51</x:v>
      </x:c>
      <x:c r="B52" t="str">
        <x:v>RF051-EF1</x:v>
      </x:c>
      <x:c r="C52" t="str">
        <x:v>Planes y pagos | Licencia</x:v>
      </x:c>
      <x:c r="D52" t="str">
        <x:v>RF23, RF52</x:v>
      </x:c>
      <x:c r="E52" t="str">
        <x:v>E_Alerta, E_Conductor, E_HistorialAlerta, E_Licencia, E_Suscripcion</x:v>
      </x:c>
      <x:c r="F52" t="str">
        <x:v>C_ControlAlerta, C_ControlLicencia, C_ControlSuscripcion, C_Navegacion</x:v>
      </x:c>
      <x:c r="G52" t="str">
        <x:v>I_ConfirmacionOperacion, I_ConfirmarLicencia, I_Inicio, I_Perfil, I_RegistrarLicencia, I_VerificarDigitoDNI</x:v>
      </x:c>
      <x:c r="H52" t="str">
        <x:v>Referencias explícitas y coincidencias de objetos: verificar si existe llamada real.</x:v>
      </x:c>
    </x:row>
    <x:row r="53" ht="27" customHeight="1">
      <x:c r="A53" t="str">
        <x:v>RF52</x:v>
      </x:c>
      <x:c r="B53" t="str">
        <x:v>RF052-EF1</x:v>
      </x:c>
      <x:c r="C53" t="str">
        <x:v>Planes y pagos | Licencia</x:v>
      </x:c>
      <x:c r="D53" t="str">
        <x:v>RF51</x:v>
      </x:c>
      <x:c r="E53" t="str">
        <x:v>E_Alerta, E_Conductor, E_Licencia, E_Suscripcion</x:v>
      </x:c>
      <x:c r="F53" t="str">
        <x:v>C_ControlLicencia, C_ControlSuscripcion, C_Navegacion</x:v>
      </x:c>
      <x:c r="G53" t="str">
        <x:v>I_DetalleLicencia, I_Inicio, I_Perfil</x:v>
      </x:c>
      <x:c r="H53" t="str">
        <x:v>Referencias explícitas y coincidencias de objetos: verificar si existe llamada real.</x:v>
      </x:c>
    </x:row>
    <x:row r="54" ht="27" customHeight="1">
      <x:c r="A54" t="str">
        <x:v>RF53</x:v>
      </x:c>
      <x:c r="B54" t="str">
        <x:v>RF053-EF1</x:v>
      </x:c>
      <x:c r="C54" t="str">
        <x:v>Cuentas y acceso | Administración e incidencias</x:v>
      </x:c>
      <x:c r="D54" t="str">
        <x:v>Sin cita textual</x:v>
      </x:c>
      <x:c r="E54" t="str">
        <x:v>E_CodigoRecuperacion, E_CorreoPendiente, E_EstadoCuenta, E_SolicitudEliminacion, E_Usuario</x:v>
      </x:c>
      <x:c r="F54" t="str">
        <x:v>C_Navegacion, C_ValidacionCuenta</x:v>
      </x:c>
      <x:c r="G54" t="str">
        <x:v>I_CredencialesRecuperacion, I_CuentaRecuperada, I_InformacionRecuperacionCuenta, I_InicioSesion, I_VerificarRecuperacionCuenta</x:v>
      </x:c>
      <x:c r="H54" t="str">
        <x:v>Referencias explícitas y coincidencias de objetos: verificar si existe llamada real.</x:v>
      </x:c>
    </x:row>
    <x:row r="55" ht="27" customHeight="1">
      <x:c r="A55" t="str">
        <x:v>RF54</x:v>
      </x:c>
      <x:c r="B55" t="str">
        <x:v>RF054-EF1</x:v>
      </x:c>
      <x:c r="C55" t="str">
        <x:v>Vehículos | TIVE</x:v>
      </x:c>
      <x:c r="D55" t="str">
        <x:v>RF08, RF10, RF11</x:v>
      </x:c>
      <x:c r="E55" t="str">
        <x:v>E_ImagenTIVE, E_TIVE, E_Vehiculo</x:v>
      </x:c>
      <x:c r="F55" t="str">
        <x:v>C_ControlDetalleVehiculo, C_ControlImagenTIVE, C_ControlTIVE, C_ControlVehiculo, C_Navegacion</x:v>
      </x:c>
      <x:c r="G55" t="str">
        <x:v>I_ConfirmacionRegistroTIVE, I_DetalleVehiculo, I_RegistrarTIVE, I_SeleccionarImagenTIVE</x:v>
      </x:c>
      <x:c r="H55" t="str">
        <x:v>Referencias explícitas y coincidencias de objetos: verificar si existe llamada real.</x:v>
      </x:c>
    </x:row>
    <x:row r="56" ht="27" customHeight="1">
      <x:c r="A56" t="str">
        <x:v>RF55</x:v>
      </x:c>
      <x:c r="B56" t="str">
        <x:v>RF055-EF1</x:v>
      </x:c>
      <x:c r="C56" t="str">
        <x:v>Vehículos | TIVE</x:v>
      </x:c>
      <x:c r="D56" t="str">
        <x:v>RF08, RF11</x:v>
      </x:c>
      <x:c r="E56" t="str">
        <x:v>E_ImagenTIVE, E_TIVE, E_Vehiculo</x:v>
      </x:c>
      <x:c r="F56" t="str">
        <x:v>C_ControlImagenTIVE, C_ControlTIVE, C_ControlVehiculo, C_Navegacion</x:v>
      </x:c>
      <x:c r="G56" t="str">
        <x:v>I_DetalleTIVE, I_DetalleVehiculo, I_VisorImagenTIVE</x:v>
      </x:c>
      <x:c r="H56" t="str">
        <x:v>Referencias explícitas y coincidencias de objetos: verificar si existe llamada real.</x:v>
      </x:c>
    </x:row>
    <x:row r="57" ht="27" customHeight="1">
      <x:c r="A57" t="str">
        <x:v>RF56</x:v>
      </x:c>
      <x:c r="B57" t="str">
        <x:v>RF056-EF1</x:v>
      </x:c>
      <x:c r="C57" t="str">
        <x:v>Vehículos | TIVE</x:v>
      </x:c>
      <x:c r="D57" t="str">
        <x:v>RF08</x:v>
      </x:c>
      <x:c r="E57" t="str">
        <x:v>E_ImagenTIVE, E_TIVE, E_Vehiculo</x:v>
      </x:c>
      <x:c r="F57" t="str">
        <x:v>C_ControlImagenTIVE, C_ControlTIVE, C_ControlVehiculo</x:v>
      </x:c>
      <x:c r="G57" t="str">
        <x:v>I_ConfirmacionEdicionTIVE, I_DetalleTIVE, I_DetalleVehiculo, I_EditarTIVE</x:v>
      </x:c>
      <x:c r="H57" t="str">
        <x:v>Referencias explícitas y coincidencias de objetos: verificar si existe llamada real.</x:v>
      </x:c>
    </x:row>
    <x:row r="58" ht="27" customHeight="1">
      <x:c r="A58" t="str">
        <x:v>RF57</x:v>
      </x:c>
      <x:c r="B58" t="str">
        <x:v>RF057_EXITOSO</x:v>
      </x:c>
      <x:c r="C58" t="str">
        <x:v>Cuentas y acceso | Administración e incidencias</x:v>
      </x:c>
      <x:c r="D58" t="str">
        <x:v>RF02, RF58, RF62</x:v>
      </x:c>
      <x:c r="E58" t="str">
        <x:v>E_Sesion, E_Usuario</x:v>
      </x:c>
      <x:c r="F58" t="str">
        <x:v>C_Autorizacion, C_InicioSesion, C_Navegacion</x:v>
      </x:c>
      <x:c r="G58" t="str">
        <x:v>I_InicioSesion, I_ModulosAdministrativos, I_PanelAdministrador</x:v>
      </x:c>
      <x:c r="H58" t="str">
        <x:v>Referencias explícitas y coincidencias de objetos: verificar si existe llamada real.</x:v>
      </x:c>
    </x:row>
    <x:row r="59" ht="27" customHeight="1">
      <x:c r="A59" t="str">
        <x:v>RF58</x:v>
      </x:c>
      <x:c r="B59" t="str">
        <x:v>RF058_EXITOSO</x:v>
      </x:c>
      <x:c r="C59" t="str">
        <x:v>Cuentas y acceso | Administración e incidencias</x:v>
      </x:c>
      <x:c r="D59" t="str">
        <x:v>RF07</x:v>
      </x:c>
      <x:c r="E59" t="str">
        <x:v>E_EstadoCuenta, E_Usuario</x:v>
      </x:c>
      <x:c r="F59" t="str">
        <x:v>C_Autorizacion, C_ControlCuenta</x:v>
      </x:c>
      <x:c r="G59" t="str">
        <x:v>I_DetalleUsuarioAdmin, I_HistorialEstadoCuenta, I_PanelAdministrador, I_UsuariosAdmin</x:v>
      </x:c>
      <x:c r="H59" t="str">
        <x:v>Referencias explícitas y coincidencias de objetos: verificar si existe llamada real.</x:v>
      </x:c>
    </x:row>
    <x:row r="60" ht="27" customHeight="1">
      <x:c r="A60" t="str">
        <x:v>RF59</x:v>
      </x:c>
      <x:c r="B60" t="str">
        <x:v>RF059_EXITOSO</x:v>
      </x:c>
      <x:c r="C60" t="str">
        <x:v>Cuentas y acceso | Administración e incidencias</x:v>
      </x:c>
      <x:c r="D60" t="str">
        <x:v>RF07</x:v>
      </x:c>
      <x:c r="E60" t="str">
        <x:v>E_EstadoCuenta, E_Sesion, E_Usuario</x:v>
      </x:c>
      <x:c r="F60" t="str">
        <x:v>C_Autorizacion, C_ControlCuenta</x:v>
      </x:c>
      <x:c r="G60" t="str">
        <x:v>I_ConfirmacionEstadoCuenta, I_DetalleUsuarioAdmin</x:v>
      </x:c>
      <x:c r="H60" t="str">
        <x:v>Referencias explícitas y coincidencias de objetos: verificar si existe llamada real.</x:v>
      </x:c>
    </x:row>
    <x:row r="61" ht="27" customHeight="1">
      <x:c r="A61" t="str">
        <x:v>RF60</x:v>
      </x:c>
      <x:c r="B61" t="str">
        <x:v>RF060_EXITOSO</x:v>
      </x:c>
      <x:c r="C61" t="str">
        <x:v>Planes y pagos | Administración e incidencias</x:v>
      </x:c>
      <x:c r="D61" t="str">
        <x:v>RF28, RF30, RF61</x:v>
      </x:c>
      <x:c r="E61" t="str">
        <x:v>E_Pago, E_Suscripcion, E_Vehiculo</x:v>
      </x:c>
      <x:c r="F61" t="str">
        <x:v>C_ControlSuscripcion</x:v>
      </x:c>
      <x:c r="G61" t="str">
        <x:v>I_DetalleSuscripcionAdmin, I_HistorialSuscripcion, I_PanelAdministrador, I_ResultadoVerificacion, I_SuscripcionesAdmin</x:v>
      </x:c>
      <x:c r="H61" t="str">
        <x:v>Referencias explícitas y coincidencias de objetos: verificar si existe llamada real.</x:v>
      </x:c>
    </x:row>
    <x:row r="62" ht="27" customHeight="1">
      <x:c r="A62" t="str">
        <x:v>RF61</x:v>
      </x:c>
      <x:c r="B62" t="str">
        <x:v>RF061_EXITOSO</x:v>
      </x:c>
      <x:c r="C62" t="str">
        <x:v>Administración e incidencias</x:v>
      </x:c>
      <x:c r="D62" t="str">
        <x:v>Sin cita textual</x:v>
      </x:c>
      <x:c r="E62" t="str">
        <x:v>E_AvanceIncidencia, E_Incidencia, E_Usuario</x:v>
      </x:c>
      <x:c r="F62" t="str">
        <x:v>C_Autorizacion, C_ControlIncidencia</x:v>
      </x:c>
      <x:c r="G62" t="str">
        <x:v>I_ActualizarEstadoIncidencia, I_AgregarAvanceIncidencia, I_DetalleIncidenciaAdmin, I_IncidenciasAdmin, I_PanelAdministrador</x:v>
      </x:c>
      <x:c r="H62" t="str">
        <x:v>Referencias explícitas y coincidencias de objetos: verificar si existe llamada real.</x:v>
      </x:c>
    </x:row>
    <x:row r="63" ht="27" customHeight="1">
      <x:c r="A63" t="str">
        <x:v>RF62</x:v>
      </x:c>
      <x:c r="B63" t="str">
        <x:v>RF062_EXITOSO</x:v>
      </x:c>
      <x:c r="C63" t="str">
        <x:v>Mantenimientos | Administración e incidencias</x:v>
      </x:c>
      <x:c r="D63" t="str">
        <x:v>RF17, RF22, RF24</x:v>
      </x:c>
      <x:c r="E63" t="str">
        <x:v>—</x:v>
      </x:c>
      <x:c r="F63" t="str">
        <x:v>C_Autorizacion</x:v>
      </x:c>
      <x:c r="G63" t="str">
        <x:v>I_CatalogosAdmin, I_ConfirmacionCatalogo, I_FormularioCatalogo, I_ListaElementosCatalogo, I_PanelAdministrador</x:v>
      </x:c>
      <x:c r="H63" t="str">
        <x:v>Referencias explícitas y coincidencias de objetos: verificar si existe llamada real.</x:v>
      </x:c>
    </x:row>
    <x:row r="64" ht="27" customHeight="1">
      <x:c r="A64" t="str">
        <x:v>RF63</x:v>
      </x:c>
      <x:c r="B64" t="str">
        <x:v>RF063_EXITOSO</x:v>
      </x:c>
      <x:c r="C64" t="str">
        <x:v>Administración e incidencias</x:v>
      </x:c>
      <x:c r="D64" t="str">
        <x:v>RF64</x:v>
      </x:c>
      <x:c r="E64" t="str">
        <x:v>E_Incidencia, E_Usuario</x:v>
      </x:c>
      <x:c r="F64" t="str">
        <x:v>C_ControlIncidencia, C_Sesion</x:v>
      </x:c>
      <x:c r="G64" t="str">
        <x:v>I_ConfirmacionIncidenciaEnviada, I_MisIncidencias, I_Perfil, I_RegistroIncidenciaUsuario, I_SeleccionarEvidenciaIncidencia</x:v>
      </x:c>
      <x:c r="H64" t="str">
        <x:v>Referencias explícitas y coincidencias de objetos: verificar si existe llamada real.</x:v>
      </x:c>
    </x:row>
    <x:row r="65" ht="27" customHeight="1">
      <x:c r="A65" t="str">
        <x:v>RF64</x:v>
      </x:c>
      <x:c r="B65" t="str">
        <x:v>RF064_EXITOSO</x:v>
      </x:c>
      <x:c r="C65" t="str">
        <x:v>Administración e incidencias</x:v>
      </x:c>
      <x:c r="D65" t="str">
        <x:v>RF63</x:v>
      </x:c>
      <x:c r="E65" t="str">
        <x:v>E_AvanceIncidencia, E_Incidencia</x:v>
      </x:c>
      <x:c r="F65" t="str">
        <x:v>C_ControlIncidencia, C_Sesion</x:v>
      </x:c>
      <x:c r="G65" t="str">
        <x:v>I_DetalleIncidenciaUsuario, I_MisIncidencias, I_Perfil</x:v>
      </x:c>
      <x:c r="H65" t="str">
        <x:v>Referencias explícitas y coincidencias de objetos: verificar si existe llamada real.</x:v>
      </x:c>
    </x:row>
  </x:sheetData>
  <x:pageMargins left="0.7" right="0.7" top="0.75" bottom="0.75" header="0.3" footer="0.3"/>
</x:worksheet>
</file>

<file path=xl/worksheets/sheet9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57" hidden="0" customWidth="1"/>
    <x:col min="3" max="3" width="45" hidden="0" customWidth="1"/>
    <x:col min="4" max="4" width="57" hidden="0" customWidth="1"/>
    <x:col min="5" max="5" width="75" hidden="0" customWidth="1"/>
    <x:col min="6" max="6" width="45" hidden="0" customWidth="1"/>
    <x:col min="7" max="7" width="80" hidden="0" customWidth="1"/>
  </x:cols>
  <x:sheetData>
    <x:row r="1" ht="29" customHeight="1">
      <x:c r="A1" s="1015" t="str">
        <x:v>Componente / dueño</x:v>
      </x:c>
      <x:c r="B1" s="1015" t="str">
        <x:v>Método / interfaz</x:v>
      </x:c>
      <x:c r="C1" s="1015" t="str">
        <x:v>Colaborador</x:v>
      </x:c>
      <x:c r="D1" s="1015" t="str">
        <x:v>Entrada</x:v>
      </x:c>
      <x:c r="E1" s="1015" t="str">
        <x:v>Contrato de salida / invariante</x:v>
      </x:c>
      <x:c r="F1" s="1015" t="str">
        <x:v>RF interesados</x:v>
      </x:c>
      <x:c r="G1" s="1015" t="str">
        <x:v>Situación</x:v>
      </x:c>
    </x:row>
    <x:row r="2" ht="27" customHeight="1">
      <x:c r="A2" t="str">
        <x:v>C_ControlVehiculo</x:v>
      </x:c>
      <x:c r="B2" t="str">
        <x:v>verificarVehiculoUsuarioActivo(idUsuario,idVehiculo)</x:v>
      </x:c>
      <x:c r="C2" t="str">
        <x:v>C_ControlVehiculo/E_Vehiculo</x:v>
      </x:c>
      <x:c r="D2" t="str">
        <x:v>idUsuario de sesión + idVehiculo</x:v>
      </x:c>
      <x:c r="E2" t="str">
        <x:v>Vehículo propio y ACTIVO o rechazo</x:v>
      </x:c>
      <x:c r="F2" t="str">
        <x:v>RF14,RF16</x:v>
      </x:c>
      <x:c r="G2" t="str">
        <x:v>REUTILIZAR; verificar otros RF</x:v>
      </x:c>
    </x:row>
    <x:row r="3" ht="27" customHeight="1">
      <x:c r="A3" t="str">
        <x:v>C_ControlKilometraje</x:v>
      </x:c>
      <x:c r="B3" t="str">
        <x:v>consultarUltimaLecturaEfectiva(idVehiculo)</x:v>
      </x:c>
      <x:c r="C3" t="str">
        <x:v>E_Kilometraje</x:v>
      </x:c>
      <x:c r="D3" t="str">
        <x:v>idVehiculo</x:v>
      </x:c>
      <x:c r="E3" t="str">
        <x:v>kmPrevio,idLectura,version</x:v>
      </x:c>
      <x:c r="F3" t="str">
        <x:v>RF14,RF16</x:v>
      </x:c>
      <x:c r="G3" t="str">
        <x:v>COMPARTIDO DOCUMENTAL</x:v>
      </x:c>
    </x:row>
    <x:row r="4" ht="27" customHeight="1">
      <x:c r="A4" t="str">
        <x:v>C_ControlKilometraje</x:v>
      </x:c>
      <x:c r="B4" t="str">
        <x:v>validarKilometrajeDiferente(kmPrevio,kmNuevo)</x:v>
      </x:c>
      <x:c r="C4" t="str">
        <x:v>C_ControlKilometraje</x:v>
      </x:c>
      <x:c r="D4" t="str">
        <x:v>kmPrevio, kmNuevo</x:v>
      </x:c>
      <x:c r="E4" t="str">
        <x:v>Validación numérica; divergencia controlada de actualización/corrección</x:v>
      </x:c>
      <x:c r="F4" t="str">
        <x:v>RF14,RF16</x:v>
      </x:c>
      <x:c r="G4" t="str">
        <x:v>NOMBRE PROPUESTO RF16; cotejar criterios</x:v>
      </x:c>
    </x:row>
    <x:row r="5" ht="27" customHeight="1">
      <x:c r="A5" t="str">
        <x:v>C_ControlKilometraje</x:v>
      </x:c>
      <x:c r="B5" t="str">
        <x:v>mostrarVistaPrevia(tipo,kmPrevio,kmNuevo)</x:v>
      </x:c>
      <x:c r="C5" t="str">
        <x:v>I_VistaPreviaKilometraje</x:v>
      </x:c>
      <x:c r="D5" t="str">
        <x:v>ACTUALIZACION / CORRECCION,previo,nuevo</x:v>
      </x:c>
      <x:c r="E5" t="str">
        <x:v>No escribe BD; confirmar o volver a editar</x:v>
      </x:c>
      <x:c r="F5" t="str">
        <x:v>RF14,RF16</x:v>
      </x:c>
      <x:c r="G5" t="str">
        <x:v>INTERFAZ COMPARTIDA</x:v>
      </x:c>
    </x:row>
    <x:row r="6" ht="27" customHeight="1">
      <x:c r="A6" t="str">
        <x:v>C_ControlKilometraje</x:v>
      </x:c>
      <x:c r="B6" t="str">
        <x:v>solicitarConfirmacionCorreccion(...)</x:v>
      </x:c>
      <x:c r="C6" t="str">
        <x:v>C_ControlKilometraje</x:v>
      </x:c>
      <x:c r="D6" t="str">
        <x:v>idVehiculo,idLectura,previo,nuevo,version,claveOperacion</x:v>
      </x:c>
      <x:c r="E6" t="str">
        <x:v>Una actualización y evento técnico atómicos</x:v>
      </x:c>
      <x:c r="F6" t="str">
        <x:v>RF16</x:v>
      </x:c>
      <x:c r="G6" t="str">
        <x:v>REFAC. DOC; requieren pruebas</x:v>
      </x:c>
    </x:row>
    <x:row r="7" ht="27" customHeight="1">
      <x:c r="A7" t="str">
        <x:v>C_ControlSuscripcion</x:v>
      </x:c>
      <x:c r="B7" t="str">
        <x:v>consultarPlanEfectivo(idUsuario,fechaActual)</x:v>
      </x:c>
      <x:c r="C7" t="str">
        <x:v>E_Suscripcion</x:v>
      </x:c>
      <x:c r="D7" t="str">
        <x:v>usuario,fechaServidor</x:v>
      </x:c>
      <x:c r="E7" t="str">
        <x:v>FREE/PREMIUM con vigencia real</x:v>
      </x:c>
      <x:c r="F7" t="str">
        <x:v>RF08,RF12,RF13,RF29,RF30</x:v>
      </x:c>
      <x:c r="G7" t="str">
        <x:v>CONSOLIDAR VARIANTES DE CONSULTA; NO MODIFICADO AUTOMÁTICAMENTE</x:v>
      </x:c>
    </x:row>
    <x:row r="8" ht="27" customHeight="1">
      <x:c r="A8" t="str">
        <x:v>C_Autorizacion</x:v>
      </x:c>
      <x:c r="B8" t="str">
        <x:v>validarPermisoMutacion(idAdmin,recurso,accion)</x:v>
      </x:c>
      <x:c r="C8" t="str">
        <x:v>C_Autorizacion</x:v>
      </x:c>
      <x:c r="D8" t="str">
        <x:v>usuario,permiso,operación</x:v>
      </x:c>
      <x:c r="E8" t="str">
        <x:v>Autorizar/denegar según rol por cada mutación</x:v>
      </x:c>
      <x:c r="F8" t="str">
        <x:v>RF59,RF61,RF62</x:v>
      </x:c>
      <x:c r="G8" t="str">
        <x:v>CONTRATO PROPUESTO DESDE RF61; verificar alternativas</x:v>
      </x:c>
    </x:row>
    <x:row r="9" ht="27" customHeight="1">
      <x:c r="A9" t="str">
        <x:v>C_RecuperarCuenta</x:v>
      </x:c>
      <x:c r="B9" t="str">
        <x:v>confirmarTransaccionReactivacion()</x:v>
      </x:c>
      <x:c r="C9" t="str">
        <x:v>E_Usuario,E_SolicitudEliminacion,E_CodigoRecuperacion</x:v>
      </x:c>
      <x:c r="D9" t="str">
        <x:v>idUsuario,idSolicitud,idOTP</x:v>
      </x:c>
      <x:c r="E9" t="str">
        <x:v>Cuenta ACTIVA + solicitud CANCELADA + OTP consumido atomicamente</x:v>
      </x:c>
      <x:c r="F9" t="str">
        <x:v>RF07,RF53,RF59</x:v>
      </x:c>
      <x:c r="G9" t="str">
        <x:v>PENDIENTE VERIFICAR COMMIT Y BLOQUEOS</x:v>
      </x:c>
    </x:row>
    <x:row r="10" ht="27" customHeight="1">
      <x:c r="A10" t="str">
        <x:v>C_ControlAlerta</x:v>
      </x:c>
      <x:c r="B10" t="str">
        <x:v>recalcularAlertasPorCorreccionKm(idVehiculo,kmNuevo)</x:v>
      </x:c>
      <x:c r="C10" t="str">
        <x:v>E_Alerta,E_HistorialAlerta</x:v>
      </x:c>
      <x:c r="D10" t="str">
        <x:v>vehículo, lectura corregida</x:v>
      </x:c>
      <x:c r="E10" t="str">
        <x:v>Solo transiciones válidas, sin reset recordatorio KM</x:v>
      </x:c>
      <x:c r="F10" t="str">
        <x:v>RF16,RF23,RF44</x:v>
      </x:c>
      <x:c r="G10" t="str">
        <x:v>CONTRATO DOCUMENTAL</x:v>
      </x:c>
    </x:row>
    <x:row r="11" ht="27" customHeight="1">
      <x:c r="A11" t="str">
        <x:v>C_ControlLicencia</x:v>
      </x:c>
      <x:c r="B11" t="str">
        <x:v>consultarLicenciaConservada(usuario)</x:v>
      </x:c>
      <x:c r="C11" t="str">
        <x:v>E_Licencia</x:v>
      </x:c>
      <x:c r="D11" t="str">
        <x:v>idUsuario autenticado</x:v>
      </x:c>
      <x:c r="E11" t="str">
        <x:v>Lectura del registro previo Free/Premium</x:v>
      </x:c>
      <x:c r="F11" t="str">
        <x:v>RF23,RF51,RF52</x:v>
      </x:c>
      <x:c r="G11" t="str">
        <x:v>CONCEPTO; MÉTODO EXACTO POR VALIDAR</x:v>
      </x:c>
    </x:row>
  </x:sheetData>
  <x:pageMargins left="0.7" right="0.7" top="0.75" bottom="0.75" header="0.3" footer="0.3"/>
</x:worksheet>
</file>

<file path=xl/worksheets/sheet10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2" hidden="0" customWidth="1"/>
    <x:col min="2" max="2" width="27" hidden="0" customWidth="1"/>
    <x:col min="3" max="3" width="23" hidden="0" customWidth="1"/>
    <x:col min="4" max="4" width="110" hidden="0" customWidth="1"/>
    <x:col min="5" max="5" width="82" hidden="0" customWidth="1"/>
  </x:cols>
  <x:sheetData>
    <x:row r="1" ht="29" customHeight="1">
      <x:c r="A1" s="1015" t="str">
        <x:v>Objeto</x:v>
      </x:c>
      <x:c r="B1" s="1015" t="str">
        <x:v>Tipo</x:v>
      </x:c>
      <x:c r="C1" s="1015" t="str">
        <x:v>Cantidad de RF que lo usan</x:v>
      </x:c>
      <x:c r="D1" s="1015" t="str">
        <x:v>RF donde aparece</x:v>
      </x:c>
      <x:c r="E1" s="1015" t="str">
        <x:v>Estado de evidencia</x:v>
      </x:c>
    </x:row>
    <x:row r="2" ht="27" customHeight="1">
      <x:c r="A2" t="str">
        <x:v>API_ReportePDF</x:v>
      </x:c>
      <x:c r="B2" t="str">
        <x:v>Servicio externo/otro</x:v>
      </x:c>
      <x:c r="C2" t="n">
        <x:v>1</x:v>
      </x:c>
      <x:c r="D2" t="str">
        <x:v>RF27</x:v>
      </x:c>
      <x:c r="E2" t="str">
        <x:v>Identidad del componente por homologar con arquitectura real.</x:v>
      </x:c>
    </x:row>
    <x:row r="3" ht="27" customHeight="1">
      <x:c r="A3" t="str">
        <x:v>AS_Administrador</x:v>
      </x:c>
      <x:c r="B3" t="str">
        <x:v>Actor</x:v>
      </x:c>
      <x:c r="C3" t="n">
        <x:v>6</x:v>
      </x:c>
      <x:c r="D3" t="str">
        <x:v>RF57, RF58, RF59, RF60, RF61, RF62</x:v>
      </x:c>
      <x:c r="E3" t="str">
        <x:v>Identidad del componente por homologar con arquitectura real.</x:v>
      </x:c>
    </x:row>
    <x:row r="4" ht="27" customHeight="1">
      <x:c r="A4" t="str">
        <x:v>AS_Usuario</x:v>
      </x:c>
      <x:c r="B4" t="str">
        <x:v>Actor</x:v>
      </x:c>
      <x:c r="C4" t="n">
        <x:v>58</x:v>
      </x:c>
      <x:c r="D4" t="str">
        <x:v>RF01, RF02, RF03, RF04, RF05, RF06, RF07, RF08, RF09, RF10, RF11, RF12, RF13, RF14, RF15, RF16, RF17, RF18, RF19, RF20, RF21, RF22, RF23, RF24, RF25, RF26, RF27, RF28, RF29, RF30, RF31, RF32, RF33, RF34, RF35, RF36, RF37, RF38, RF39, RF40, RF41, RF42, RF43, RF44, RF45, RF46, RF47, RF48, RF49, RF50, RF51, RF52, RF53, RF54, RF55, RF56, RF63, RF64</x:v>
      </x:c>
      <x:c r="E4" t="str">
        <x:v>Identidad del componente por homologar con arquitectura real.</x:v>
      </x:c>
    </x:row>
    <x:row r="5" ht="27" customHeight="1">
      <x:c r="A5" t="str">
        <x:v>C_Autorizacion</x:v>
      </x:c>
      <x:c r="B5" t="str">
        <x:v>Control</x:v>
      </x:c>
      <x:c r="C5" t="n">
        <x:v>5</x:v>
      </x:c>
      <x:c r="D5" t="str">
        <x:v>RF57, RF58, RF59, RF61, RF62</x:v>
      </x:c>
      <x:c r="E5" t="str">
        <x:v>Identidad del componente por homologar con arquitectura real.</x:v>
      </x:c>
    </x:row>
    <x:row r="6" ht="27" customHeight="1">
      <x:c r="A6" t="str">
        <x:v>C_CambioContrasena</x:v>
      </x:c>
      <x:c r="B6" t="str">
        <x:v>Control</x:v>
      </x:c>
      <x:c r="C6" t="n">
        <x:v>1</x:v>
      </x:c>
      <x:c r="D6" t="str">
        <x:v>RF05</x:v>
      </x:c>
      <x:c r="E6" t="str">
        <x:v>Identidad del componente por homologar con arquitectura real.</x:v>
      </x:c>
    </x:row>
    <x:row r="7" ht="27" customHeight="1">
      <x:c r="A7" t="str">
        <x:v>C_CerrarSesion</x:v>
      </x:c>
      <x:c r="B7" t="str">
        <x:v>Control</x:v>
      </x:c>
      <x:c r="C7" t="n">
        <x:v>1</x:v>
      </x:c>
      <x:c r="D7" t="str">
        <x:v>RF06</x:v>
      </x:c>
      <x:c r="E7" t="str">
        <x:v>Identidad del componente por homologar con arquitectura real.</x:v>
      </x:c>
    </x:row>
    <x:row r="8" ht="27" customHeight="1">
      <x:c r="A8" t="str">
        <x:v>C_ControlAlerta</x:v>
      </x:c>
      <x:c r="B8" t="str">
        <x:v>Control</x:v>
      </x:c>
      <x:c r="C8" t="n">
        <x:v>15</x:v>
      </x:c>
      <x:c r="D8" t="str">
        <x:v>RF07, RF12, RF14, RF16, RF21, RF22, RF23, RF24, RF31, RF32, RF33, RF46, RF47, RF50, RF51</x:v>
      </x:c>
      <x:c r="E8" t="str">
        <x:v>Identidad del componente por homologar con arquitectura real.</x:v>
      </x:c>
    </x:row>
    <x:row r="9" ht="27" customHeight="1">
      <x:c r="A9" t="str">
        <x:v>C_ControlCatalogo</x:v>
      </x:c>
      <x:c r="B9" t="str">
        <x:v>Control</x:v>
      </x:c>
      <x:c r="C9" t="n">
        <x:v>1</x:v>
      </x:c>
      <x:c r="D9" t="str">
        <x:v>RF62</x:v>
      </x:c>
      <x:c r="E9" t="str">
        <x:v>Identidad del componente por homologar con arquitectura real.</x:v>
      </x:c>
    </x:row>
    <x:row r="10" ht="27" customHeight="1">
      <x:c r="A10" t="str">
        <x:v>C_ControlCompartirVehiculo</x:v>
      </x:c>
      <x:c r="B10" t="str">
        <x:v>Control</x:v>
      </x:c>
      <x:c r="C10" t="n">
        <x:v>1</x:v>
      </x:c>
      <x:c r="D10" t="str">
        <x:v>RF41</x:v>
      </x:c>
      <x:c r="E10" t="str">
        <x:v>Identidad del componente por homologar con arquitectura real.</x:v>
      </x:c>
    </x:row>
    <x:row r="11" ht="27" customHeight="1">
      <x:c r="A11" t="str">
        <x:v>C_ControlCuenta</x:v>
      </x:c>
      <x:c r="B11" t="str">
        <x:v>Control</x:v>
      </x:c>
      <x:c r="C11" t="n">
        <x:v>2</x:v>
      </x:c>
      <x:c r="D11" t="str">
        <x:v>RF58, RF59</x:v>
      </x:c>
      <x:c r="E11" t="str">
        <x:v>Identidad del componente por homologar con arquitectura real.</x:v>
      </x:c>
    </x:row>
    <x:row r="12" ht="27" customHeight="1">
      <x:c r="A12" t="str">
        <x:v>C_ControlDetalleVehiculo</x:v>
      </x:c>
      <x:c r="B12" t="str">
        <x:v>Control</x:v>
      </x:c>
      <x:c r="C12" t="n">
        <x:v>6</x:v>
      </x:c>
      <x:c r="D12" t="str">
        <x:v>RF10, RF11, RF42, RF43, RF45, RF54</x:v>
      </x:c>
      <x:c r="E12" t="str">
        <x:v>Identidad del componente por homologar con arquitectura real.</x:v>
      </x:c>
    </x:row>
    <x:row r="13" ht="27" customHeight="1">
      <x:c r="A13" t="str">
        <x:v>C_ControlEdicionVehiculo</x:v>
      </x:c>
      <x:c r="B13" t="str">
        <x:v>Control</x:v>
      </x:c>
      <x:c r="C13" t="n">
        <x:v>1</x:v>
      </x:c>
      <x:c r="D13" t="str">
        <x:v>RF11</x:v>
      </x:c>
      <x:c r="E13" t="str">
        <x:v>Identidad del componente por homologar con arquitectura real.</x:v>
      </x:c>
    </x:row>
    <x:row r="14" ht="27" customHeight="1">
      <x:c r="A14" t="str">
        <x:v>C_ControlEstadoVehiculo</x:v>
      </x:c>
      <x:c r="B14" t="str">
        <x:v>Control</x:v>
      </x:c>
      <x:c r="C14" t="n">
        <x:v>1</x:v>
      </x:c>
      <x:c r="D14" t="str">
        <x:v>RF12</x:v>
      </x:c>
      <x:c r="E14" t="str">
        <x:v>Identidad del componente por homologar con arquitectura real.</x:v>
      </x:c>
    </x:row>
    <x:row r="15" ht="27" customHeight="1">
      <x:c r="A15" t="str">
        <x:v>C_ControlHistorial</x:v>
      </x:c>
      <x:c r="B15" t="str">
        <x:v>Control</x:v>
      </x:c>
      <x:c r="C15" t="n">
        <x:v>9</x:v>
      </x:c>
      <x:c r="D15" t="str">
        <x:v>RF15, RF17, RF18, RF19, RF21, RF25, RF26, RF27, RF50</x:v>
      </x:c>
      <x:c r="E15" t="str">
        <x:v>Identidad del componente por homologar con arquitectura real.</x:v>
      </x:c>
    </x:row>
    <x:row r="16" ht="27" customHeight="1">
      <x:c r="A16" t="str">
        <x:v>C_ControlImagenTIVE</x:v>
      </x:c>
      <x:c r="B16" t="str">
        <x:v>Control</x:v>
      </x:c>
      <x:c r="C16" t="n">
        <x:v>3</x:v>
      </x:c>
      <x:c r="D16" t="str">
        <x:v>RF54, RF55, RF56</x:v>
      </x:c>
      <x:c r="E16" t="str">
        <x:v>Identidad del componente por homologar con arquitectura real.</x:v>
      </x:c>
    </x:row>
    <x:row r="17" ht="27" customHeight="1">
      <x:c r="A17" t="str">
        <x:v>C_ControlImagenVehiculo</x:v>
      </x:c>
      <x:c r="B17" t="str">
        <x:v>Control</x:v>
      </x:c>
      <x:c r="C17" t="n">
        <x:v>11</x:v>
      </x:c>
      <x:c r="D17" t="str">
        <x:v>RF08, RF09, RF10, RF11, RF12, RF13, RF41, RF42, RF43, RF45, RF50</x:v>
      </x:c>
      <x:c r="E17" t="str">
        <x:v>Identidad del componente por homologar con arquitectura real.</x:v>
      </x:c>
    </x:row>
    <x:row r="18" ht="27" customHeight="1">
      <x:c r="A18" t="str">
        <x:v>C_ControlIncidencia</x:v>
      </x:c>
      <x:c r="B18" t="str">
        <x:v>Control</x:v>
      </x:c>
      <x:c r="C18" t="n">
        <x:v>3</x:v>
      </x:c>
      <x:c r="D18" t="str">
        <x:v>RF61, RF63, RF64</x:v>
      </x:c>
      <x:c r="E18" t="str">
        <x:v>Identidad del componente por homologar con arquitectura real.</x:v>
      </x:c>
    </x:row>
    <x:row r="19" ht="27" customHeight="1">
      <x:c r="A19" t="str">
        <x:v>C_ControlInicio</x:v>
      </x:c>
      <x:c r="B19" t="str">
        <x:v>Control</x:v>
      </x:c>
      <x:c r="C19" t="n">
        <x:v>1</x:v>
      </x:c>
      <x:c r="D19" t="str">
        <x:v>RF50</x:v>
      </x:c>
      <x:c r="E19" t="str">
        <x:v>Identidad del componente por homologar con arquitectura real.</x:v>
      </x:c>
    </x:row>
    <x:row r="20" ht="27" customHeight="1">
      <x:c r="A20" t="str">
        <x:v>C_ControlKilometraje</x:v>
      </x:c>
      <x:c r="B20" t="str">
        <x:v>Control</x:v>
      </x:c>
      <x:c r="C20" t="n">
        <x:v>20</x:v>
      </x:c>
      <x:c r="D20" t="str">
        <x:v>RF08, RF09, RF10, RF11, RF12, RF13, RF14, RF15, RF16, RF17, RF21, RF22, RF23, RF24, RF25, RF26, RF27, RF44, RF47, RF50</x:v>
      </x:c>
      <x:c r="E20" t="str">
        <x:v>Identidad del componente por homologar con arquitectura real.</x:v>
      </x:c>
    </x:row>
    <x:row r="21" ht="27" customHeight="1">
      <x:c r="A21" t="str">
        <x:v>C_ControlLicencia</x:v>
      </x:c>
      <x:c r="B21" t="str">
        <x:v>Control</x:v>
      </x:c>
      <x:c r="C21" t="n">
        <x:v>3</x:v>
      </x:c>
      <x:c r="D21" t="str">
        <x:v>RF23, RF51, RF52</x:v>
      </x:c>
      <x:c r="E21" t="str">
        <x:v>Identidad del componente por homologar con arquitectura real.</x:v>
      </x:c>
    </x:row>
    <x:row r="22" ht="27" customHeight="1">
      <x:c r="A22" t="str">
        <x:v>C_ControlListadoVehiculos</x:v>
      </x:c>
      <x:c r="B22" t="str">
        <x:v>Control</x:v>
      </x:c>
      <x:c r="C22" t="n">
        <x:v>5</x:v>
      </x:c>
      <x:c r="D22" t="str">
        <x:v>RF09, RF12, RF13, RF22, RF23</x:v>
      </x:c>
      <x:c r="E22" t="str">
        <x:v>Identidad del componente por homologar con arquitectura real.</x:v>
      </x:c>
    </x:row>
    <x:row r="23" ht="27" customHeight="1">
      <x:c r="A23" t="str">
        <x:v>C_ControlMantenimiento</x:v>
      </x:c>
      <x:c r="B23" t="str">
        <x:v>Control</x:v>
      </x:c>
      <x:c r="C23" t="n">
        <x:v>5</x:v>
      </x:c>
      <x:c r="D23" t="str">
        <x:v>RF17, RF20, RF21, RF22, RF24</x:v>
      </x:c>
      <x:c r="E23" t="str">
        <x:v>Identidad del componente por homologar con arquitectura real.</x:v>
      </x:c>
    </x:row>
    <x:row r="24" ht="27" customHeight="1">
      <x:c r="A24" t="str">
        <x:v>C_ControlNotificacion</x:v>
      </x:c>
      <x:c r="B24" t="str">
        <x:v>Control</x:v>
      </x:c>
      <x:c r="C24" t="n">
        <x:v>15</x:v>
      </x:c>
      <x:c r="D24" t="str">
        <x:v>RF07, RF12, RF14, RF22, RF23, RF24, RF31, RF32, RF33, RF44, RF46, RF47, RF48, RF49, RF50</x:v>
      </x:c>
      <x:c r="E24" t="str">
        <x:v>Identidad del componente por homologar con arquitectura real.</x:v>
      </x:c>
    </x:row>
    <x:row r="25" ht="27" customHeight="1">
      <x:c r="A25" t="str">
        <x:v>C_ControlPago</x:v>
      </x:c>
      <x:c r="B25" t="str">
        <x:v>Control</x:v>
      </x:c>
      <x:c r="C25" t="n">
        <x:v>2</x:v>
      </x:c>
      <x:c r="D25" t="str">
        <x:v>RF29, RF30</x:v>
      </x:c>
      <x:c r="E25" t="str">
        <x:v>Identidad del componente por homologar con arquitectura real.</x:v>
      </x:c>
    </x:row>
    <x:row r="26" ht="27" customHeight="1">
      <x:c r="A26" t="str">
        <x:v>C_ControlRegistroVehiculo</x:v>
      </x:c>
      <x:c r="B26" t="str">
        <x:v>Control</x:v>
      </x:c>
      <x:c r="C26" t="n">
        <x:v>1</x:v>
      </x:c>
      <x:c r="D26" t="str">
        <x:v>RF08</x:v>
      </x:c>
      <x:c r="E26" t="str">
        <x:v>Identidad del componente por homologar con arquitectura real.</x:v>
      </x:c>
    </x:row>
    <x:row r="27" ht="27" customHeight="1">
      <x:c r="A27" t="str">
        <x:v>C_ControlRepuesto</x:v>
      </x:c>
      <x:c r="B27" t="str">
        <x:v>Control</x:v>
      </x:c>
      <x:c r="C27" t="n">
        <x:v>3</x:v>
      </x:c>
      <x:c r="D27" t="str">
        <x:v>RF19, RF20, RF27</x:v>
      </x:c>
      <x:c r="E27" t="str">
        <x:v>Identidad del componente por homologar con arquitectura real.</x:v>
      </x:c>
    </x:row>
    <x:row r="28" ht="27" customHeight="1">
      <x:c r="A28" t="str">
        <x:v>C_ControlSOAT</x:v>
      </x:c>
      <x:c r="B28" t="str">
        <x:v>Control</x:v>
      </x:c>
      <x:c r="C28" t="n">
        <x:v>8</x:v>
      </x:c>
      <x:c r="D28" t="str">
        <x:v>RF09, RF10, RF12, RF13, RF31, RF32, RF33, RF47</x:v>
      </x:c>
      <x:c r="E28" t="str">
        <x:v>Identidad del componente por homologar con arquitectura real.</x:v>
      </x:c>
    </x:row>
    <x:row r="29" ht="27" customHeight="1">
      <x:c r="A29" t="str">
        <x:v>C_ControlSuscripcion</x:v>
      </x:c>
      <x:c r="B29" t="str">
        <x:v>Control</x:v>
      </x:c>
      <x:c r="C29" t="n">
        <x:v>11</x:v>
      </x:c>
      <x:c r="D29" t="str">
        <x:v>RF01, RF08, RF12, RF23, RF27, RF28, RF29, RF30, RF51, RF52, RF60</x:v>
      </x:c>
      <x:c r="E29" t="str">
        <x:v>Identidad del componente por homologar con arquitectura real.</x:v>
      </x:c>
    </x:row>
    <x:row r="30" ht="27" customHeight="1">
      <x:c r="A30" t="str">
        <x:v>C_ControlSuscripcionAdmin</x:v>
      </x:c>
      <x:c r="B30" t="str">
        <x:v>Control</x:v>
      </x:c>
      <x:c r="C30" t="n">
        <x:v>1</x:v>
      </x:c>
      <x:c r="D30" t="str">
        <x:v>RF60</x:v>
      </x:c>
      <x:c r="E30" t="str">
        <x:v>Identidad del componente por homologar con arquitectura real.</x:v>
      </x:c>
    </x:row>
    <x:row r="31" ht="27" customHeight="1">
      <x:c r="A31" t="str">
        <x:v>C_ControlTIVE</x:v>
      </x:c>
      <x:c r="B31" t="str">
        <x:v>Control</x:v>
      </x:c>
      <x:c r="C31" t="n">
        <x:v>7</x:v>
      </x:c>
      <x:c r="D31" t="str">
        <x:v>RF09, RF10, RF12, RF13, RF54, RF55, RF56</x:v>
      </x:c>
      <x:c r="E31" t="str">
        <x:v>Identidad del componente por homologar con arquitectura real.</x:v>
      </x:c>
    </x:row>
    <x:row r="32" ht="27" customHeight="1">
      <x:c r="A32" t="str">
        <x:v>C_ControlTaller</x:v>
      </x:c>
      <x:c r="B32" t="str">
        <x:v>Control</x:v>
      </x:c>
      <x:c r="C32" t="n">
        <x:v>13</x:v>
      </x:c>
      <x:c r="D32" t="str">
        <x:v>RF17, RF18, RF19, RF20, RF21, RF24, RF25, RF26, RF27, RF34, RF35, RF36, RF37</x:v>
      </x:c>
      <x:c r="E32" t="str">
        <x:v>Identidad del componente por homologar con arquitectura real.</x:v>
      </x:c>
    </x:row>
    <x:row r="33" ht="27" customHeight="1">
      <x:c r="A33" t="str">
        <x:v>C_ControlTipoMantenimiento</x:v>
      </x:c>
      <x:c r="B33" t="str">
        <x:v>Control</x:v>
      </x:c>
      <x:c r="C33" t="n">
        <x:v>5</x:v>
      </x:c>
      <x:c r="D33" t="str">
        <x:v>RF17, RF22, RF24, RF26, RF27</x:v>
      </x:c>
      <x:c r="E33" t="str">
        <x:v>Identidad del componente por homologar con arquitectura real.</x:v>
      </x:c>
    </x:row>
    <x:row r="34" ht="27" customHeight="1">
      <x:c r="A34" t="str">
        <x:v>C_ControlUsuario</x:v>
      </x:c>
      <x:c r="B34" t="str">
        <x:v>Control</x:v>
      </x:c>
      <x:c r="C34" t="n">
        <x:v>2</x:v>
      </x:c>
      <x:c r="D34" t="str">
        <x:v>RF23, RF50</x:v>
      </x:c>
      <x:c r="E34" t="str">
        <x:v>Identidad del componente por homologar con arquitectura real.</x:v>
      </x:c>
    </x:row>
    <x:row r="35" ht="27" customHeight="1">
      <x:c r="A35" t="str">
        <x:v>C_ControlUsuariosAdmin</x:v>
      </x:c>
      <x:c r="B35" t="str">
        <x:v>Control</x:v>
      </x:c>
      <x:c r="C35" t="n">
        <x:v>1</x:v>
      </x:c>
      <x:c r="D35" t="str">
        <x:v>RF58</x:v>
      </x:c>
      <x:c r="E35" t="str">
        <x:v>Identidad del componente por homologar con arquitectura real.</x:v>
      </x:c>
    </x:row>
    <x:row r="36" ht="27" customHeight="1">
      <x:c r="A36" t="str">
        <x:v>C_ControlVehiculo</x:v>
      </x:c>
      <x:c r="B36" t="str">
        <x:v>Control</x:v>
      </x:c>
      <x:c r="C36" t="n">
        <x:v>23</x:v>
      </x:c>
      <x:c r="D36" t="str">
        <x:v>RF14, RF15, RF16, RF17, RF18, RF19, RF20, RF21, RF22, RF23, RF24, RF25, RF26, RF27, RF31, RF32, RF33, RF44, RF46, RF50, RF54, RF55, RF56</x:v>
      </x:c>
      <x:c r="E36" t="str">
        <x:v>Identidad del componente por homologar con arquitectura real.</x:v>
      </x:c>
    </x:row>
    <x:row r="37" ht="27" customHeight="1">
      <x:c r="A37" t="str">
        <x:v>C_ControlVehiculoPrincipal</x:v>
      </x:c>
      <x:c r="B37" t="str">
        <x:v>Control</x:v>
      </x:c>
      <x:c r="C37" t="n">
        <x:v>2</x:v>
      </x:c>
      <x:c r="D37" t="str">
        <x:v>RF02, RF13</x:v>
      </x:c>
      <x:c r="E37" t="str">
        <x:v>Identidad del componente por homologar con arquitectura real.</x:v>
      </x:c>
    </x:row>
    <x:row r="38" ht="27" customHeight="1">
      <x:c r="A38" t="str">
        <x:v>C_EliminarCuenta</x:v>
      </x:c>
      <x:c r="B38" t="str">
        <x:v>Control</x:v>
      </x:c>
      <x:c r="C38" t="n">
        <x:v>1</x:v>
      </x:c>
      <x:c r="D38" t="str">
        <x:v>RF07</x:v>
      </x:c>
      <x:c r="E38" t="str">
        <x:v>Identidad del componente por homologar con arquitectura real.</x:v>
      </x:c>
    </x:row>
    <x:row r="39" ht="27" customHeight="1">
      <x:c r="A39" t="str">
        <x:v>C_EnvioCodigoRecuperacion</x:v>
      </x:c>
      <x:c r="B39" t="str">
        <x:v>Control</x:v>
      </x:c>
      <x:c r="C39" t="n">
        <x:v>1</x:v>
      </x:c>
      <x:c r="D39" t="str">
        <x:v>RF03</x:v>
      </x:c>
      <x:c r="E39" t="str">
        <x:v>Identidad del componente por homologar con arquitectura real.</x:v>
      </x:c>
    </x:row>
    <x:row r="40" ht="27" customHeight="1">
      <x:c r="A40" t="str">
        <x:v>C_FotoPerfil</x:v>
      </x:c>
      <x:c r="B40" t="str">
        <x:v>Control</x:v>
      </x:c>
      <x:c r="C40" t="n">
        <x:v>3</x:v>
      </x:c>
      <x:c r="D40" t="str">
        <x:v>RF38, RF39, RF40</x:v>
      </x:c>
      <x:c r="E40" t="str">
        <x:v>Identidad del componente por homologar con arquitectura real.</x:v>
      </x:c>
    </x:row>
    <x:row r="41" ht="27" customHeight="1">
      <x:c r="A41" t="str">
        <x:v>C_InicioSesion</x:v>
      </x:c>
      <x:c r="B41" t="str">
        <x:v>Control</x:v>
      </x:c>
      <x:c r="C41" t="n">
        <x:v>3</x:v>
      </x:c>
      <x:c r="D41" t="str">
        <x:v>RF02, RF03, RF57</x:v>
      </x:c>
      <x:c r="E41" t="str">
        <x:v>Identidad del componente por homologar con arquitectura real.</x:v>
      </x:c>
    </x:row>
    <x:row r="42" ht="27" customHeight="1">
      <x:c r="A42" t="str">
        <x:v>C_Navegacion</x:v>
      </x:c>
      <x:c r="B42" t="str">
        <x:v>Control</x:v>
      </x:c>
      <x:c r="C42" t="n">
        <x:v>32</x:v>
      </x:c>
      <x:c r="D42" t="str">
        <x:v>RF04, RF05, RF06, RF07, RF08, RF09, RF15, RF17, RF18, RF23, RF25, RF28, RF29, RF30, RF31, RF32, RF33, RF34, RF35, RF36, RF37, RF38, RF39, RF40, RF44, RF48, RF51, RF52, RF53, RF54, RF55, RF57</x:v>
      </x:c>
      <x:c r="E42" t="str">
        <x:v>Identidad del componente por homologar con arquitectura real.</x:v>
      </x:c>
    </x:row>
    <x:row r="43" ht="27" customHeight="1">
      <x:c r="A43" t="str">
        <x:v>C_PerfilUsuario</x:v>
      </x:c>
      <x:c r="B43" t="str">
        <x:v>Control</x:v>
      </x:c>
      <x:c r="C43" t="n">
        <x:v>10</x:v>
      </x:c>
      <x:c r="D43" t="str">
        <x:v>RF02, RF04, RF05, RF06, RF07, RF28, RF29, RF38, RF39, RF40</x:v>
      </x:c>
      <x:c r="E43" t="str">
        <x:v>Identidad del componente por homologar con arquitectura real.</x:v>
      </x:c>
    </x:row>
    <x:row r="44" ht="27" customHeight="1">
      <x:c r="A44" t="str">
        <x:v>C_ProgramadorAlertas</x:v>
      </x:c>
      <x:c r="B44" t="str">
        <x:v>Control</x:v>
      </x:c>
      <x:c r="C44" t="n">
        <x:v>1</x:v>
      </x:c>
      <x:c r="D44" t="str">
        <x:v>RF23</x:v>
      </x:c>
      <x:c r="E44" t="str">
        <x:v>Identidad del componente por homologar con arquitectura real.</x:v>
      </x:c>
    </x:row>
    <x:row r="45" ht="27" customHeight="1">
      <x:c r="A45" t="str">
        <x:v>C_RecordatorioKm</x:v>
      </x:c>
      <x:c r="B45" t="str">
        <x:v>Control</x:v>
      </x:c>
      <x:c r="C45" t="n">
        <x:v>5</x:v>
      </x:c>
      <x:c r="D45" t="str">
        <x:v>RF07, RF08, RF14, RF44, RF46</x:v>
      </x:c>
      <x:c r="E45" t="str">
        <x:v>Identidad del componente por homologar con arquitectura real.</x:v>
      </x:c>
    </x:row>
    <x:row r="46" ht="27" customHeight="1">
      <x:c r="A46" t="str">
        <x:v>C_RecuperacionCuenta</x:v>
      </x:c>
      <x:c r="B46" t="str">
        <x:v>Control</x:v>
      </x:c>
      <x:c r="C46" t="n">
        <x:v>1</x:v>
      </x:c>
      <x:c r="D46" t="str">
        <x:v>RF03</x:v>
      </x:c>
      <x:c r="E46" t="str">
        <x:v>Identidad del componente por homologar con arquitectura real.</x:v>
      </x:c>
    </x:row>
    <x:row r="47" ht="27" customHeight="1">
      <x:c r="A47" t="str">
        <x:v>C_RecuperarCuenta</x:v>
      </x:c>
      <x:c r="B47" t="str">
        <x:v>Control</x:v>
      </x:c>
      <x:c r="C47" t="n">
        <x:v>1</x:v>
      </x:c>
      <x:c r="D47" t="str">
        <x:v>RF53</x:v>
      </x:c>
      <x:c r="E47" t="str">
        <x:v>Identidad del componente por homologar con arquitectura real.</x:v>
      </x:c>
    </x:row>
    <x:row r="48" ht="27" customHeight="1">
      <x:c r="A48" t="str">
        <x:v>C_RegistroUsuario</x:v>
      </x:c>
      <x:c r="B48" t="str">
        <x:v>Control</x:v>
      </x:c>
      <x:c r="C48" t="n">
        <x:v>1</x:v>
      </x:c>
      <x:c r="D48" t="str">
        <x:v>RF01</x:v>
      </x:c>
      <x:c r="E48" t="str">
        <x:v>Identidad del componente por homologar con arquitectura real.</x:v>
      </x:c>
    </x:row>
    <x:row r="49" ht="27" customHeight="1">
      <x:c r="A49" t="str">
        <x:v>C_ReporteHistorial</x:v>
      </x:c>
      <x:c r="B49" t="str">
        <x:v>Control</x:v>
      </x:c>
      <x:c r="C49" t="n">
        <x:v>1</x:v>
      </x:c>
      <x:c r="D49" t="str">
        <x:v>RF27</x:v>
      </x:c>
      <x:c r="E49" t="str">
        <x:v>Identidad del componente por homologar con arquitectura real.</x:v>
      </x:c>
    </x:row>
    <x:row r="50" ht="27" customHeight="1">
      <x:c r="A50" t="str">
        <x:v>C_Sesion</x:v>
      </x:c>
      <x:c r="B50" t="str">
        <x:v>Control</x:v>
      </x:c>
      <x:c r="C50" t="n">
        <x:v>2</x:v>
      </x:c>
      <x:c r="D50" t="str">
        <x:v>RF63, RF64</x:v>
      </x:c>
      <x:c r="E50" t="str">
        <x:v>Identidad del componente por homologar con arquitectura real.</x:v>
      </x:c>
    </x:row>
    <x:row r="51" ht="27" customHeight="1">
      <x:c r="A51" t="str">
        <x:v>C_ValidacionContrasena</x:v>
      </x:c>
      <x:c r="B51" t="str">
        <x:v>Control</x:v>
      </x:c>
      <x:c r="C51" t="n">
        <x:v>1</x:v>
      </x:c>
      <x:c r="D51" t="str">
        <x:v>RF05</x:v>
      </x:c>
      <x:c r="E51" t="str">
        <x:v>Identidad del componente por homologar con arquitectura real.</x:v>
      </x:c>
    </x:row>
    <x:row r="52" ht="27" customHeight="1">
      <x:c r="A52" t="str">
        <x:v>C_ValidacionCuenta</x:v>
      </x:c>
      <x:c r="B52" t="str">
        <x:v>Control</x:v>
      </x:c>
      <x:c r="C52" t="n">
        <x:v>2</x:v>
      </x:c>
      <x:c r="D52" t="str">
        <x:v>RF07, RF53</x:v>
      </x:c>
      <x:c r="E52" t="str">
        <x:v>Identidad del componente por homologar con arquitectura real.</x:v>
      </x:c>
    </x:row>
    <x:row r="53" ht="27" customHeight="1">
      <x:c r="A53" t="str">
        <x:v>C_ValidacionFoto</x:v>
      </x:c>
      <x:c r="B53" t="str">
        <x:v>Control</x:v>
      </x:c>
      <x:c r="C53" t="n">
        <x:v>2</x:v>
      </x:c>
      <x:c r="D53" t="str">
        <x:v>RF38, RF39</x:v>
      </x:c>
      <x:c r="E53" t="str">
        <x:v>Identidad del componente por homologar con arquitectura real.</x:v>
      </x:c>
    </x:row>
    <x:row r="54" ht="27" customHeight="1">
      <x:c r="A54" t="str">
        <x:v>C_ValidacionImagenTIVE</x:v>
      </x:c>
      <x:c r="B54" t="str">
        <x:v>Control</x:v>
      </x:c>
      <x:c r="C54" t="n">
        <x:v>1</x:v>
      </x:c>
      <x:c r="D54" t="str">
        <x:v>RF54</x:v>
      </x:c>
      <x:c r="E54" t="str">
        <x:v>Identidad del componente por homologar con arquitectura real.</x:v>
      </x:c>
    </x:row>
    <x:row r="55" ht="27" customHeight="1">
      <x:c r="A55" t="str">
        <x:v>C_ValidacionImagenVehiculo</x:v>
      </x:c>
      <x:c r="B55" t="str">
        <x:v>Control</x:v>
      </x:c>
      <x:c r="C55" t="n">
        <x:v>3</x:v>
      </x:c>
      <x:c r="D55" t="str">
        <x:v>RF08, RF42, RF43</x:v>
      </x:c>
      <x:c r="E55" t="str">
        <x:v>Identidad del componente por homologar con arquitectura real.</x:v>
      </x:c>
    </x:row>
    <x:row r="56" ht="27" customHeight="1">
      <x:c r="A56" t="str">
        <x:v>C_ValidacionInicioSesion</x:v>
      </x:c>
      <x:c r="B56" t="str">
        <x:v>Control</x:v>
      </x:c>
      <x:c r="C56" t="n">
        <x:v>1</x:v>
      </x:c>
      <x:c r="D56" t="str">
        <x:v>RF02</x:v>
      </x:c>
      <x:c r="E56" t="str">
        <x:v>Identidad del componente por homologar con arquitectura real.</x:v>
      </x:c>
    </x:row>
    <x:row r="57" ht="27" customHeight="1">
      <x:c r="A57" t="str">
        <x:v>C_ValidacionMantenimiento</x:v>
      </x:c>
      <x:c r="B57" t="str">
        <x:v>Control</x:v>
      </x:c>
      <x:c r="C57" t="n">
        <x:v>2</x:v>
      </x:c>
      <x:c r="D57" t="str">
        <x:v>RF17, RF24</x:v>
      </x:c>
      <x:c r="E57" t="str">
        <x:v>Identidad del componente por homologar con arquitectura real.</x:v>
      </x:c>
    </x:row>
    <x:row r="58" ht="27" customHeight="1">
      <x:c r="A58" t="str">
        <x:v>C_ValidacionRecuperacion</x:v>
      </x:c>
      <x:c r="B58" t="str">
        <x:v>Control</x:v>
      </x:c>
      <x:c r="C58" t="n">
        <x:v>1</x:v>
      </x:c>
      <x:c r="D58" t="str">
        <x:v>RF03</x:v>
      </x:c>
      <x:c r="E58" t="str">
        <x:v>Identidad del componente por homologar con arquitectura real.</x:v>
      </x:c>
    </x:row>
    <x:row r="59" ht="27" customHeight="1">
      <x:c r="A59" t="str">
        <x:v>C_ValidacionRegistroUsuarios</x:v>
      </x:c>
      <x:c r="B59" t="str">
        <x:v>Control</x:v>
      </x:c>
      <x:c r="C59" t="n">
        <x:v>1</x:v>
      </x:c>
      <x:c r="D59" t="str">
        <x:v>RF01</x:v>
      </x:c>
      <x:c r="E59" t="str">
        <x:v>Identidad del componente por homologar con arquitectura real.</x:v>
      </x:c>
    </x:row>
    <x:row r="60" ht="27" customHeight="1">
      <x:c r="A60" t="str">
        <x:v>C_ValidacionUsuario</x:v>
      </x:c>
      <x:c r="B60" t="str">
        <x:v>Control</x:v>
      </x:c>
      <x:c r="C60" t="n">
        <x:v>1</x:v>
      </x:c>
      <x:c r="D60" t="str">
        <x:v>RF04</x:v>
      </x:c>
      <x:c r="E60" t="str">
        <x:v>Identidad del componente por homologar con arquitectura real.</x:v>
      </x:c>
    </x:row>
    <x:row r="61" ht="27" customHeight="1">
      <x:c r="A61" t="str">
        <x:v>C_ValidacionVehiculo</x:v>
      </x:c>
      <x:c r="B61" t="str">
        <x:v>Control</x:v>
      </x:c>
      <x:c r="C61" t="n">
        <x:v>2</x:v>
      </x:c>
      <x:c r="D61" t="str">
        <x:v>RF08, RF11</x:v>
      </x:c>
      <x:c r="E61" t="str">
        <x:v>Identidad del componente por homologar con arquitectura real.</x:v>
      </x:c>
    </x:row>
    <x:row r="62" ht="27" customHeight="1">
      <x:c r="A62" t="str">
        <x:v>E_Alerta</x:v>
      </x:c>
      <x:c r="B62" t="str">
        <x:v>Entidad</x:v>
      </x:c>
      <x:c r="C62" t="n">
        <x:v>14</x:v>
      </x:c>
      <x:c r="D62" t="str">
        <x:v>RF12, RF14, RF16, RF22, RF23, RF24, RF31, RF32, RF33, RF46, RF47, RF50, RF51, RF52</x:v>
      </x:c>
      <x:c r="E62" t="str">
        <x:v>Nombre observado en diagramas; tabla o clase física no validada.</x:v>
      </x:c>
    </x:row>
    <x:row r="63" ht="27" customHeight="1">
      <x:c r="A63" t="str">
        <x:v>E_AvanceIncidencia</x:v>
      </x:c>
      <x:c r="B63" t="str">
        <x:v>Entidad</x:v>
      </x:c>
      <x:c r="C63" t="n">
        <x:v>2</x:v>
      </x:c>
      <x:c r="D63" t="str">
        <x:v>RF61, RF64</x:v>
      </x:c>
      <x:c r="E63" t="str">
        <x:v>Nombre observado en diagramas; tabla o clase física no validada.</x:v>
      </x:c>
    </x:row>
    <x:row r="64" ht="27" customHeight="1">
      <x:c r="A64" t="str">
        <x:v>E_Catalogo</x:v>
      </x:c>
      <x:c r="B64" t="str">
        <x:v>Entidad</x:v>
      </x:c>
      <x:c r="C64" t="n">
        <x:v>1</x:v>
      </x:c>
      <x:c r="D64" t="str">
        <x:v>RF62</x:v>
      </x:c>
      <x:c r="E64" t="str">
        <x:v>Nombre observado en diagramas; tabla o clase física no validada.</x:v>
      </x:c>
    </x:row>
    <x:row r="65" ht="27" customHeight="1">
      <x:c r="A65" t="str">
        <x:v>E_CatalogoDetalle</x:v>
      </x:c>
      <x:c r="B65" t="str">
        <x:v>Entidad</x:v>
      </x:c>
      <x:c r="C65" t="n">
        <x:v>1</x:v>
      </x:c>
      <x:c r="D65" t="str">
        <x:v>RF62</x:v>
      </x:c>
      <x:c r="E65" t="str">
        <x:v>Nombre observado en diagramas; tabla o clase física no validada.</x:v>
      </x:c>
    </x:row>
    <x:row r="66" ht="27" customHeight="1">
      <x:c r="A66" t="str">
        <x:v>E_CodigoRecuperacion</x:v>
      </x:c>
      <x:c r="B66" t="str">
        <x:v>Entidad</x:v>
      </x:c>
      <x:c r="C66" t="n">
        <x:v>3</x:v>
      </x:c>
      <x:c r="D66" t="str">
        <x:v>RF03, RF07, RF53</x:v>
      </x:c>
      <x:c r="E66" t="str">
        <x:v>Nombre observado en diagramas; tabla o clase física no validada.</x:v>
      </x:c>
    </x:row>
    <x:row r="67" ht="27" customHeight="1">
      <x:c r="A67" t="str">
        <x:v>E_Conductor</x:v>
      </x:c>
      <x:c r="B67" t="str">
        <x:v>Entidad</x:v>
      </x:c>
      <x:c r="C67" t="n">
        <x:v>2</x:v>
      </x:c>
      <x:c r="D67" t="str">
        <x:v>RF51, RF52</x:v>
      </x:c>
      <x:c r="E67" t="str">
        <x:v>Nombre observado en diagramas; tabla o clase física no validada.</x:v>
      </x:c>
    </x:row>
    <x:row r="68" ht="27" customHeight="1">
      <x:c r="A68" t="str">
        <x:v>E_ConfigRecordatorioKmUsuario</x:v>
      </x:c>
      <x:c r="B68" t="str">
        <x:v>Entidad</x:v>
      </x:c>
      <x:c r="C68" t="n">
        <x:v>3</x:v>
      </x:c>
      <x:c r="D68" t="str">
        <x:v>RF01, RF44, RF46</x:v>
      </x:c>
      <x:c r="E68" t="str">
        <x:v>Nombre observado en diagramas; tabla o clase física no validada.</x:v>
      </x:c>
    </x:row>
    <x:row r="69" ht="27" customHeight="1">
      <x:c r="A69" t="str">
        <x:v>E_CorreccionKilometraje</x:v>
      </x:c>
      <x:c r="B69" t="str">
        <x:v>Entidad</x:v>
      </x:c>
      <x:c r="C69" t="n">
        <x:v>4</x:v>
      </x:c>
      <x:c r="D69" t="str">
        <x:v>RF15, RF16, RF25, RF26</x:v>
      </x:c>
      <x:c r="E69" t="str">
        <x:v>Nombre observado en diagramas; tabla o clase física no validada.</x:v>
      </x:c>
    </x:row>
    <x:row r="70" ht="27" customHeight="1">
      <x:c r="A70" t="str">
        <x:v>E_CorreoPendiente</x:v>
      </x:c>
      <x:c r="B70" t="str">
        <x:v>Entidad</x:v>
      </x:c>
      <x:c r="C70" t="n">
        <x:v>2</x:v>
      </x:c>
      <x:c r="D70" t="str">
        <x:v>RF07, RF53</x:v>
      </x:c>
      <x:c r="E70" t="str">
        <x:v>Nombre observado en diagramas; tabla o clase física no validada.</x:v>
      </x:c>
    </x:row>
    <x:row r="71" ht="27" customHeight="1">
      <x:c r="A71" t="str">
        <x:v>E_EstadoCuenta</x:v>
      </x:c>
      <x:c r="B71" t="str">
        <x:v>Entidad</x:v>
      </x:c>
      <x:c r="C71" t="n">
        <x:v>3</x:v>
      </x:c>
      <x:c r="D71" t="str">
        <x:v>RF53, RF58, RF59</x:v>
      </x:c>
      <x:c r="E71" t="str">
        <x:v>Nombre observado en diagramas; tabla o clase física no validada.</x:v>
      </x:c>
    </x:row>
    <x:row r="72" ht="27" customHeight="1">
      <x:c r="A72" t="str">
        <x:v>E_EvidenciaIncidencia</x:v>
      </x:c>
      <x:c r="B72" t="str">
        <x:v>Entidad</x:v>
      </x:c>
      <x:c r="C72" t="n">
        <x:v>1</x:v>
      </x:c>
      <x:c r="D72" t="str">
        <x:v>RF63</x:v>
      </x:c>
      <x:c r="E72" t="str">
        <x:v>Nombre observado en diagramas; tabla o clase física no validada.</x:v>
      </x:c>
    </x:row>
    <x:row r="73" ht="27" customHeight="1">
      <x:c r="A73" t="str">
        <x:v>E_HistorialAlerta</x:v>
      </x:c>
      <x:c r="B73" t="str">
        <x:v>Entidad</x:v>
      </x:c>
      <x:c r="C73" t="n">
        <x:v>11</x:v>
      </x:c>
      <x:c r="D73" t="str">
        <x:v>RF12, RF14, RF16, RF22, RF23, RF24, RF31, RF32, RF33, RF50, RF51</x:v>
      </x:c>
      <x:c r="E73" t="str">
        <x:v>Nombre observado en diagramas; tabla o clase física no validada.</x:v>
      </x:c>
    </x:row>
    <x:row r="74" ht="27" customHeight="1">
      <x:c r="A74" t="str">
        <x:v>E_ImagenTIVE</x:v>
      </x:c>
      <x:c r="B74" t="str">
        <x:v>Entidad</x:v>
      </x:c>
      <x:c r="C74" t="n">
        <x:v>3</x:v>
      </x:c>
      <x:c r="D74" t="str">
        <x:v>RF54, RF55, RF56</x:v>
      </x:c>
      <x:c r="E74" t="str">
        <x:v>Nombre observado en diagramas; tabla o clase física no validada.</x:v>
      </x:c>
    </x:row>
    <x:row r="75" ht="27" customHeight="1">
      <x:c r="A75" t="str">
        <x:v>E_ImagenVehiculo</x:v>
      </x:c>
      <x:c r="B75" t="str">
        <x:v>Entidad</x:v>
      </x:c>
      <x:c r="C75" t="n">
        <x:v>5</x:v>
      </x:c>
      <x:c r="D75" t="str">
        <x:v>RF10, RF42, RF43, RF45, RF50</x:v>
      </x:c>
      <x:c r="E75" t="str">
        <x:v>Nombre observado en diagramas; tabla o clase física no validada.</x:v>
      </x:c>
    </x:row>
    <x:row r="76" ht="27" customHeight="1">
      <x:c r="A76" t="str">
        <x:v>E_Incidencia</x:v>
      </x:c>
      <x:c r="B76" t="str">
        <x:v>Entidad</x:v>
      </x:c>
      <x:c r="C76" t="n">
        <x:v>3</x:v>
      </x:c>
      <x:c r="D76" t="str">
        <x:v>RF61, RF63, RF64</x:v>
      </x:c>
      <x:c r="E76" t="str">
        <x:v>Nombre observado en diagramas; tabla o clase física no validada.</x:v>
      </x:c>
    </x:row>
    <x:row r="77" ht="27" customHeight="1">
      <x:c r="A77" t="str">
        <x:v>E_Kilometraje</x:v>
      </x:c>
      <x:c r="B77" t="str">
        <x:v>Entidad</x:v>
      </x:c>
      <x:c r="C77" t="n">
        <x:v>20</x:v>
      </x:c>
      <x:c r="D77" t="str">
        <x:v>RF08, RF09, RF10, RF11, RF12, RF13, RF14, RF15, RF16, RF17, RF21, RF22, RF23, RF24, RF25, RF26, RF27, RF44, RF47, RF50</x:v>
      </x:c>
      <x:c r="E77" t="str">
        <x:v>Nombre observado en diagramas; tabla o clase física no validada.</x:v>
      </x:c>
    </x:row>
    <x:row r="78" ht="27" customHeight="1">
      <x:c r="A78" t="str">
        <x:v>E_Licencia</x:v>
      </x:c>
      <x:c r="B78" t="str">
        <x:v>Entidad</x:v>
      </x:c>
      <x:c r="C78" t="n">
        <x:v>3</x:v>
      </x:c>
      <x:c r="D78" t="str">
        <x:v>RF23, RF51, RF52</x:v>
      </x:c>
      <x:c r="E78" t="str">
        <x:v>Nombre observado en diagramas; tabla o clase física no validada.</x:v>
      </x:c>
    </x:row>
    <x:row r="79" ht="27" customHeight="1">
      <x:c r="A79" t="str">
        <x:v>E_Mantenimiento</x:v>
      </x:c>
      <x:c r="B79" t="str">
        <x:v>Entidad</x:v>
      </x:c>
      <x:c r="C79" t="n">
        <x:v>11</x:v>
      </x:c>
      <x:c r="D79" t="str">
        <x:v>RF17, RF18, RF19, RF20, RF21, RF22, RF24, RF25, RF26, RF27, RF50</x:v>
      </x:c>
      <x:c r="E79" t="str">
        <x:v>Nombre observado en diagramas; tabla o clase física no validada.</x:v>
      </x:c>
    </x:row>
    <x:row r="80" ht="27" customHeight="1">
      <x:c r="A80" t="str">
        <x:v>E_MantenimientoRepuesto</x:v>
      </x:c>
      <x:c r="B80" t="str">
        <x:v>Entidad</x:v>
      </x:c>
      <x:c r="C80" t="n">
        <x:v>3</x:v>
      </x:c>
      <x:c r="D80" t="str">
        <x:v>RF19, RF20, RF27</x:v>
      </x:c>
      <x:c r="E80" t="str">
        <x:v>Nombre observado en diagramas; tabla o clase física no validada.</x:v>
      </x:c>
    </x:row>
    <x:row r="81" ht="27" customHeight="1">
      <x:c r="A81" t="str">
        <x:v>E_Notificacion</x:v>
      </x:c>
      <x:c r="B81" t="str">
        <x:v>Entidad</x:v>
      </x:c>
      <x:c r="C81" t="n">
        <x:v>13</x:v>
      </x:c>
      <x:c r="D81" t="str">
        <x:v>RF12, RF14, RF22, RF23, RF24, RF31, RF32, RF33, RF44, RF46, RF47, RF49, RF50</x:v>
      </x:c>
      <x:c r="E81" t="str">
        <x:v>Nombre observado en diagramas; tabla o clase física no validada.</x:v>
      </x:c>
    </x:row>
    <x:row r="82" ht="27" customHeight="1">
      <x:c r="A82" t="str">
        <x:v>E_Pago</x:v>
      </x:c>
      <x:c r="B82" t="str">
        <x:v>Entidad</x:v>
      </x:c>
      <x:c r="C82" t="n">
        <x:v>3</x:v>
      </x:c>
      <x:c r="D82" t="str">
        <x:v>RF29, RF30, RF60</x:v>
      </x:c>
      <x:c r="E82" t="str">
        <x:v>Nombre observado en diagramas; tabla o clase física no validada.</x:v>
      </x:c>
    </x:row>
    <x:row r="83" ht="27" customHeight="1">
      <x:c r="A83" t="str">
        <x:v>E_PreferenciaNotificacion</x:v>
      </x:c>
      <x:c r="B83" t="str">
        <x:v>Entidad</x:v>
      </x:c>
      <x:c r="C83" t="n">
        <x:v>3</x:v>
      </x:c>
      <x:c r="D83" t="str">
        <x:v>RF01, RF46, RF48</x:v>
      </x:c>
      <x:c r="E83" t="str">
        <x:v>Nombre observado en diagramas; tabla o clase física no validada.</x:v>
      </x:c>
    </x:row>
    <x:row r="84" ht="27" customHeight="1">
      <x:c r="A84" t="str">
        <x:v>E_RecordatorioKilometraje</x:v>
      </x:c>
      <x:c r="B84" t="str">
        <x:v>Entidad</x:v>
      </x:c>
      <x:c r="C84" t="n">
        <x:v>4</x:v>
      </x:c>
      <x:c r="D84" t="str">
        <x:v>RF08, RF14, RF44, RF46</x:v>
      </x:c>
      <x:c r="E84" t="str">
        <x:v>Nombre observado en diagramas; tabla o clase física no validada.</x:v>
      </x:c>
    </x:row>
    <x:row r="85" ht="27" customHeight="1">
      <x:c r="A85" t="str">
        <x:v>E_Repuesto</x:v>
      </x:c>
      <x:c r="B85" t="str">
        <x:v>Entidad</x:v>
      </x:c>
      <x:c r="C85" t="n">
        <x:v>2</x:v>
      </x:c>
      <x:c r="D85" t="str">
        <x:v>RF19, RF27</x:v>
      </x:c>
      <x:c r="E85" t="str">
        <x:v>Nombre observado en diagramas; tabla o clase física no validada.</x:v>
      </x:c>
    </x:row>
    <x:row r="86" ht="27" customHeight="1">
      <x:c r="A86" t="str">
        <x:v>E_SOAT</x:v>
      </x:c>
      <x:c r="B86" t="str">
        <x:v>Entidad</x:v>
      </x:c>
      <x:c r="C86" t="n">
        <x:v>8</x:v>
      </x:c>
      <x:c r="D86" t="str">
        <x:v>RF09, RF10, RF12, RF13, RF31, RF32, RF33, RF47</x:v>
      </x:c>
      <x:c r="E86" t="str">
        <x:v>Nombre observado en diagramas; tabla o clase física no validada.</x:v>
      </x:c>
    </x:row>
    <x:row r="87" ht="27" customHeight="1">
      <x:c r="A87" t="str">
        <x:v>E_Sesion</x:v>
      </x:c>
      <x:c r="B87" t="str">
        <x:v>Entidad</x:v>
      </x:c>
      <x:c r="C87" t="n">
        <x:v>5</x:v>
      </x:c>
      <x:c r="D87" t="str">
        <x:v>RF02, RF06, RF07, RF57, RF59</x:v>
      </x:c>
      <x:c r="E87" t="str">
        <x:v>Nombre observado en diagramas; tabla o clase física no validada.</x:v>
      </x:c>
    </x:row>
    <x:row r="88" ht="27" customHeight="1">
      <x:c r="A88" t="str">
        <x:v>E_SolicitudEliminacion</x:v>
      </x:c>
      <x:c r="B88" t="str">
        <x:v>Entidad</x:v>
      </x:c>
      <x:c r="C88" t="n">
        <x:v>2</x:v>
      </x:c>
      <x:c r="D88" t="str">
        <x:v>RF07, RF53</x:v>
      </x:c>
      <x:c r="E88" t="str">
        <x:v>Nombre observado en diagramas; tabla o clase física no validada.</x:v>
      </x:c>
    </x:row>
    <x:row r="89" ht="27" customHeight="1">
      <x:c r="A89" t="str">
        <x:v>E_Suscripcion</x:v>
      </x:c>
      <x:c r="B89" t="str">
        <x:v>Entidad</x:v>
      </x:c>
      <x:c r="C89" t="n">
        <x:v>11</x:v>
      </x:c>
      <x:c r="D89" t="str">
        <x:v>RF01, RF08, RF12, RF23, RF27, RF28, RF29, RF30, RF51, RF52, RF60</x:v>
      </x:c>
      <x:c r="E89" t="str">
        <x:v>Nombre observado en diagramas; tabla o clase física no validada.</x:v>
      </x:c>
    </x:row>
    <x:row r="90" ht="27" customHeight="1">
      <x:c r="A90" t="str">
        <x:v>E_TIVE</x:v>
      </x:c>
      <x:c r="B90" t="str">
        <x:v>Entidad</x:v>
      </x:c>
      <x:c r="C90" t="n">
        <x:v>7</x:v>
      </x:c>
      <x:c r="D90" t="str">
        <x:v>RF09, RF10, RF12, RF13, RF54, RF55, RF56</x:v>
      </x:c>
      <x:c r="E90" t="str">
        <x:v>Nombre observado en diagramas; tabla o clase física no validada.</x:v>
      </x:c>
    </x:row>
    <x:row r="91" ht="27" customHeight="1">
      <x:c r="A91" t="str">
        <x:v>E_Taller</x:v>
      </x:c>
      <x:c r="B91" t="str">
        <x:v>Entidad</x:v>
      </x:c>
      <x:c r="C91" t="n">
        <x:v>13</x:v>
      </x:c>
      <x:c r="D91" t="str">
        <x:v>RF17, RF18, RF19, RF20, RF21, RF24, RF25, RF26, RF27, RF34, RF35, RF36, RF37</x:v>
      </x:c>
      <x:c r="E91" t="str">
        <x:v>Nombre observado en diagramas; tabla o clase física no validada.</x:v>
      </x:c>
    </x:row>
    <x:row r="92" ht="27" customHeight="1">
      <x:c r="A92" t="str">
        <x:v>E_TipoMantenimiento</x:v>
      </x:c>
      <x:c r="B92" t="str">
        <x:v>Entidad</x:v>
      </x:c>
      <x:c r="C92" t="n">
        <x:v>4</x:v>
      </x:c>
      <x:c r="D92" t="str">
        <x:v>RF17, RF22, RF26, RF27</x:v>
      </x:c>
      <x:c r="E92" t="str">
        <x:v>Nombre observado en diagramas; tabla o clase física no validada.</x:v>
      </x:c>
    </x:row>
    <x:row r="93" ht="27" customHeight="1">
      <x:c r="A93" t="str">
        <x:v>E_Usuario</x:v>
      </x:c>
      <x:c r="B93" t="str">
        <x:v>Entidad</x:v>
      </x:c>
      <x:c r="C93" t="n">
        <x:v>20</x:v>
      </x:c>
      <x:c r="D93" t="str">
        <x:v>RF01, RF02, RF03, RF04, RF05, RF06, RF07, RF23, RF28, RF29, RF38, RF39, RF40, RF50, RF53, RF57, RF58, RF59, RF61, RF63</x:v>
      </x:c>
      <x:c r="E93" t="str">
        <x:v>Nombre observado en diagramas; tabla o clase física no validada.</x:v>
      </x:c>
    </x:row>
    <x:row r="94" ht="27" customHeight="1">
      <x:c r="A94" t="str">
        <x:v>E_Vehiculo</x:v>
      </x:c>
      <x:c r="B94" t="str">
        <x:v>Entidad</x:v>
      </x:c>
      <x:c r="C94" t="n">
        <x:v>32</x:v>
      </x:c>
      <x:c r="D94" t="str">
        <x:v>RF02, RF08, RF09, RF10, RF11, RF12, RF13, RF14, RF15, RF16, RF17, RF18, RF19, RF20, RF21, RF22, RF23, RF24, RF25, RF26, RF27, RF31, RF32, RF33, RF41, RF44, RF46, RF50, RF54, RF55, RF56, RF60</x:v>
      </x:c>
      <x:c r="E94" t="str">
        <x:v>Nombre observado en diagramas; tabla o clase física no validada.</x:v>
      </x:c>
    </x:row>
    <x:row r="95" ht="27" customHeight="1">
      <x:c r="A95" t="str">
        <x:v>I_ActualizarEstadoIncidencia</x:v>
      </x:c>
      <x:c r="B95" t="str">
        <x:v>Interfaz</x:v>
      </x:c>
      <x:c r="C95" t="n">
        <x:v>1</x:v>
      </x:c>
      <x:c r="D95" t="str">
        <x:v>RF61</x:v>
      </x:c>
      <x:c r="E95" t="str">
        <x:v>Identidad del componente por homologar con arquitectura real.</x:v>
      </x:c>
    </x:row>
    <x:row r="96" ht="27" customHeight="1">
      <x:c r="A96" t="str">
        <x:v>I_ActualizarImagenVehiculo</x:v>
      </x:c>
      <x:c r="B96" t="str">
        <x:v>Interfaz</x:v>
      </x:c>
      <x:c r="C96" t="n">
        <x:v>1</x:v>
      </x:c>
      <x:c r="D96" t="str">
        <x:v>RF43</x:v>
      </x:c>
      <x:c r="E96" t="str">
        <x:v>Identidad del componente por homologar con arquitectura real.</x:v>
      </x:c>
    </x:row>
    <x:row r="97" ht="27" customHeight="1">
      <x:c r="A97" t="str">
        <x:v>I_ActualizarKilometraje</x:v>
      </x:c>
      <x:c r="B97" t="str">
        <x:v>Interfaz</x:v>
      </x:c>
      <x:c r="C97" t="n">
        <x:v>3</x:v>
      </x:c>
      <x:c r="D97" t="str">
        <x:v>RF14, RF16, RF47</x:v>
      </x:c>
      <x:c r="E97" t="str">
        <x:v>Identidad del componente por homologar con arquitectura real.</x:v>
      </x:c>
    </x:row>
    <x:row r="98" ht="27" customHeight="1">
      <x:c r="A98" t="str">
        <x:v>I_AgregarAvanceIncidencia</x:v>
      </x:c>
      <x:c r="B98" t="str">
        <x:v>Interfaz</x:v>
      </x:c>
      <x:c r="C98" t="n">
        <x:v>1</x:v>
      </x:c>
      <x:c r="D98" t="str">
        <x:v>RF61</x:v>
      </x:c>
      <x:c r="E98" t="str">
        <x:v>Identidad del componente por homologar con arquitectura real.</x:v>
      </x:c>
    </x:row>
    <x:row r="99" ht="27" customHeight="1">
      <x:c r="A99" t="str">
        <x:v>I_AlertaProgramada</x:v>
      </x:c>
      <x:c r="B99" t="str">
        <x:v>Interfaz</x:v>
      </x:c>
      <x:c r="C99" t="n">
        <x:v>1</x:v>
      </x:c>
      <x:c r="D99" t="str">
        <x:v>RF22</x:v>
      </x:c>
      <x:c r="E99" t="str">
        <x:v>Identidad del componente por homologar con arquitectura real.</x:v>
      </x:c>
    </x:row>
    <x:row r="100" ht="27" customHeight="1">
      <x:c r="A100" t="str">
        <x:v>I_Alertas</x:v>
      </x:c>
      <x:c r="B100" t="str">
        <x:v>Interfaz</x:v>
      </x:c>
      <x:c r="C100" t="n">
        <x:v>3</x:v>
      </x:c>
      <x:c r="D100" t="str">
        <x:v>RF22, RF23, RF24</x:v>
      </x:c>
      <x:c r="E100" t="str">
        <x:v>Identidad del componente por homologar con arquitectura real.</x:v>
      </x:c>
    </x:row>
    <x:row r="101" ht="27" customHeight="1">
      <x:c r="A101" t="str">
        <x:v>I_AlertasSOAT</x:v>
      </x:c>
      <x:c r="B101" t="str">
        <x:v>Interfaz</x:v>
      </x:c>
      <x:c r="C101" t="n">
        <x:v>2</x:v>
      </x:c>
      <x:c r="D101" t="str">
        <x:v>RF31, RF33</x:v>
      </x:c>
      <x:c r="E101" t="str">
        <x:v>Identidad del componente por homologar con arquitectura real.</x:v>
      </x:c>
    </x:row>
    <x:row r="102" ht="27" customHeight="1">
      <x:c r="A102" t="str">
        <x:v>I_AnulacionMantenimiento</x:v>
      </x:c>
      <x:c r="B102" t="str">
        <x:v>Interfaz</x:v>
      </x:c>
      <x:c r="C102" t="n">
        <x:v>1</x:v>
      </x:c>
      <x:c r="D102" t="str">
        <x:v>RF21</x:v>
      </x:c>
      <x:c r="E102" t="str">
        <x:v>Identidad del componente por homologar con arquitectura real.</x:v>
      </x:c>
    </x:row>
    <x:row r="103" ht="27" customHeight="1">
      <x:c r="A103" t="str">
        <x:v>I_Autos</x:v>
      </x:c>
      <x:c r="B103" t="str">
        <x:v>Interfaz</x:v>
      </x:c>
      <x:c r="C103" t="n">
        <x:v>9</x:v>
      </x:c>
      <x:c r="D103" t="str">
        <x:v>RF08, RF09, RF10, RF12, RF13, RF31, RF32, RF33, RF41</x:v>
      </x:c>
      <x:c r="E103" t="str">
        <x:v>Identidad del componente por homologar con arquitectura real.</x:v>
      </x:c>
    </x:row>
    <x:row r="104" ht="27" customHeight="1">
      <x:c r="A104" t="str">
        <x:v>I_Bienvenida</x:v>
      </x:c>
      <x:c r="B104" t="str">
        <x:v>Interfaz</x:v>
      </x:c>
      <x:c r="C104" t="n">
        <x:v>4</x:v>
      </x:c>
      <x:c r="D104" t="str">
        <x:v>RF01, RF02, RF03, RF06</x:v>
      </x:c>
      <x:c r="E104" t="str">
        <x:v>Identidad del componente por homologar con arquitectura real.</x:v>
      </x:c>
    </x:row>
    <x:row r="105" ht="27" customHeight="1">
      <x:c r="A105" t="str">
        <x:v>I_CambiarContrasena</x:v>
      </x:c>
      <x:c r="B105" t="str">
        <x:v>Interfaz</x:v>
      </x:c>
      <x:c r="C105" t="n">
        <x:v>1</x:v>
      </x:c>
      <x:c r="D105" t="str">
        <x:v>RF05</x:v>
      </x:c>
      <x:c r="E105" t="str">
        <x:v>Identidad del componente por homologar con arquitectura real.</x:v>
      </x:c>
    </x:row>
    <x:row r="106" ht="27" customHeight="1">
      <x:c r="A106" t="str">
        <x:v>I_CatalogosAdmin</x:v>
      </x:c>
      <x:c r="B106" t="str">
        <x:v>Interfaz</x:v>
      </x:c>
      <x:c r="C106" t="n">
        <x:v>1</x:v>
      </x:c>
      <x:c r="D106" t="str">
        <x:v>RF62</x:v>
      </x:c>
      <x:c r="E106" t="str">
        <x:v>Identidad del componente por homologar con arquitectura real.</x:v>
      </x:c>
    </x:row>
    <x:row r="107" ht="27" customHeight="1">
      <x:c r="A107" t="str">
        <x:v>I_CentroNotificaciones</x:v>
      </x:c>
      <x:c r="B107" t="str">
        <x:v>Interfaz</x:v>
      </x:c>
      <x:c r="C107" t="n">
        <x:v>3</x:v>
      </x:c>
      <x:c r="D107" t="str">
        <x:v>RF46, RF47, RF49</x:v>
      </x:c>
      <x:c r="E107" t="str">
        <x:v>Identidad del componente por homologar con arquitectura real.</x:v>
      </x:c>
    </x:row>
    <x:row r="108" ht="27" customHeight="1">
      <x:c r="A108" t="str">
        <x:v>I_ConfigNotificaciones</x:v>
      </x:c>
      <x:c r="B108" t="str">
        <x:v>Interfaz</x:v>
      </x:c>
      <x:c r="C108" t="n">
        <x:v>1</x:v>
      </x:c>
      <x:c r="D108" t="str">
        <x:v>RF48</x:v>
      </x:c>
      <x:c r="E108" t="str">
        <x:v>Identidad del componente por homologar con arquitectura real.</x:v>
      </x:c>
    </x:row>
    <x:row r="109" ht="27" customHeight="1">
      <x:c r="A109" t="str">
        <x:v>I_ConfigurarRecordatorioKm</x:v>
      </x:c>
      <x:c r="B109" t="str">
        <x:v>Interfaz</x:v>
      </x:c>
      <x:c r="C109" t="n">
        <x:v>1</x:v>
      </x:c>
      <x:c r="D109" t="str">
        <x:v>RF44</x:v>
      </x:c>
      <x:c r="E109" t="str">
        <x:v>Identidad del componente por homologar con arquitectura real.</x:v>
      </x:c>
    </x:row>
    <x:row r="110" ht="27" customHeight="1">
      <x:c r="A110" t="str">
        <x:v>I_ConfirmacionCatalogo</x:v>
      </x:c>
      <x:c r="B110" t="str">
        <x:v>Interfaz</x:v>
      </x:c>
      <x:c r="C110" t="n">
        <x:v>1</x:v>
      </x:c>
      <x:c r="D110" t="str">
        <x:v>RF62</x:v>
      </x:c>
      <x:c r="E110" t="str">
        <x:v>Identidad del componente por homologar con arquitectura real.</x:v>
      </x:c>
    </x:row>
    <x:row r="111" ht="27" customHeight="1">
      <x:c r="A111" t="str">
        <x:v>I_ConfirmacionEdicionTIVE</x:v>
      </x:c>
      <x:c r="B111" t="str">
        <x:v>Interfaz</x:v>
      </x:c>
      <x:c r="C111" t="n">
        <x:v>1</x:v>
      </x:c>
      <x:c r="D111" t="str">
        <x:v>RF56</x:v>
      </x:c>
      <x:c r="E111" t="str">
        <x:v>Identidad del componente por homologar con arquitectura real.</x:v>
      </x:c>
    </x:row>
    <x:row r="112" ht="27" customHeight="1">
      <x:c r="A112" t="str">
        <x:v>I_ConfirmacionEliminarFoto</x:v>
      </x:c>
      <x:c r="B112" t="str">
        <x:v>Interfaz</x:v>
      </x:c>
      <x:c r="C112" t="n">
        <x:v>1</x:v>
      </x:c>
      <x:c r="D112" t="str">
        <x:v>RF40</x:v>
      </x:c>
      <x:c r="E112" t="str">
        <x:v>Identidad del componente por homologar con arquitectura real.</x:v>
      </x:c>
    </x:row>
    <x:row r="113" ht="27" customHeight="1">
      <x:c r="A113" t="str">
        <x:v>I_ConfirmacionEstadoCuenta</x:v>
      </x:c>
      <x:c r="B113" t="str">
        <x:v>Interfaz</x:v>
      </x:c>
      <x:c r="C113" t="n">
        <x:v>1</x:v>
      </x:c>
      <x:c r="D113" t="str">
        <x:v>RF59</x:v>
      </x:c>
      <x:c r="E113" t="str">
        <x:v>Identidad del componente por homologar con arquitectura real.</x:v>
      </x:c>
    </x:row>
    <x:row r="114" ht="27" customHeight="1">
      <x:c r="A114" t="str">
        <x:v>I_ConfirmacionEstadoVehiculo</x:v>
      </x:c>
      <x:c r="B114" t="str">
        <x:v>Interfaz</x:v>
      </x:c>
      <x:c r="C114" t="n">
        <x:v>1</x:v>
      </x:c>
      <x:c r="D114" t="str">
        <x:v>RF12</x:v>
      </x:c>
      <x:c r="E114" t="str">
        <x:v>Identidad del componente por homologar con arquitectura real.</x:v>
      </x:c>
    </x:row>
    <x:row r="115" ht="27" customHeight="1">
      <x:c r="A115" t="str">
        <x:v>I_ConfirmacionIncidenciaEnviada</x:v>
      </x:c>
      <x:c r="B115" t="str">
        <x:v>Interfaz</x:v>
      </x:c>
      <x:c r="C115" t="n">
        <x:v>1</x:v>
      </x:c>
      <x:c r="D115" t="str">
        <x:v>RF63</x:v>
      </x:c>
      <x:c r="E115" t="str">
        <x:v>Identidad del componente por homologar con arquitectura real.</x:v>
      </x:c>
    </x:row>
    <x:row r="116" ht="27" customHeight="1">
      <x:c r="A116" t="str">
        <x:v>I_ConfirmacionOperacion</x:v>
      </x:c>
      <x:c r="B116" t="str">
        <x:v>Interfaz</x:v>
      </x:c>
      <x:c r="C116" t="n">
        <x:v>19</x:v>
      </x:c>
      <x:c r="D116" t="str">
        <x:v>RF01, RF03, RF04, RF05, RF06, RF07, RF08, RF12, RF13, RF20, RF29, RF31, RF32, RF34, RF36, RF42, RF43, RF45, RF51</x:v>
      </x:c>
      <x:c r="E116" t="str">
        <x:v>Identidad del componente por homologar con arquitectura real.</x:v>
      </x:c>
    </x:row>
    <x:row r="117" ht="27" customHeight="1">
      <x:c r="A117" t="str">
        <x:v>I_ConfirmacionPrincipal</x:v>
      </x:c>
      <x:c r="B117" t="str">
        <x:v>Interfaz</x:v>
      </x:c>
      <x:c r="C117" t="n">
        <x:v>1</x:v>
      </x:c>
      <x:c r="D117" t="str">
        <x:v>RF13</x:v>
      </x:c>
      <x:c r="E117" t="str">
        <x:v>Identidad del componente por homologar con arquitectura real.</x:v>
      </x:c>
    </x:row>
    <x:row r="118" ht="27" customHeight="1">
      <x:c r="A118" t="str">
        <x:v>I_ConfirmacionProgramacion</x:v>
      </x:c>
      <x:c r="B118" t="str">
        <x:v>Interfaz</x:v>
      </x:c>
      <x:c r="C118" t="n">
        <x:v>1</x:v>
      </x:c>
      <x:c r="D118" t="str">
        <x:v>RF22</x:v>
      </x:c>
      <x:c r="E118" t="str">
        <x:v>Identidad del componente por homologar con arquitectura real.</x:v>
      </x:c>
    </x:row>
    <x:row r="119" ht="27" customHeight="1">
      <x:c r="A119" t="str">
        <x:v>I_ConfirmacionRegistroMantenimiento</x:v>
      </x:c>
      <x:c r="B119" t="str">
        <x:v>Interfaz</x:v>
      </x:c>
      <x:c r="C119" t="n">
        <x:v>1</x:v>
      </x:c>
      <x:c r="D119" t="str">
        <x:v>RF17</x:v>
      </x:c>
      <x:c r="E119" t="str">
        <x:v>Identidad del componente por homologar con arquitectura real.</x:v>
      </x:c>
    </x:row>
    <x:row r="120" ht="27" customHeight="1">
      <x:c r="A120" t="str">
        <x:v>I_ConfirmacionRegistroTIVE</x:v>
      </x:c>
      <x:c r="B120" t="str">
        <x:v>Interfaz</x:v>
      </x:c>
      <x:c r="C120" t="n">
        <x:v>1</x:v>
      </x:c>
      <x:c r="D120" t="str">
        <x:v>RF54</x:v>
      </x:c>
      <x:c r="E120" t="str">
        <x:v>Identidad del componente por homologar con arquitectura real.</x:v>
      </x:c>
    </x:row>
    <x:row r="121" ht="27" customHeight="1">
      <x:c r="A121" t="str">
        <x:v>I_ConfirmarLicencia</x:v>
      </x:c>
      <x:c r="B121" t="str">
        <x:v>Interfaz</x:v>
      </x:c>
      <x:c r="C121" t="n">
        <x:v>1</x:v>
      </x:c>
      <x:c r="D121" t="str">
        <x:v>RF51</x:v>
      </x:c>
      <x:c r="E121" t="str">
        <x:v>Identidad del componente por homologar con arquitectura real.</x:v>
      </x:c>
    </x:row>
    <x:row r="122" ht="27" customHeight="1">
      <x:c r="A122" t="str">
        <x:v>I_CredencialesRecuperacion</x:v>
      </x:c>
      <x:c r="B122" t="str">
        <x:v>Interfaz</x:v>
      </x:c>
      <x:c r="C122" t="n">
        <x:v>1</x:v>
      </x:c>
      <x:c r="D122" t="str">
        <x:v>RF53</x:v>
      </x:c>
      <x:c r="E122" t="str">
        <x:v>Identidad del componente por homologar con arquitectura real.</x:v>
      </x:c>
    </x:row>
    <x:row r="123" ht="27" customHeight="1">
      <x:c r="A123" t="str">
        <x:v>I_CuentaRecuperada</x:v>
      </x:c>
      <x:c r="B123" t="str">
        <x:v>Interfaz</x:v>
      </x:c>
      <x:c r="C123" t="n">
        <x:v>1</x:v>
      </x:c>
      <x:c r="D123" t="str">
        <x:v>RF53</x:v>
      </x:c>
      <x:c r="E123" t="str">
        <x:v>Identidad del componente por homologar con arquitectura real.</x:v>
      </x:c>
    </x:row>
    <x:row r="124" ht="27" customHeight="1">
      <x:c r="A124" t="str">
        <x:v>I_DetalleAlerta</x:v>
      </x:c>
      <x:c r="B124" t="str">
        <x:v>Interfaz</x:v>
      </x:c>
      <x:c r="C124" t="n">
        <x:v>2</x:v>
      </x:c>
      <x:c r="D124" t="str">
        <x:v>RF24, RF47</x:v>
      </x:c>
      <x:c r="E124" t="str">
        <x:v>Identidad del componente por homologar con arquitectura real.</x:v>
      </x:c>
    </x:row>
    <x:row r="125" ht="27" customHeight="1">
      <x:c r="A125" t="str">
        <x:v>I_DetalleIncidenciaAdmin</x:v>
      </x:c>
      <x:c r="B125" t="str">
        <x:v>Interfaz</x:v>
      </x:c>
      <x:c r="C125" t="n">
        <x:v>1</x:v>
      </x:c>
      <x:c r="D125" t="str">
        <x:v>RF61</x:v>
      </x:c>
      <x:c r="E125" t="str">
        <x:v>Identidad del componente por homologar con arquitectura real.</x:v>
      </x:c>
    </x:row>
    <x:row r="126" ht="27" customHeight="1">
      <x:c r="A126" t="str">
        <x:v>I_DetalleIncidenciaUsuario</x:v>
      </x:c>
      <x:c r="B126" t="str">
        <x:v>Interfaz</x:v>
      </x:c>
      <x:c r="C126" t="n">
        <x:v>1</x:v>
      </x:c>
      <x:c r="D126" t="str">
        <x:v>RF64</x:v>
      </x:c>
      <x:c r="E126" t="str">
        <x:v>Identidad del componente por homologar con arquitectura real.</x:v>
      </x:c>
    </x:row>
    <x:row r="127" ht="27" customHeight="1">
      <x:c r="A127" t="str">
        <x:v>I_DetalleLicencia</x:v>
      </x:c>
      <x:c r="B127" t="str">
        <x:v>Interfaz</x:v>
      </x:c>
      <x:c r="C127" t="n">
        <x:v>1</x:v>
      </x:c>
      <x:c r="D127" t="str">
        <x:v>RF52</x:v>
      </x:c>
      <x:c r="E127" t="str">
        <x:v>Identidad del componente por homologar con arquitectura real.</x:v>
      </x:c>
    </x:row>
    <x:row r="128" ht="27" customHeight="1">
      <x:c r="A128" t="str">
        <x:v>I_DetalleMantenimiento</x:v>
      </x:c>
      <x:c r="B128" t="str">
        <x:v>Interfaz</x:v>
      </x:c>
      <x:c r="C128" t="n">
        <x:v>3</x:v>
      </x:c>
      <x:c r="D128" t="str">
        <x:v>RF19, RF20, RF21</x:v>
      </x:c>
      <x:c r="E128" t="str">
        <x:v>Identidad del componente por homologar con arquitectura real.</x:v>
      </x:c>
    </x:row>
    <x:row r="129" ht="27" customHeight="1">
      <x:c r="A129" t="str">
        <x:v>I_DetalleSOAT</x:v>
      </x:c>
      <x:c r="B129" t="str">
        <x:v>Interfaz</x:v>
      </x:c>
      <x:c r="C129" t="n">
        <x:v>3</x:v>
      </x:c>
      <x:c r="D129" t="str">
        <x:v>RF32, RF33, RF47</x:v>
      </x:c>
      <x:c r="E129" t="str">
        <x:v>Identidad del componente por homologar con arquitectura real.</x:v>
      </x:c>
    </x:row>
    <x:row r="130" ht="27" customHeight="1">
      <x:c r="A130" t="str">
        <x:v>I_DetalleSuscripcionAdmin</x:v>
      </x:c>
      <x:c r="B130" t="str">
        <x:v>Interfaz</x:v>
      </x:c>
      <x:c r="C130" t="n">
        <x:v>1</x:v>
      </x:c>
      <x:c r="D130" t="str">
        <x:v>RF60</x:v>
      </x:c>
      <x:c r="E130" t="str">
        <x:v>Identidad del componente por homologar con arquitectura real.</x:v>
      </x:c>
    </x:row>
    <x:row r="131" ht="27" customHeight="1">
      <x:c r="A131" t="str">
        <x:v>I_DetalleTIVE</x:v>
      </x:c>
      <x:c r="B131" t="str">
        <x:v>Interfaz</x:v>
      </x:c>
      <x:c r="C131" t="n">
        <x:v>2</x:v>
      </x:c>
      <x:c r="D131" t="str">
        <x:v>RF55, RF56</x:v>
      </x:c>
      <x:c r="E131" t="str">
        <x:v>Identidad del componente por homologar con arquitectura real.</x:v>
      </x:c>
    </x:row>
    <x:row r="132" ht="27" customHeight="1">
      <x:c r="A132" t="str">
        <x:v>I_DetalleUsuarioAdmin</x:v>
      </x:c>
      <x:c r="B132" t="str">
        <x:v>Interfaz</x:v>
      </x:c>
      <x:c r="C132" t="n">
        <x:v>2</x:v>
      </x:c>
      <x:c r="D132" t="str">
        <x:v>RF58, RF59</x:v>
      </x:c>
      <x:c r="E132" t="str">
        <x:v>Identidad del componente por homologar con arquitectura real.</x:v>
      </x:c>
    </x:row>
    <x:row r="133" ht="27" customHeight="1">
      <x:c r="A133" t="str">
        <x:v>I_DetalleVehiculo</x:v>
      </x:c>
      <x:c r="B133" t="str">
        <x:v>Interfaz</x:v>
      </x:c>
      <x:c r="C133" t="n">
        <x:v>14</x:v>
      </x:c>
      <x:c r="D133" t="str">
        <x:v>RF10, RF11, RF12, RF13, RF14, RF31, RF32, RF33, RF42, RF43, RF45, RF54, RF55, RF56</x:v>
      </x:c>
      <x:c r="E133" t="str">
        <x:v>Identidad del componente por homologar con arquitectura real.</x:v>
      </x:c>
    </x:row>
    <x:row r="134" ht="27" customHeight="1">
      <x:c r="A134" t="str">
        <x:v>I_EdicionVehiculo</x:v>
      </x:c>
      <x:c r="B134" t="str">
        <x:v>Interfaz</x:v>
      </x:c>
      <x:c r="C134" t="n">
        <x:v>1</x:v>
      </x:c>
      <x:c r="D134" t="str">
        <x:v>RF11</x:v>
      </x:c>
      <x:c r="E134" t="str">
        <x:v>Identidad del componente por homologar con arquitectura real.</x:v>
      </x:c>
    </x:row>
    <x:row r="135" ht="27" customHeight="1">
      <x:c r="A135" t="str">
        <x:v>I_EditarMantenimiento</x:v>
      </x:c>
      <x:c r="B135" t="str">
        <x:v>Interfaz</x:v>
      </x:c>
      <x:c r="C135" t="n">
        <x:v>1</x:v>
      </x:c>
      <x:c r="D135" t="str">
        <x:v>RF20</x:v>
      </x:c>
      <x:c r="E135" t="str">
        <x:v>Identidad del componente por homologar con arquitectura real.</x:v>
      </x:c>
    </x:row>
    <x:row r="136" ht="27" customHeight="1">
      <x:c r="A136" t="str">
        <x:v>I_EditarPerfil</x:v>
      </x:c>
      <x:c r="B136" t="str">
        <x:v>Interfaz</x:v>
      </x:c>
      <x:c r="C136" t="n">
        <x:v>1</x:v>
      </x:c>
      <x:c r="D136" t="str">
        <x:v>RF04</x:v>
      </x:c>
      <x:c r="E136" t="str">
        <x:v>Identidad del componente por homologar con arquitectura real.</x:v>
      </x:c>
    </x:row>
    <x:row r="137" ht="27" customHeight="1">
      <x:c r="A137" t="str">
        <x:v>I_EditarTIVE</x:v>
      </x:c>
      <x:c r="B137" t="str">
        <x:v>Interfaz</x:v>
      </x:c>
      <x:c r="C137" t="n">
        <x:v>1</x:v>
      </x:c>
      <x:c r="D137" t="str">
        <x:v>RF56</x:v>
      </x:c>
      <x:c r="E137" t="str">
        <x:v>Identidad del componente por homologar con arquitectura real.</x:v>
      </x:c>
    </x:row>
    <x:row r="138" ht="27" customHeight="1">
      <x:c r="A138" t="str">
        <x:v>I_EditarTaller</x:v>
      </x:c>
      <x:c r="B138" t="str">
        <x:v>Interfaz</x:v>
      </x:c>
      <x:c r="C138" t="n">
        <x:v>1</x:v>
      </x:c>
      <x:c r="D138" t="str">
        <x:v>RF35</x:v>
      </x:c>
      <x:c r="E138" t="str">
        <x:v>Identidad del componente por homologar con arquitectura real.</x:v>
      </x:c>
    </x:row>
    <x:row r="139" ht="27" customHeight="1">
      <x:c r="A139" t="str">
        <x:v>I_EliminarImagenVehiculo</x:v>
      </x:c>
      <x:c r="B139" t="str">
        <x:v>Interfaz</x:v>
      </x:c>
      <x:c r="C139" t="n">
        <x:v>1</x:v>
      </x:c>
      <x:c r="D139" t="str">
        <x:v>RF45</x:v>
      </x:c>
      <x:c r="E139" t="str">
        <x:v>Identidad del componente por homologar con arquitectura real.</x:v>
      </x:c>
    </x:row>
    <x:row r="140" ht="27" customHeight="1">
      <x:c r="A140" t="str">
        <x:v>I_EstadoSuscripcion</x:v>
      </x:c>
      <x:c r="B140" t="str">
        <x:v>Interfaz</x:v>
      </x:c>
      <x:c r="C140" t="n">
        <x:v>1</x:v>
      </x:c>
      <x:c r="D140" t="str">
        <x:v>RF30</x:v>
      </x:c>
      <x:c r="E140" t="str">
        <x:v>Identidad del componente por homologar con arquitectura real.</x:v>
      </x:c>
    </x:row>
    <x:row r="141" ht="27" customHeight="1">
      <x:c r="A141" t="str">
        <x:v>I_ExportarHistorial</x:v>
      </x:c>
      <x:c r="B141" t="str">
        <x:v>Interfaz</x:v>
      </x:c>
      <x:c r="C141" t="n">
        <x:v>1</x:v>
      </x:c>
      <x:c r="D141" t="str">
        <x:v>RF27</x:v>
      </x:c>
      <x:c r="E141" t="str">
        <x:v>Identidad del componente por homologar con arquitectura real.</x:v>
      </x:c>
    </x:row>
    <x:row r="142" ht="27" customHeight="1">
      <x:c r="A142" t="str">
        <x:v>I_FiltrosHistorial</x:v>
      </x:c>
      <x:c r="B142" t="str">
        <x:v>Interfaz</x:v>
      </x:c>
      <x:c r="C142" t="n">
        <x:v>2</x:v>
      </x:c>
      <x:c r="D142" t="str">
        <x:v>RF15, RF26</x:v>
      </x:c>
      <x:c r="E142" t="str">
        <x:v>Identidad del componente por homologar con arquitectura real.</x:v>
      </x:c>
    </x:row>
    <x:row r="143" ht="27" customHeight="1">
      <x:c r="A143" t="str">
        <x:v>I_FormularioCatalogo</x:v>
      </x:c>
      <x:c r="B143" t="str">
        <x:v>Interfaz</x:v>
      </x:c>
      <x:c r="C143" t="n">
        <x:v>1</x:v>
      </x:c>
      <x:c r="D143" t="str">
        <x:v>RF62</x:v>
      </x:c>
      <x:c r="E143" t="str">
        <x:v>Identidad del componente por homologar con arquitectura real.</x:v>
      </x:c>
    </x:row>
    <x:row r="144" ht="27" customHeight="1">
      <x:c r="A144" t="str">
        <x:v>I_HistorialEstadoCuenta</x:v>
      </x:c>
      <x:c r="B144" t="str">
        <x:v>Interfaz</x:v>
      </x:c>
      <x:c r="C144" t="n">
        <x:v>1</x:v>
      </x:c>
      <x:c r="D144" t="str">
        <x:v>RF58</x:v>
      </x:c>
      <x:c r="E144" t="str">
        <x:v>Identidad del componente por homologar con arquitectura real.</x:v>
      </x:c>
    </x:row>
    <x:row r="145" ht="27" customHeight="1">
      <x:c r="A145" t="str">
        <x:v>I_HistorialKilometraje</x:v>
      </x:c>
      <x:c r="B145" t="str">
        <x:v>Interfaz</x:v>
      </x:c>
      <x:c r="C145" t="n">
        <x:v>1</x:v>
      </x:c>
      <x:c r="D145" t="str">
        <x:v>RF15</x:v>
      </x:c>
      <x:c r="E145" t="str">
        <x:v>Identidad del componente por homologar con arquitectura real.</x:v>
      </x:c>
    </x:row>
    <x:row r="146" ht="27" customHeight="1">
      <x:c r="A146" t="str">
        <x:v>I_HistorialMantenimiento</x:v>
      </x:c>
      <x:c r="B146" t="str">
        <x:v>Interfaz</x:v>
      </x:c>
      <x:c r="C146" t="n">
        <x:v>4</x:v>
      </x:c>
      <x:c r="D146" t="str">
        <x:v>RF17, RF18, RF19, RF21</x:v>
      </x:c>
      <x:c r="E146" t="str">
        <x:v>Identidad del componente por homologar con arquitectura real.</x:v>
      </x:c>
    </x:row>
    <x:row r="147" ht="27" customHeight="1">
      <x:c r="A147" t="str">
        <x:v>I_HistorialSuscripcion</x:v>
      </x:c>
      <x:c r="B147" t="str">
        <x:v>Interfaz</x:v>
      </x:c>
      <x:c r="C147" t="n">
        <x:v>1</x:v>
      </x:c>
      <x:c r="D147" t="str">
        <x:v>RF60</x:v>
      </x:c>
      <x:c r="E147" t="str">
        <x:v>Identidad del componente por homologar con arquitectura real.</x:v>
      </x:c>
    </x:row>
    <x:row r="148" ht="27" customHeight="1">
      <x:c r="A148" t="str">
        <x:v>I_HistorialVehiculo</x:v>
      </x:c>
      <x:c r="B148" t="str">
        <x:v>Interfaz</x:v>
      </x:c>
      <x:c r="C148" t="n">
        <x:v>10</x:v>
      </x:c>
      <x:c r="D148" t="str">
        <x:v>RF15, RF17, RF18, RF25, RF26, RF27, RF34, RF35, RF36, RF37</x:v>
      </x:c>
      <x:c r="E148" t="str">
        <x:v>Identidad del componente por homologar con arquitectura real.</x:v>
      </x:c>
    </x:row>
    <x:row r="149" ht="27" customHeight="1">
      <x:c r="A149" t="str">
        <x:v>I_IncidenciasAdmin</x:v>
      </x:c>
      <x:c r="B149" t="str">
        <x:v>Interfaz</x:v>
      </x:c>
      <x:c r="C149" t="n">
        <x:v>1</x:v>
      </x:c>
      <x:c r="D149" t="str">
        <x:v>RF61</x:v>
      </x:c>
      <x:c r="E149" t="str">
        <x:v>Identidad del componente por homologar con arquitectura real.</x:v>
      </x:c>
    </x:row>
    <x:row r="150" ht="27" customHeight="1">
      <x:c r="A150" t="str">
        <x:v>I_InformacionEliminacionCuenta</x:v>
      </x:c>
      <x:c r="B150" t="str">
        <x:v>Interfaz</x:v>
      </x:c>
      <x:c r="C150" t="n">
        <x:v>1</x:v>
      </x:c>
      <x:c r="D150" t="str">
        <x:v>RF07</x:v>
      </x:c>
      <x:c r="E150" t="str">
        <x:v>Identidad del componente por homologar con arquitectura real.</x:v>
      </x:c>
    </x:row>
    <x:row r="151" ht="27" customHeight="1">
      <x:c r="A151" t="str">
        <x:v>I_InformacionRecuperacionCuenta</x:v>
      </x:c>
      <x:c r="B151" t="str">
        <x:v>Interfaz</x:v>
      </x:c>
      <x:c r="C151" t="n">
        <x:v>1</x:v>
      </x:c>
      <x:c r="D151" t="str">
        <x:v>RF53</x:v>
      </x:c>
      <x:c r="E151" t="str">
        <x:v>Identidad del componente por homologar con arquitectura real.</x:v>
      </x:c>
    </x:row>
    <x:row r="152" ht="27" customHeight="1">
      <x:c r="A152" t="str">
        <x:v>I_Inicio</x:v>
      </x:c>
      <x:c r="B152" t="str">
        <x:v>Interfaz</x:v>
      </x:c>
      <x:c r="C152" t="n">
        <x:v>31</x:v>
      </x:c>
      <x:c r="D152" t="str">
        <x:v>RF02, RF04, RF05, RF06, RF07, RF08, RF09, RF15, RF17, RF18, RF23, RF25, RF28, RF29, RF30, RF31, RF32, RF33, RF34, RF35, RF36, RF37, RF38, RF39, RF40, RF44, RF46, RF48, RF50, RF51, RF52</x:v>
      </x:c>
      <x:c r="E152" t="str">
        <x:v>Identidad del componente por homologar con arquitectura real.</x:v>
      </x:c>
    </x:row>
    <x:row r="153" ht="27" customHeight="1">
      <x:c r="A153" t="str">
        <x:v>I_InicioSesion</x:v>
      </x:c>
      <x:c r="B153" t="str">
        <x:v>Interfaz</x:v>
      </x:c>
      <x:c r="C153" t="n">
        <x:v>5</x:v>
      </x:c>
      <x:c r="D153" t="str">
        <x:v>RF01, RF02, RF03, RF53, RF57</x:v>
      </x:c>
      <x:c r="E153" t="str">
        <x:v>Identidad del componente por homologar con arquitectura real.</x:v>
      </x:c>
    </x:row>
    <x:row r="154" ht="27" customHeight="1">
      <x:c r="A154" t="str">
        <x:v>I_ListaElementosCatalogo</x:v>
      </x:c>
      <x:c r="B154" t="str">
        <x:v>Interfaz</x:v>
      </x:c>
      <x:c r="C154" t="n">
        <x:v>1</x:v>
      </x:c>
      <x:c r="D154" t="str">
        <x:v>RF62</x:v>
      </x:c>
      <x:c r="E154" t="str">
        <x:v>Identidad del componente por homologar con arquitectura real.</x:v>
      </x:c>
    </x:row>
    <x:row r="155" ht="27" customHeight="1">
      <x:c r="A155" t="str">
        <x:v>I_MisIncidencias</x:v>
      </x:c>
      <x:c r="B155" t="str">
        <x:v>Interfaz</x:v>
      </x:c>
      <x:c r="C155" t="n">
        <x:v>2</x:v>
      </x:c>
      <x:c r="D155" t="str">
        <x:v>RF63, RF64</x:v>
      </x:c>
      <x:c r="E155" t="str">
        <x:v>Identidad del componente por homologar con arquitectura real.</x:v>
      </x:c>
    </x:row>
    <x:row r="156" ht="27" customHeight="1">
      <x:c r="A156" t="str">
        <x:v>I_ModulosAdministrativos</x:v>
      </x:c>
      <x:c r="B156" t="str">
        <x:v>Interfaz</x:v>
      </x:c>
      <x:c r="C156" t="n">
        <x:v>1</x:v>
      </x:c>
      <x:c r="D156" t="str">
        <x:v>RF57</x:v>
      </x:c>
      <x:c r="E156" t="str">
        <x:v>Identidad del componente por homologar con arquitectura real.</x:v>
      </x:c>
    </x:row>
    <x:row r="157" ht="27" customHeight="1">
      <x:c r="A157" t="str">
        <x:v>I_MotivoEliminacionCuenta</x:v>
      </x:c>
      <x:c r="B157" t="str">
        <x:v>Interfaz</x:v>
      </x:c>
      <x:c r="C157" t="n">
        <x:v>1</x:v>
      </x:c>
      <x:c r="D157" t="str">
        <x:v>RF07</x:v>
      </x:c>
      <x:c r="E157" t="str">
        <x:v>Identidad del componente por homologar con arquitectura real.</x:v>
      </x:c>
    </x:row>
    <x:row r="158" ht="27" customHeight="1">
      <x:c r="A158" t="str">
        <x:v>I_NotificacionDispositivo</x:v>
      </x:c>
      <x:c r="B158" t="str">
        <x:v>Interfaz</x:v>
      </x:c>
      <x:c r="C158" t="n">
        <x:v>1</x:v>
      </x:c>
      <x:c r="D158" t="str">
        <x:v>RF46</x:v>
      </x:c>
      <x:c r="E158" t="str">
        <x:v>Identidad del componente por homologar con arquitectura real.</x:v>
      </x:c>
    </x:row>
    <x:row r="159" ht="27" customHeight="1">
      <x:c r="A159" t="str">
        <x:v>I_NuevaContrasena</x:v>
      </x:c>
      <x:c r="B159" t="str">
        <x:v>Interfaz</x:v>
      </x:c>
      <x:c r="C159" t="n">
        <x:v>1</x:v>
      </x:c>
      <x:c r="D159" t="str">
        <x:v>RF03</x:v>
      </x:c>
      <x:c r="E159" t="str">
        <x:v>Identidad del componente por homologar con arquitectura real.</x:v>
      </x:c>
    </x:row>
    <x:row r="160" ht="27" customHeight="1">
      <x:c r="A160" t="str">
        <x:v>I_OpcionesFotoPerfil</x:v>
      </x:c>
      <x:c r="B160" t="str">
        <x:v>Interfaz</x:v>
      </x:c>
      <x:c r="C160" t="n">
        <x:v>3</x:v>
      </x:c>
      <x:c r="D160" t="str">
        <x:v>RF38, RF39, RF40</x:v>
      </x:c>
      <x:c r="E160" t="str">
        <x:v>Identidad del componente por homologar con arquitectura real.</x:v>
      </x:c>
    </x:row>
    <x:row r="161" ht="27" customHeight="1">
      <x:c r="A161" t="str">
        <x:v>I_PanelAdministrador</x:v>
      </x:c>
      <x:c r="B161" t="str">
        <x:v>Interfaz</x:v>
      </x:c>
      <x:c r="C161" t="n">
        <x:v>5</x:v>
      </x:c>
      <x:c r="D161" t="str">
        <x:v>RF57, RF58, RF60, RF61, RF62</x:v>
      </x:c>
      <x:c r="E161" t="str">
        <x:v>Identidad del componente por homologar con arquitectura real.</x:v>
      </x:c>
    </x:row>
    <x:row r="162" ht="27" customHeight="1">
      <x:c r="A162" t="str">
        <x:v>I_Perfil</x:v>
      </x:c>
      <x:c r="B162" t="str">
        <x:v>Interfaz</x:v>
      </x:c>
      <x:c r="C162" t="n">
        <x:v>16</x:v>
      </x:c>
      <x:c r="D162" t="str">
        <x:v>RF04, RF05, RF06, RF07, RF28, RF29, RF30, RF38, RF39, RF40, RF44, RF48, RF51, RF52, RF63, RF64</x:v>
      </x:c>
      <x:c r="E162" t="str">
        <x:v>Identidad del componente por homologar con arquitectura real.</x:v>
      </x:c>
    </x:row>
    <x:row r="163" ht="27" customHeight="1">
      <x:c r="A163" t="str">
        <x:v>I_Planes</x:v>
      </x:c>
      <x:c r="B163" t="str">
        <x:v>Interfaz</x:v>
      </x:c>
      <x:c r="C163" t="n">
        <x:v>3</x:v>
      </x:c>
      <x:c r="D163" t="str">
        <x:v>RF28, RF29, RF30</x:v>
      </x:c>
      <x:c r="E163" t="str">
        <x:v>Identidad del componente por homologar con arquitectura real.</x:v>
      </x:c>
    </x:row>
    <x:row r="164" ht="27" customHeight="1">
      <x:c r="A164" t="str">
        <x:v>I_ProgramarAlerta</x:v>
      </x:c>
      <x:c r="B164" t="str">
        <x:v>Interfaz</x:v>
      </x:c>
      <x:c r="C164" t="n">
        <x:v>1</x:v>
      </x:c>
      <x:c r="D164" t="str">
        <x:v>RF22</x:v>
      </x:c>
      <x:c r="E164" t="str">
        <x:v>Identidad del componente por homologar con arquitectura real.</x:v>
      </x:c>
    </x:row>
    <x:row r="165" ht="27" customHeight="1">
      <x:c r="A165" t="str">
        <x:v>I_RecuperacionContrasena</x:v>
      </x:c>
      <x:c r="B165" t="str">
        <x:v>Interfaz</x:v>
      </x:c>
      <x:c r="C165" t="n">
        <x:v>1</x:v>
      </x:c>
      <x:c r="D165" t="str">
        <x:v>RF03</x:v>
      </x:c>
      <x:c r="E165" t="str">
        <x:v>Identidad del componente por homologar con arquitectura real.</x:v>
      </x:c>
    </x:row>
    <x:row r="166" ht="27" customHeight="1">
      <x:c r="A166" t="str">
        <x:v>I_RegistrarImagenVehiculo</x:v>
      </x:c>
      <x:c r="B166" t="str">
        <x:v>Interfaz</x:v>
      </x:c>
      <x:c r="C166" t="n">
        <x:v>1</x:v>
      </x:c>
      <x:c r="D166" t="str">
        <x:v>RF42</x:v>
      </x:c>
      <x:c r="E166" t="str">
        <x:v>Identidad del componente por homologar con arquitectura real.</x:v>
      </x:c>
    </x:row>
    <x:row r="167" ht="27" customHeight="1">
      <x:c r="A167" t="str">
        <x:v>I_RegistrarLicencia</x:v>
      </x:c>
      <x:c r="B167" t="str">
        <x:v>Interfaz</x:v>
      </x:c>
      <x:c r="C167" t="n">
        <x:v>1</x:v>
      </x:c>
      <x:c r="D167" t="str">
        <x:v>RF51</x:v>
      </x:c>
      <x:c r="E167" t="str">
        <x:v>Identidad del componente por homologar con arquitectura real.</x:v>
      </x:c>
    </x:row>
    <x:row r="168" ht="27" customHeight="1">
      <x:c r="A168" t="str">
        <x:v>I_RegistrarTIVE</x:v>
      </x:c>
      <x:c r="B168" t="str">
        <x:v>Interfaz</x:v>
      </x:c>
      <x:c r="C168" t="n">
        <x:v>1</x:v>
      </x:c>
      <x:c r="D168" t="str">
        <x:v>RF54</x:v>
      </x:c>
      <x:c r="E168" t="str">
        <x:v>Identidad del componente por homologar con arquitectura real.</x:v>
      </x:c>
    </x:row>
    <x:row r="169" ht="27" customHeight="1">
      <x:c r="A169" t="str">
        <x:v>I_RegistroIncidenciaUsuario</x:v>
      </x:c>
      <x:c r="B169" t="str">
        <x:v>Interfaz</x:v>
      </x:c>
      <x:c r="C169" t="n">
        <x:v>1</x:v>
      </x:c>
      <x:c r="D169" t="str">
        <x:v>RF63</x:v>
      </x:c>
      <x:c r="E169" t="str">
        <x:v>Identidad del componente por homologar con arquitectura real.</x:v>
      </x:c>
    </x:row>
    <x:row r="170" ht="27" customHeight="1">
      <x:c r="A170" t="str">
        <x:v>I_RegistroMantenimiento</x:v>
      </x:c>
      <x:c r="B170" t="str">
        <x:v>Interfaz</x:v>
      </x:c>
      <x:c r="C170" t="n">
        <x:v>2</x:v>
      </x:c>
      <x:c r="D170" t="str">
        <x:v>RF17, RF24</x:v>
      </x:c>
      <x:c r="E170" t="str">
        <x:v>Identidad del componente por homologar con arquitectura real.</x:v>
      </x:c>
    </x:row>
    <x:row r="171" ht="27" customHeight="1">
      <x:c r="A171" t="str">
        <x:v>I_RegistroTaller</x:v>
      </x:c>
      <x:c r="B171" t="str">
        <x:v>Interfaz</x:v>
      </x:c>
      <x:c r="C171" t="n">
        <x:v>1</x:v>
      </x:c>
      <x:c r="D171" t="str">
        <x:v>RF34</x:v>
      </x:c>
      <x:c r="E171" t="str">
        <x:v>Identidad del componente por homologar con arquitectura real.</x:v>
      </x:c>
    </x:row>
    <x:row r="172" ht="27" customHeight="1">
      <x:c r="A172" t="str">
        <x:v>I_RegistroUsuario</x:v>
      </x:c>
      <x:c r="B172" t="str">
        <x:v>Interfaz</x:v>
      </x:c>
      <x:c r="C172" t="n">
        <x:v>1</x:v>
      </x:c>
      <x:c r="D172" t="str">
        <x:v>RF01</x:v>
      </x:c>
      <x:c r="E172" t="str">
        <x:v>Identidad del componente por homologar con arquitectura real.</x:v>
      </x:c>
    </x:row>
    <x:row r="173" ht="27" customHeight="1">
      <x:c r="A173" t="str">
        <x:v>I_RegistroVehiculo</x:v>
      </x:c>
      <x:c r="B173" t="str">
        <x:v>Interfaz</x:v>
      </x:c>
      <x:c r="C173" t="n">
        <x:v>1</x:v>
      </x:c>
      <x:c r="D173" t="str">
        <x:v>RF08</x:v>
      </x:c>
      <x:c r="E173" t="str">
        <x:v>Identidad del componente por homologar con arquitectura real.</x:v>
      </x:c>
    </x:row>
    <x:row r="174" ht="27" customHeight="1">
      <x:c r="A174" t="str">
        <x:v>I_ResultadoOperacion</x:v>
      </x:c>
      <x:c r="B174" t="str">
        <x:v>Interfaz</x:v>
      </x:c>
      <x:c r="C174" t="n">
        <x:v>3</x:v>
      </x:c>
      <x:c r="D174" t="str">
        <x:v>RF38, RF39, RF40</x:v>
      </x:c>
      <x:c r="E174" t="str">
        <x:v>Identidad del componente por homologar con arquitectura real.</x:v>
      </x:c>
    </x:row>
    <x:row r="175" ht="27" customHeight="1">
      <x:c r="A175" t="str">
        <x:v>I_ResultadoVerificacion</x:v>
      </x:c>
      <x:c r="B175" t="str">
        <x:v>Interfaz</x:v>
      </x:c>
      <x:c r="C175" t="n">
        <x:v>1</x:v>
      </x:c>
      <x:c r="D175" t="str">
        <x:v>RF60</x:v>
      </x:c>
      <x:c r="E175" t="str">
        <x:v>Identidad del componente por homologar con arquitectura real.</x:v>
      </x:c>
    </x:row>
    <x:row r="176" ht="27" customHeight="1">
      <x:c r="A176" t="str">
        <x:v>I_SOAT</x:v>
      </x:c>
      <x:c r="B176" t="str">
        <x:v>Interfaz</x:v>
      </x:c>
      <x:c r="C176" t="n">
        <x:v>2</x:v>
      </x:c>
      <x:c r="D176" t="str">
        <x:v>RF31, RF32</x:v>
      </x:c>
      <x:c r="E176" t="str">
        <x:v>Identidad del componente por homologar con arquitectura real.</x:v>
      </x:c>
    </x:row>
    <x:row r="177" ht="27" customHeight="1">
      <x:c r="A177" t="str">
        <x:v>I_SeleccionFoto</x:v>
      </x:c>
      <x:c r="B177" t="str">
        <x:v>Interfaz</x:v>
      </x:c>
      <x:c r="C177" t="n">
        <x:v>2</x:v>
      </x:c>
      <x:c r="D177" t="str">
        <x:v>RF38, RF39</x:v>
      </x:c>
      <x:c r="E177" t="str">
        <x:v>Identidad del componente por homologar con arquitectura real.</x:v>
      </x:c>
    </x:row>
    <x:row r="178" ht="27" customHeight="1">
      <x:c r="A178" t="str">
        <x:v>I_SeleccionarEvidenciaIncidencia</x:v>
      </x:c>
      <x:c r="B178" t="str">
        <x:v>Interfaz</x:v>
      </x:c>
      <x:c r="C178" t="n">
        <x:v>1</x:v>
      </x:c>
      <x:c r="D178" t="str">
        <x:v>RF63</x:v>
      </x:c>
      <x:c r="E178" t="str">
        <x:v>Identidad del componente por homologar con arquitectura real.</x:v>
      </x:c>
    </x:row>
    <x:row r="179" ht="27" customHeight="1">
      <x:c r="A179" t="str">
        <x:v>I_SeleccionarImagenTIVE</x:v>
      </x:c>
      <x:c r="B179" t="str">
        <x:v>Interfaz</x:v>
      </x:c>
      <x:c r="C179" t="n">
        <x:v>1</x:v>
      </x:c>
      <x:c r="D179" t="str">
        <x:v>RF54</x:v>
      </x:c>
      <x:c r="E179" t="str">
        <x:v>Identidad del componente por homologar con arquitectura real.</x:v>
      </x:c>
    </x:row>
    <x:row r="180" ht="27" customHeight="1">
      <x:c r="A180" t="str">
        <x:v>I_Suscripcion</x:v>
      </x:c>
      <x:c r="B180" t="str">
        <x:v>Interfaz</x:v>
      </x:c>
      <x:c r="C180" t="n">
        <x:v>1</x:v>
      </x:c>
      <x:c r="D180" t="str">
        <x:v>RF29</x:v>
      </x:c>
      <x:c r="E180" t="str">
        <x:v>Identidad del componente por homologar con arquitectura real.</x:v>
      </x:c>
    </x:row>
    <x:row r="181" ht="27" customHeight="1">
      <x:c r="A181" t="str">
        <x:v>I_SuscripcionesAdmin</x:v>
      </x:c>
      <x:c r="B181" t="str">
        <x:v>Interfaz</x:v>
      </x:c>
      <x:c r="C181" t="n">
        <x:v>1</x:v>
      </x:c>
      <x:c r="D181" t="str">
        <x:v>RF60</x:v>
      </x:c>
      <x:c r="E181" t="str">
        <x:v>Identidad del componente por homologar con arquitectura real.</x:v>
      </x:c>
    </x:row>
    <x:row r="182" ht="27" customHeight="1">
      <x:c r="A182" t="str">
        <x:v>I_Taller</x:v>
      </x:c>
      <x:c r="B182" t="str">
        <x:v>Interfaz</x:v>
      </x:c>
      <x:c r="C182" t="n">
        <x:v>4</x:v>
      </x:c>
      <x:c r="D182" t="str">
        <x:v>RF34, RF35, RF36, RF37</x:v>
      </x:c>
      <x:c r="E182" t="str">
        <x:v>Identidad del componente por homologar con arquitectura real.</x:v>
      </x:c>
    </x:row>
    <x:row r="183" ht="27" customHeight="1">
      <x:c r="A183" t="str">
        <x:v>I_UsuariosAdmin</x:v>
      </x:c>
      <x:c r="B183" t="str">
        <x:v>Interfaz</x:v>
      </x:c>
      <x:c r="C183" t="n">
        <x:v>1</x:v>
      </x:c>
      <x:c r="D183" t="str">
        <x:v>RF58</x:v>
      </x:c>
      <x:c r="E183" t="str">
        <x:v>Identidad del componente por homologar con arquitectura real.</x:v>
      </x:c>
    </x:row>
    <x:row r="184" ht="27" customHeight="1">
      <x:c r="A184" t="str">
        <x:v>I_VerificarCodigo</x:v>
      </x:c>
      <x:c r="B184" t="str">
        <x:v>Interfaz</x:v>
      </x:c>
      <x:c r="C184" t="n">
        <x:v>1</x:v>
      </x:c>
      <x:c r="D184" t="str">
        <x:v>RF03</x:v>
      </x:c>
      <x:c r="E184" t="str">
        <x:v>Identidad del componente por homologar con arquitectura real.</x:v>
      </x:c>
    </x:row>
    <x:row r="185" ht="27" customHeight="1">
      <x:c r="A185" t="str">
        <x:v>I_VerificarDigitoDNI</x:v>
      </x:c>
      <x:c r="B185" t="str">
        <x:v>Interfaz</x:v>
      </x:c>
      <x:c r="C185" t="n">
        <x:v>1</x:v>
      </x:c>
      <x:c r="D185" t="str">
        <x:v>RF51</x:v>
      </x:c>
      <x:c r="E185" t="str">
        <x:v>Identidad del componente por homologar con arquitectura real.</x:v>
      </x:c>
    </x:row>
    <x:row r="186" ht="27" customHeight="1">
      <x:c r="A186" t="str">
        <x:v>I_VerificarEliminacionCuenta</x:v>
      </x:c>
      <x:c r="B186" t="str">
        <x:v>Interfaz</x:v>
      </x:c>
      <x:c r="C186" t="n">
        <x:v>1</x:v>
      </x:c>
      <x:c r="D186" t="str">
        <x:v>RF07</x:v>
      </x:c>
      <x:c r="E186" t="str">
        <x:v>Identidad del componente por homologar con arquitectura real.</x:v>
      </x:c>
    </x:row>
    <x:row r="187" ht="27" customHeight="1">
      <x:c r="A187" t="str">
        <x:v>I_VerificarRecuperacionCuenta</x:v>
      </x:c>
      <x:c r="B187" t="str">
        <x:v>Interfaz</x:v>
      </x:c>
      <x:c r="C187" t="n">
        <x:v>1</x:v>
      </x:c>
      <x:c r="D187" t="str">
        <x:v>RF53</x:v>
      </x:c>
      <x:c r="E187" t="str">
        <x:v>Identidad del componente por homologar con arquitectura real.</x:v>
      </x:c>
    </x:row>
    <x:row r="188" ht="27" customHeight="1">
      <x:c r="A188" t="str">
        <x:v>I_VisorImagenTIVE</x:v>
      </x:c>
      <x:c r="B188" t="str">
        <x:v>Interfaz</x:v>
      </x:c>
      <x:c r="C188" t="n">
        <x:v>1</x:v>
      </x:c>
      <x:c r="D188" t="str">
        <x:v>RF55</x:v>
      </x:c>
      <x:c r="E188" t="str">
        <x:v>Identidad del componente por homologar con arquitectura real.</x:v>
      </x:c>
    </x:row>
    <x:row r="189" ht="27" customHeight="1">
      <x:c r="A189" t="str">
        <x:v>I_VistaPreviaCompartirVehiculo</x:v>
      </x:c>
      <x:c r="B189" t="str">
        <x:v>Interfaz</x:v>
      </x:c>
      <x:c r="C189" t="n">
        <x:v>1</x:v>
      </x:c>
      <x:c r="D189" t="str">
        <x:v>RF41</x:v>
      </x:c>
      <x:c r="E189" t="str">
        <x:v>Identidad del componente por homologar con arquitectura real.</x:v>
      </x:c>
    </x:row>
    <x:row r="190" ht="27" customHeight="1">
      <x:c r="A190" t="str">
        <x:v>I_VistaPreviaImagen</x:v>
      </x:c>
      <x:c r="B190" t="str">
        <x:v>Interfaz</x:v>
      </x:c>
      <x:c r="C190" t="n">
        <x:v>2</x:v>
      </x:c>
      <x:c r="D190" t="str">
        <x:v>RF42, RF43</x:v>
      </x:c>
      <x:c r="E190" t="str">
        <x:v>Identidad del componente por homologar con arquitectura real.</x:v>
      </x:c>
    </x:row>
    <x:row r="191" ht="27" customHeight="1">
      <x:c r="A191" t="str">
        <x:v>I_VistaPreviaKilometraje</x:v>
      </x:c>
      <x:c r="B191" t="str">
        <x:v>Interfaz</x:v>
      </x:c>
      <x:c r="C191" t="n">
        <x:v>2</x:v>
      </x:c>
      <x:c r="D191" t="str">
        <x:v>RF14, RF16</x:v>
      </x:c>
      <x:c r="E191" t="str">
        <x:v>Identidad del componente por homologar con arquitectura real.</x:v>
      </x:c>
    </x:row>
    <x:row r="192" ht="27" customHeight="1">
      <x:c r="A192" t="str">
        <x:v>ServicioCompartirDispositivo</x:v>
      </x:c>
      <x:c r="B192" t="str">
        <x:v>Servicio externo/otro</x:v>
      </x:c>
      <x:c r="C192" t="n">
        <x:v>2</x:v>
      </x:c>
      <x:c r="D192" t="str">
        <x:v>RF27, RF41</x:v>
      </x:c>
      <x:c r="E192" t="str">
        <x:v>Identidad del componente por homologar con arquitectura real.</x:v>
      </x:c>
    </x:row>
    <x:row r="193" ht="27" customHeight="1">
      <x:c r="A193" t="str">
        <x:v>ServicioGaleriaDispositivo</x:v>
      </x:c>
      <x:c r="B193" t="str">
        <x:v>Servicio externo/otro</x:v>
      </x:c>
      <x:c r="C193" t="n">
        <x:v>2</x:v>
      </x:c>
      <x:c r="D193" t="str">
        <x:v>RF42, RF43</x:v>
      </x:c>
      <x:c r="E193" t="str">
        <x:v>Identidad del componente por homologar con arquitectura real.</x:v>
      </x:c>
    </x:row>
    <x:row r="194" ht="27" customHeight="1">
      <x:c r="A194" t="str">
        <x:v>ServicioGeneradorPDF</x:v>
      </x:c>
      <x:c r="B194" t="str">
        <x:v>Servicio externo/otro</x:v>
      </x:c>
      <x:c r="C194" t="n">
        <x:v>1</x:v>
      </x:c>
      <x:c r="D194" t="str">
        <x:v>RF41</x:v>
      </x:c>
      <x:c r="E194" t="str">
        <x:v>Identidad del componente por homologar con arquitectura real.</x:v>
      </x:c>
    </x:row>
    <x:row r="195" ht="27" customHeight="1">
      <x:c r="A195" t="str">
        <x:v>ServicioGooglePlay</x:v>
      </x:c>
      <x:c r="B195" t="str">
        <x:v>Servicio externo/otro</x:v>
      </x:c>
      <x:c r="C195" t="n">
        <x:v>1</x:v>
      </x:c>
      <x:c r="D195" t="str">
        <x:v>RF60</x:v>
      </x:c>
      <x:c r="E195" t="str">
        <x:v>Identidad del componente por homologar con arquitectura real.</x:v>
      </x:c>
    </x:row>
    <x:row r="196" ht="27" customHeight="1">
      <x:c r="A196" t="str">
        <x:v>ServicioGooglePlayBilling</x:v>
      </x:c>
      <x:c r="B196" t="str">
        <x:v>Servicio externo/otro</x:v>
      </x:c>
      <x:c r="C196" t="n">
        <x:v>1</x:v>
      </x:c>
      <x:c r="D196" t="str">
        <x:v>RF29</x:v>
      </x:c>
      <x:c r="E196" t="str">
        <x:v>Identidad del componente por homologar con arquitectura real.</x:v>
      </x:c>
    </x:row>
    <x:row r="197" ht="27" customHeight="1">
      <x:c r="A197" t="str">
        <x:v>ServicioGooglePlayDeveloperAPI</x:v>
      </x:c>
      <x:c r="B197" t="str">
        <x:v>Servicio externo/otro</x:v>
      </x:c>
      <x:c r="C197" t="n">
        <x:v>1</x:v>
      </x:c>
      <x:c r="D197" t="str">
        <x:v>RF29</x:v>
      </x:c>
      <x:c r="E197" t="str">
        <x:v>Identidad del componente por homologar con arquitectura real.</x:v>
      </x:c>
    </x:row>
    <x:row r="198" ht="27" customHeight="1">
      <x:c r="A198" t="str">
        <x:v>ServicioMultimediaDispositivo</x:v>
      </x:c>
      <x:c r="B198" t="str">
        <x:v>Servicio externo/otro</x:v>
      </x:c>
      <x:c r="C198" t="n">
        <x:v>2</x:v>
      </x:c>
      <x:c r="D198" t="str">
        <x:v>RF54, RF63</x:v>
      </x:c>
      <x:c r="E198" t="str">
        <x:v>Identidad del componente por homologar con arquitectura real.</x:v>
      </x:c>
    </x:row>
    <x:row r="199" ht="27" customHeight="1">
      <x:c r="A199" t="str">
        <x:v>ServicioPermisosDispositivo</x:v>
      </x:c>
      <x:c r="B199" t="str">
        <x:v>Servicio externo/otro</x:v>
      </x:c>
      <x:c r="C199" t="n">
        <x:v>1</x:v>
      </x:c>
      <x:c r="D199" t="str">
        <x:v>RF48</x:v>
      </x:c>
      <x:c r="E199" t="str">
        <x:v>Identidad del componente por homologar con arquitectura real.</x:v>
      </x:c>
    </x:row>
  </x:sheetData>
  <x:pageMargins left="0.7" right="0.7" top="0.75" bottom="0.75" header="0.3" footer="0.3"/>
</x:worksheet>
</file>

<file path=xl/worksheets/sheet10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8" hidden="0" customWidth="1"/>
    <x:col min="2" max="2" width="85" hidden="0" customWidth="1"/>
    <x:col min="3" max="3" width="38" hidden="0" customWidth="1"/>
    <x:col min="4" max="4" width="38" hidden="0" customWidth="1"/>
    <x:col min="5" max="5" width="27" hidden="0" customWidth="1"/>
    <x:col min="6" max="6" width="16" hidden="0" customWidth="1"/>
    <x:col min="7" max="7" width="58" hidden="0" customWidth="1"/>
    <x:col min="8" max="8" width="28" hidden="0" customWidth="1"/>
  </x:cols>
  <x:sheetData>
    <x:row r="1" ht="29" customHeight="1">
      <x:c r="A1" s="1015" t="str">
        <x:v>Método</x:v>
      </x:c>
      <x:c r="B1" s="1015" t="str">
        <x:v>Parámetros documentados</x:v>
      </x:c>
      <x:c r="C1" s="1015" t="str">
        <x:v>Objeto origen</x:v>
      </x:c>
      <x:c r="D1" s="1015" t="str">
        <x:v>Objeto destino</x:v>
      </x:c>
      <x:c r="E1" s="1015" t="str">
        <x:v>Categoría heurística</x:v>
      </x:c>
      <x:c r="F1" s="1015" t="str">
        <x:v>Ocurrencias</x:v>
      </x:c>
      <x:c r="G1" s="1015" t="str">
        <x:v>RF de uso</x:v>
      </x:c>
      <x:c r="H1" s="1015" t="str">
        <x:v>Primera celda de ejemplo</x:v>
      </x:c>
    </x:row>
    <x:row r="2">
      <x:c r="A2" t="str">
        <x:v>generarDocumentoPDF</x:v>
      </x:c>
      <x:c r="B2" t="str">
        <x:v>datos_reporte_consolidados,fecha_emision_actual</x:v>
      </x:c>
      <x:c r="C2" t="str">
        <x:v>API_ReportePDF</x:v>
      </x:c>
      <x:c r="D2" t="str">
        <x:v>API_ReportePDF</x:v>
      </x:c>
      <x:c r="E2" t="str">
        <x:v>otra</x:v>
      </x:c>
      <x:c r="F2" t="n">
        <x:v>1</x:v>
      </x:c>
      <x:c r="G2" t="str">
        <x:v>RF27</x:v>
      </x:c>
      <x:c r="H2" t="str">
        <x:v>RF27!F55</x:v>
      </x:c>
    </x:row>
    <x:row r="3">
      <x:c r="A3" t="str">
        <x:v>retornarPDF</x:v>
      </x:c>
      <x:c r="B3" t="str">
        <x:v>archivo_pdf</x:v>
      </x:c>
      <x:c r="C3" t="str">
        <x:v>API_ReportePDF</x:v>
      </x:c>
      <x:c r="D3" t="str">
        <x:v>C_ReporteHistorial</x:v>
      </x:c>
      <x:c r="E3" t="str">
        <x:v>retorno</x:v>
      </x:c>
      <x:c r="F3" t="n">
        <x:v>1</x:v>
      </x:c>
      <x:c r="G3" t="str">
        <x:v>RF27</x:v>
      </x:c>
      <x:c r="H3" t="str">
        <x:v>RF27!F56</x:v>
      </x:c>
    </x:row>
    <x:row r="4">
      <x:c r="A4" t="str">
        <x:v>confirmarEstado</x:v>
      </x:c>
      <x:c r="B4" t="str">
        <x:v>EN_PROCESO,motivo</x:v>
      </x:c>
      <x:c r="C4" t="str">
        <x:v>AS_Administrador</x:v>
      </x:c>
      <x:c r="D4" t="str">
        <x:v>I_ActualizarEstadoIncidencia</x:v>
      </x:c>
      <x:c r="E4" t="str">
        <x:v>otra</x:v>
      </x:c>
      <x:c r="F4" t="n">
        <x:v>1</x:v>
      </x:c>
      <x:c r="G4" t="str">
        <x:v>RF61</x:v>
      </x:c>
      <x:c r="H4" t="str">
        <x:v>RF061_EXITOSO!F21</x:v>
      </x:c>
    </x:row>
    <x:row r="5">
      <x:c r="A5" t="str">
        <x:v>confirmarEstado</x:v>
      </x:c>
      <x:c r="B5" t="str">
        <x:v>RESUELTA,motivo</x:v>
      </x:c>
      <x:c r="C5" t="str">
        <x:v>AS_Administrador</x:v>
      </x:c>
      <x:c r="D5" t="str">
        <x:v>I_ActualizarEstadoIncidencia</x:v>
      </x:c>
      <x:c r="E5" t="str">
        <x:v>otra</x:v>
      </x:c>
      <x:c r="F5" t="n">
        <x:v>1</x:v>
      </x:c>
      <x:c r="G5" t="str">
        <x:v>RF61</x:v>
      </x:c>
      <x:c r="H5" t="str">
        <x:v>RF061_EXITOSO!F57</x:v>
      </x:c>
    </x:row>
    <x:row r="6">
      <x:c r="A6" t="str">
        <x:v>guardarDescripcionSolucion</x:v>
      </x:c>
      <x:c r="B6" t="str">
        <x:v>textoSolucion</x:v>
      </x:c>
      <x:c r="C6" t="str">
        <x:v>AS_Administrador</x:v>
      </x:c>
      <x:c r="D6" t="str">
        <x:v>I_AgregarAvanceIncidencia</x:v>
      </x:c>
      <x:c r="E6" t="str">
        <x:v>otra</x:v>
      </x:c>
      <x:c r="F6" t="n">
        <x:v>1</x:v>
      </x:c>
      <x:c r="G6" t="str">
        <x:v>RF61</x:v>
      </x:c>
      <x:c r="H6" t="str">
        <x:v>RF061_EXITOSO!F48</x:v>
      </x:c>
    </x:row>
    <x:row r="7">
      <x:c r="A7" t="str">
        <x:v>ingresarAvance</x:v>
      </x:c>
      <x:c r="B7" t="str">
        <x:v>descripcion,evidencia?</x:v>
      </x:c>
      <x:c r="C7" t="str">
        <x:v>AS_Administrador</x:v>
      </x:c>
      <x:c r="D7" t="str">
        <x:v>I_AgregarAvanceIncidencia</x:v>
      </x:c>
      <x:c r="E7" t="str">
        <x:v>otra</x:v>
      </x:c>
      <x:c r="F7" t="n">
        <x:v>1</x:v>
      </x:c>
      <x:c r="G7" t="str">
        <x:v>RF61</x:v>
      </x:c>
      <x:c r="H7" t="str">
        <x:v>RF061_EXITOSO!F35</x:v>
      </x:c>
    </x:row>
    <x:row r="8">
      <x:c r="A8" t="str">
        <x:v>seleccionarGuardarAvance</x:v>
      </x:c>
      <x:c r="B8" t="str"/>
      <x:c r="C8" t="str">
        <x:v>AS_Administrador</x:v>
      </x:c>
      <x:c r="D8" t="str">
        <x:v>I_AgregarAvanceIncidencia</x:v>
      </x:c>
      <x:c r="E8" t="str">
        <x:v>presentación/navegación</x:v>
      </x:c>
      <x:c r="F8" t="n">
        <x:v>1</x:v>
      </x:c>
      <x:c r="G8" t="str">
        <x:v>RF61</x:v>
      </x:c>
      <x:c r="H8" t="str">
        <x:v>RF061_EXITOSO!F36</x:v>
      </x:c>
    </x:row>
    <x:row r="9">
      <x:c r="A9" t="str">
        <x:v>seleccionarTiposMantenimiento</x:v>
      </x:c>
      <x:c r="B9" t="str"/>
      <x:c r="C9" t="str">
        <x:v>AS_Administrador</x:v>
      </x:c>
      <x:c r="D9" t="str">
        <x:v>I_CatalogosAdmin</x:v>
      </x:c>
      <x:c r="E9" t="str">
        <x:v>presentación/navegación</x:v>
      </x:c>
      <x:c r="F9" t="n">
        <x:v>1</x:v>
      </x:c>
      <x:c r="G9" t="str">
        <x:v>RF62</x:v>
      </x:c>
      <x:c r="H9" t="str">
        <x:v>RF062_EXITOSO!F12</x:v>
      </x:c>
    </x:row>
    <x:row r="10">
      <x:c r="A10" t="str">
        <x:v>seleccionarVolverListado</x:v>
      </x:c>
      <x:c r="B10" t="str"/>
      <x:c r="C10" t="str">
        <x:v>AS_Administrador</x:v>
      </x:c>
      <x:c r="D10" t="str">
        <x:v>I_ConfirmacionCatalogo</x:v>
      </x:c>
      <x:c r="E10" t="str">
        <x:v>presentación/navegación</x:v>
      </x:c>
      <x:c r="F10" t="n">
        <x:v>1</x:v>
      </x:c>
      <x:c r="G10" t="str">
        <x:v>RF62</x:v>
      </x:c>
      <x:c r="H10" t="str">
        <x:v>RF062_EXITOSO!F34</x:v>
      </x:c>
    </x:row>
    <x:row r="11">
      <x:c r="A11" t="str">
        <x:v>seleccionarMotivoYConfirmarSuspension</x:v>
      </x:c>
      <x:c r="B11" t="str">
        <x:v>motivo</x:v>
      </x:c>
      <x:c r="C11" t="str">
        <x:v>AS_Administrador</x:v>
      </x:c>
      <x:c r="D11" t="str">
        <x:v>I_ConfirmacionEstadoCuenta</x:v>
      </x:c>
      <x:c r="E11" t="str">
        <x:v>presentación/navegación</x:v>
      </x:c>
      <x:c r="F11" t="n">
        <x:v>1</x:v>
      </x:c>
      <x:c r="G11" t="str">
        <x:v>RF59</x:v>
      </x:c>
      <x:c r="H11" t="str">
        <x:v>RF059_EXITOSO!F13</x:v>
      </x:c>
    </x:row>
    <x:row r="12">
      <x:c r="A12" t="str">
        <x:v>seleccionarVolverDetalle</x:v>
      </x:c>
      <x:c r="B12" t="str"/>
      <x:c r="C12" t="str">
        <x:v>AS_Administrador</x:v>
      </x:c>
      <x:c r="D12" t="str">
        <x:v>I_ConfirmacionEstadoCuenta</x:v>
      </x:c>
      <x:c r="E12" t="str">
        <x:v>presentación/navegación</x:v>
      </x:c>
      <x:c r="F12" t="n">
        <x:v>1</x:v>
      </x:c>
      <x:c r="G12" t="str">
        <x:v>RF59</x:v>
      </x:c>
      <x:c r="H12" t="str">
        <x:v>RF059_EXITOSO!F24</x:v>
      </x:c>
    </x:row>
    <x:row r="13">
      <x:c r="A13" t="str">
        <x:v>seleccionarActualizarEstado</x:v>
      </x:c>
      <x:c r="B13" t="str"/>
      <x:c r="C13" t="str">
        <x:v>AS_Administrador</x:v>
      </x:c>
      <x:c r="D13" t="str">
        <x:v>I_DetalleIncidenciaAdmin</x:v>
      </x:c>
      <x:c r="E13" t="str">
        <x:v>presentación/navegación</x:v>
      </x:c>
      <x:c r="F13" t="n">
        <x:v>2</x:v>
      </x:c>
      <x:c r="G13" t="str">
        <x:v>RF61</x:v>
      </x:c>
      <x:c r="H13" t="str">
        <x:v>RF061_EXITOSO!F18</x:v>
      </x:c>
    </x:row>
    <x:row r="14">
      <x:c r="A14" t="str">
        <x:v>seleccionarAgregarAvance</x:v>
      </x:c>
      <x:c r="B14" t="str"/>
      <x:c r="C14" t="str">
        <x:v>AS_Administrador</x:v>
      </x:c>
      <x:c r="D14" t="str">
        <x:v>I_DetalleIncidenciaAdmin</x:v>
      </x:c>
      <x:c r="E14" t="str">
        <x:v>presentación/navegación</x:v>
      </x:c>
      <x:c r="F14" t="n">
        <x:v>1</x:v>
      </x:c>
      <x:c r="G14" t="str">
        <x:v>RF61</x:v>
      </x:c>
      <x:c r="H14" t="str">
        <x:v>RF061_EXITOSO!F32</x:v>
      </x:c>
    </x:row>
    <x:row r="15">
      <x:c r="A15" t="str">
        <x:v>seleccionarAgregarAvanceFinal</x:v>
      </x:c>
      <x:c r="B15" t="str"/>
      <x:c r="C15" t="str">
        <x:v>AS_Administrador</x:v>
      </x:c>
      <x:c r="D15" t="str">
        <x:v>I_DetalleIncidenciaAdmin</x:v>
      </x:c>
      <x:c r="E15" t="str">
        <x:v>presentación/navegación</x:v>
      </x:c>
      <x:c r="F15" t="n">
        <x:v>1</x:v>
      </x:c>
      <x:c r="G15" t="str">
        <x:v>RF61</x:v>
      </x:c>
      <x:c r="H15" t="str">
        <x:v>RF061_EXITOSO!F45</x:v>
      </x:c>
    </x:row>
    <x:row r="16">
      <x:c r="A16" t="str">
        <x:v>seleccionarVerHistorial</x:v>
      </x:c>
      <x:c r="B16" t="str"/>
      <x:c r="C16" t="str">
        <x:v>AS_Administrador</x:v>
      </x:c>
      <x:c r="D16" t="str">
        <x:v>I_DetalleSuscripcionAdmin</x:v>
      </x:c>
      <x:c r="E16" t="str">
        <x:v>presentación/navegación</x:v>
      </x:c>
      <x:c r="F16" t="n">
        <x:v>1</x:v>
      </x:c>
      <x:c r="G16" t="str">
        <x:v>RF60</x:v>
      </x:c>
      <x:c r="H16" t="str">
        <x:v>RF060_EXITOSO!F38</x:v>
      </x:c>
    </x:row>
    <x:row r="17">
      <x:c r="A17" t="str">
        <x:v>seleccionarVerificarEstado</x:v>
      </x:c>
      <x:c r="B17" t="str"/>
      <x:c r="C17" t="str">
        <x:v>AS_Administrador</x:v>
      </x:c>
      <x:c r="D17" t="str">
        <x:v>I_DetalleSuscripcionAdmin</x:v>
      </x:c>
      <x:c r="E17" t="str">
        <x:v>presentación/navegación</x:v>
      </x:c>
      <x:c r="F17" t="n">
        <x:v>1</x:v>
      </x:c>
      <x:c r="G17" t="str">
        <x:v>RF60</x:v>
      </x:c>
      <x:c r="H17" t="str">
        <x:v>RF060_EXITOSO!F26</x:v>
      </x:c>
    </x:row>
    <x:row r="18">
      <x:c r="A18" t="str">
        <x:v>seleccionarSuspenderCuenta</x:v>
      </x:c>
      <x:c r="B18" t="str">
        <x:v>idUsuarioObjetivo</x:v>
      </x:c>
      <x:c r="C18" t="str">
        <x:v>AS_Administrador</x:v>
      </x:c>
      <x:c r="D18" t="str">
        <x:v>I_DetalleUsuarioAdmin</x:v>
      </x:c>
      <x:c r="E18" t="str">
        <x:v>presentación/navegación</x:v>
      </x:c>
      <x:c r="F18" t="n">
        <x:v>1</x:v>
      </x:c>
      <x:c r="G18" t="str">
        <x:v>RF59</x:v>
      </x:c>
      <x:c r="H18" t="str">
        <x:v>RF059_EXITOSO!F5</x:v>
      </x:c>
    </x:row>
    <x:row r="19">
      <x:c r="A19" t="str">
        <x:v>seleccionarVerHistorialCuenta</x:v>
      </x:c>
      <x:c r="B19" t="str"/>
      <x:c r="C19" t="str">
        <x:v>AS_Administrador</x:v>
      </x:c>
      <x:c r="D19" t="str">
        <x:v>I_DetalleUsuarioAdmin</x:v>
      </x:c>
      <x:c r="E19" t="str">
        <x:v>presentación/navegación</x:v>
      </x:c>
      <x:c r="F19" t="n">
        <x:v>1</x:v>
      </x:c>
      <x:c r="G19" t="str">
        <x:v>RF58</x:v>
      </x:c>
      <x:c r="H19" t="str">
        <x:v>RF058_EXITOSO!F29</x:v>
      </x:c>
    </x:row>
    <x:row r="20">
      <x:c r="A20" t="str">
        <x:v>ingresarNombreYEstado</x:v>
      </x:c>
      <x:c r="B20" t="str">
        <x:v>nombre,ACTIVO</x:v>
      </x:c>
      <x:c r="C20" t="str">
        <x:v>AS_Administrador</x:v>
      </x:c>
      <x:c r="D20" t="str">
        <x:v>I_FormularioCatalogo</x:v>
      </x:c>
      <x:c r="E20" t="str">
        <x:v>otra</x:v>
      </x:c>
      <x:c r="F20" t="n">
        <x:v>1</x:v>
      </x:c>
      <x:c r="G20" t="str">
        <x:v>RF62</x:v>
      </x:c>
      <x:c r="H20" t="str">
        <x:v>RF062_EXITOSO!F23</x:v>
      </x:c>
    </x:row>
    <x:row r="21">
      <x:c r="A21" t="str">
        <x:v>seleccionarGuardar</x:v>
      </x:c>
      <x:c r="B21" t="str"/>
      <x:c r="C21" t="str">
        <x:v>AS_Administrador</x:v>
      </x:c>
      <x:c r="D21" t="str">
        <x:v>I_FormularioCatalogo</x:v>
      </x:c>
      <x:c r="E21" t="str">
        <x:v>presentación/navegación</x:v>
      </x:c>
      <x:c r="F21" t="n">
        <x:v>1</x:v>
      </x:c>
      <x:c r="G21" t="str">
        <x:v>RF62</x:v>
      </x:c>
      <x:c r="H21" t="str">
        <x:v>RF062_EXITOSO!F24</x:v>
      </x:c>
    </x:row>
    <x:row r="22">
      <x:c r="A22" t="str">
        <x:v>seleccionarIncidencia</x:v>
      </x:c>
      <x:c r="B22" t="str">
        <x:v>idIncidencia</x:v>
      </x:c>
      <x:c r="C22" t="str">
        <x:v>AS_Administrador</x:v>
      </x:c>
      <x:c r="D22" t="str">
        <x:v>I_IncidenciasAdmin</x:v>
      </x:c>
      <x:c r="E22" t="str">
        <x:v>presentación/navegación</x:v>
      </x:c>
      <x:c r="F22" t="n">
        <x:v>1</x:v>
      </x:c>
      <x:c r="G22" t="str">
        <x:v>RF61</x:v>
      </x:c>
      <x:c r="H22" t="str">
        <x:v>RF061_EXITOSO!F10</x:v>
      </x:c>
    </x:row>
    <x:row r="23">
      <x:c r="A23" t="str">
        <x:v>ingresarCredenciales</x:v>
      </x:c>
      <x:c r="B23" t="str">
        <x:v>correo,clave</x:v>
      </x:c>
      <x:c r="C23" t="str">
        <x:v>AS_Administrador</x:v>
      </x:c>
      <x:c r="D23" t="str">
        <x:v>I_InicioSesion</x:v>
      </x:c>
      <x:c r="E23" t="str">
        <x:v>otra</x:v>
      </x:c>
      <x:c r="F23" t="n">
        <x:v>1</x:v>
      </x:c>
      <x:c r="G23" t="str">
        <x:v>RF57</x:v>
      </x:c>
      <x:c r="H23" t="str">
        <x:v>RF057_EXITOSO!F5</x:v>
      </x:c>
    </x:row>
    <x:row r="24">
      <x:c r="A24" t="str">
        <x:v>seleccionarIngresar</x:v>
      </x:c>
      <x:c r="B24" t="str"/>
      <x:c r="C24" t="str">
        <x:v>AS_Administrador</x:v>
      </x:c>
      <x:c r="D24" t="str">
        <x:v>I_InicioSesion</x:v>
      </x:c>
      <x:c r="E24" t="str">
        <x:v>presentación/navegación</x:v>
      </x:c>
      <x:c r="F24" t="n">
        <x:v>1</x:v>
      </x:c>
      <x:c r="G24" t="str">
        <x:v>RF57</x:v>
      </x:c>
      <x:c r="H24" t="str">
        <x:v>RF057_EXITOSO!F6</x:v>
      </x:c>
    </x:row>
    <x:row r="25">
      <x:c r="A25" t="str">
        <x:v>seleccionarAgregar</x:v>
      </x:c>
      <x:c r="B25" t="str"/>
      <x:c r="C25" t="str">
        <x:v>AS_Administrador</x:v>
      </x:c>
      <x:c r="D25" t="str">
        <x:v>I_ListaElementosCatalogo</x:v>
      </x:c>
      <x:c r="E25" t="str">
        <x:v>presentación/navegación</x:v>
      </x:c>
      <x:c r="F25" t="n">
        <x:v>1</x:v>
      </x:c>
      <x:c r="G25" t="str">
        <x:v>RF62</x:v>
      </x:c>
      <x:c r="H25" t="str">
        <x:v>RF062_EXITOSO!F20</x:v>
      </x:c>
    </x:row>
    <x:row r="26">
      <x:c r="A26" t="str">
        <x:v>seleccionarCatalogos</x:v>
      </x:c>
      <x:c r="B26" t="str"/>
      <x:c r="C26" t="str">
        <x:v>AS_Administrador</x:v>
      </x:c>
      <x:c r="D26" t="str">
        <x:v>I_PanelAdministrador</x:v>
      </x:c>
      <x:c r="E26" t="str">
        <x:v>presentación/navegación</x:v>
      </x:c>
      <x:c r="F26" t="n">
        <x:v>1</x:v>
      </x:c>
      <x:c r="G26" t="str">
        <x:v>RF62</x:v>
      </x:c>
      <x:c r="H26" t="str">
        <x:v>RF062_EXITOSO!F5</x:v>
      </x:c>
    </x:row>
    <x:row r="27">
      <x:c r="A27" t="str">
        <x:v>seleccionarIncidencias</x:v>
      </x:c>
      <x:c r="B27" t="str"/>
      <x:c r="C27" t="str">
        <x:v>AS_Administrador</x:v>
      </x:c>
      <x:c r="D27" t="str">
        <x:v>I_PanelAdministrador</x:v>
      </x:c>
      <x:c r="E27" t="str">
        <x:v>presentación/navegación</x:v>
      </x:c>
      <x:c r="F27" t="n">
        <x:v>1</x:v>
      </x:c>
      <x:c r="G27" t="str">
        <x:v>RF61</x:v>
      </x:c>
      <x:c r="H27" t="str">
        <x:v>RF061_EXITOSO!F5</x:v>
      </x:c>
    </x:row>
    <x:row r="28">
      <x:c r="A28" t="str">
        <x:v>seleccionarModulosAdministrativos</x:v>
      </x:c>
      <x:c r="B28" t="str"/>
      <x:c r="C28" t="str">
        <x:v>AS_Administrador</x:v>
      </x:c>
      <x:c r="D28" t="str">
        <x:v>I_PanelAdministrador</x:v>
      </x:c>
      <x:c r="E28" t="str">
        <x:v>presentación/navegación</x:v>
      </x:c>
      <x:c r="F28" t="n">
        <x:v>1</x:v>
      </x:c>
      <x:c r="G28" t="str">
        <x:v>RF57</x:v>
      </x:c>
      <x:c r="H28" t="str">
        <x:v>RF057_EXITOSO!F21</x:v>
      </x:c>
    </x:row>
    <x:row r="29">
      <x:c r="A29" t="str">
        <x:v>seleccionarSuscripciones</x:v>
      </x:c>
      <x:c r="B29" t="str"/>
      <x:c r="C29" t="str">
        <x:v>AS_Administrador</x:v>
      </x:c>
      <x:c r="D29" t="str">
        <x:v>I_PanelAdministrador</x:v>
      </x:c>
      <x:c r="E29" t="str">
        <x:v>presentación/navegación</x:v>
      </x:c>
      <x:c r="F29" t="n">
        <x:v>1</x:v>
      </x:c>
      <x:c r="G29" t="str">
        <x:v>RF60</x:v>
      </x:c>
      <x:c r="H29" t="str">
        <x:v>RF060_EXITOSO!F5</x:v>
      </x:c>
    </x:row>
    <x:row r="30">
      <x:c r="A30" t="str">
        <x:v>seleccionarUsuarios</x:v>
      </x:c>
      <x:c r="B30" t="str"/>
      <x:c r="C30" t="str">
        <x:v>AS_Administrador</x:v>
      </x:c>
      <x:c r="D30" t="str">
        <x:v>I_PanelAdministrador</x:v>
      </x:c>
      <x:c r="E30" t="str">
        <x:v>presentación/navegación</x:v>
      </x:c>
      <x:c r="F30" t="n">
        <x:v>1</x:v>
      </x:c>
      <x:c r="G30" t="str">
        <x:v>RF58</x:v>
      </x:c>
      <x:c r="H30" t="str">
        <x:v>RF058_EXITOSO!F5</x:v>
      </x:c>
    </x:row>
    <x:row r="31">
      <x:c r="A31" t="str">
        <x:v>seleccionarVolverDetalle</x:v>
      </x:c>
      <x:c r="B31" t="str"/>
      <x:c r="C31" t="str">
        <x:v>AS_Administrador</x:v>
      </x:c>
      <x:c r="D31" t="str">
        <x:v>I_ResultadoVerificacion</x:v>
      </x:c>
      <x:c r="E31" t="str">
        <x:v>presentación/navegación</x:v>
      </x:c>
      <x:c r="F31" t="n">
        <x:v>1</x:v>
      </x:c>
      <x:c r="G31" t="str">
        <x:v>RF60</x:v>
      </x:c>
      <x:c r="H31" t="str">
        <x:v>RF060_EXITOSO!F35</x:v>
      </x:c>
    </x:row>
    <x:row r="32">
      <x:c r="A32" t="str">
        <x:v>buscarSuscripcion</x:v>
      </x:c>
      <x:c r="B32" t="str">
        <x:v>criterio,tipoPlan</x:v>
      </x:c>
      <x:c r="C32" t="str">
        <x:v>AS_Administrador</x:v>
      </x:c>
      <x:c r="D32" t="str">
        <x:v>I_SuscripcionesAdmin</x:v>
      </x:c>
      <x:c r="E32" t="str">
        <x:v>consulta</x:v>
      </x:c>
      <x:c r="F32" t="n">
        <x:v>1</x:v>
      </x:c>
      <x:c r="G32" t="str">
        <x:v>RF60</x:v>
      </x:c>
      <x:c r="H32" t="str">
        <x:v>RF060_EXITOSO!F10</x:v>
      </x:c>
    </x:row>
    <x:row r="33">
      <x:c r="A33" t="str">
        <x:v>seleccionarVerDetalleSuscripcion</x:v>
      </x:c>
      <x:c r="B33" t="str">
        <x:v>idUsuario</x:v>
      </x:c>
      <x:c r="C33" t="str">
        <x:v>AS_Administrador</x:v>
      </x:c>
      <x:c r="D33" t="str">
        <x:v>I_SuscripcionesAdmin</x:v>
      </x:c>
      <x:c r="E33" t="str">
        <x:v>presentación/navegación</x:v>
      </x:c>
      <x:c r="F33" t="n">
        <x:v>1</x:v>
      </x:c>
      <x:c r="G33" t="str">
        <x:v>RF60</x:v>
      </x:c>
      <x:c r="H33" t="str">
        <x:v>RF060_EXITOSO!F16</x:v>
      </x:c>
    </x:row>
    <x:row r="34">
      <x:c r="A34" t="str">
        <x:v>buscarUsuario</x:v>
      </x:c>
      <x:c r="B34" t="str">
        <x:v>criterio,estado</x:v>
      </x:c>
      <x:c r="C34" t="str">
        <x:v>AS_Administrador</x:v>
      </x:c>
      <x:c r="D34" t="str">
        <x:v>I_UsuariosAdmin</x:v>
      </x:c>
      <x:c r="E34" t="str">
        <x:v>consulta</x:v>
      </x:c>
      <x:c r="F34" t="n">
        <x:v>1</x:v>
      </x:c>
      <x:c r="G34" t="str">
        <x:v>RF58</x:v>
      </x:c>
      <x:c r="H34" t="str">
        <x:v>RF058_EXITOSO!F14</x:v>
      </x:c>
    </x:row>
    <x:row r="35">
      <x:c r="A35" t="str">
        <x:v>seleccionarVerDetalle</x:v>
      </x:c>
      <x:c r="B35" t="str">
        <x:v>idUsuarioObjetivo</x:v>
      </x:c>
      <x:c r="C35" t="str">
        <x:v>AS_Administrador</x:v>
      </x:c>
      <x:c r="D35" t="str">
        <x:v>I_UsuariosAdmin</x:v>
      </x:c>
      <x:c r="E35" t="str">
        <x:v>presentación/navegación</x:v>
      </x:c>
      <x:c r="F35" t="n">
        <x:v>1</x:v>
      </x:c>
      <x:c r="G35" t="str">
        <x:v>RF58</x:v>
      </x:c>
      <x:c r="H35" t="str">
        <x:v>RF058_EXITOSO!F19</x:v>
      </x:c>
    </x:row>
    <x:row r="36">
      <x:c r="A36" t="str">
        <x:v>seleccionarActualizarFoto</x:v>
      </x:c>
      <x:c r="B36" t="str"/>
      <x:c r="C36" t="str">
        <x:v>AS_Usuario</x:v>
      </x:c>
      <x:c r="D36" t="str">
        <x:v>I_ActualizarImagenVehiculo</x:v>
      </x:c>
      <x:c r="E36" t="str">
        <x:v>presentación/navegación</x:v>
      </x:c>
      <x:c r="F36" t="n">
        <x:v>1</x:v>
      </x:c>
      <x:c r="G36" t="str">
        <x:v>RF43</x:v>
      </x:c>
      <x:c r="H36" t="str">
        <x:v>RF043-EF1!F13</x:v>
      </x:c>
    </x:row>
    <x:row r="37">
      <x:c r="A37" t="str">
        <x:v>ingresarKmNuevoYContinuar</x:v>
      </x:c>
      <x:c r="B37" t="str">
        <x:v>kmNuevo</x:v>
      </x:c>
      <x:c r="C37" t="str">
        <x:v>AS_Usuario</x:v>
      </x:c>
      <x:c r="D37" t="str">
        <x:v>I_ActualizarKilometraje</x:v>
      </x:c>
      <x:c r="E37" t="str">
        <x:v>otra</x:v>
      </x:c>
      <x:c r="F37" t="n">
        <x:v>2</x:v>
      </x:c>
      <x:c r="G37" t="str">
        <x:v>RF14, RF16</x:v>
      </x:c>
      <x:c r="H37" t="str">
        <x:v>RF014-EF1!F16</x:v>
      </x:c>
    </x:row>
    <x:row r="38">
      <x:c r="A38" t="str">
        <x:v>seleccionarContinuar</x:v>
      </x:c>
      <x:c r="B38" t="str"/>
      <x:c r="C38" t="str">
        <x:v>AS_Usuario</x:v>
      </x:c>
      <x:c r="D38" t="str">
        <x:v>I_ActualizarKilometraje</x:v>
      </x:c>
      <x:c r="E38" t="str">
        <x:v>presentación/navegación</x:v>
      </x:c>
      <x:c r="F38" t="n">
        <x:v>1</x:v>
      </x:c>
      <x:c r="G38" t="str">
        <x:v>RF14</x:v>
      </x:c>
      <x:c r="H38" t="str">
        <x:v>RF014-EF1!F53</x:v>
      </x:c>
    </x:row>
    <x:row r="39">
      <x:c r="A39" t="str">
        <x:v>seleccionarCorregirKilometraje</x:v>
      </x:c>
      <x:c r="B39" t="str"/>
      <x:c r="C39" t="str">
        <x:v>AS_Usuario</x:v>
      </x:c>
      <x:c r="D39" t="str">
        <x:v>I_ActualizarKilometraje</x:v>
      </x:c>
      <x:c r="E39" t="str">
        <x:v>presentación/navegación</x:v>
      </x:c>
      <x:c r="F39" t="n">
        <x:v>1</x:v>
      </x:c>
      <x:c r="G39" t="str">
        <x:v>RF16</x:v>
      </x:c>
      <x:c r="H39" t="str">
        <x:v>RF016-EF1!F5</x:v>
      </x:c>
    </x:row>
    <x:row r="40">
      <x:c r="A40" t="str">
        <x:v>seleccionarVerAlertas</x:v>
      </x:c>
      <x:c r="B40" t="str"/>
      <x:c r="C40" t="str">
        <x:v>AS_Usuario</x:v>
      </x:c>
      <x:c r="D40" t="str">
        <x:v>I_AlertaProgramada</x:v>
      </x:c>
      <x:c r="E40" t="str">
        <x:v>presentación/navegación</x:v>
      </x:c>
      <x:c r="F40" t="n">
        <x:v>1</x:v>
      </x:c>
      <x:c r="G40" t="str">
        <x:v>RF22</x:v>
      </x:c>
      <x:c r="H40" t="str">
        <x:v>RF22!F106</x:v>
      </x:c>
    </x:row>
    <x:row r="41">
      <x:c r="A41" t="str">
        <x:v>seleccionarAlerta</x:v>
      </x:c>
      <x:c r="B41" t="str">
        <x:v>id_alerta</x:v>
      </x:c>
      <x:c r="C41" t="str">
        <x:v>AS_Usuario</x:v>
      </x:c>
      <x:c r="D41" t="str">
        <x:v>I_Alertas</x:v>
      </x:c>
      <x:c r="E41" t="str">
        <x:v>presentación/navegación</x:v>
      </x:c>
      <x:c r="F41" t="n">
        <x:v>1</x:v>
      </x:c>
      <x:c r="G41" t="str">
        <x:v>RF24</x:v>
      </x:c>
      <x:c r="H41" t="str">
        <x:v>RF24!F5</x:v>
      </x:c>
    </x:row>
    <x:row r="42">
      <x:c r="A42" t="str">
        <x:v>seleccionarPestanaLicencia</x:v>
      </x:c>
      <x:c r="B42" t="str"/>
      <x:c r="C42" t="str">
        <x:v>AS_Usuario</x:v>
      </x:c>
      <x:c r="D42" t="str">
        <x:v>I_Alertas</x:v>
      </x:c>
      <x:c r="E42" t="str">
        <x:v>presentación/navegación</x:v>
      </x:c>
      <x:c r="F42" t="n">
        <x:v>1</x:v>
      </x:c>
      <x:c r="G42" t="str">
        <x:v>RF23</x:v>
      </x:c>
      <x:c r="H42" t="str">
        <x:v>RF23!F85</x:v>
      </x:c>
    </x:row>
    <x:row r="43">
      <x:c r="A43" t="str">
        <x:v>seleccionarProgramarAlerta</x:v>
      </x:c>
      <x:c r="B43" t="str"/>
      <x:c r="C43" t="str">
        <x:v>AS_Usuario</x:v>
      </x:c>
      <x:c r="D43" t="str">
        <x:v>I_Alertas</x:v>
      </x:c>
      <x:c r="E43" t="str">
        <x:v>presentación/navegación</x:v>
      </x:c>
      <x:c r="F43" t="n">
        <x:v>1</x:v>
      </x:c>
      <x:c r="G43" t="str">
        <x:v>RF22</x:v>
      </x:c>
      <x:c r="H43" t="str">
        <x:v>RF22!F5</x:v>
      </x:c>
    </x:row>
    <x:row r="44">
      <x:c r="A44" t="str">
        <x:v>presionarBotonActivarRecordatorio</x:v>
      </x:c>
      <x:c r="B44" t="str"/>
      <x:c r="C44" t="str">
        <x:v>AS_Usuario</x:v>
      </x:c>
      <x:c r="D44" t="str">
        <x:v>I_AlertasSOAT</x:v>
      </x:c>
      <x:c r="E44" t="str">
        <x:v>otra</x:v>
      </x:c>
      <x:c r="F44" t="n">
        <x:v>1</x:v>
      </x:c>
      <x:c r="G44" t="str">
        <x:v>RF31</x:v>
      </x:c>
      <x:c r="H44" t="str">
        <x:v>RF031-EF1!F38</x:v>
      </x:c>
    </x:row>
    <x:row r="45">
      <x:c r="A45" t="str">
        <x:v>presionarBotonCambiarEstadoRecordatorio</x:v>
      </x:c>
      <x:c r="B45" t="str"/>
      <x:c r="C45" t="str">
        <x:v>AS_Usuario</x:v>
      </x:c>
      <x:c r="D45" t="str">
        <x:v>I_AlertasSOAT</x:v>
      </x:c>
      <x:c r="E45" t="str">
        <x:v>otra</x:v>
      </x:c>
      <x:c r="F45" t="n">
        <x:v>1</x:v>
      </x:c>
      <x:c r="G45" t="str">
        <x:v>RF33</x:v>
      </x:c>
      <x:c r="H45" t="str">
        <x:v>RF033-EF1!F36</x:v>
      </x:c>
    </x:row>
    <x:row r="46">
      <x:c r="A46" t="str">
        <x:v>confirmarAnulacion</x:v>
      </x:c>
      <x:c r="B46" t="str"/>
      <x:c r="C46" t="str">
        <x:v>AS_Usuario</x:v>
      </x:c>
      <x:c r="D46" t="str">
        <x:v>I_AnulacionMantenimiento</x:v>
      </x:c>
      <x:c r="E46" t="str">
        <x:v>otra</x:v>
      </x:c>
      <x:c r="F46" t="n">
        <x:v>1</x:v>
      </x:c>
      <x:c r="G46" t="str">
        <x:v>RF21</x:v>
      </x:c>
      <x:c r="H46" t="str">
        <x:v>RF21!F17</x:v>
      </x:c>
    </x:row>
    <x:row r="47">
      <x:c r="A47" t="str">
        <x:v>definirCriteriosConsulta</x:v>
      </x:c>
      <x:c r="B47" t="str">
        <x:v>textoBusqueda,estadoFiltro</x:v>
      </x:c>
      <x:c r="C47" t="str">
        <x:v>AS_Usuario</x:v>
      </x:c>
      <x:c r="D47" t="str">
        <x:v>I_Autos</x:v>
      </x:c>
      <x:c r="E47" t="str">
        <x:v>otra</x:v>
      </x:c>
      <x:c r="F47" t="n">
        <x:v>1</x:v>
      </x:c>
      <x:c r="G47" t="str">
        <x:v>RF09</x:v>
      </x:c>
      <x:c r="H47" t="str">
        <x:v>RF009-EF1!F33</x:v>
      </x:c>
    </x:row>
    <x:row r="48">
      <x:c r="A48" t="str">
        <x:v>presionarVerDetalles</x:v>
      </x:c>
      <x:c r="B48" t="str">
        <x:v>idVehiculo</x:v>
      </x:c>
      <x:c r="C48" t="str">
        <x:v>AS_Usuario</x:v>
      </x:c>
      <x:c r="D48" t="str">
        <x:v>I_Autos</x:v>
      </x:c>
      <x:c r="E48" t="str">
        <x:v>otra</x:v>
      </x:c>
      <x:c r="F48" t="n">
        <x:v>3</x:v>
      </x:c>
      <x:c r="G48" t="str">
        <x:v>RF31, RF32, RF33</x:v>
      </x:c>
      <x:c r="H48" t="str">
        <x:v>RF031-EF1!F9</x:v>
      </x:c>
    </x:row>
    <x:row r="49">
      <x:c r="A49" t="str">
        <x:v>seleccionarAgregarVehiculo</x:v>
      </x:c>
      <x:c r="B49" t="str"/>
      <x:c r="C49" t="str">
        <x:v>AS_Usuario</x:v>
      </x:c>
      <x:c r="D49" t="str">
        <x:v>I_Autos</x:v>
      </x:c>
      <x:c r="E49" t="str">
        <x:v>presentación/navegación</x:v>
      </x:c>
      <x:c r="F49" t="n">
        <x:v>1</x:v>
      </x:c>
      <x:c r="G49" t="str">
        <x:v>RF08</x:v>
      </x:c>
      <x:c r="H49" t="str">
        <x:v>RF008-EF1!F9</x:v>
      </x:c>
    </x:row>
    <x:row r="50">
      <x:c r="A50" t="str">
        <x:v>seleccionarCompartirVehiculo</x:v>
      </x:c>
      <x:c r="B50" t="str">
        <x:v>idVehiculo</x:v>
      </x:c>
      <x:c r="C50" t="str">
        <x:v>AS_Usuario</x:v>
      </x:c>
      <x:c r="D50" t="str">
        <x:v>I_Autos</x:v>
      </x:c>
      <x:c r="E50" t="str">
        <x:v>presentación/navegación</x:v>
      </x:c>
      <x:c r="F50" t="n">
        <x:v>1</x:v>
      </x:c>
      <x:c r="G50" t="str">
        <x:v>RF41</x:v>
      </x:c>
      <x:c r="H50" t="str">
        <x:v>RF041-EF1!F5</x:v>
      </x:c>
    </x:row>
    <x:row r="51">
      <x:c r="A51" t="str">
        <x:v>seleccionarVerDetalle</x:v>
      </x:c>
      <x:c r="B51" t="str">
        <x:v>idVehiculo</x:v>
      </x:c>
      <x:c r="C51" t="str">
        <x:v>AS_Usuario</x:v>
      </x:c>
      <x:c r="D51" t="str">
        <x:v>I_Autos</x:v>
      </x:c>
      <x:c r="E51" t="str">
        <x:v>presentación/navegación</x:v>
      </x:c>
      <x:c r="F51" t="n">
        <x:v>1</x:v>
      </x:c>
      <x:c r="G51" t="str">
        <x:v>RF10</x:v>
      </x:c>
      <x:c r="H51" t="str">
        <x:v>RF010-EF1!F5</x:v>
      </x:c>
    </x:row>
    <x:row r="52">
      <x:c r="A52" t="str">
        <x:v>seleccionarCrearCuenta</x:v>
      </x:c>
      <x:c r="B52" t="str"/>
      <x:c r="C52" t="str">
        <x:v>AS_Usuario</x:v>
      </x:c>
      <x:c r="D52" t="str">
        <x:v>I_Bienvenida</x:v>
      </x:c>
      <x:c r="E52" t="str">
        <x:v>presentación/navegación</x:v>
      </x:c>
      <x:c r="F52" t="n">
        <x:v>1</x:v>
      </x:c>
      <x:c r="G52" t="str">
        <x:v>RF01</x:v>
      </x:c>
      <x:c r="H52" t="str">
        <x:v>RF001-E1!F5</x:v>
      </x:c>
    </x:row>
    <x:row r="53">
      <x:c r="A53" t="str">
        <x:v>seleccionarInicioSesion</x:v>
      </x:c>
      <x:c r="B53" t="str"/>
      <x:c r="C53" t="str">
        <x:v>AS_Usuario</x:v>
      </x:c>
      <x:c r="D53" t="str">
        <x:v>I_Bienvenida</x:v>
      </x:c>
      <x:c r="E53" t="str">
        <x:v>presentación/navegación</x:v>
      </x:c>
      <x:c r="F53" t="n">
        <x:v>2</x:v>
      </x:c>
      <x:c r="G53" t="str">
        <x:v>RF02, RF03</x:v>
      </x:c>
      <x:c r="H53" t="str">
        <x:v>RF002-E1!F5</x:v>
      </x:c>
    </x:row>
    <x:row r="54">
      <x:c r="A54" t="str">
        <x:v>completarFormularioCambioContrasena</x:v>
      </x:c>
      <x:c r="B54" t="str">
        <x:v>contrasenaActual,nuevaContrasena,confirmacion</x:v>
      </x:c>
      <x:c r="C54" t="str">
        <x:v>AS_Usuario</x:v>
      </x:c>
      <x:c r="D54" t="str">
        <x:v>I_CambiarContrasena</x:v>
      </x:c>
      <x:c r="E54" t="str">
        <x:v>otra</x:v>
      </x:c>
      <x:c r="F54" t="n">
        <x:v>1</x:v>
      </x:c>
      <x:c r="G54" t="str">
        <x:v>RF05</x:v>
      </x:c>
      <x:c r="H54" t="str">
        <x:v>RF005-E1!F21</x:v>
      </x:c>
    </x:row>
    <x:row r="55">
      <x:c r="A55" t="str">
        <x:v>seleccionarActualizarContrasena</x:v>
      </x:c>
      <x:c r="B55" t="str"/>
      <x:c r="C55" t="str">
        <x:v>AS_Usuario</x:v>
      </x:c>
      <x:c r="D55" t="str">
        <x:v>I_CambiarContrasena</x:v>
      </x:c>
      <x:c r="E55" t="str">
        <x:v>presentación/navegación</x:v>
      </x:c>
      <x:c r="F55" t="n">
        <x:v>1</x:v>
      </x:c>
      <x:c r="G55" t="str">
        <x:v>RF05</x:v>
      </x:c>
      <x:c r="H55" t="str">
        <x:v>RF005-E1!F26</x:v>
      </x:c>
    </x:row>
    <x:row r="56">
      <x:c r="A56" t="str">
        <x:v>cambiarPestana</x:v>
      </x:c>
      <x:c r="B56" t="str">
        <x:v>pestanaDestino</x:v>
      </x:c>
      <x:c r="C56" t="str">
        <x:v>AS_Usuario</x:v>
      </x:c>
      <x:c r="D56" t="str">
        <x:v>I_CentroNotificaciones</x:v>
      </x:c>
      <x:c r="E56" t="str">
        <x:v>otra</x:v>
      </x:c>
      <x:c r="F56" t="n">
        <x:v>2</x:v>
      </x:c>
      <x:c r="G56" t="str">
        <x:v>RF46, RF49</x:v>
      </x:c>
      <x:c r="H56" t="str">
        <x:v>RF046-EF1!F24</x:v>
      </x:c>
    </x:row>
    <x:row r="57">
      <x:c r="A57" t="str">
        <x:v>seleccionarFiltroCategoria</x:v>
      </x:c>
      <x:c r="B57" t="str">
        <x:v>categoria</x:v>
      </x:c>
      <x:c r="C57" t="str">
        <x:v>AS_Usuario</x:v>
      </x:c>
      <x:c r="D57" t="str">
        <x:v>I_CentroNotificaciones</x:v>
      </x:c>
      <x:c r="E57" t="str">
        <x:v>presentación/navegación</x:v>
      </x:c>
      <x:c r="F57" t="n">
        <x:v>1</x:v>
      </x:c>
      <x:c r="G57" t="str">
        <x:v>RF49</x:v>
      </x:c>
      <x:c r="H57" t="str">
        <x:v>RF049-EF1!F5</x:v>
      </x:c>
    </x:row>
    <x:row r="58">
      <x:c r="A58" t="str">
        <x:v>seleccionarNotificacion</x:v>
      </x:c>
      <x:c r="B58" t="str">
        <x:v>idNotificacion</x:v>
      </x:c>
      <x:c r="C58" t="str">
        <x:v>AS_Usuario</x:v>
      </x:c>
      <x:c r="D58" t="str">
        <x:v>I_CentroNotificaciones</x:v>
      </x:c>
      <x:c r="E58" t="str">
        <x:v>presentación/navegación</x:v>
      </x:c>
      <x:c r="F58" t="n">
        <x:v>1</x:v>
      </x:c>
      <x:c r="G58" t="str">
        <x:v>RF47</x:v>
      </x:c>
      <x:c r="H58" t="str">
        <x:v>RF047-EF1!F5</x:v>
      </x:c>
    </x:row>
    <x:row r="59">
      <x:c r="A59" t="str">
        <x:v>modificarPreferenciasExternas</x:v>
      </x:c>
      <x:c r="B59" t="str">
        <x:v>mantenimiento,soat,kilometraje</x:v>
      </x:c>
      <x:c r="C59" t="str">
        <x:v>AS_Usuario</x:v>
      </x:c>
      <x:c r="D59" t="str">
        <x:v>I_ConfigNotificaciones</x:v>
      </x:c>
      <x:c r="E59" t="str">
        <x:v>otra</x:v>
      </x:c>
      <x:c r="F59" t="n">
        <x:v>1</x:v>
      </x:c>
      <x:c r="G59" t="str">
        <x:v>RF48</x:v>
      </x:c>
      <x:c r="H59" t="str">
        <x:v>RF048-EF1!F19</x:v>
      </x:c>
    </x:row>
    <x:row r="60">
      <x:c r="A60" t="str">
        <x:v>seleccionarCambiarFrecuencia</x:v>
      </x:c>
      <x:c r="B60" t="str">
        <x:v>idVehiculo</x:v>
      </x:c>
      <x:c r="C60" t="str">
        <x:v>AS_Usuario</x:v>
      </x:c>
      <x:c r="D60" t="str">
        <x:v>I_ConfigurarRecordatorioKm</x:v>
      </x:c>
      <x:c r="E60" t="str">
        <x:v>presentación/navegación</x:v>
      </x:c>
      <x:c r="F60" t="n">
        <x:v>1</x:v>
      </x:c>
      <x:c r="G60" t="str">
        <x:v>RF44</x:v>
      </x:c>
      <x:c r="H60" t="str">
        <x:v>RF044-EF1!F37</x:v>
      </x:c>
    </x:row>
    <x:row r="61">
      <x:c r="A61" t="str">
        <x:v>seleccionarYGuardarFrecuencia</x:v>
      </x:c>
      <x:c r="B61" t="str">
        <x:v>frecuencia</x:v>
      </x:c>
      <x:c r="C61" t="str">
        <x:v>AS_Usuario</x:v>
      </x:c>
      <x:c r="D61" t="str">
        <x:v>I_ConfigurarRecordatorioKm</x:v>
      </x:c>
      <x:c r="E61" t="str">
        <x:v>presentación/navegación</x:v>
      </x:c>
      <x:c r="F61" t="n">
        <x:v>1</x:v>
      </x:c>
      <x:c r="G61" t="str">
        <x:v>RF44</x:v>
      </x:c>
      <x:c r="H61" t="str">
        <x:v>RF044-EF1!F44</x:v>
      </x:c>
    </x:row>
    <x:row r="62">
      <x:c r="A62" t="str">
        <x:v>seleccionarVolverALaTIVE</x:v>
      </x:c>
      <x:c r="B62" t="str"/>
      <x:c r="C62" t="str">
        <x:v>AS_Usuario</x:v>
      </x:c>
      <x:c r="D62" t="str">
        <x:v>I_ConfirmacionEdicionTIVE</x:v>
      </x:c>
      <x:c r="E62" t="str">
        <x:v>presentación/navegación</x:v>
      </x:c>
      <x:c r="F62" t="n">
        <x:v>1</x:v>
      </x:c>
      <x:c r="G62" t="str">
        <x:v>RF56</x:v>
      </x:c>
      <x:c r="H62" t="str">
        <x:v>RF056-EF1!F37</x:v>
      </x:c>
    </x:row>
    <x:row r="63">
      <x:c r="A63" t="str">
        <x:v>confirmarEliminarFoto</x:v>
      </x:c>
      <x:c r="B63" t="str"/>
      <x:c r="C63" t="str">
        <x:v>AS_Usuario</x:v>
      </x:c>
      <x:c r="D63" t="str">
        <x:v>I_ConfirmacionEliminarFoto</x:v>
      </x:c>
      <x:c r="E63" t="str">
        <x:v>otra</x:v>
      </x:c>
      <x:c r="F63" t="n">
        <x:v>1</x:v>
      </x:c>
      <x:c r="G63" t="str">
        <x:v>RF40</x:v>
      </x:c>
      <x:c r="H63" t="str">
        <x:v>RF040-E1!F27</x:v>
      </x:c>
    </x:row>
    <x:row r="64">
      <x:c r="A64" t="str">
        <x:v>confirmarCambioEstado</x:v>
      </x:c>
      <x:c r="B64" t="str"/>
      <x:c r="C64" t="str">
        <x:v>AS_Usuario</x:v>
      </x:c>
      <x:c r="D64" t="str">
        <x:v>I_ConfirmacionEstadoVehiculo</x:v>
      </x:c>
      <x:c r="E64" t="str">
        <x:v>otra</x:v>
      </x:c>
      <x:c r="F64" t="n">
        <x:v>1</x:v>
      </x:c>
      <x:c r="G64" t="str">
        <x:v>RF12</x:v>
      </x:c>
      <x:c r="H64" t="str">
        <x:v>RF012-EF1!F28</x:v>
      </x:c>
    </x:row>
    <x:row r="65">
      <x:c r="A65" t="str">
        <x:v>seleccionarVerMisIncidencias</x:v>
      </x:c>
      <x:c r="B65" t="str"/>
      <x:c r="C65" t="str">
        <x:v>AS_Usuario</x:v>
      </x:c>
      <x:c r="D65" t="str">
        <x:v>I_ConfirmacionIncidenciaEnviada</x:v>
      </x:c>
      <x:c r="E65" t="str">
        <x:v>presentación/navegación</x:v>
      </x:c>
      <x:c r="F65" t="n">
        <x:v>1</x:v>
      </x:c>
      <x:c r="G65" t="str">
        <x:v>RF63</x:v>
      </x:c>
      <x:c r="H65" t="str">
        <x:v>RF063_EXITOSO!F34</x:v>
      </x:c>
    </x:row>
    <x:row r="66">
      <x:c r="A66" t="str">
        <x:v>confirmarCerrarSesion</x:v>
      </x:c>
      <x:c r="B66" t="str"/>
      <x:c r="C66" t="str">
        <x:v>AS_Usuario</x:v>
      </x:c>
      <x:c r="D66" t="str">
        <x:v>I_ConfirmacionOperacion</x:v>
      </x:c>
      <x:c r="E66" t="str">
        <x:v>otra</x:v>
      </x:c>
      <x:c r="F66" t="n">
        <x:v>1</x:v>
      </x:c>
      <x:c r="G66" t="str">
        <x:v>RF06</x:v>
      </x:c>
      <x:c r="H66" t="str">
        <x:v>RF006-E1!F20</x:v>
      </x:c>
    </x:row>
    <x:row r="67">
      <x:c r="A67" t="str">
        <x:v>confirmarEliminacionDefinitivaProgramada</x:v>
      </x:c>
      <x:c r="B67" t="str"/>
      <x:c r="C67" t="str">
        <x:v>AS_Usuario</x:v>
      </x:c>
      <x:c r="D67" t="str">
        <x:v>I_ConfirmacionOperacion</x:v>
      </x:c>
      <x:c r="E67" t="str">
        <x:v>otra</x:v>
      </x:c>
      <x:c r="F67" t="n">
        <x:v>1</x:v>
      </x:c>
      <x:c r="G67" t="str">
        <x:v>RF07</x:v>
      </x:c>
      <x:c r="H67" t="str">
        <x:v>RF007-E1!F53</x:v>
      </x:c>
    </x:row>
    <x:row r="68">
      <x:c r="A68" t="str">
        <x:v>confirmarEliminacionTaller</x:v>
      </x:c>
      <x:c r="B68" t="str"/>
      <x:c r="C68" t="str">
        <x:v>AS_Usuario</x:v>
      </x:c>
      <x:c r="D68" t="str">
        <x:v>I_ConfirmacionOperacion</x:v>
      </x:c>
      <x:c r="E68" t="str">
        <x:v>otra</x:v>
      </x:c>
      <x:c r="F68" t="n">
        <x:v>1</x:v>
      </x:c>
      <x:c r="G68" t="str">
        <x:v>RF36</x:v>
      </x:c>
      <x:c r="H68" t="str">
        <x:v>RF036-EF1!F26</x:v>
      </x:c>
    </x:row>
    <x:row r="69">
      <x:c r="A69" t="str">
        <x:v>confirmarEliminarImagen</x:v>
      </x:c>
      <x:c r="B69" t="str"/>
      <x:c r="C69" t="str">
        <x:v>AS_Usuario</x:v>
      </x:c>
      <x:c r="D69" t="str">
        <x:v>I_ConfirmacionOperacion</x:v>
      </x:c>
      <x:c r="E69" t="str">
        <x:v>otra</x:v>
      </x:c>
      <x:c r="F69" t="n">
        <x:v>1</x:v>
      </x:c>
      <x:c r="G69" t="str">
        <x:v>RF45</x:v>
      </x:c>
      <x:c r="H69" t="str">
        <x:v>RF045-EF1!F17</x:v>
      </x:c>
    </x:row>
    <x:row r="70">
      <x:c r="A70" t="str">
        <x:v>confirmarSolicitudEliminacion</x:v>
      </x:c>
      <x:c r="B70" t="str"/>
      <x:c r="C70" t="str">
        <x:v>AS_Usuario</x:v>
      </x:c>
      <x:c r="D70" t="str">
        <x:v>I_ConfirmacionOperacion</x:v>
      </x:c>
      <x:c r="E70" t="str">
        <x:v>otra</x:v>
      </x:c>
      <x:c r="F70" t="n">
        <x:v>1</x:v>
      </x:c>
      <x:c r="G70" t="str">
        <x:v>RF07</x:v>
      </x:c>
      <x:c r="H70" t="str">
        <x:v>RF007-E1!F29</x:v>
      </x:c>
    </x:row>
    <x:row r="71">
      <x:c r="A71" t="str">
        <x:v>seleccionarContinuar</x:v>
      </x:c>
      <x:c r="B71" t="str"/>
      <x:c r="C71" t="str">
        <x:v>AS_Usuario</x:v>
      </x:c>
      <x:c r="D71" t="str">
        <x:v>I_ConfirmacionOperacion</x:v>
      </x:c>
      <x:c r="E71" t="str">
        <x:v>presentación/navegación</x:v>
      </x:c>
      <x:c r="F71" t="n">
        <x:v>6</x:v>
      </x:c>
      <x:c r="G71" t="str">
        <x:v>RF01, RF12, RF13, RF42, RF43, RF45</x:v>
      </x:c>
      <x:c r="H71" t="str">
        <x:v>RF001-E1!F52</x:v>
      </x:c>
    </x:row>
    <x:row r="72">
      <x:c r="A72" t="str">
        <x:v>seleccionarIrInicio</x:v>
      </x:c>
      <x:c r="B72" t="str"/>
      <x:c r="C72" t="str">
        <x:v>AS_Usuario</x:v>
      </x:c>
      <x:c r="D72" t="str">
        <x:v>I_ConfirmacionOperacion</x:v>
      </x:c>
      <x:c r="E72" t="str">
        <x:v>presentación/navegación</x:v>
      </x:c>
      <x:c r="F72" t="n">
        <x:v>1</x:v>
      </x:c>
      <x:c r="G72" t="str">
        <x:v>RF08</x:v>
      </x:c>
      <x:c r="H72" t="str">
        <x:v>RF008-EF1!F65</x:v>
      </x:c>
    </x:row>
    <x:row r="73">
      <x:c r="A73" t="str">
        <x:v>seleccionarVerMisVehiculos</x:v>
      </x:c>
      <x:c r="B73" t="str"/>
      <x:c r="C73" t="str">
        <x:v>AS_Usuario</x:v>
      </x:c>
      <x:c r="D73" t="str">
        <x:v>I_ConfirmacionOperacion</x:v>
      </x:c>
      <x:c r="E73" t="str">
        <x:v>presentación/navegación</x:v>
      </x:c>
      <x:c r="F73" t="n">
        <x:v>1</x:v>
      </x:c>
      <x:c r="G73" t="str">
        <x:v>RF08</x:v>
      </x:c>
      <x:c r="H73" t="str">
        <x:v>RF008-EF1!F58</x:v>
      </x:c>
    </x:row>
    <x:row r="74">
      <x:c r="A74" t="str">
        <x:v>confirmarCambioPrincipal</x:v>
      </x:c>
      <x:c r="B74" t="str"/>
      <x:c r="C74" t="str">
        <x:v>AS_Usuario</x:v>
      </x:c>
      <x:c r="D74" t="str">
        <x:v>I_ConfirmacionPrincipal</x:v>
      </x:c>
      <x:c r="E74" t="str">
        <x:v>otra</x:v>
      </x:c>
      <x:c r="F74" t="n">
        <x:v>1</x:v>
      </x:c>
      <x:c r="G74" t="str">
        <x:v>RF13</x:v>
      </x:c>
      <x:c r="H74" t="str">
        <x:v>RF013-EF1!F17</x:v>
      </x:c>
    </x:row>
    <x:row r="75">
      <x:c r="A75" t="str">
        <x:v>confirmarProgramacionAlerta</x:v>
      </x:c>
      <x:c r="B75" t="str"/>
      <x:c r="C75" t="str">
        <x:v>AS_Usuario</x:v>
      </x:c>
      <x:c r="D75" t="str">
        <x:v>I_ConfirmacionProgramacion</x:v>
      </x:c>
      <x:c r="E75" t="str">
        <x:v>otra</x:v>
      </x:c>
      <x:c r="F75" t="n">
        <x:v>1</x:v>
      </x:c>
      <x:c r="G75" t="str">
        <x:v>RF22</x:v>
      </x:c>
      <x:c r="H75" t="str">
        <x:v>RF22!F70</x:v>
      </x:c>
    </x:row>
    <x:row r="76">
      <x:c r="A76" t="str">
        <x:v>seleccionarVerDetalleVehiculo</x:v>
      </x:c>
      <x:c r="B76" t="str"/>
      <x:c r="C76" t="str">
        <x:v>AS_Usuario</x:v>
      </x:c>
      <x:c r="D76" t="str">
        <x:v>I_ConfirmacionRegistroTIVE</x:v>
      </x:c>
      <x:c r="E76" t="str">
        <x:v>presentación/navegación</x:v>
      </x:c>
      <x:c r="F76" t="n">
        <x:v>1</x:v>
      </x:c>
      <x:c r="G76" t="str">
        <x:v>RF54</x:v>
      </x:c>
      <x:c r="H76" t="str">
        <x:v>RF054-EF1!F48</x:v>
      </x:c>
    </x:row>
    <x:row r="77">
      <x:c r="A77" t="str">
        <x:v>confirmarLicenciaConsultada</x:v>
      </x:c>
      <x:c r="B77" t="str"/>
      <x:c r="C77" t="str">
        <x:v>AS_Usuario</x:v>
      </x:c>
      <x:c r="D77" t="str">
        <x:v>I_ConfirmarLicencia</x:v>
      </x:c>
      <x:c r="E77" t="str">
        <x:v>otra</x:v>
      </x:c>
      <x:c r="F77" t="n">
        <x:v>1</x:v>
      </x:c>
      <x:c r="G77" t="str">
        <x:v>RF51</x:v>
      </x:c>
      <x:c r="H77" t="str">
        <x:v>RF051-EF1!F42</x:v>
      </x:c>
    </x:row>
    <x:row r="78">
      <x:c r="A78" t="str">
        <x:v>ingresarCredenciales</x:v>
      </x:c>
      <x:c r="B78" t="str">
        <x:v>correo,contrasena</x:v>
      </x:c>
      <x:c r="C78" t="str">
        <x:v>AS_Usuario</x:v>
      </x:c>
      <x:c r="D78" t="str">
        <x:v>I_CredencialesRecuperacion</x:v>
      </x:c>
      <x:c r="E78" t="str">
        <x:v>otra</x:v>
      </x:c>
      <x:c r="F78" t="n">
        <x:v>1</x:v>
      </x:c>
      <x:c r="G78" t="str">
        <x:v>RF53</x:v>
      </x:c>
      <x:c r="H78" t="str">
        <x:v>RF053-EF1!F15</x:v>
      </x:c>
    </x:row>
    <x:row r="79">
      <x:c r="A79" t="str">
        <x:v>seleccionarIniciarSesion</x:v>
      </x:c>
      <x:c r="B79" t="str"/>
      <x:c r="C79" t="str">
        <x:v>AS_Usuario</x:v>
      </x:c>
      <x:c r="D79" t="str">
        <x:v>I_CuentaRecuperada</x:v>
      </x:c>
      <x:c r="E79" t="str">
        <x:v>presentación/navegación</x:v>
      </x:c>
      <x:c r="F79" t="n">
        <x:v>1</x:v>
      </x:c>
      <x:c r="G79" t="str">
        <x:v>RF53</x:v>
      </x:c>
      <x:c r="H79" t="str">
        <x:v>RF053-EF1!F58</x:v>
      </x:c>
    </x:row>
    <x:row r="80">
      <x:c r="A80" t="str">
        <x:v>seleccionarRegistrarComoRealizado</x:v>
      </x:c>
      <x:c r="B80" t="str"/>
      <x:c r="C80" t="str">
        <x:v>AS_Usuario</x:v>
      </x:c>
      <x:c r="D80" t="str">
        <x:v>I_DetalleAlerta</x:v>
      </x:c>
      <x:c r="E80" t="str">
        <x:v>presentación/navegación</x:v>
      </x:c>
      <x:c r="F80" t="n">
        <x:v>1</x:v>
      </x:c>
      <x:c r="G80" t="str">
        <x:v>RF24</x:v>
      </x:c>
      <x:c r="H80" t="str">
        <x:v>RF24!F32</x:v>
      </x:c>
    </x:row>
    <x:row r="81">
      <x:c r="A81" t="str">
        <x:v>seleccionarVolverMisIncidencias</x:v>
      </x:c>
      <x:c r="B81" t="str"/>
      <x:c r="C81" t="str">
        <x:v>AS_Usuario</x:v>
      </x:c>
      <x:c r="D81" t="str">
        <x:v>I_DetalleIncidenciaUsuario</x:v>
      </x:c>
      <x:c r="E81" t="str">
        <x:v>presentación/navegación</x:v>
      </x:c>
      <x:c r="F81" t="n">
        <x:v>1</x:v>
      </x:c>
      <x:c r="G81" t="str">
        <x:v>RF64</x:v>
      </x:c>
      <x:c r="H81" t="str">
        <x:v>RF064_EXITOSO!F28</x:v>
      </x:c>
    </x:row>
    <x:row r="82">
      <x:c r="A82" t="str">
        <x:v>seleccionarAnularMantenimiento</x:v>
      </x:c>
      <x:c r="B82" t="str">
        <x:v>id_mantenimiento</x:v>
      </x:c>
      <x:c r="C82" t="str">
        <x:v>AS_Usuario</x:v>
      </x:c>
      <x:c r="D82" t="str">
        <x:v>I_DetalleMantenimiento</x:v>
      </x:c>
      <x:c r="E82" t="str">
        <x:v>presentación/navegación</x:v>
      </x:c>
      <x:c r="F82" t="n">
        <x:v>1</x:v>
      </x:c>
      <x:c r="G82" t="str">
        <x:v>RF21</x:v>
      </x:c>
      <x:c r="H82" t="str">
        <x:v>RF21!F5</x:v>
      </x:c>
    </x:row>
    <x:row r="83">
      <x:c r="A83" t="str">
        <x:v>seleccionarEditarMantenimiento</x:v>
      </x:c>
      <x:c r="B83" t="str">
        <x:v>id_mantenimiento</x:v>
      </x:c>
      <x:c r="C83" t="str">
        <x:v>AS_Usuario</x:v>
      </x:c>
      <x:c r="D83" t="str">
        <x:v>I_DetalleMantenimiento</x:v>
      </x:c>
      <x:c r="E83" t="str">
        <x:v>presentación/navegación</x:v>
      </x:c>
      <x:c r="F83" t="n">
        <x:v>1</x:v>
      </x:c>
      <x:c r="G83" t="str">
        <x:v>RF20</x:v>
      </x:c>
      <x:c r="H83" t="str">
        <x:v>RF20!F5</x:v>
      </x:c>
    </x:row>
    <x:row r="84">
      <x:c r="A84" t="str">
        <x:v>presionarBotonActualizarSOAT</x:v>
      </x:c>
      <x:c r="B84" t="str"/>
      <x:c r="C84" t="str">
        <x:v>AS_Usuario</x:v>
      </x:c>
      <x:c r="D84" t="str">
        <x:v>I_DetalleSOAT</x:v>
      </x:c>
      <x:c r="E84" t="str">
        <x:v>otra</x:v>
      </x:c>
      <x:c r="F84" t="n">
        <x:v>1</x:v>
      </x:c>
      <x:c r="G84" t="str">
        <x:v>RF32</x:v>
      </x:c>
      <x:c r="H84" t="str">
        <x:v>RF032-EF1!F26</x:v>
      </x:c>
    </x:row>
    <x:row r="85">
      <x:c r="A85" t="str">
        <x:v>presionarBotonConfigurarRecordatorio</x:v>
      </x:c>
      <x:c r="B85" t="str"/>
      <x:c r="C85" t="str">
        <x:v>AS_Usuario</x:v>
      </x:c>
      <x:c r="D85" t="str">
        <x:v>I_DetalleSOAT</x:v>
      </x:c>
      <x:c r="E85" t="str">
        <x:v>otra</x:v>
      </x:c>
      <x:c r="F85" t="n">
        <x:v>1</x:v>
      </x:c>
      <x:c r="G85" t="str">
        <x:v>RF33</x:v>
      </x:c>
      <x:c r="H85" t="str">
        <x:v>RF033-EF1!F27</x:v>
      </x:c>
    </x:row>
    <x:row r="86">
      <x:c r="A86" t="str">
        <x:v>seleccionarVerImagenCompleta</x:v>
      </x:c>
      <x:c r="B86" t="str"/>
      <x:c r="C86" t="str">
        <x:v>AS_Usuario</x:v>
      </x:c>
      <x:c r="D86" t="str">
        <x:v>I_DetalleTIVE</x:v>
      </x:c>
      <x:c r="E86" t="str">
        <x:v>presentación/navegación</x:v>
      </x:c>
      <x:c r="F86" t="n">
        <x:v>1</x:v>
      </x:c>
      <x:c r="G86" t="str">
        <x:v>RF55</x:v>
      </x:c>
      <x:c r="H86" t="str">
        <x:v>RF055-EF1!F24</x:v>
      </x:c>
    </x:row>
    <x:row r="87">
      <x:c r="A87" t="str">
        <x:v>presionarBotonConsultarSOAT</x:v>
      </x:c>
      <x:c r="B87" t="str"/>
      <x:c r="C87" t="str">
        <x:v>AS_Usuario</x:v>
      </x:c>
      <x:c r="D87" t="str">
        <x:v>I_DetalleVehiculo</x:v>
      </x:c>
      <x:c r="E87" t="str">
        <x:v>otra</x:v>
      </x:c>
      <x:c r="F87" t="n">
        <x:v>2</x:v>
      </x:c>
      <x:c r="G87" t="str">
        <x:v>RF32, RF33</x:v>
      </x:c>
      <x:c r="H87" t="str">
        <x:v>RF032-EF1!F15</x:v>
      </x:c>
    </x:row>
    <x:row r="88">
      <x:c r="A88" t="str">
        <x:v>presionarBotonRegistrarSOAT</x:v>
      </x:c>
      <x:c r="B88" t="str"/>
      <x:c r="C88" t="str">
        <x:v>AS_Usuario</x:v>
      </x:c>
      <x:c r="D88" t="str">
        <x:v>I_DetalleVehiculo</x:v>
      </x:c>
      <x:c r="E88" t="str">
        <x:v>otra</x:v>
      </x:c>
      <x:c r="F88" t="n">
        <x:v>1</x:v>
      </x:c>
      <x:c r="G88" t="str">
        <x:v>RF31</x:v>
      </x:c>
      <x:c r="H88" t="str">
        <x:v>RF031-EF1!F15</x:v>
      </x:c>
    </x:row>
    <x:row r="89">
      <x:c r="A89" t="str">
        <x:v>seleccionarActualizarKilometraje</x:v>
      </x:c>
      <x:c r="B89" t="str"/>
      <x:c r="C89" t="str">
        <x:v>AS_Usuario</x:v>
      </x:c>
      <x:c r="D89" t="str">
        <x:v>I_DetalleVehiculo</x:v>
      </x:c>
      <x:c r="E89" t="str">
        <x:v>presentación/navegación</x:v>
      </x:c>
      <x:c r="F89" t="n">
        <x:v>1</x:v>
      </x:c>
      <x:c r="G89" t="str">
        <x:v>RF14</x:v>
      </x:c>
      <x:c r="H89" t="str">
        <x:v>RF014-EF1!F5</x:v>
      </x:c>
    </x:row>
    <x:row r="90">
      <x:c r="A90" t="str">
        <x:v>seleccionarCambiarEstado</x:v>
      </x:c>
      <x:c r="B90" t="str"/>
      <x:c r="C90" t="str">
        <x:v>AS_Usuario</x:v>
      </x:c>
      <x:c r="D90" t="str">
        <x:v>I_DetalleVehiculo</x:v>
      </x:c>
      <x:c r="E90" t="str">
        <x:v>presentación/navegación</x:v>
      </x:c>
      <x:c r="F90" t="n">
        <x:v>1</x:v>
      </x:c>
      <x:c r="G90" t="str">
        <x:v>RF12</x:v>
      </x:c>
      <x:c r="H90" t="str">
        <x:v>RF012-EF1!F6</x:v>
      </x:c>
    </x:row>
    <x:row r="91">
      <x:c r="A91" t="str">
        <x:v>seleccionarConsultarTIVE</x:v>
      </x:c>
      <x:c r="B91" t="str">
        <x:v>idVehiculo</x:v>
      </x:c>
      <x:c r="C91" t="str">
        <x:v>AS_Usuario</x:v>
      </x:c>
      <x:c r="D91" t="str">
        <x:v>I_DetalleVehiculo</x:v>
      </x:c>
      <x:c r="E91" t="str">
        <x:v>presentación/navegación</x:v>
      </x:c>
      <x:c r="F91" t="n">
        <x:v>1</x:v>
      </x:c>
      <x:c r="G91" t="str">
        <x:v>RF55</x:v>
      </x:c>
      <x:c r="H91" t="str">
        <x:v>RF055-EF1!F5</x:v>
      </x:c>
    </x:row>
    <x:row r="92">
      <x:c r="A92" t="str">
        <x:v>seleccionarEditarDatos</x:v>
      </x:c>
      <x:c r="B92" t="str"/>
      <x:c r="C92" t="str">
        <x:v>AS_Usuario</x:v>
      </x:c>
      <x:c r="D92" t="str">
        <x:v>I_DetalleVehiculo</x:v>
      </x:c>
      <x:c r="E92" t="str">
        <x:v>presentación/navegación</x:v>
      </x:c>
      <x:c r="F92" t="n">
        <x:v>1</x:v>
      </x:c>
      <x:c r="G92" t="str">
        <x:v>RF11</x:v>
      </x:c>
      <x:c r="H92" t="str">
        <x:v>RF011-EF1!F5</x:v>
      </x:c>
    </x:row>
    <x:row r="93">
      <x:c r="A93" t="str">
        <x:v>seleccionarEditarTIVE</x:v>
      </x:c>
      <x:c r="B93" t="str">
        <x:v>idVehiculo</x:v>
      </x:c>
      <x:c r="C93" t="str">
        <x:v>AS_Usuario</x:v>
      </x:c>
      <x:c r="D93" t="str">
        <x:v>I_DetalleVehiculo</x:v>
      </x:c>
      <x:c r="E93" t="str">
        <x:v>presentación/navegación</x:v>
      </x:c>
      <x:c r="F93" t="n">
        <x:v>1</x:v>
      </x:c>
      <x:c r="G93" t="str">
        <x:v>RF56</x:v>
      </x:c>
      <x:c r="H93" t="str">
        <x:v>RF056-EF1!F5</x:v>
      </x:c>
    </x:row>
    <x:row r="94">
      <x:c r="A94" t="str">
        <x:v>seleccionarEstablecerPrincipal</x:v>
      </x:c>
      <x:c r="B94" t="str">
        <x:v>idVehiculo</x:v>
      </x:c>
      <x:c r="C94" t="str">
        <x:v>AS_Usuario</x:v>
      </x:c>
      <x:c r="D94" t="str">
        <x:v>I_DetalleVehiculo</x:v>
      </x:c>
      <x:c r="E94" t="str">
        <x:v>presentación/navegación</x:v>
      </x:c>
      <x:c r="F94" t="n">
        <x:v>1</x:v>
      </x:c>
      <x:c r="G94" t="str">
        <x:v>RF13</x:v>
      </x:c>
      <x:c r="H94" t="str">
        <x:v>RF013-EF1!F6</x:v>
      </x:c>
    </x:row>
    <x:row r="95">
      <x:c r="A95" t="str">
        <x:v>seleccionarGestionarFoto</x:v>
      </x:c>
      <x:c r="B95" t="str">
        <x:v>idVehiculo</x:v>
      </x:c>
      <x:c r="C95" t="str">
        <x:v>AS_Usuario</x:v>
      </x:c>
      <x:c r="D95" t="str">
        <x:v>I_DetalleVehiculo</x:v>
      </x:c>
      <x:c r="E95" t="str">
        <x:v>presentación/navegación</x:v>
      </x:c>
      <x:c r="F95" t="n">
        <x:v>2</x:v>
      </x:c>
      <x:c r="G95" t="str">
        <x:v>RF43, RF45</x:v>
      </x:c>
      <x:c r="H95" t="str">
        <x:v>RF043-EF1!F5</x:v>
      </x:c>
    </x:row>
    <x:row r="96">
      <x:c r="A96" t="str">
        <x:v>seleccionarRegistrarImagen</x:v>
      </x:c>
      <x:c r="B96" t="str">
        <x:v>idVehiculo</x:v>
      </x:c>
      <x:c r="C96" t="str">
        <x:v>AS_Usuario</x:v>
      </x:c>
      <x:c r="D96" t="str">
        <x:v>I_DetalleVehiculo</x:v>
      </x:c>
      <x:c r="E96" t="str">
        <x:v>presentación/navegación</x:v>
      </x:c>
      <x:c r="F96" t="n">
        <x:v>1</x:v>
      </x:c>
      <x:c r="G96" t="str">
        <x:v>RF42</x:v>
      </x:c>
      <x:c r="H96" t="str">
        <x:v>RF042-EF1!F5</x:v>
      </x:c>
    </x:row>
    <x:row r="97">
      <x:c r="A97" t="str">
        <x:v>seleccionarRegistrarTIVE</x:v>
      </x:c>
      <x:c r="B97" t="str">
        <x:v>idVehiculo</x:v>
      </x:c>
      <x:c r="C97" t="str">
        <x:v>AS_Usuario</x:v>
      </x:c>
      <x:c r="D97" t="str">
        <x:v>I_DetalleVehiculo</x:v>
      </x:c>
      <x:c r="E97" t="str">
        <x:v>presentación/navegación</x:v>
      </x:c>
      <x:c r="F97" t="n">
        <x:v>1</x:v>
      </x:c>
      <x:c r="G97" t="str">
        <x:v>RF54</x:v>
      </x:c>
      <x:c r="H97" t="str">
        <x:v>RF054-EF1!F5</x:v>
      </x:c>
    </x:row>
    <x:row r="98">
      <x:c r="A98" t="str">
        <x:v>ingresarCambiosVehiculo</x:v>
      </x:c>
      <x:c r="B98" t="str">
        <x:v>datosModificados</x:v>
      </x:c>
      <x:c r="C98" t="str">
        <x:v>AS_Usuario</x:v>
      </x:c>
      <x:c r="D98" t="str">
        <x:v>I_EdicionVehiculo</x:v>
      </x:c>
      <x:c r="E98" t="str">
        <x:v>otra</x:v>
      </x:c>
      <x:c r="F98" t="n">
        <x:v>1</x:v>
      </x:c>
      <x:c r="G98" t="str">
        <x:v>RF11</x:v>
      </x:c>
      <x:c r="H98" t="str">
        <x:v>RF011-EF1!F20</x:v>
      </x:c>
    </x:row>
    <x:row r="99">
      <x:c r="A99" t="str">
        <x:v>seleccionarGuardarCambios</x:v>
      </x:c>
      <x:c r="B99" t="str"/>
      <x:c r="C99" t="str">
        <x:v>AS_Usuario</x:v>
      </x:c>
      <x:c r="D99" t="str">
        <x:v>I_EdicionVehiculo</x:v>
      </x:c>
      <x:c r="E99" t="str">
        <x:v>presentación/navegación</x:v>
      </x:c>
      <x:c r="F99" t="n">
        <x:v>1</x:v>
      </x:c>
      <x:c r="G99" t="str">
        <x:v>RF11</x:v>
      </x:c>
      <x:c r="H99" t="str">
        <x:v>RF011-EF1!F22</x:v>
      </x:c>
    </x:row>
    <x:row r="100">
      <x:c r="A100" t="str">
        <x:v>seleccionarOtroTallerYModificarDatos</x:v>
      </x:c>
      <x:c r="B100" t="str">
        <x:v>id_taller_nuevo,costo,observaciones</x:v>
      </x:c>
      <x:c r="C100" t="str">
        <x:v>AS_Usuario</x:v>
      </x:c>
      <x:c r="D100" t="str">
        <x:v>I_EditarMantenimiento</x:v>
      </x:c>
      <x:c r="E100" t="str">
        <x:v>presentación/navegación</x:v>
      </x:c>
      <x:c r="F100" t="n">
        <x:v>1</x:v>
      </x:c>
      <x:c r="G100" t="str">
        <x:v>RF20</x:v>
      </x:c>
      <x:c r="H100" t="str">
        <x:v>RF20!F26</x:v>
      </x:c>
    </x:row>
    <x:row r="101">
      <x:c r="A101" t="str">
        <x:v>modificarDatosPersonales</x:v>
      </x:c>
      <x:c r="B101" t="str">
        <x:v>nombre,fechaNacimiento</x:v>
      </x:c>
      <x:c r="C101" t="str">
        <x:v>AS_Usuario</x:v>
      </x:c>
      <x:c r="D101" t="str">
        <x:v>I_EditarPerfil</x:v>
      </x:c>
      <x:c r="E101" t="str">
        <x:v>otra</x:v>
      </x:c>
      <x:c r="F101" t="n">
        <x:v>1</x:v>
      </x:c>
      <x:c r="G101" t="str">
        <x:v>RF04</x:v>
      </x:c>
      <x:c r="H101" t="str">
        <x:v>RF004-E1!F25</x:v>
      </x:c>
    </x:row>
    <x:row r="102">
      <x:c r="A102" t="str">
        <x:v>editarCamposPermitidos</x:v>
      </x:c>
      <x:c r="B102" t="str">
        <x:v>datosModificados</x:v>
      </x:c>
      <x:c r="C102" t="str">
        <x:v>AS_Usuario</x:v>
      </x:c>
      <x:c r="D102" t="str">
        <x:v>I_EditarTIVE</x:v>
      </x:c>
      <x:c r="E102" t="str">
        <x:v>otra</x:v>
      </x:c>
      <x:c r="F102" t="n">
        <x:v>1</x:v>
      </x:c>
      <x:c r="G102" t="str">
        <x:v>RF56</x:v>
      </x:c>
      <x:c r="H102" t="str">
        <x:v>RF056-EF1!F21</x:v>
      </x:c>
    </x:row>
    <x:row r="103">
      <x:c r="A103" t="str">
        <x:v>seleccionarGuardarCambios</x:v>
      </x:c>
      <x:c r="B103" t="str"/>
      <x:c r="C103" t="str">
        <x:v>AS_Usuario</x:v>
      </x:c>
      <x:c r="D103" t="str">
        <x:v>I_EditarTIVE</x:v>
      </x:c>
      <x:c r="E103" t="str">
        <x:v>presentación/navegación</x:v>
      </x:c>
      <x:c r="F103" t="n">
        <x:v>1</x:v>
      </x:c>
      <x:c r="G103" t="str">
        <x:v>RF56</x:v>
      </x:c>
      <x:c r="H103" t="str">
        <x:v>RF056-EF1!F23</x:v>
      </x:c>
    </x:row>
    <x:row r="104">
      <x:c r="A104" t="str">
        <x:v>modificarDatosTaller</x:v>
      </x:c>
      <x:c r="B104" t="str">
        <x:v>nombre,telefono?,correo?,direccion?,notas?</x:v>
      </x:c>
      <x:c r="C104" t="str">
        <x:v>AS_Usuario</x:v>
      </x:c>
      <x:c r="D104" t="str">
        <x:v>I_EditarTaller</x:v>
      </x:c>
      <x:c r="E104" t="str">
        <x:v>otra</x:v>
      </x:c>
      <x:c r="F104" t="n">
        <x:v>1</x:v>
      </x:c>
      <x:c r="G104" t="str">
        <x:v>RF35</x:v>
      </x:c>
      <x:c r="H104" t="str">
        <x:v>RF035-EF1!F26</x:v>
      </x:c>
    </x:row>
    <x:row r="105">
      <x:c r="A105" t="str">
        <x:v>presionarBotonGuardarCambios</x:v>
      </x:c>
      <x:c r="B105" t="str"/>
      <x:c r="C105" t="str">
        <x:v>AS_Usuario</x:v>
      </x:c>
      <x:c r="D105" t="str">
        <x:v>I_EditarTaller</x:v>
      </x:c>
      <x:c r="E105" t="str">
        <x:v>otra</x:v>
      </x:c>
      <x:c r="F105" t="n">
        <x:v>1</x:v>
      </x:c>
      <x:c r="G105" t="str">
        <x:v>RF35</x:v>
      </x:c>
      <x:c r="H105" t="str">
        <x:v>RF035-EF1!F28</x:v>
      </x:c>
    </x:row>
    <x:row r="106">
      <x:c r="A106" t="str">
        <x:v>seleccionarEliminarImagen</x:v>
      </x:c>
      <x:c r="B106" t="str"/>
      <x:c r="C106" t="str">
        <x:v>AS_Usuario</x:v>
      </x:c>
      <x:c r="D106" t="str">
        <x:v>I_EliminarImagenVehiculo</x:v>
      </x:c>
      <x:c r="E106" t="str">
        <x:v>presentación/navegación</x:v>
      </x:c>
      <x:c r="F106" t="n">
        <x:v>1</x:v>
      </x:c>
      <x:c r="G106" t="str">
        <x:v>RF45</x:v>
      </x:c>
      <x:c r="H106" t="str">
        <x:v>RF045-EF1!F13</x:v>
      </x:c>
    </x:row>
    <x:row r="107">
      <x:c r="A107" t="str">
        <x:v>configurarReporte</x:v>
      </x:c>
      <x:c r="B107" t="str">
        <x:v>fecha_desde,fecha_hasta,criterio_tipo_mantenimiento,incluir_anulados</x:v>
      </x:c>
      <x:c r="C107" t="str">
        <x:v>AS_Usuario</x:v>
      </x:c>
      <x:c r="D107" t="str">
        <x:v>I_ExportarHistorial</x:v>
      </x:c>
      <x:c r="E107" t="str">
        <x:v>otra</x:v>
      </x:c>
      <x:c r="F107" t="n">
        <x:v>1</x:v>
      </x:c>
      <x:c r="G107" t="str">
        <x:v>RF27</x:v>
      </x:c>
      <x:c r="H107" t="str">
        <x:v>RF27!F22</x:v>
      </x:c>
    </x:row>
    <x:row r="108">
      <x:c r="A108" t="str">
        <x:v>seleccionarCompartirWhatsApp</x:v>
      </x:c>
      <x:c r="B108" t="str"/>
      <x:c r="C108" t="str">
        <x:v>AS_Usuario</x:v>
      </x:c>
      <x:c r="D108" t="str">
        <x:v>I_ExportarHistorial</x:v>
      </x:c>
      <x:c r="E108" t="str">
        <x:v>presentación/navegación</x:v>
      </x:c>
      <x:c r="F108" t="n">
        <x:v>1</x:v>
      </x:c>
      <x:c r="G108" t="str">
        <x:v>RF27</x:v>
      </x:c>
      <x:c r="H108" t="str">
        <x:v>RF27!F62</x:v>
      </x:c>
    </x:row>
    <x:row r="109">
      <x:c r="A109" t="str">
        <x:v>abrirFiltrosHistorial</x:v>
      </x:c>
      <x:c r="B109" t="str">
        <x:v>seccion_actual</x:v>
      </x:c>
      <x:c r="C109" t="str">
        <x:v>AS_Usuario</x:v>
      </x:c>
      <x:c r="D109" t="str">
        <x:v>I_FiltrosHistorial</x:v>
      </x:c>
      <x:c r="E109" t="str">
        <x:v>presentación/navegación</x:v>
      </x:c>
      <x:c r="F109" t="n">
        <x:v>1</x:v>
      </x:c>
      <x:c r="G109" t="str">
        <x:v>RF26</x:v>
      </x:c>
      <x:c r="H109" t="str">
        <x:v>RF26!F5</x:v>
      </x:c>
    </x:row>
    <x:row r="110">
      <x:c r="A110" t="str">
        <x:v>aplicarCriteriosHistorialKilometraje</x:v>
      </x:c>
      <x:c r="B110" t="str">
        <x:v>idVehiculo,criterioOrden</x:v>
      </x:c>
      <x:c r="C110" t="str">
        <x:v>AS_Usuario</x:v>
      </x:c>
      <x:c r="D110" t="str">
        <x:v>I_FiltrosHistorial</x:v>
      </x:c>
      <x:c r="E110" t="str">
        <x:v>otra</x:v>
      </x:c>
      <x:c r="F110" t="n">
        <x:v>1</x:v>
      </x:c>
      <x:c r="G110" t="str">
        <x:v>RF15</x:v>
      </x:c>
      <x:c r="H110" t="str">
        <x:v>RF015-EF1!F35</x:v>
      </x:c>
    </x:row>
    <x:row r="111">
      <x:c r="A111" t="str">
        <x:v>aplicarFiltrosMantenimiento</x:v>
      </x:c>
      <x:c r="B111" t="str">
        <x:v>id_tipo_mantenimiento,orden</x:v>
      </x:c>
      <x:c r="C111" t="str">
        <x:v>AS_Usuario</x:v>
      </x:c>
      <x:c r="D111" t="str">
        <x:v>I_FiltrosHistorial</x:v>
      </x:c>
      <x:c r="E111" t="str">
        <x:v>otra</x:v>
      </x:c>
      <x:c r="F111" t="n">
        <x:v>1</x:v>
      </x:c>
      <x:c r="G111" t="str">
        <x:v>RF26</x:v>
      </x:c>
      <x:c r="H111" t="str">
        <x:v>RF26!F19</x:v>
      </x:c>
    </x:row>
    <x:row r="112">
      <x:c r="A112" t="str">
        <x:v>aplicarOrdenKilometraje</x:v>
      </x:c>
      <x:c r="B112" t="str">
        <x:v>orden</x:v>
      </x:c>
      <x:c r="C112" t="str">
        <x:v>AS_Usuario</x:v>
      </x:c>
      <x:c r="D112" t="str">
        <x:v>I_FiltrosHistorial</x:v>
      </x:c>
      <x:c r="E112" t="str">
        <x:v>otra</x:v>
      </x:c>
      <x:c r="F112" t="n">
        <x:v>1</x:v>
      </x:c>
      <x:c r="G112" t="str">
        <x:v>RF26</x:v>
      </x:c>
      <x:c r="H112" t="str">
        <x:v>RF26!F35</x:v>
      </x:c>
    </x:row>
    <x:row r="113">
      <x:c r="A113" t="str">
        <x:v>seleccionarFiltrosHistorial</x:v>
      </x:c>
      <x:c r="B113" t="str"/>
      <x:c r="C113" t="str">
        <x:v>AS_Usuario</x:v>
      </x:c>
      <x:c r="D113" t="str">
        <x:v>I_HistorialKilometraje</x:v>
      </x:c>
      <x:c r="E113" t="str">
        <x:v>presentación/navegación</x:v>
      </x:c>
      <x:c r="F113" t="n">
        <x:v>1</x:v>
      </x:c>
      <x:c r="G113" t="str">
        <x:v>RF15</x:v>
      </x:c>
      <x:c r="H113" t="str">
        <x:v>RF015-EF1!F30</x:v>
      </x:c>
    </x:row>
    <x:row r="114">
      <x:c r="A114" t="str">
        <x:v>seleccionarMantenimiento</x:v>
      </x:c>
      <x:c r="B114" t="str">
        <x:v>id_mantenimiento</x:v>
      </x:c>
      <x:c r="C114" t="str">
        <x:v>AS_Usuario</x:v>
      </x:c>
      <x:c r="D114" t="str">
        <x:v>I_HistorialMantenimiento</x:v>
      </x:c>
      <x:c r="E114" t="str">
        <x:v>presentación/navegación</x:v>
      </x:c>
      <x:c r="F114" t="n">
        <x:v>1</x:v>
      </x:c>
      <x:c r="G114" t="str">
        <x:v>RF19</x:v>
      </x:c>
      <x:c r="H114" t="str">
        <x:v>RF19!F5</x:v>
      </x:c>
    </x:row>
    <x:row r="115">
      <x:c r="A115" t="str">
        <x:v>seleccionarRegistrarMantenimiento</x:v>
      </x:c>
      <x:c r="B115" t="str">
        <x:v>id_vehiculo</x:v>
      </x:c>
      <x:c r="C115" t="str">
        <x:v>AS_Usuario</x:v>
      </x:c>
      <x:c r="D115" t="str">
        <x:v>I_HistorialMantenimiento</x:v>
      </x:c>
      <x:c r="E115" t="str">
        <x:v>presentación/navegación</x:v>
      </x:c>
      <x:c r="F115" t="n">
        <x:v>1</x:v>
      </x:c>
      <x:c r="G115" t="str">
        <x:v>RF17</x:v>
      </x:c>
      <x:c r="H115" t="str">
        <x:v>RF17!F18</x:v>
      </x:c>
    </x:row>
    <x:row r="116">
      <x:c r="A116" t="str">
        <x:v>presionarPestanaTalleres</x:v>
      </x:c>
      <x:c r="B116" t="str"/>
      <x:c r="C116" t="str">
        <x:v>AS_Usuario</x:v>
      </x:c>
      <x:c r="D116" t="str">
        <x:v>I_HistorialVehiculo</x:v>
      </x:c>
      <x:c r="E116" t="str">
        <x:v>otra</x:v>
      </x:c>
      <x:c r="F116" t="n">
        <x:v>2</x:v>
      </x:c>
      <x:c r="G116" t="str">
        <x:v>RF36, RF37</x:v>
      </x:c>
      <x:c r="H116" t="str">
        <x:v>RF036-EF1!F9</x:v>
      </x:c>
    </x:row>
    <x:row r="117">
      <x:c r="A117" t="str">
        <x:v>seleccionarExportarHistorialMantenimientos</x:v>
      </x:c>
      <x:c r="B117" t="str">
        <x:v>id_vehiculo</x:v>
      </x:c>
      <x:c r="C117" t="str">
        <x:v>AS_Usuario</x:v>
      </x:c>
      <x:c r="D117" t="str">
        <x:v>I_HistorialVehiculo</x:v>
      </x:c>
      <x:c r="E117" t="str">
        <x:v>presentación/navegación</x:v>
      </x:c>
      <x:c r="F117" t="n">
        <x:v>1</x:v>
      </x:c>
      <x:c r="G117" t="str">
        <x:v>RF27</x:v>
      </x:c>
      <x:c r="H117" t="str">
        <x:v>RF27!F5</x:v>
      </x:c>
    </x:row>
    <x:row r="118">
      <x:c r="A118" t="str">
        <x:v>seleccionarOtroVehiculo</x:v>
      </x:c>
      <x:c r="B118" t="str">
        <x:v>id_vehiculo_nuevo</x:v>
      </x:c>
      <x:c r="C118" t="str">
        <x:v>AS_Usuario</x:v>
      </x:c>
      <x:c r="D118" t="str">
        <x:v>I_HistorialVehiculo</x:v>
      </x:c>
      <x:c r="E118" t="str">
        <x:v>presentación/navegación</x:v>
      </x:c>
      <x:c r="F118" t="n">
        <x:v>1</x:v>
      </x:c>
      <x:c r="G118" t="str">
        <x:v>RF18</x:v>
      </x:c>
      <x:c r="H118" t="str">
        <x:v>RF18!F33</x:v>
      </x:c>
    </x:row>
    <x:row r="119">
      <x:c r="A119" t="str">
        <x:v>seleccionarSeccionKilometraje</x:v>
      </x:c>
      <x:c r="B119" t="str"/>
      <x:c r="C119" t="str">
        <x:v>AS_Usuario</x:v>
      </x:c>
      <x:c r="D119" t="str">
        <x:v>I_HistorialVehiculo</x:v>
      </x:c>
      <x:c r="E119" t="str">
        <x:v>presentación/navegación</x:v>
      </x:c>
      <x:c r="F119" t="n">
        <x:v>2</x:v>
      </x:c>
      <x:c r="G119" t="str">
        <x:v>RF15, RF25</x:v>
      </x:c>
      <x:c r="H119" t="str">
        <x:v>RF015-EF1!F9</x:v>
      </x:c>
    </x:row>
    <x:row r="120">
      <x:c r="A120" t="str">
        <x:v>seleccionarSeccionTalleres</x:v>
      </x:c>
      <x:c r="B120" t="str"/>
      <x:c r="C120" t="str">
        <x:v>AS_Usuario</x:v>
      </x:c>
      <x:c r="D120" t="str">
        <x:v>I_HistorialVehiculo</x:v>
      </x:c>
      <x:c r="E120" t="str">
        <x:v>presentación/navegación</x:v>
      </x:c>
      <x:c r="F120" t="n">
        <x:v>3</x:v>
      </x:c>
      <x:c r="G120" t="str">
        <x:v>RF25, RF34, RF35</x:v>
      </x:c>
      <x:c r="H120" t="str">
        <x:v>RF25!F44</x:v>
      </x:c>
    </x:row>
    <x:row r="121">
      <x:c r="A121" t="str">
        <x:v>aceptarInformacionYContinuar</x:v>
      </x:c>
      <x:c r="B121" t="str"/>
      <x:c r="C121" t="str">
        <x:v>AS_Usuario</x:v>
      </x:c>
      <x:c r="D121" t="str">
        <x:v>I_InformacionEliminacionCuenta</x:v>
      </x:c>
      <x:c r="E121" t="str">
        <x:v>otra</x:v>
      </x:c>
      <x:c r="F121" t="n">
        <x:v>1</x:v>
      </x:c>
      <x:c r="G121" t="str">
        <x:v>RF07</x:v>
      </x:c>
      <x:c r="H121" t="str">
        <x:v>RF007-E1!F19</x:v>
      </x:c>
    </x:row>
    <x:row r="122">
      <x:c r="A122" t="str">
        <x:v>seleccionarRecuperarCuenta</x:v>
      </x:c>
      <x:c r="B122" t="str"/>
      <x:c r="C122" t="str">
        <x:v>AS_Usuario</x:v>
      </x:c>
      <x:c r="D122" t="str">
        <x:v>I_InformacionRecuperacionCuenta</x:v>
      </x:c>
      <x:c r="E122" t="str">
        <x:v>presentación/navegación</x:v>
      </x:c>
      <x:c r="F122" t="n">
        <x:v>1</x:v>
      </x:c>
      <x:c r="G122" t="str">
        <x:v>RF53</x:v>
      </x:c>
      <x:c r="H122" t="str">
        <x:v>RF053-EF1!F11</x:v>
      </x:c>
    </x:row>
    <x:row r="123">
      <x:c r="A123" t="str">
        <x:v>ingresarInicio</x:v>
      </x:c>
      <x:c r="B123" t="str"/>
      <x:c r="C123" t="str">
        <x:v>AS_Usuario</x:v>
      </x:c>
      <x:c r="D123" t="str">
        <x:v>I_Inicio</x:v>
      </x:c>
      <x:c r="E123" t="str">
        <x:v>otra</x:v>
      </x:c>
      <x:c r="F123" t="n">
        <x:v>1</x:v>
      </x:c>
      <x:c r="G123" t="str">
        <x:v>RF50</x:v>
      </x:c>
      <x:c r="H123" t="str">
        <x:v>RF050-EF1!F5</x:v>
      </x:c>
    </x:row>
    <x:row r="124">
      <x:c r="A124" t="str">
        <x:v>ingresarModuloAutos</x:v>
      </x:c>
      <x:c r="B124" t="str"/>
      <x:c r="C124" t="str">
        <x:v>AS_Usuario</x:v>
      </x:c>
      <x:c r="D124" t="str">
        <x:v>I_Inicio</x:v>
      </x:c>
      <x:c r="E124" t="str">
        <x:v>otra</x:v>
      </x:c>
      <x:c r="F124" t="n">
        <x:v>4</x:v>
      </x:c>
      <x:c r="G124" t="str">
        <x:v>RF08, RF31, RF32, RF33</x:v>
      </x:c>
      <x:c r="H124" t="str">
        <x:v>RF008-EF1!F5</x:v>
      </x:c>
    </x:row>
    <x:row r="125">
      <x:c r="A125" t="str">
        <x:v>ingresarModuloHistorial</x:v>
      </x:c>
      <x:c r="B125" t="str"/>
      <x:c r="C125" t="str">
        <x:v>AS_Usuario</x:v>
      </x:c>
      <x:c r="D125" t="str">
        <x:v>I_Inicio</x:v>
      </x:c>
      <x:c r="E125" t="str">
        <x:v>otra</x:v>
      </x:c>
      <x:c r="F125" t="n">
        <x:v>4</x:v>
      </x:c>
      <x:c r="G125" t="str">
        <x:v>RF15, RF17, RF18, RF25</x:v>
      </x:c>
      <x:c r="H125" t="str">
        <x:v>RF015-EF1!F5</x:v>
      </x:c>
    </x:row>
    <x:row r="126">
      <x:c r="A126" t="str">
        <x:v>ingresarSeccionPerfil</x:v>
      </x:c>
      <x:c r="B126" t="str"/>
      <x:c r="C126" t="str">
        <x:v>AS_Usuario</x:v>
      </x:c>
      <x:c r="D126" t="str">
        <x:v>I_Inicio</x:v>
      </x:c>
      <x:c r="E126" t="str">
        <x:v>otra</x:v>
      </x:c>
      <x:c r="F126" t="n">
        <x:v>14</x:v>
      </x:c>
      <x:c r="G126" t="str">
        <x:v>RF04, RF05, RF06, RF07, RF28, RF29, RF30, RF38, RF39, RF40, RF44, RF48, RF51, RF52</x:v>
      </x:c>
      <x:c r="H126" t="str">
        <x:v>RF004-E1!F5</x:v>
      </x:c>
    </x:row>
    <x:row r="127">
      <x:c r="A127" t="str">
        <x:v>presionarCampanita</x:v>
      </x:c>
      <x:c r="B127" t="str"/>
      <x:c r="C127" t="str">
        <x:v>AS_Usuario</x:v>
      </x:c>
      <x:c r="D127" t="str">
        <x:v>I_Inicio</x:v>
      </x:c>
      <x:c r="E127" t="str">
        <x:v>otra</x:v>
      </x:c>
      <x:c r="F127" t="n">
        <x:v>1</x:v>
      </x:c>
      <x:c r="G127" t="str">
        <x:v>RF46</x:v>
      </x:c>
      <x:c r="H127" t="str">
        <x:v>RF046-EF1!F5</x:v>
      </x:c>
    </x:row>
    <x:row r="128">
      <x:c r="A128" t="str">
        <x:v>seleccionarModuloAlertas</x:v>
      </x:c>
      <x:c r="B128" t="str"/>
      <x:c r="C128" t="str">
        <x:v>AS_Usuario</x:v>
      </x:c>
      <x:c r="D128" t="str">
        <x:v>I_Inicio</x:v>
      </x:c>
      <x:c r="E128" t="str">
        <x:v>presentación/navegación</x:v>
      </x:c>
      <x:c r="F128" t="n">
        <x:v>1</x:v>
      </x:c>
      <x:c r="G128" t="str">
        <x:v>RF23</x:v>
      </x:c>
      <x:c r="H128" t="str">
        <x:v>RF23!F5</x:v>
      </x:c>
    </x:row>
    <x:row r="129">
      <x:c r="A129" t="str">
        <x:v>seleccionarModuloAutos</x:v>
      </x:c>
      <x:c r="B129" t="str"/>
      <x:c r="C129" t="str">
        <x:v>AS_Usuario</x:v>
      </x:c>
      <x:c r="D129" t="str">
        <x:v>I_Inicio</x:v>
      </x:c>
      <x:c r="E129" t="str">
        <x:v>presentación/navegación</x:v>
      </x:c>
      <x:c r="F129" t="n">
        <x:v>1</x:v>
      </x:c>
      <x:c r="G129" t="str">
        <x:v>RF09</x:v>
      </x:c>
      <x:c r="H129" t="str">
        <x:v>RF009-EF1!F5</x:v>
      </x:c>
    </x:row>
    <x:row r="130">
      <x:c r="A130" t="str">
        <x:v>seleccionarPestanaHistorial</x:v>
      </x:c>
      <x:c r="B130" t="str"/>
      <x:c r="C130" t="str">
        <x:v>AS_Usuario</x:v>
      </x:c>
      <x:c r="D130" t="str">
        <x:v>I_Inicio</x:v>
      </x:c>
      <x:c r="E130" t="str">
        <x:v>presentación/navegación</x:v>
      </x:c>
      <x:c r="F130" t="n">
        <x:v>4</x:v>
      </x:c>
      <x:c r="G130" t="str">
        <x:v>RF34, RF35, RF36, RF37</x:v>
      </x:c>
      <x:c r="H130" t="str">
        <x:v>RF034-EF1!F5</x:v>
      </x:c>
    </x:row>
    <x:row r="131">
      <x:c r="A131" t="str">
        <x:v>completarFormularioLogin</x:v>
      </x:c>
      <x:c r="B131" t="str">
        <x:v>correo,contrasena</x:v>
      </x:c>
      <x:c r="C131" t="str">
        <x:v>AS_Usuario</x:v>
      </x:c>
      <x:c r="D131" t="str">
        <x:v>I_InicioSesion</x:v>
      </x:c>
      <x:c r="E131" t="str">
        <x:v>otra</x:v>
      </x:c>
      <x:c r="F131" t="n">
        <x:v>1</x:v>
      </x:c>
      <x:c r="G131" t="str">
        <x:v>RF02</x:v>
      </x:c>
      <x:c r="H131" t="str">
        <x:v>RF002-E1!F12</x:v>
      </x:c>
    </x:row>
    <x:row r="132">
      <x:c r="A132" t="str">
        <x:v>seleccionarIniciarSesion</x:v>
      </x:c>
      <x:c r="B132" t="str"/>
      <x:c r="C132" t="str">
        <x:v>AS_Usuario</x:v>
      </x:c>
      <x:c r="D132" t="str">
        <x:v>I_InicioSesion</x:v>
      </x:c>
      <x:c r="E132" t="str">
        <x:v>presentación/navegación</x:v>
      </x:c>
      <x:c r="F132" t="n">
        <x:v>1</x:v>
      </x:c>
      <x:c r="G132" t="str">
        <x:v>RF02</x:v>
      </x:c>
      <x:c r="H132" t="str">
        <x:v>RF002-E1!F17</x:v>
      </x:c>
    </x:row>
    <x:row r="133">
      <x:c r="A133" t="str">
        <x:v>seleccionarRecuperarContrasena</x:v>
      </x:c>
      <x:c r="B133" t="str"/>
      <x:c r="C133" t="str">
        <x:v>AS_Usuario</x:v>
      </x:c>
      <x:c r="D133" t="str">
        <x:v>I_InicioSesion</x:v>
      </x:c>
      <x:c r="E133" t="str">
        <x:v>presentación/navegación</x:v>
      </x:c>
      <x:c r="F133" t="n">
        <x:v>1</x:v>
      </x:c>
      <x:c r="G133" t="str">
        <x:v>RF03</x:v>
      </x:c>
      <x:c r="H133" t="str">
        <x:v>RF003-E1!F10</x:v>
      </x:c>
    </x:row>
    <x:row r="134">
      <x:c r="A134" t="str">
        <x:v>seleccionarRecuperarCuentaEliminada</x:v>
      </x:c>
      <x:c r="B134" t="str"/>
      <x:c r="C134" t="str">
        <x:v>AS_Usuario</x:v>
      </x:c>
      <x:c r="D134" t="str">
        <x:v>I_InicioSesion</x:v>
      </x:c>
      <x:c r="E134" t="str">
        <x:v>presentación/navegación</x:v>
      </x:c>
      <x:c r="F134" t="n">
        <x:v>1</x:v>
      </x:c>
      <x:c r="G134" t="str">
        <x:v>RF53</x:v>
      </x:c>
      <x:c r="H134" t="str">
        <x:v>RF053-EF1!F5</x:v>
      </x:c>
    </x:row>
    <x:row r="135">
      <x:c r="A135" t="str">
        <x:v>filtrarPorEstado</x:v>
      </x:c>
      <x:c r="B135" t="str">
        <x:v>EN_PROCESO</x:v>
      </x:c>
      <x:c r="C135" t="str">
        <x:v>AS_Usuario</x:v>
      </x:c>
      <x:c r="D135" t="str">
        <x:v>I_MisIncidencias</x:v>
      </x:c>
      <x:c r="E135" t="str">
        <x:v>otra</x:v>
      </x:c>
      <x:c r="F135" t="n">
        <x:v>1</x:v>
      </x:c>
      <x:c r="G135" t="str">
        <x:v>RF64</x:v>
      </x:c>
      <x:c r="H135" t="str">
        <x:v>RF064_EXITOSO!F13</x:v>
      </x:c>
    </x:row>
    <x:row r="136">
      <x:c r="A136" t="str">
        <x:v>seleccionarDetalleIncidencia</x:v>
      </x:c>
      <x:c r="B136" t="str">
        <x:v>idIncidencia</x:v>
      </x:c>
      <x:c r="C136" t="str">
        <x:v>AS_Usuario</x:v>
      </x:c>
      <x:c r="D136" t="str">
        <x:v>I_MisIncidencias</x:v>
      </x:c>
      <x:c r="E136" t="str">
        <x:v>presentación/navegación</x:v>
      </x:c>
      <x:c r="F136" t="n">
        <x:v>1</x:v>
      </x:c>
      <x:c r="G136" t="str">
        <x:v>RF64</x:v>
      </x:c>
      <x:c r="H136" t="str">
        <x:v>RF064_EXITOSO!F19</x:v>
      </x:c>
    </x:row>
    <x:row r="137">
      <x:c r="A137" t="str">
        <x:v>seleccionarMotivoOmitirYContinuar</x:v>
      </x:c>
      <x:c r="B137" t="str">
        <x:v>motivoOpcional</x:v>
      </x:c>
      <x:c r="C137" t="str">
        <x:v>AS_Usuario</x:v>
      </x:c>
      <x:c r="D137" t="str">
        <x:v>I_MotivoEliminacionCuenta</x:v>
      </x:c>
      <x:c r="E137" t="str">
        <x:v>presentación/navegación</x:v>
      </x:c>
      <x:c r="F137" t="n">
        <x:v>1</x:v>
      </x:c>
      <x:c r="G137" t="str">
        <x:v>RF07</x:v>
      </x:c>
      <x:c r="H137" t="str">
        <x:v>RF007-E1!F24</x:v>
      </x:c>
    </x:row>
    <x:row r="138">
      <x:c r="A138" t="str">
        <x:v>completarFormularioNuevaContrasena</x:v>
      </x:c>
      <x:c r="B138" t="str">
        <x:v>nuevaContrasena,confirmarContrasena</x:v>
      </x:c>
      <x:c r="C138" t="str">
        <x:v>AS_Usuario</x:v>
      </x:c>
      <x:c r="D138" t="str">
        <x:v>I_NuevaContrasena</x:v>
      </x:c>
      <x:c r="E138" t="str">
        <x:v>otra</x:v>
      </x:c>
      <x:c r="F138" t="n">
        <x:v>1</x:v>
      </x:c>
      <x:c r="G138" t="str">
        <x:v>RF03</x:v>
      </x:c>
      <x:c r="H138" t="str">
        <x:v>RF003-E1!F51</x:v>
      </x:c>
    </x:row>
    <x:row r="139">
      <x:c r="A139" t="str">
        <x:v>seleccionarActualizarContrasena</x:v>
      </x:c>
      <x:c r="B139" t="str"/>
      <x:c r="C139" t="str">
        <x:v>AS_Usuario</x:v>
      </x:c>
      <x:c r="D139" t="str">
        <x:v>I_NuevaContrasena</x:v>
      </x:c>
      <x:c r="E139" t="str">
        <x:v>presentación/navegación</x:v>
      </x:c>
      <x:c r="F139" t="n">
        <x:v>1</x:v>
      </x:c>
      <x:c r="G139" t="str">
        <x:v>RF03</x:v>
      </x:c>
      <x:c r="H139" t="str">
        <x:v>RF003-E1!F56</x:v>
      </x:c>
    </x:row>
    <x:row r="140">
      <x:c r="A140" t="str">
        <x:v>seleccionarActualizarFoto</x:v>
      </x:c>
      <x:c r="B140" t="str"/>
      <x:c r="C140" t="str">
        <x:v>AS_Usuario</x:v>
      </x:c>
      <x:c r="D140" t="str">
        <x:v>I_OpcionesFotoPerfil</x:v>
      </x:c>
      <x:c r="E140" t="str">
        <x:v>presentación/navegación</x:v>
      </x:c>
      <x:c r="F140" t="n">
        <x:v>2</x:v>
      </x:c>
      <x:c r="G140" t="str">
        <x:v>RF38, RF39</x:v>
      </x:c>
      <x:c r="H140" t="str">
        <x:v>RF038-E1!F18</x:v>
      </x:c>
    </x:row>
    <x:row r="141">
      <x:c r="A141" t="str">
        <x:v>seleccionarEliminarFoto</x:v>
      </x:c>
      <x:c r="B141" t="str"/>
      <x:c r="C141" t="str">
        <x:v>AS_Usuario</x:v>
      </x:c>
      <x:c r="D141" t="str">
        <x:v>I_OpcionesFotoPerfil</x:v>
      </x:c>
      <x:c r="E141" t="str">
        <x:v>presentación/navegación</x:v>
      </x:c>
      <x:c r="F141" t="n">
        <x:v>1</x:v>
      </x:c>
      <x:c r="G141" t="str">
        <x:v>RF40</x:v>
      </x:c>
      <x:c r="H141" t="str">
        <x:v>RF040-E1!F18</x:v>
      </x:c>
    </x:row>
    <x:row r="142">
      <x:c r="A142" t="str">
        <x:v>activarSwitchRecordatoriosKm</x:v>
      </x:c>
      <x:c r="B142" t="str"/>
      <x:c r="C142" t="str">
        <x:v>AS_Usuario</x:v>
      </x:c>
      <x:c r="D142" t="str">
        <x:v>I_Perfil</x:v>
      </x:c>
      <x:c r="E142" t="str">
        <x:v>otra</x:v>
      </x:c>
      <x:c r="F142" t="n">
        <x:v>1</x:v>
      </x:c>
      <x:c r="G142" t="str">
        <x:v>RF44</x:v>
      </x:c>
      <x:c r="H142" t="str">
        <x:v>RF044-EF1!F13</x:v>
      </x:c>
    </x:row>
    <x:row r="143">
      <x:c r="A143" t="str">
        <x:v>presionarBotonPlanesSuscripcion</x:v>
      </x:c>
      <x:c r="B143" t="str"/>
      <x:c r="C143" t="str">
        <x:v>AS_Usuario</x:v>
      </x:c>
      <x:c r="D143" t="str">
        <x:v>I_Perfil</x:v>
      </x:c>
      <x:c r="E143" t="str">
        <x:v>otra</x:v>
      </x:c>
      <x:c r="F143" t="n">
        <x:v>3</x:v>
      </x:c>
      <x:c r="G143" t="str">
        <x:v>RF28, RF29, RF30</x:v>
      </x:c>
      <x:c r="H143" t="str">
        <x:v>RF028-E1!F13</x:v>
      </x:c>
    </x:row>
    <x:row r="144">
      <x:c r="A144" t="str">
        <x:v>seleccionarCambiarContrasena</x:v>
      </x:c>
      <x:c r="B144" t="str"/>
      <x:c r="C144" t="str">
        <x:v>AS_Usuario</x:v>
      </x:c>
      <x:c r="D144" t="str">
        <x:v>I_Perfil</x:v>
      </x:c>
      <x:c r="E144" t="str">
        <x:v>presentación/navegación</x:v>
      </x:c>
      <x:c r="F144" t="n">
        <x:v>1</x:v>
      </x:c>
      <x:c r="G144" t="str">
        <x:v>RF05</x:v>
      </x:c>
      <x:c r="H144" t="str">
        <x:v>RF005-E1!F14</x:v>
      </x:c>
    </x:row>
    <x:row r="145">
      <x:c r="A145" t="str">
        <x:v>seleccionarCerrarSesion</x:v>
      </x:c>
      <x:c r="B145" t="str"/>
      <x:c r="C145" t="str">
        <x:v>AS_Usuario</x:v>
      </x:c>
      <x:c r="D145" t="str">
        <x:v>I_Perfil</x:v>
      </x:c>
      <x:c r="E145" t="str">
        <x:v>presentación/navegación</x:v>
      </x:c>
      <x:c r="F145" t="n">
        <x:v>1</x:v>
      </x:c>
      <x:c r="G145" t="str">
        <x:v>RF06</x:v>
      </x:c>
      <x:c r="H145" t="str">
        <x:v>RF006-E1!F14</x:v>
      </x:c>
    </x:row>
    <x:row r="146">
      <x:c r="A146" t="str">
        <x:v>seleccionarDatosPersonales</x:v>
      </x:c>
      <x:c r="B146" t="str"/>
      <x:c r="C146" t="str">
        <x:v>AS_Usuario</x:v>
      </x:c>
      <x:c r="D146" t="str">
        <x:v>I_Perfil</x:v>
      </x:c>
      <x:c r="E146" t="str">
        <x:v>presentación/navegación</x:v>
      </x:c>
      <x:c r="F146" t="n">
        <x:v>1</x:v>
      </x:c>
      <x:c r="G146" t="str">
        <x:v>RF04</x:v>
      </x:c>
      <x:c r="H146" t="str">
        <x:v>RF004-E1!F14</x:v>
      </x:c>
    </x:row>
    <x:row r="147">
      <x:c r="A147" t="str">
        <x:v>seleccionarEditarDatos</x:v>
      </x:c>
      <x:c r="B147" t="str"/>
      <x:c r="C147" t="str">
        <x:v>AS_Usuario</x:v>
      </x:c>
      <x:c r="D147" t="str">
        <x:v>I_Perfil</x:v>
      </x:c>
      <x:c r="E147" t="str">
        <x:v>presentación/navegación</x:v>
      </x:c>
      <x:c r="F147" t="n">
        <x:v>1</x:v>
      </x:c>
      <x:c r="G147" t="str">
        <x:v>RF04</x:v>
      </x:c>
      <x:c r="H147" t="str">
        <x:v>RF004-E1!F21</x:v>
      </x:c>
    </x:row>
    <x:row r="148">
      <x:c r="A148" t="str">
        <x:v>seleccionarEliminarCuenta</x:v>
      </x:c>
      <x:c r="B148" t="str"/>
      <x:c r="C148" t="str">
        <x:v>AS_Usuario</x:v>
      </x:c>
      <x:c r="D148" t="str">
        <x:v>I_Perfil</x:v>
      </x:c>
      <x:c r="E148" t="str">
        <x:v>presentación/navegación</x:v>
      </x:c>
      <x:c r="F148" t="n">
        <x:v>1</x:v>
      </x:c>
      <x:c r="G148" t="str">
        <x:v>RF07</x:v>
      </x:c>
      <x:c r="H148" t="str">
        <x:v>RF007-E1!F14</x:v>
      </x:c>
    </x:row>
    <x:row r="149">
      <x:c r="A149" t="str">
        <x:v>seleccionarFilaRecordatoriosKm</x:v>
      </x:c>
      <x:c r="B149" t="str"/>
      <x:c r="C149" t="str">
        <x:v>AS_Usuario</x:v>
      </x:c>
      <x:c r="D149" t="str">
        <x:v>I_Perfil</x:v>
      </x:c>
      <x:c r="E149" t="str">
        <x:v>presentación/navegación</x:v>
      </x:c>
      <x:c r="F149" t="n">
        <x:v>1</x:v>
      </x:c>
      <x:c r="G149" t="str">
        <x:v>RF44</x:v>
      </x:c>
      <x:c r="H149" t="str">
        <x:v>RF044-EF1!F20</x:v>
      </x:c>
    </x:row>
    <x:row r="150">
      <x:c r="A150" t="str">
        <x:v>seleccionarIconoFotoPerfil</x:v>
      </x:c>
      <x:c r="B150" t="str"/>
      <x:c r="C150" t="str">
        <x:v>AS_Usuario</x:v>
      </x:c>
      <x:c r="D150" t="str">
        <x:v>I_Perfil</x:v>
      </x:c>
      <x:c r="E150" t="str">
        <x:v>presentación/navegación</x:v>
      </x:c>
      <x:c r="F150" t="n">
        <x:v>3</x:v>
      </x:c>
      <x:c r="G150" t="str">
        <x:v>RF38, RF39, RF40</x:v>
      </x:c>
      <x:c r="H150" t="str">
        <x:v>RF038-E1!F14</x:v>
      </x:c>
    </x:row>
    <x:row r="151">
      <x:c r="A151" t="str">
        <x:v>seleccionarLicenciaConducir</x:v>
      </x:c>
      <x:c r="B151" t="str"/>
      <x:c r="C151" t="str">
        <x:v>AS_Usuario</x:v>
      </x:c>
      <x:c r="D151" t="str">
        <x:v>I_Perfil</x:v>
      </x:c>
      <x:c r="E151" t="str">
        <x:v>presentación/navegación</x:v>
      </x:c>
      <x:c r="F151" t="n">
        <x:v>2</x:v>
      </x:c>
      <x:c r="G151" t="str">
        <x:v>RF51, RF52</x:v>
      </x:c>
      <x:c r="H151" t="str">
        <x:v>RF051-EF1!F9</x:v>
      </x:c>
    </x:row>
    <x:row r="152">
      <x:c r="A152" t="str">
        <x:v>seleccionarMisIncidencias</x:v>
      </x:c>
      <x:c r="B152" t="str"/>
      <x:c r="C152" t="str">
        <x:v>AS_Usuario</x:v>
      </x:c>
      <x:c r="D152" t="str">
        <x:v>I_Perfil</x:v>
      </x:c>
      <x:c r="E152" t="str">
        <x:v>presentación/navegación</x:v>
      </x:c>
      <x:c r="F152" t="n">
        <x:v>1</x:v>
      </x:c>
      <x:c r="G152" t="str">
        <x:v>RF64</x:v>
      </x:c>
      <x:c r="H152" t="str">
        <x:v>RF064_EXITOSO!F5</x:v>
      </x:c>
    </x:row>
    <x:row r="153">
      <x:c r="A153" t="str">
        <x:v>seleccionarNotificacionesExternas</x:v>
      </x:c>
      <x:c r="B153" t="str"/>
      <x:c r="C153" t="str">
        <x:v>AS_Usuario</x:v>
      </x:c>
      <x:c r="D153" t="str">
        <x:v>I_Perfil</x:v>
      </x:c>
      <x:c r="E153" t="str">
        <x:v>presentación/navegación</x:v>
      </x:c>
      <x:c r="F153" t="n">
        <x:v>1</x:v>
      </x:c>
      <x:c r="G153" t="str">
        <x:v>RF48</x:v>
      </x:c>
      <x:c r="H153" t="str">
        <x:v>RF048-EF1!F9</x:v>
      </x:c>
    </x:row>
    <x:row r="154">
      <x:c r="A154" t="str">
        <x:v>seleccionarReportarIncidencia</x:v>
      </x:c>
      <x:c r="B154" t="str"/>
      <x:c r="C154" t="str">
        <x:v>AS_Usuario</x:v>
      </x:c>
      <x:c r="D154" t="str">
        <x:v>I_Perfil</x:v>
      </x:c>
      <x:c r="E154" t="str">
        <x:v>presentación/navegación</x:v>
      </x:c>
      <x:c r="F154" t="n">
        <x:v>1</x:v>
      </x:c>
      <x:c r="G154" t="str">
        <x:v>RF63</x:v>
      </x:c>
      <x:c r="H154" t="str">
        <x:v>RF063_EXITOSO!F5</x:v>
      </x:c>
    </x:row>
    <x:row r="155">
      <x:c r="A155" t="str">
        <x:v>presionarBotonContratarPremium</x:v>
      </x:c>
      <x:c r="B155" t="str"/>
      <x:c r="C155" t="str">
        <x:v>AS_Usuario</x:v>
      </x:c>
      <x:c r="D155" t="str">
        <x:v>I_Planes</x:v>
      </x:c>
      <x:c r="E155" t="str">
        <x:v>otra</x:v>
      </x:c>
      <x:c r="F155" t="n">
        <x:v>1</x:v>
      </x:c>
      <x:c r="G155" t="str">
        <x:v>RF29</x:v>
      </x:c>
      <x:c r="H155" t="str">
        <x:v>RF029-E1!F26</x:v>
      </x:c>
    </x:row>
    <x:row r="156">
      <x:c r="A156" t="str">
        <x:v>escribirServicioOtro</x:v>
      </x:c>
      <x:c r="B156" t="str">
        <x:v>texto_libre</x:v>
      </x:c>
      <x:c r="C156" t="str">
        <x:v>AS_Usuario</x:v>
      </x:c>
      <x:c r="D156" t="str">
        <x:v>I_ProgramarAlerta</x:v>
      </x:c>
      <x:c r="E156" t="str">
        <x:v>otra</x:v>
      </x:c>
      <x:c r="F156" t="n">
        <x:v>1</x:v>
      </x:c>
      <x:c r="G156" t="str">
        <x:v>RF22</x:v>
      </x:c>
      <x:c r="H156" t="str">
        <x:v>RF22!F45</x:v>
      </x:c>
    </x:row>
    <x:row r="157">
      <x:c r="A157" t="str">
        <x:v>ingresarConfiguracion</x:v>
      </x:c>
      <x:c r="B157" t="str">
        <x:v>criterio,unidad_tiempo,cantidad_tiempo,intervalo_km,servicio_otro_o_NULL</x:v>
      </x:c>
      <x:c r="C157" t="str">
        <x:v>AS_Usuario</x:v>
      </x:c>
      <x:c r="D157" t="str">
        <x:v>I_ProgramarAlerta</x:v>
      </x:c>
      <x:c r="E157" t="str">
        <x:v>otra</x:v>
      </x:c>
      <x:c r="F157" t="n">
        <x:v>1</x:v>
      </x:c>
      <x:c r="G157" t="str">
        <x:v>RF22</x:v>
      </x:c>
      <x:c r="H157" t="str">
        <x:v>RF22!F57</x:v>
      </x:c>
    </x:row>
    <x:row r="158">
      <x:c r="A158" t="str">
        <x:v>seleccionarSugerenciaServicioOtro</x:v>
      </x:c>
      <x:c r="B158" t="str">
        <x:v>nombre_elegido</x:v>
      </x:c>
      <x:c r="C158" t="str">
        <x:v>AS_Usuario</x:v>
      </x:c>
      <x:c r="D158" t="str">
        <x:v>I_ProgramarAlerta</x:v>
      </x:c>
      <x:c r="E158" t="str">
        <x:v>presentación/navegación</x:v>
      </x:c>
      <x:c r="F158" t="n">
        <x:v>1</x:v>
      </x:c>
      <x:c r="G158" t="str">
        <x:v>RF22</x:v>
      </x:c>
      <x:c r="H158" t="str">
        <x:v>RF22!F48</x:v>
      </x:c>
    </x:row>
    <x:row r="159">
      <x:c r="A159" t="str">
        <x:v>seleccionarVehiculoYTipo</x:v>
      </x:c>
      <x:c r="B159" t="str">
        <x:v>id_vehiculo,id_tipo_mantenimiento</x:v>
      </x:c>
      <x:c r="C159" t="str">
        <x:v>AS_Usuario</x:v>
      </x:c>
      <x:c r="D159" t="str">
        <x:v>I_ProgramarAlerta</x:v>
      </x:c>
      <x:c r="E159" t="str">
        <x:v>presentación/navegación</x:v>
      </x:c>
      <x:c r="F159" t="n">
        <x:v>1</x:v>
      </x:c>
      <x:c r="G159" t="str">
        <x:v>RF22</x:v>
      </x:c>
      <x:c r="H159" t="str">
        <x:v>RF22!F19</x:v>
      </x:c>
    </x:row>
    <x:row r="160">
      <x:c r="A160" t="str">
        <x:v>ingresarCorreo</x:v>
      </x:c>
      <x:c r="B160" t="str">
        <x:v>correo</x:v>
      </x:c>
      <x:c r="C160" t="str">
        <x:v>AS_Usuario</x:v>
      </x:c>
      <x:c r="D160" t="str">
        <x:v>I_RecuperacionContrasena</x:v>
      </x:c>
      <x:c r="E160" t="str">
        <x:v>otra</x:v>
      </x:c>
      <x:c r="F160" t="n">
        <x:v>1</x:v>
      </x:c>
      <x:c r="G160" t="str">
        <x:v>RF03</x:v>
      </x:c>
      <x:c r="H160" t="str">
        <x:v>RF003-E1!F15</x:v>
      </x:c>
    </x:row>
    <x:row r="161">
      <x:c r="A161" t="str">
        <x:v>seleccionarImagen</x:v>
      </x:c>
      <x:c r="B161" t="str"/>
      <x:c r="C161" t="str">
        <x:v>AS_Usuario</x:v>
      </x:c>
      <x:c r="D161" t="str">
        <x:v>I_RegistrarImagenVehiculo</x:v>
      </x:c>
      <x:c r="E161" t="str">
        <x:v>presentación/navegación</x:v>
      </x:c>
      <x:c r="F161" t="n">
        <x:v>1</x:v>
      </x:c>
      <x:c r="G161" t="str">
        <x:v>RF42</x:v>
      </x:c>
      <x:c r="H161" t="str">
        <x:v>RF042-EF1!F13</x:v>
      </x:c>
    </x:row>
    <x:row r="162">
      <x:c r="A162" t="str">
        <x:v>ingresarDNIYAceptarConsulta</x:v>
      </x:c>
      <x:c r="B162" t="str">
        <x:v>dni,aceptacion</x:v>
      </x:c>
      <x:c r="C162" t="str">
        <x:v>AS_Usuario</x:v>
      </x:c>
      <x:c r="D162" t="str">
        <x:v>I_RegistrarLicencia</x:v>
      </x:c>
      <x:c r="E162" t="str">
        <x:v>otra</x:v>
      </x:c>
      <x:c r="F162" t="n">
        <x:v>1</x:v>
      </x:c>
      <x:c r="G162" t="str">
        <x:v>RF51</x:v>
      </x:c>
      <x:c r="H162" t="str">
        <x:v>RF051-EF1!F23</x:v>
      </x:c>
    </x:row>
    <x:row r="163">
      <x:c r="A163" t="str">
        <x:v>ingresarDatosTIVE</x:v>
      </x:c>
      <x:c r="B163" t="str">
        <x:v>numeroTitulo,codigoVerificacion,fechaTitulo,datosRegistrales?</x:v>
      </x:c>
      <x:c r="C163" t="str">
        <x:v>AS_Usuario</x:v>
      </x:c>
      <x:c r="D163" t="str">
        <x:v>I_RegistrarTIVE</x:v>
      </x:c>
      <x:c r="E163" t="str">
        <x:v>otra</x:v>
      </x:c>
      <x:c r="F163" t="n">
        <x:v>1</x:v>
      </x:c>
      <x:c r="G163" t="str">
        <x:v>RF54</x:v>
      </x:c>
      <x:c r="H163" t="str">
        <x:v>RF054-EF1!F18</x:v>
      </x:c>
    </x:row>
    <x:row r="164">
      <x:c r="A164" t="str">
        <x:v>seleccionarAdjuntarImagenTIVE</x:v>
      </x:c>
      <x:c r="B164" t="str"/>
      <x:c r="C164" t="str">
        <x:v>AS_Usuario</x:v>
      </x:c>
      <x:c r="D164" t="str">
        <x:v>I_RegistrarTIVE</x:v>
      </x:c>
      <x:c r="E164" t="str">
        <x:v>presentación/navegación</x:v>
      </x:c>
      <x:c r="F164" t="n">
        <x:v>1</x:v>
      </x:c>
      <x:c r="G164" t="str">
        <x:v>RF54</x:v>
      </x:c>
      <x:c r="H164" t="str">
        <x:v>RF054-EF1!F19</x:v>
      </x:c>
    </x:row>
    <x:row r="165">
      <x:c r="A165" t="str">
        <x:v>seleccionarGuardarTIVE</x:v>
      </x:c>
      <x:c r="B165" t="str"/>
      <x:c r="C165" t="str">
        <x:v>AS_Usuario</x:v>
      </x:c>
      <x:c r="D165" t="str">
        <x:v>I_RegistrarTIVE</x:v>
      </x:c>
      <x:c r="E165" t="str">
        <x:v>presentación/navegación</x:v>
      </x:c>
      <x:c r="F165" t="n">
        <x:v>1</x:v>
      </x:c>
      <x:c r="G165" t="str">
        <x:v>RF54</x:v>
      </x:c>
      <x:c r="H165" t="str">
        <x:v>RF054-EF1!F28</x:v>
      </x:c>
    </x:row>
    <x:row r="166">
      <x:c r="A166" t="str">
        <x:v>ingresarIncidencia</x:v>
      </x:c>
      <x:c r="B166" t="str">
        <x:v>titulo,categoria,descripcion</x:v>
      </x:c>
      <x:c r="C166" t="str">
        <x:v>AS_Usuario</x:v>
      </x:c>
      <x:c r="D166" t="str">
        <x:v>I_RegistroIncidenciaUsuario</x:v>
      </x:c>
      <x:c r="E166" t="str">
        <x:v>otra</x:v>
      </x:c>
      <x:c r="F166" t="n">
        <x:v>1</x:v>
      </x:c>
      <x:c r="G166" t="str">
        <x:v>RF63</x:v>
      </x:c>
      <x:c r="H166" t="str">
        <x:v>RF063_EXITOSO!F11</x:v>
      </x:c>
    </x:row>
    <x:row r="167">
      <x:c r="A167" t="str">
        <x:v>seleccionarAdjuntarEvidencia</x:v>
      </x:c>
      <x:c r="B167" t="str"/>
      <x:c r="C167" t="str">
        <x:v>AS_Usuario</x:v>
      </x:c>
      <x:c r="D167" t="str">
        <x:v>I_RegistroIncidenciaUsuario</x:v>
      </x:c>
      <x:c r="E167" t="str">
        <x:v>presentación/navegación</x:v>
      </x:c>
      <x:c r="F167" t="n">
        <x:v>1</x:v>
      </x:c>
      <x:c r="G167" t="str">
        <x:v>RF63</x:v>
      </x:c>
      <x:c r="H167" t="str">
        <x:v>RF063_EXITOSO!F12</x:v>
      </x:c>
    </x:row>
    <x:row r="168">
      <x:c r="A168" t="str">
        <x:v>seleccionarEnviarReporte</x:v>
      </x:c>
      <x:c r="B168" t="str"/>
      <x:c r="C168" t="str">
        <x:v>AS_Usuario</x:v>
      </x:c>
      <x:c r="D168" t="str">
        <x:v>I_RegistroIncidenciaUsuario</x:v>
      </x:c>
      <x:c r="E168" t="str">
        <x:v>presentación/navegación</x:v>
      </x:c>
      <x:c r="F168" t="n">
        <x:v>1</x:v>
      </x:c>
      <x:c r="G168" t="str">
        <x:v>RF63</x:v>
      </x:c>
      <x:c r="H168" t="str">
        <x:v>RF063_EXITOSO!F22</x:v>
      </x:c>
    </x:row>
    <x:row r="169">
      <x:c r="A169" t="str">
        <x:v>ingresarDatosMantenimiento</x:v>
      </x:c>
      <x:c r="B169" t="str">
        <x:v>datos_mantenimiento,especificar_servicio_si_OTRO</x:v>
      </x:c>
      <x:c r="C169" t="str">
        <x:v>AS_Usuario</x:v>
      </x:c>
      <x:c r="D169" t="str">
        <x:v>I_RegistroMantenimiento</x:v>
      </x:c>
      <x:c r="E169" t="str">
        <x:v>otra</x:v>
      </x:c>
      <x:c r="F169" t="n">
        <x:v>1</x:v>
      </x:c>
      <x:c r="G169" t="str">
        <x:v>RF17</x:v>
      </x:c>
      <x:c r="H169" t="str">
        <x:v>RF17!F47</x:v>
      </x:c>
    </x:row>
    <x:row r="170">
      <x:c r="A170" t="str">
        <x:v>ingresarDatosMantenimiento</x:v>
      </x:c>
      <x:c r="B170" t="str">
        <x:v>fecha,descripcion_opcional,id_taller,costo</x:v>
      </x:c>
      <x:c r="C170" t="str">
        <x:v>AS_Usuario</x:v>
      </x:c>
      <x:c r="D170" t="str">
        <x:v>I_RegistroMantenimiento</x:v>
      </x:c>
      <x:c r="E170" t="str">
        <x:v>otra</x:v>
      </x:c>
      <x:c r="F170" t="n">
        <x:v>1</x:v>
      </x:c>
      <x:c r="G170" t="str">
        <x:v>RF24</x:v>
      </x:c>
      <x:c r="H170" t="str">
        <x:v>RF24!F52</x:v>
      </x:c>
    </x:row>
    <x:row r="171">
      <x:c r="A171" t="str">
        <x:v>seleccionarGuardarMantenimiento</x:v>
      </x:c>
      <x:c r="B171" t="str"/>
      <x:c r="C171" t="str">
        <x:v>AS_Usuario</x:v>
      </x:c>
      <x:c r="D171" t="str">
        <x:v>I_RegistroMantenimiento</x:v>
      </x:c>
      <x:c r="E171" t="str">
        <x:v>presentación/navegación</x:v>
      </x:c>
      <x:c r="F171" t="n">
        <x:v>2</x:v>
      </x:c>
      <x:c r="G171" t="str">
        <x:v>RF17, RF24</x:v>
      </x:c>
      <x:c r="H171" t="str">
        <x:v>RF17!F48</x:v>
      </x:c>
    </x:row>
    <x:row r="172">
      <x:c r="A172" t="str">
        <x:v>seleccionarNoSoloGuardar</x:v>
      </x:c>
      <x:c r="B172" t="str"/>
      <x:c r="C172" t="str">
        <x:v>AS_Usuario</x:v>
      </x:c>
      <x:c r="D172" t="str">
        <x:v>I_RegistroMantenimiento</x:v>
      </x:c>
      <x:c r="E172" t="str">
        <x:v>presentación/navegación</x:v>
      </x:c>
      <x:c r="F172" t="n">
        <x:v>1</x:v>
      </x:c>
      <x:c r="G172" t="str">
        <x:v>RF17</x:v>
      </x:c>
      <x:c r="H172" t="str">
        <x:v>RF17!F71</x:v>
      </x:c>
    </x:row>
    <x:row r="173">
      <x:c r="A173" t="str">
        <x:v>seleccionarTipoMantenimiento</x:v>
      </x:c>
      <x:c r="B173" t="str">
        <x:v>id_tipo</x:v>
      </x:c>
      <x:c r="C173" t="str">
        <x:v>AS_Usuario</x:v>
      </x:c>
      <x:c r="D173" t="str">
        <x:v>I_RegistroMantenimiento</x:v>
      </x:c>
      <x:c r="E173" t="str">
        <x:v>presentación/navegación</x:v>
      </x:c>
      <x:c r="F173" t="n">
        <x:v>1</x:v>
      </x:c>
      <x:c r="G173" t="str">
        <x:v>RF17</x:v>
      </x:c>
      <x:c r="H173" t="str">
        <x:v>RF17!F42</x:v>
      </x:c>
    </x:row>
    <x:row r="174">
      <x:c r="A174" t="str">
        <x:v>ingresarDatosTaller</x:v>
      </x:c>
      <x:c r="B174" t="str">
        <x:v>nombre,telefono?,correo?,direccion?,notas?</x:v>
      </x:c>
      <x:c r="C174" t="str">
        <x:v>AS_Usuario</x:v>
      </x:c>
      <x:c r="D174" t="str">
        <x:v>I_RegistroTaller</x:v>
      </x:c>
      <x:c r="E174" t="str">
        <x:v>otra</x:v>
      </x:c>
      <x:c r="F174" t="n">
        <x:v>1</x:v>
      </x:c>
      <x:c r="G174" t="str">
        <x:v>RF34</x:v>
      </x:c>
      <x:c r="H174" t="str">
        <x:v>RF034-EF1!F21</x:v>
      </x:c>
    </x:row>
    <x:row r="175">
      <x:c r="A175" t="str">
        <x:v>presionarBotonRegistrarTaller</x:v>
      </x:c>
      <x:c r="B175" t="str"/>
      <x:c r="C175" t="str">
        <x:v>AS_Usuario</x:v>
      </x:c>
      <x:c r="D175" t="str">
        <x:v>I_RegistroTaller</x:v>
      </x:c>
      <x:c r="E175" t="str">
        <x:v>otra</x:v>
      </x:c>
      <x:c r="F175" t="n">
        <x:v>1</x:v>
      </x:c>
      <x:c r="G175" t="str">
        <x:v>RF34</x:v>
      </x:c>
      <x:c r="H175" t="str">
        <x:v>RF034-EF1!F23</x:v>
      </x:c>
    </x:row>
    <x:row r="176">
      <x:c r="A176" t="str">
        <x:v>completarFormularioRegistro</x:v>
      </x:c>
      <x:c r="B176" t="str">
        <x:v>nombre,correo,fechaNacimiento,contrasena,confirmacion</x:v>
      </x:c>
      <x:c r="C176" t="str">
        <x:v>AS_Usuario</x:v>
      </x:c>
      <x:c r="D176" t="str">
        <x:v>I_RegistroUsuario</x:v>
      </x:c>
      <x:c r="E176" t="str">
        <x:v>otra</x:v>
      </x:c>
      <x:c r="F176" t="n">
        <x:v>1</x:v>
      </x:c>
      <x:c r="G176" t="str">
        <x:v>RF01</x:v>
      </x:c>
      <x:c r="H176" t="str">
        <x:v>RF001-E1!F11</x:v>
      </x:c>
    </x:row>
    <x:row r="177">
      <x:c r="A177" t="str">
        <x:v>seleccionarCrearCuenta</x:v>
      </x:c>
      <x:c r="B177" t="str"/>
      <x:c r="C177" t="str">
        <x:v>AS_Usuario</x:v>
      </x:c>
      <x:c r="D177" t="str">
        <x:v>I_RegistroUsuario</x:v>
      </x:c>
      <x:c r="E177" t="str">
        <x:v>presentación/navegación</x:v>
      </x:c>
      <x:c r="F177" t="n">
        <x:v>1</x:v>
      </x:c>
      <x:c r="G177" t="str">
        <x:v>RF01</x:v>
      </x:c>
      <x:c r="H177" t="str">
        <x:v>RF001-E1!F16</x:v>
      </x:c>
    </x:row>
    <x:row r="178">
      <x:c r="A178" t="str">
        <x:v>ingresarDatosVehiculo</x:v>
      </x:c>
      <x:c r="B178" t="str"/>
      <x:c r="C178" t="str">
        <x:v>AS_Usuario</x:v>
      </x:c>
      <x:c r="D178" t="str">
        <x:v>I_RegistroVehiculo</x:v>
      </x:c>
      <x:c r="E178" t="str">
        <x:v>otra</x:v>
      </x:c>
      <x:c r="F178" t="n">
        <x:v>1</x:v>
      </x:c>
      <x:c r="G178" t="str">
        <x:v>RF08</x:v>
      </x:c>
      <x:c r="H178" t="str">
        <x:v>RF008-EF1!F21</x:v>
      </x:c>
    </x:row>
    <x:row r="179">
      <x:c r="A179" t="str">
        <x:v>ingresarDatosNuevaVigencia</x:v>
      </x:c>
      <x:c r="B179" t="str">
        <x:v>datosRenovacion</x:v>
      </x:c>
      <x:c r="C179" t="str">
        <x:v>AS_Usuario</x:v>
      </x:c>
      <x:c r="D179" t="str">
        <x:v>I_SOAT</x:v>
      </x:c>
      <x:c r="E179" t="str">
        <x:v>otra</x:v>
      </x:c>
      <x:c r="F179" t="n">
        <x:v>1</x:v>
      </x:c>
      <x:c r="G179" t="str">
        <x:v>RF32</x:v>
      </x:c>
      <x:c r="H179" t="str">
        <x:v>RF032-EF1!F58</x:v>
      </x:c>
    </x:row>
    <x:row r="180">
      <x:c r="A180" t="str">
        <x:v>ingresarDatosSOAT</x:v>
      </x:c>
      <x:c r="B180" t="str">
        <x:v>aseguradora,numeroPoliza,fechaInicio,fechaVencimiento,importePrima?,fechaEmision?,nombreContratante?</x:v>
      </x:c>
      <x:c r="C180" t="str">
        <x:v>AS_Usuario</x:v>
      </x:c>
      <x:c r="D180" t="str">
        <x:v>I_SOAT</x:v>
      </x:c>
      <x:c r="E180" t="str">
        <x:v>otra</x:v>
      </x:c>
      <x:c r="F180" t="n">
        <x:v>1</x:v>
      </x:c>
      <x:c r="G180" t="str">
        <x:v>RF31</x:v>
      </x:c>
      <x:c r="H180" t="str">
        <x:v>RF031-EF1!F26</x:v>
      </x:c>
    </x:row>
    <x:row r="181">
      <x:c r="A181" t="str">
        <x:v>modificarDatosVigenciaActual</x:v>
      </x:c>
      <x:c r="B181" t="str">
        <x:v>aseguradora,numeroPoliza,fechaInicio,fechaVencimiento,importePrima?,fechaEmision?,nombreContratante?</x:v>
      </x:c>
      <x:c r="C181" t="str">
        <x:v>AS_Usuario</x:v>
      </x:c>
      <x:c r="D181" t="str">
        <x:v>I_SOAT</x:v>
      </x:c>
      <x:c r="E181" t="str">
        <x:v>otra</x:v>
      </x:c>
      <x:c r="F181" t="n">
        <x:v>1</x:v>
      </x:c>
      <x:c r="G181" t="str">
        <x:v>RF32</x:v>
      </x:c>
      <x:c r="H181" t="str">
        <x:v>RF032-EF1!F35</x:v>
      </x:c>
    </x:row>
    <x:row r="182">
      <x:c r="A182" t="str">
        <x:v>presionarBotonGuardarCambios</x:v>
      </x:c>
      <x:c r="B182" t="str"/>
      <x:c r="C182" t="str">
        <x:v>AS_Usuario</x:v>
      </x:c>
      <x:c r="D182" t="str">
        <x:v>I_SOAT</x:v>
      </x:c>
      <x:c r="E182" t="str">
        <x:v>otra</x:v>
      </x:c>
      <x:c r="F182" t="n">
        <x:v>1</x:v>
      </x:c>
      <x:c r="G182" t="str">
        <x:v>RF32</x:v>
      </x:c>
      <x:c r="H182" t="str">
        <x:v>RF032-EF1!F37</x:v>
      </x:c>
    </x:row>
    <x:row r="183">
      <x:c r="A183" t="str">
        <x:v>presionarBotonRegistrarSOAT</x:v>
      </x:c>
      <x:c r="B183" t="str"/>
      <x:c r="C183" t="str">
        <x:v>AS_Usuario</x:v>
      </x:c>
      <x:c r="D183" t="str">
        <x:v>I_SOAT</x:v>
      </x:c>
      <x:c r="E183" t="str">
        <x:v>otra</x:v>
      </x:c>
      <x:c r="F183" t="n">
        <x:v>1</x:v>
      </x:c>
      <x:c r="G183" t="str">
        <x:v>RF31</x:v>
      </x:c>
      <x:c r="H183" t="str">
        <x:v>RF031-EF1!F28</x:v>
      </x:c>
    </x:row>
    <x:row r="184">
      <x:c r="A184" t="str">
        <x:v>presionarBotonRenovar</x:v>
      </x:c>
      <x:c r="B184" t="str"/>
      <x:c r="C184" t="str">
        <x:v>AS_Usuario</x:v>
      </x:c>
      <x:c r="D184" t="str">
        <x:v>I_SOAT</x:v>
      </x:c>
      <x:c r="E184" t="str">
        <x:v>otra</x:v>
      </x:c>
      <x:c r="F184" t="n">
        <x:v>1</x:v>
      </x:c>
      <x:c r="G184" t="str">
        <x:v>RF32</x:v>
      </x:c>
      <x:c r="H184" t="str">
        <x:v>RF032-EF1!F60</x:v>
      </x:c>
    </x:row>
    <x:row r="185">
      <x:c r="A185" t="str">
        <x:v>seleccionarOperacionSOAT</x:v>
      </x:c>
      <x:c r="B185" t="str">
        <x:v>tipoOperacion</x:v>
      </x:c>
      <x:c r="C185" t="str">
        <x:v>AS_Usuario</x:v>
      </x:c>
      <x:c r="D185" t="str">
        <x:v>I_SOAT</x:v>
      </x:c>
      <x:c r="E185" t="str">
        <x:v>presentación/navegación</x:v>
      </x:c>
      <x:c r="F185" t="n">
        <x:v>1</x:v>
      </x:c>
      <x:c r="G185" t="str">
        <x:v>RF32</x:v>
      </x:c>
      <x:c r="H185" t="str">
        <x:v>RF032-EF1!F30</x:v>
      </x:c>
    </x:row>
    <x:row r="186">
      <x:c r="A186" t="str">
        <x:v>seleccionarHecho</x:v>
      </x:c>
      <x:c r="B186" t="str"/>
      <x:c r="C186" t="str">
        <x:v>AS_Usuario</x:v>
      </x:c>
      <x:c r="D186" t="str">
        <x:v>I_SeleccionFoto</x:v>
      </x:c>
      <x:c r="E186" t="str">
        <x:v>presentación/navegación</x:v>
      </x:c>
      <x:c r="F186" t="n">
        <x:v>2</x:v>
      </x:c>
      <x:c r="G186" t="str">
        <x:v>RF38, RF39</x:v>
      </x:c>
      <x:c r="H186" t="str">
        <x:v>RF038-E1!F25</x:v>
      </x:c>
    </x:row>
    <x:row r="187">
      <x:c r="A187" t="str">
        <x:v>seleccionarImagen</x:v>
      </x:c>
      <x:c r="B187" t="str"/>
      <x:c r="C187" t="str">
        <x:v>AS_Usuario</x:v>
      </x:c>
      <x:c r="D187" t="str">
        <x:v>I_SeleccionFoto</x:v>
      </x:c>
      <x:c r="E187" t="str">
        <x:v>presentación/navegación</x:v>
      </x:c>
      <x:c r="F187" t="n">
        <x:v>1</x:v>
      </x:c>
      <x:c r="G187" t="str">
        <x:v>RF38</x:v>
      </x:c>
      <x:c r="H187" t="str">
        <x:v>RF038-E1!F23</x:v>
      </x:c>
    </x:row>
    <x:row r="188">
      <x:c r="A188" t="str">
        <x:v>seleccionarNuevaImagen</x:v>
      </x:c>
      <x:c r="B188" t="str"/>
      <x:c r="C188" t="str">
        <x:v>AS_Usuario</x:v>
      </x:c>
      <x:c r="D188" t="str">
        <x:v>I_SeleccionFoto</x:v>
      </x:c>
      <x:c r="E188" t="str">
        <x:v>presentación/navegación</x:v>
      </x:c>
      <x:c r="F188" t="n">
        <x:v>1</x:v>
      </x:c>
      <x:c r="G188" t="str">
        <x:v>RF39</x:v>
      </x:c>
      <x:c r="H188" t="str">
        <x:v>RF039-E1!F23</x:v>
      </x:c>
    </x:row>
    <x:row r="189">
      <x:c r="A189" t="str">
        <x:v>seleccionarGaleria</x:v>
      </x:c>
      <x:c r="B189" t="str"/>
      <x:c r="C189" t="str">
        <x:v>AS_Usuario</x:v>
      </x:c>
      <x:c r="D189" t="str">
        <x:v>I_SeleccionarEvidenciaIncidencia</x:v>
      </x:c>
      <x:c r="E189" t="str">
        <x:v>presentación/navegación</x:v>
      </x:c>
      <x:c r="F189" t="n">
        <x:v>1</x:v>
      </x:c>
      <x:c r="G189" t="str">
        <x:v>RF63</x:v>
      </x:c>
      <x:c r="H189" t="str">
        <x:v>RF063_EXITOSO!F15</x:v>
      </x:c>
    </x:row>
    <x:row r="190">
      <x:c r="A190" t="str">
        <x:v>seleccionarUsarImagen</x:v>
      </x:c>
      <x:c r="B190" t="str"/>
      <x:c r="C190" t="str">
        <x:v>AS_Usuario</x:v>
      </x:c>
      <x:c r="D190" t="str">
        <x:v>I_SeleccionarEvidenciaIncidencia</x:v>
      </x:c>
      <x:c r="E190" t="str">
        <x:v>presentación/navegación</x:v>
      </x:c>
      <x:c r="F190" t="n">
        <x:v>1</x:v>
      </x:c>
      <x:c r="G190" t="str">
        <x:v>RF63</x:v>
      </x:c>
      <x:c r="H190" t="str">
        <x:v>RF063_EXITOSO!F18</x:v>
      </x:c>
    </x:row>
    <x:row r="191">
      <x:c r="A191" t="str">
        <x:v>seleccionarFuenteImagen</x:v>
      </x:c>
      <x:c r="B191" t="str">
        <x:v>GALERIA</x:v>
      </x:c>
      <x:c r="C191" t="str">
        <x:v>AS_Usuario</x:v>
      </x:c>
      <x:c r="D191" t="str">
        <x:v>I_SeleccionarImagenTIVE</x:v>
      </x:c>
      <x:c r="E191" t="str">
        <x:v>presentación/navegación</x:v>
      </x:c>
      <x:c r="F191" t="n">
        <x:v>1</x:v>
      </x:c>
      <x:c r="G191" t="str">
        <x:v>RF54</x:v>
      </x:c>
      <x:c r="H191" t="str">
        <x:v>RF054-EF1!F22</x:v>
      </x:c>
    </x:row>
    <x:row r="192">
      <x:c r="A192" t="str">
        <x:v>seleccionarUsarImagen</x:v>
      </x:c>
      <x:c r="B192" t="str"/>
      <x:c r="C192" t="str">
        <x:v>AS_Usuario</x:v>
      </x:c>
      <x:c r="D192" t="str">
        <x:v>I_SeleccionarImagenTIVE</x:v>
      </x:c>
      <x:c r="E192" t="str">
        <x:v>presentación/navegación</x:v>
      </x:c>
      <x:c r="F192" t="n">
        <x:v>1</x:v>
      </x:c>
      <x:c r="G192" t="str">
        <x:v>RF54</x:v>
      </x:c>
      <x:c r="H192" t="str">
        <x:v>RF054-EF1!F25</x:v>
      </x:c>
    </x:row>
    <x:row r="193">
      <x:c r="A193" t="str">
        <x:v>presionarBotonComprarConGooglePlay</x:v>
      </x:c>
      <x:c r="B193" t="str"/>
      <x:c r="C193" t="str">
        <x:v>AS_Usuario</x:v>
      </x:c>
      <x:c r="D193" t="str">
        <x:v>I_Suscripcion</x:v>
      </x:c>
      <x:c r="E193" t="str">
        <x:v>otra</x:v>
      </x:c>
      <x:c r="F193" t="n">
        <x:v>1</x:v>
      </x:c>
      <x:c r="G193" t="str">
        <x:v>RF29</x:v>
      </x:c>
      <x:c r="H193" t="str">
        <x:v>RF029-E1!F36</x:v>
      </x:c>
    </x:row>
    <x:row r="194">
      <x:c r="A194" t="str">
        <x:v>presionarMenuTaller</x:v>
      </x:c>
      <x:c r="B194" t="str">
        <x:v>idTaller</x:v>
      </x:c>
      <x:c r="C194" t="str">
        <x:v>AS_Usuario</x:v>
      </x:c>
      <x:c r="D194" t="str">
        <x:v>I_Taller</x:v>
      </x:c>
      <x:c r="E194" t="str">
        <x:v>otra</x:v>
      </x:c>
      <x:c r="F194" t="n">
        <x:v>3</x:v>
      </x:c>
      <x:c r="G194" t="str">
        <x:v>RF35, RF36, RF37</x:v>
      </x:c>
      <x:c r="H194" t="str">
        <x:v>RF035-EF1!F16</x:v>
      </x:c>
    </x:row>
    <x:row r="195">
      <x:c r="A195" t="str">
        <x:v>seleccionarAgregarTaller</x:v>
      </x:c>
      <x:c r="B195" t="str"/>
      <x:c r="C195" t="str">
        <x:v>AS_Usuario</x:v>
      </x:c>
      <x:c r="D195" t="str">
        <x:v>I_Taller</x:v>
      </x:c>
      <x:c r="E195" t="str">
        <x:v>presentación/navegación</x:v>
      </x:c>
      <x:c r="F195" t="n">
        <x:v>1</x:v>
      </x:c>
      <x:c r="G195" t="str">
        <x:v>RF34</x:v>
      </x:c>
      <x:c r="H195" t="str">
        <x:v>RF034-EF1!F16</x:v>
      </x:c>
    </x:row>
    <x:row r="196">
      <x:c r="A196" t="str">
        <x:v>seleccionarOpcionEditar</x:v>
      </x:c>
      <x:c r="B196" t="str"/>
      <x:c r="C196" t="str">
        <x:v>AS_Usuario</x:v>
      </x:c>
      <x:c r="D196" t="str">
        <x:v>I_Taller</x:v>
      </x:c>
      <x:c r="E196" t="str">
        <x:v>presentación/navegación</x:v>
      </x:c>
      <x:c r="F196" t="n">
        <x:v>1</x:v>
      </x:c>
      <x:c r="G196" t="str">
        <x:v>RF35</x:v>
      </x:c>
      <x:c r="H196" t="str">
        <x:v>RF035-EF1!F18</x:v>
      </x:c>
    </x:row>
    <x:row r="197">
      <x:c r="A197" t="str">
        <x:v>seleccionarOpcionEliminar</x:v>
      </x:c>
      <x:c r="B197" t="str"/>
      <x:c r="C197" t="str">
        <x:v>AS_Usuario</x:v>
      </x:c>
      <x:c r="D197" t="str">
        <x:v>I_Taller</x:v>
      </x:c>
      <x:c r="E197" t="str">
        <x:v>presentación/navegación</x:v>
      </x:c>
      <x:c r="F197" t="n">
        <x:v>1</x:v>
      </x:c>
      <x:c r="G197" t="str">
        <x:v>RF36</x:v>
      </x:c>
      <x:c r="H197" t="str">
        <x:v>RF036-EF1!F18</x:v>
      </x:c>
    </x:row>
    <x:row r="198">
      <x:c r="A198" t="str">
        <x:v>seleccionarOpcionMarcarFavorito</x:v>
      </x:c>
      <x:c r="B198" t="str"/>
      <x:c r="C198" t="str">
        <x:v>AS_Usuario</x:v>
      </x:c>
      <x:c r="D198" t="str">
        <x:v>I_Taller</x:v>
      </x:c>
      <x:c r="E198" t="str">
        <x:v>presentación/navegación</x:v>
      </x:c>
      <x:c r="F198" t="n">
        <x:v>1</x:v>
      </x:c>
      <x:c r="G198" t="str">
        <x:v>RF37</x:v>
      </x:c>
      <x:c r="H198" t="str">
        <x:v>RF037-EF1!F18</x:v>
      </x:c>
    </x:row>
    <x:row r="199">
      <x:c r="A199" t="str">
        <x:v>ingresarCodigo</x:v>
      </x:c>
      <x:c r="B199" t="str">
        <x:v>codigo</x:v>
      </x:c>
      <x:c r="C199" t="str">
        <x:v>AS_Usuario</x:v>
      </x:c>
      <x:c r="D199" t="str">
        <x:v>I_VerificarCodigo</x:v>
      </x:c>
      <x:c r="E199" t="str">
        <x:v>otra</x:v>
      </x:c>
      <x:c r="F199" t="n">
        <x:v>1</x:v>
      </x:c>
      <x:c r="G199" t="str">
        <x:v>RF03</x:v>
      </x:c>
      <x:c r="H199" t="str">
        <x:v>RF003-E1!F36</x:v>
      </x:c>
    </x:row>
    <x:row r="200">
      <x:c r="A200" t="str">
        <x:v>ingresarDigitoYVerificar</x:v>
      </x:c>
      <x:c r="B200" t="str">
        <x:v>digito</x:v>
      </x:c>
      <x:c r="C200" t="str">
        <x:v>AS_Usuario</x:v>
      </x:c>
      <x:c r="D200" t="str">
        <x:v>I_VerificarDigitoDNI</x:v>
      </x:c>
      <x:c r="E200" t="str">
        <x:v>otra</x:v>
      </x:c>
      <x:c r="F200" t="n">
        <x:v>1</x:v>
      </x:c>
      <x:c r="G200" t="str">
        <x:v>RF51</x:v>
      </x:c>
      <x:c r="H200" t="str">
        <x:v>RF051-EF1!F32</x:v>
      </x:c>
    </x:row>
    <x:row r="201">
      <x:c r="A201" t="str">
        <x:v>ingresarCodigoYVerificar</x:v>
      </x:c>
      <x:c r="B201" t="str">
        <x:v>codigo</x:v>
      </x:c>
      <x:c r="C201" t="str">
        <x:v>AS_Usuario</x:v>
      </x:c>
      <x:c r="D201" t="str">
        <x:v>I_VerificarEliminacionCuenta</x:v>
      </x:c>
      <x:c r="E201" t="str">
        <x:v>otra</x:v>
      </x:c>
      <x:c r="F201" t="n">
        <x:v>1</x:v>
      </x:c>
      <x:c r="G201" t="str">
        <x:v>RF07</x:v>
      </x:c>
      <x:c r="H201" t="str">
        <x:v>RF007-E1!F43</x:v>
      </x:c>
    </x:row>
    <x:row r="202">
      <x:c r="A202" t="str">
        <x:v>ingresarCodigoYValidar</x:v>
      </x:c>
      <x:c r="B202" t="str">
        <x:v>codigo</x:v>
      </x:c>
      <x:c r="C202" t="str">
        <x:v>AS_Usuario</x:v>
      </x:c>
      <x:c r="D202" t="str">
        <x:v>I_VerificarRecuperacionCuenta</x:v>
      </x:c>
      <x:c r="E202" t="str">
        <x:v>otra</x:v>
      </x:c>
      <x:c r="F202" t="n">
        <x:v>1</x:v>
      </x:c>
      <x:c r="G202" t="str">
        <x:v>RF53</x:v>
      </x:c>
      <x:c r="H202" t="str">
        <x:v>RF053-EF1!F37</x:v>
      </x:c>
    </x:row>
    <x:row r="203">
      <x:c r="A203" t="str">
        <x:v>seleccionarCerrarImagenTIVE</x:v>
      </x:c>
      <x:c r="B203" t="str"/>
      <x:c r="C203" t="str">
        <x:v>AS_Usuario</x:v>
      </x:c>
      <x:c r="D203" t="str">
        <x:v>I_VisorImagenTIVE</x:v>
      </x:c>
      <x:c r="E203" t="str">
        <x:v>presentación/navegación</x:v>
      </x:c>
      <x:c r="F203" t="n">
        <x:v>1</x:v>
      </x:c>
      <x:c r="G203" t="str">
        <x:v>RF55</x:v>
      </x:c>
      <x:c r="H203" t="str">
        <x:v>RF055-EF1!F27</x:v>
      </x:c>
    </x:row>
    <x:row r="204">
      <x:c r="A204" t="str">
        <x:v>seleccionarCanalCompartir</x:v>
      </x:c>
      <x:c r="B204" t="str">
        <x:v>canal</x:v>
      </x:c>
      <x:c r="C204" t="str">
        <x:v>AS_Usuario</x:v>
      </x:c>
      <x:c r="D204" t="str">
        <x:v>I_VistaPreviaCompartirVehiculo</x:v>
      </x:c>
      <x:c r="E204" t="str">
        <x:v>presentación/navegación</x:v>
      </x:c>
      <x:c r="F204" t="n">
        <x:v>1</x:v>
      </x:c>
      <x:c r="G204" t="str">
        <x:v>RF41</x:v>
      </x:c>
      <x:c r="H204" t="str">
        <x:v>RF041-EF1!F19</x:v>
      </x:c>
    </x:row>
    <x:row r="205">
      <x:c r="A205" t="str">
        <x:v>seleccionarContinuar</x:v>
      </x:c>
      <x:c r="B205" t="str"/>
      <x:c r="C205" t="str">
        <x:v>AS_Usuario</x:v>
      </x:c>
      <x:c r="D205" t="str">
        <x:v>I_VistaPreviaImagen</x:v>
      </x:c>
      <x:c r="E205" t="str">
        <x:v>presentación/navegación</x:v>
      </x:c>
      <x:c r="F205" t="n">
        <x:v>2</x:v>
      </x:c>
      <x:c r="G205" t="str">
        <x:v>RF42, RF43</x:v>
      </x:c>
      <x:c r="H205" t="str">
        <x:v>RF042-EF1!F20</x:v>
      </x:c>
    </x:row>
    <x:row r="206">
      <x:c r="A206" t="str">
        <x:v>confirmarActualizacion</x:v>
      </x:c>
      <x:c r="B206" t="str"/>
      <x:c r="C206" t="str">
        <x:v>AS_Usuario</x:v>
      </x:c>
      <x:c r="D206" t="str">
        <x:v>I_VistaPreviaKilometraje</x:v>
      </x:c>
      <x:c r="E206" t="str">
        <x:v>otra</x:v>
      </x:c>
      <x:c r="F206" t="n">
        <x:v>1</x:v>
      </x:c>
      <x:c r="G206" t="str">
        <x:v>RF14</x:v>
      </x:c>
      <x:c r="H206" t="str">
        <x:v>RF014-EF1!F21</x:v>
      </x:c>
    </x:row>
    <x:row r="207">
      <x:c r="A207" t="str">
        <x:v>confirmarCorreccion</x:v>
      </x:c>
      <x:c r="B207" t="str"/>
      <x:c r="C207" t="str">
        <x:v>AS_Usuario</x:v>
      </x:c>
      <x:c r="D207" t="str">
        <x:v>I_VistaPreviaKilometraje</x:v>
      </x:c>
      <x:c r="E207" t="str">
        <x:v>otra</x:v>
      </x:c>
      <x:c r="F207" t="n">
        <x:v>1</x:v>
      </x:c>
      <x:c r="G207" t="str">
        <x:v>RF16</x:v>
      </x:c>
      <x:c r="H207" t="str">
        <x:v>RF016-EF1!F24</x:v>
      </x:c>
    </x:row>
    <x:row r="208">
      <x:c r="A208" t="str">
        <x:v>retornarPermiso</x:v>
      </x:c>
      <x:c r="B208" t="str">
        <x:v>PERMITIDO</x:v>
      </x:c>
      <x:c r="C208" t="str">
        <x:v>C_Autorizacion</x:v>
      </x:c>
      <x:c r="D208" t="str">
        <x:v>C_ControlCatalogo</x:v>
      </x:c>
      <x:c r="E208" t="str">
        <x:v>retorno</x:v>
      </x:c>
      <x:c r="F208" t="n">
        <x:v>1</x:v>
      </x:c>
      <x:c r="G208" t="str">
        <x:v>RF62</x:v>
      </x:c>
      <x:c r="H208" t="str">
        <x:v>RF062_EXITOSO!F8</x:v>
      </x:c>
    </x:row>
    <x:row r="209">
      <x:c r="A209" t="str">
        <x:v>retornarPermiso</x:v>
      </x:c>
      <x:c r="B209" t="str">
        <x:v>PERMITIDO</x:v>
      </x:c>
      <x:c r="C209" t="str">
        <x:v>C_Autorizacion</x:v>
      </x:c>
      <x:c r="D209" t="str">
        <x:v>C_ControlCuenta</x:v>
      </x:c>
      <x:c r="E209" t="str">
        <x:v>retorno</x:v>
      </x:c>
      <x:c r="F209" t="n">
        <x:v>1</x:v>
      </x:c>
      <x:c r="G209" t="str">
        <x:v>RF59</x:v>
      </x:c>
      <x:c r="H209" t="str">
        <x:v>RF059_EXITOSO!F8</x:v>
      </x:c>
    </x:row>
    <x:row r="210">
      <x:c r="A210" t="str">
        <x:v>retornarPermisoMutacion</x:v>
      </x:c>
      <x:c r="B210" t="str">
        <x:v>PERMITIDO,AGREGAR_AVANCE</x:v>
      </x:c>
      <x:c r="C210" t="str">
        <x:v>C_Autorizacion</x:v>
      </x:c>
      <x:c r="D210" t="str">
        <x:v>C_ControlIncidencia</x:v>
      </x:c>
      <x:c r="E210" t="str">
        <x:v>retorno</x:v>
      </x:c>
      <x:c r="F210" t="n">
        <x:v>1</x:v>
      </x:c>
      <x:c r="G210" t="str">
        <x:v>RF61</x:v>
      </x:c>
      <x:c r="H210" t="str">
        <x:v>RF061_EXITOSO!F39</x:v>
      </x:c>
    </x:row>
    <x:row r="211">
      <x:c r="A211" t="str">
        <x:v>retornarPermisoMutacion</x:v>
      </x:c>
      <x:c r="B211" t="str">
        <x:v>PERMITIDO,DOCUMENTAR_SOLUCION</x:v>
      </x:c>
      <x:c r="C211" t="str">
        <x:v>C_Autorizacion</x:v>
      </x:c>
      <x:c r="D211" t="str">
        <x:v>C_ControlIncidencia</x:v>
      </x:c>
      <x:c r="E211" t="str">
        <x:v>retorno</x:v>
      </x:c>
      <x:c r="F211" t="n">
        <x:v>1</x:v>
      </x:c>
      <x:c r="G211" t="str">
        <x:v>RF61</x:v>
      </x:c>
      <x:c r="H211" t="str">
        <x:v>RF061_EXITOSO!F51</x:v>
      </x:c>
    </x:row>
    <x:row r="212">
      <x:c r="A212" t="str">
        <x:v>retornarPermisoMutacion</x:v>
      </x:c>
      <x:c r="B212" t="str">
        <x:v>PERMITIDO,MODIFICAR_ESTADO</x:v>
      </x:c>
      <x:c r="C212" t="str">
        <x:v>C_Autorizacion</x:v>
      </x:c>
      <x:c r="D212" t="str">
        <x:v>C_ControlIncidencia</x:v>
      </x:c>
      <x:c r="E212" t="str">
        <x:v>retorno</x:v>
      </x:c>
      <x:c r="F212" t="n">
        <x:v>1</x:v>
      </x:c>
      <x:c r="G212" t="str">
        <x:v>RF61</x:v>
      </x:c>
      <x:c r="H212" t="str">
        <x:v>RF061_EXITOSO!F24</x:v>
      </x:c>
    </x:row>
    <x:row r="213">
      <x:c r="A213" t="str">
        <x:v>retornarPermisoMutacion</x:v>
      </x:c>
      <x:c r="B213" t="str">
        <x:v>PERMITIDO,RESOLVER_INCIDENCIA</x:v>
      </x:c>
      <x:c r="C213" t="str">
        <x:v>C_Autorizacion</x:v>
      </x:c>
      <x:c r="D213" t="str">
        <x:v>C_ControlIncidencia</x:v>
      </x:c>
      <x:c r="E213" t="str">
        <x:v>retorno</x:v>
      </x:c>
      <x:c r="F213" t="n">
        <x:v>1</x:v>
      </x:c>
      <x:c r="G213" t="str">
        <x:v>RF61</x:v>
      </x:c>
      <x:c r="H213" t="str">
        <x:v>RF061_EXITOSO!F60</x:v>
      </x:c>
    </x:row>
    <x:row r="214">
      <x:c r="A214" t="str">
        <x:v>retornarPermiso</x:v>
      </x:c>
      <x:c r="B214" t="str">
        <x:v>PERMITIDO</x:v>
      </x:c>
      <x:c r="C214" t="str">
        <x:v>C_Autorizacion</x:v>
      </x:c>
      <x:c r="D214" t="str">
        <x:v>C_ControlUsuariosAdmin</x:v>
      </x:c>
      <x:c r="E214" t="str">
        <x:v>retorno</x:v>
      </x:c>
      <x:c r="F214" t="n">
        <x:v>1</x:v>
      </x:c>
      <x:c r="G214" t="str">
        <x:v>RF58</x:v>
      </x:c>
      <x:c r="H214" t="str">
        <x:v>RF058_EXITOSO!F8</x:v>
      </x:c>
    </x:row>
    <x:row r="215">
      <x:c r="A215" t="str">
        <x:v>retornarAccesoAdministrativo</x:v>
      </x:c>
      <x:c r="B215" t="str">
        <x:v>PERMITIDO</x:v>
      </x:c>
      <x:c r="C215" t="str">
        <x:v>C_Autorizacion</x:v>
      </x:c>
      <x:c r="D215" t="str">
        <x:v>C_InicioSesion</x:v>
      </x:c>
      <x:c r="E215" t="str">
        <x:v>retorno</x:v>
      </x:c>
      <x:c r="F215" t="n">
        <x:v>1</x:v>
      </x:c>
      <x:c r="G215" t="str">
        <x:v>RF57</x:v>
      </x:c>
      <x:c r="H215" t="str">
        <x:v>RF057_EXITOSO!F15</x:v>
      </x:c>
    </x:row>
    <x:row r="216">
      <x:c r="A216" t="str">
        <x:v>consultarRolAsignado</x:v>
      </x:c>
      <x:c r="B216" t="str">
        <x:v>idUsuario</x:v>
      </x:c>
      <x:c r="C216" t="str">
        <x:v>C_Autorizacion</x:v>
      </x:c>
      <x:c r="D216" t="str">
        <x:v>E_Usuario</x:v>
      </x:c>
      <x:c r="E216" t="str">
        <x:v>consulta</x:v>
      </x:c>
      <x:c r="F216" t="n">
        <x:v>1</x:v>
      </x:c>
      <x:c r="G216" t="str">
        <x:v>RF57</x:v>
      </x:c>
      <x:c r="H216" t="str">
        <x:v>RF057_EXITOSO!F13</x:v>
      </x:c>
    </x:row>
    <x:row r="217">
      <x:c r="A217" t="str">
        <x:v>alternarVisibilidadContrasena</x:v>
      </x:c>
      <x:c r="B217" t="str">
        <x:v>campo</x:v>
      </x:c>
      <x:c r="C217" t="str">
        <x:v>C_CambioContrasena</x:v>
      </x:c>
      <x:c r="D217" t="str">
        <x:v>C_CambioContrasena</x:v>
      </x:c>
      <x:c r="E217" t="str">
        <x:v>otra</x:v>
      </x:c>
      <x:c r="F217" t="n">
        <x:v>1</x:v>
      </x:c>
      <x:c r="G217" t="str">
        <x:v>RF05</x:v>
      </x:c>
      <x:c r="H217" t="str">
        <x:v>RF005-E1!F23</x:v>
      </x:c>
    </x:row>
    <x:row r="218">
      <x:c r="A218" t="str">
        <x:v>generarHashContrasena</x:v>
      </x:c>
      <x:c r="B218" t="str">
        <x:v>nuevaContrasena</x:v>
      </x:c>
      <x:c r="C218" t="str">
        <x:v>C_CambioContrasena</x:v>
      </x:c>
      <x:c r="D218" t="str">
        <x:v>C_CambioContrasena</x:v>
      </x:c>
      <x:c r="E218" t="str">
        <x:v>otra</x:v>
      </x:c>
      <x:c r="F218" t="n">
        <x:v>1</x:v>
      </x:c>
      <x:c r="G218" t="str">
        <x:v>RF05</x:v>
      </x:c>
      <x:c r="H218" t="str">
        <x:v>RF005-E1!F39</x:v>
      </x:c>
    </x:row>
    <x:row r="219">
      <x:c r="A219" t="str">
        <x:v>inicializarCamposContrasena</x:v>
      </x:c>
      <x:c r="B219" t="str">
        <x:v>OCULTA</x:v>
      </x:c>
      <x:c r="C219" t="str">
        <x:v>C_CambioContrasena</x:v>
      </x:c>
      <x:c r="D219" t="str">
        <x:v>C_CambioContrasena</x:v>
      </x:c>
      <x:c r="E219" t="str">
        <x:v>otra</x:v>
      </x:c>
      <x:c r="F219" t="n">
        <x:v>1</x:v>
      </x:c>
      <x:c r="G219" t="str">
        <x:v>RF05</x:v>
      </x:c>
      <x:c r="H219" t="str">
        <x:v>RF005-E1!F17</x:v>
      </x:c>
    </x:row>
    <x:row r="220">
      <x:c r="A220" t="str">
        <x:v>validarCambioContrasena</x:v>
      </x:c>
      <x:c r="B220" t="str">
        <x:v>datosContrasena</x:v>
      </x:c>
      <x:c r="C220" t="str">
        <x:v>C_CambioContrasena</x:v>
      </x:c>
      <x:c r="D220" t="str">
        <x:v>C_ValidacionContrasena</x:v>
      </x:c>
      <x:c r="E220" t="str">
        <x:v>validación</x:v>
      </x:c>
      <x:c r="F220" t="n">
        <x:v>1</x:v>
      </x:c>
      <x:c r="G220" t="str">
        <x:v>RF05</x:v>
      </x:c>
      <x:c r="H220" t="str">
        <x:v>RF005-E1!F29</x:v>
      </x:c>
    </x:row>
    <x:row r="221">
      <x:c r="A221" t="str">
        <x:v>actualizarContrasena</x:v>
      </x:c>
      <x:c r="B221" t="str">
        <x:v>idUsuario,hashNuevaContrasena</x:v>
      </x:c>
      <x:c r="C221" t="str">
        <x:v>C_CambioContrasena</x:v>
      </x:c>
      <x:c r="D221" t="str">
        <x:v>E_Usuario</x:v>
      </x:c>
      <x:c r="E221" t="str">
        <x:v>escritura</x:v>
      </x:c>
      <x:c r="F221" t="n">
        <x:v>1</x:v>
      </x:c>
      <x:c r="G221" t="str">
        <x:v>RF05</x:v>
      </x:c>
      <x:c r="H221" t="str">
        <x:v>RF005-E1!F40</x:v>
      </x:c>
    </x:row>
    <x:row r="222">
      <x:c r="A222" t="str">
        <x:v>actualizarVisibilidadContrasena</x:v>
      </x:c>
      <x:c r="B222" t="str">
        <x:v>campo,estadoVisual</x:v>
      </x:c>
      <x:c r="C222" t="str">
        <x:v>C_CambioContrasena</x:v>
      </x:c>
      <x:c r="D222" t="str">
        <x:v>I_CambiarContrasena</x:v>
      </x:c>
      <x:c r="E222" t="str">
        <x:v>escritura</x:v>
      </x:c>
      <x:c r="F222" t="n">
        <x:v>1</x:v>
      </x:c>
      <x:c r="G222" t="str">
        <x:v>RF05</x:v>
      </x:c>
      <x:c r="H222" t="str">
        <x:v>RF005-E1!F24</x:v>
      </x:c>
    </x:row>
    <x:row r="223">
      <x:c r="A223" t="str">
        <x:v>mostrarFormularioCambioContrasena</x:v>
      </x:c>
      <x:c r="B223" t="str">
        <x:v>OCULTA</x:v>
      </x:c>
      <x:c r="C223" t="str">
        <x:v>C_CambioContrasena</x:v>
      </x:c>
      <x:c r="D223" t="str">
        <x:v>I_CambiarContrasena</x:v>
      </x:c>
      <x:c r="E223" t="str">
        <x:v>presentación/navegación</x:v>
      </x:c>
      <x:c r="F223" t="n">
        <x:v>1</x:v>
      </x:c>
      <x:c r="G223" t="str">
        <x:v>RF05</x:v>
      </x:c>
      <x:c r="H223" t="str">
        <x:v>RF005-E1!F18</x:v>
      </x:c>
    </x:row>
    <x:row r="224">
      <x:c r="A224" t="str">
        <x:v>mostrarCambioContrasenaExitoso</x:v>
      </x:c>
      <x:c r="B224" t="str"/>
      <x:c r="C224" t="str">
        <x:v>C_CambioContrasena</x:v>
      </x:c>
      <x:c r="D224" t="str">
        <x:v>I_ConfirmacionOperacion</x:v>
      </x:c>
      <x:c r="E224" t="str">
        <x:v>presentación/navegación</x:v>
      </x:c>
      <x:c r="F224" t="n">
        <x:v>1</x:v>
      </x:c>
      <x:c r="G224" t="str">
        <x:v>RF05</x:v>
      </x:c>
      <x:c r="H224" t="str">
        <x:v>RF005-E1!F43</x:v>
      </x:c>
    </x:row>
    <x:row r="225">
      <x:c r="A225" t="str">
        <x:v>limpiarContextoSesion</x:v>
      </x:c>
      <x:c r="B225" t="str"/>
      <x:c r="C225" t="str">
        <x:v>C_CerrarSesion</x:v>
      </x:c>
      <x:c r="D225" t="str">
        <x:v>C_CerrarSesion</x:v>
      </x:c>
      <x:c r="E225" t="str">
        <x:v>otra</x:v>
      </x:c>
      <x:c r="F225" t="n">
        <x:v>1</x:v>
      </x:c>
      <x:c r="G225" t="str">
        <x:v>RF06</x:v>
      </x:c>
      <x:c r="H225" t="str">
        <x:v>RF006-E1!F28</x:v>
      </x:c>
    </x:row>
    <x:row r="226">
      <x:c r="A226" t="str">
        <x:v>validarSesionActiva</x:v>
      </x:c>
      <x:c r="B226" t="str">
        <x:v>estadoSesion</x:v>
      </x:c>
      <x:c r="C226" t="str">
        <x:v>C_CerrarSesion</x:v>
      </x:c>
      <x:c r="D226" t="str">
        <x:v>C_CerrarSesion</x:v>
      </x:c>
      <x:c r="E226" t="str">
        <x:v>validación</x:v>
      </x:c>
      <x:c r="F226" t="n">
        <x:v>1</x:v>
      </x:c>
      <x:c r="G226" t="str">
        <x:v>RF06</x:v>
      </x:c>
      <x:c r="H226" t="str">
        <x:v>RF006-E1!F25</x:v>
      </x:c>
    </x:row>
    <x:row r="227">
      <x:c r="A227" t="str">
        <x:v>consultarSesionActiva</x:v>
      </x:c>
      <x:c r="B227" t="str">
        <x:v>idUsuario</x:v>
      </x:c>
      <x:c r="C227" t="str">
        <x:v>C_CerrarSesion</x:v>
      </x:c>
      <x:c r="D227" t="str">
        <x:v>E_Sesion</x:v>
      </x:c>
      <x:c r="E227" t="str">
        <x:v>consulta</x:v>
      </x:c>
      <x:c r="F227" t="n">
        <x:v>1</x:v>
      </x:c>
      <x:c r="G227" t="str">
        <x:v>RF06</x:v>
      </x:c>
      <x:c r="H227" t="str">
        <x:v>RF006-E1!F23</x:v>
      </x:c>
    </x:row>
    <x:row r="228">
      <x:c r="A228" t="str">
        <x:v>finalizarSesion</x:v>
      </x:c>
      <x:c r="B228" t="str">
        <x:v>idSesion</x:v>
      </x:c>
      <x:c r="C228" t="str">
        <x:v>C_CerrarSesion</x:v>
      </x:c>
      <x:c r="D228" t="str">
        <x:v>E_Sesion</x:v>
      </x:c>
      <x:c r="E228" t="str">
        <x:v>escritura</x:v>
      </x:c>
      <x:c r="F228" t="n">
        <x:v>1</x:v>
      </x:c>
      <x:c r="G228" t="str">
        <x:v>RF06</x:v>
      </x:c>
      <x:c r="H228" t="str">
        <x:v>RF006-E1!F26</x:v>
      </x:c>
    </x:row>
    <x:row r="229">
      <x:c r="A229" t="str">
        <x:v>mostrarPantallaBienvenida</x:v>
      </x:c>
      <x:c r="B229" t="str"/>
      <x:c r="C229" t="str">
        <x:v>C_CerrarSesion</x:v>
      </x:c>
      <x:c r="D229" t="str">
        <x:v>I_Bienvenida</x:v>
      </x:c>
      <x:c r="E229" t="str">
        <x:v>presentación/navegación</x:v>
      </x:c>
      <x:c r="F229" t="n">
        <x:v>1</x:v>
      </x:c>
      <x:c r="G229" t="str">
        <x:v>RF06</x:v>
      </x:c>
      <x:c r="H229" t="str">
        <x:v>RF006-E1!F29</x:v>
      </x:c>
    </x:row>
    <x:row r="230">
      <x:c r="A230" t="str">
        <x:v>mostrarConfirmacionCerrarSesion</x:v>
      </x:c>
      <x:c r="B230" t="str"/>
      <x:c r="C230" t="str">
        <x:v>C_CerrarSesion</x:v>
      </x:c>
      <x:c r="D230" t="str">
        <x:v>I_ConfirmacionOperacion</x:v>
      </x:c>
      <x:c r="E230" t="str">
        <x:v>presentación/navegación</x:v>
      </x:c>
      <x:c r="F230" t="n">
        <x:v>1</x:v>
      </x:c>
      <x:c r="G230" t="str">
        <x:v>RF06</x:v>
      </x:c>
      <x:c r="H230" t="str">
        <x:v>RF006-E1!F17</x:v>
      </x:c>
    </x:row>
    <x:row r="231">
      <x:c r="A231" t="str">
        <x:v>aplicarReglaEstadoVehiculoYCicloVida</x:v>
      </x:c>
      <x:c r="B231" t="str">
        <x:v>estadoNuevo,listaAlertas,fechaActual</x:v>
      </x:c>
      <x:c r="C231" t="str">
        <x:v>C_ControlAlerta</x:v>
      </x:c>
      <x:c r="D231" t="str">
        <x:v>C_ControlAlerta</x:v>
      </x:c>
      <x:c r="E231" t="str">
        <x:v>otra</x:v>
      </x:c>
      <x:c r="F231" t="n">
        <x:v>1</x:v>
      </x:c>
      <x:c r="G231" t="str">
        <x:v>RF12</x:v>
      </x:c>
      <x:c r="H231" t="str">
        <x:v>RF012-EF1!F37</x:v>
      </x:c>
    </x:row>
    <x:row r="232">
      <x:c r="A232" t="str">
        <x:v>calcularEstadoInicialSOAT</x:v>
      </x:c>
      <x:c r="B232" t="str">
        <x:v>fechaVencimiento,fechaActual</x:v>
      </x:c>
      <x:c r="C232" t="str">
        <x:v>C_ControlAlerta</x:v>
      </x:c>
      <x:c r="D232" t="str">
        <x:v>C_ControlAlerta</x:v>
      </x:c>
      <x:c r="E232" t="str">
        <x:v>otra</x:v>
      </x:c>
      <x:c r="F232" t="n">
        <x:v>2</x:v>
      </x:c>
      <x:c r="G232" t="str">
        <x:v>RF31, RF33</x:v>
      </x:c>
      <x:c r="H232" t="str">
        <x:v>RF031-EF1!F41</x:v>
      </x:c>
    </x:row>
    <x:row r="233">
      <x:c r="A233" t="str">
        <x:v>calcularEstadoTemporalLicencia</x:v>
      </x:c>
      <x:c r="B233" t="str">
        <x:v>fechaRevalidacion,fechaActual</x:v>
      </x:c>
      <x:c r="C233" t="str">
        <x:v>C_ControlAlerta</x:v>
      </x:c>
      <x:c r="D233" t="str">
        <x:v>C_ControlAlerta</x:v>
      </x:c>
      <x:c r="E233" t="str">
        <x:v>otra</x:v>
      </x:c>
      <x:c r="F233" t="n">
        <x:v>1</x:v>
      </x:c>
      <x:c r="G233" t="str">
        <x:v>RF51</x:v>
      </x:c>
      <x:c r="H233" t="str">
        <x:v>RF051-EF1!F53</x:v>
      </x:c>
    </x:row>
    <x:row r="234">
      <x:c r="A234" t="str">
        <x:v>calcularObjetivosDesdeValoresActuales</x:v>
      </x:c>
      <x:c r="B234" t="str">
        <x:v>criterio,fecha_actual,km_vigente,unidad_tiempo,cantidad_tiempo,intervalo_km</x:v>
      </x:c>
      <x:c r="C234" t="str">
        <x:v>C_ControlAlerta</x:v>
      </x:c>
      <x:c r="D234" t="str">
        <x:v>C_ControlAlerta</x:v>
      </x:c>
      <x:c r="E234" t="str">
        <x:v>otra</x:v>
      </x:c>
      <x:c r="F234" t="n">
        <x:v>1</x:v>
      </x:c>
      <x:c r="G234" t="str">
        <x:v>RF22</x:v>
      </x:c>
      <x:c r="H234" t="str">
        <x:v>RF22!F61</x:v>
      </x:c>
    </x:row>
    <x:row r="235">
      <x:c r="A235" t="str">
        <x:v>calcularTransicionesKilometraje</x:v>
      </x:c>
      <x:c r="B235" t="str">
        <x:v>alertas,kmNuevo</x:v>
      </x:c>
      <x:c r="C235" t="str">
        <x:v>C_ControlAlerta</x:v>
      </x:c>
      <x:c r="D235" t="str">
        <x:v>C_ControlAlerta</x:v>
      </x:c>
      <x:c r="E235" t="str">
        <x:v>otra</x:v>
      </x:c>
      <x:c r="F235" t="n">
        <x:v>1</x:v>
      </x:c>
      <x:c r="G235" t="str">
        <x:v>RF14</x:v>
      </x:c>
      <x:c r="H235" t="str">
        <x:v>RF014-EF1!F35</x:v>
      </x:c>
    </x:row>
    <x:row r="236">
      <x:c r="A236" t="str">
        <x:v>clasificarAlertasPorCuentaYCategoriaYRequisitoVehiculo</x:v>
      </x:c>
      <x:c r="B236" t="str">
        <x:v>listaAlertas,estadosVehiculo,estadosCuenta</x:v>
      </x:c>
      <x:c r="C236" t="str">
        <x:v>C_ControlAlerta</x:v>
      </x:c>
      <x:c r="D236" t="str">
        <x:v>C_ControlAlerta</x:v>
      </x:c>
      <x:c r="E236" t="str">
        <x:v>otra</x:v>
      </x:c>
      <x:c r="F236" t="n">
        <x:v>1</x:v>
      </x:c>
      <x:c r="G236" t="str">
        <x:v>RF23</x:v>
      </x:c>
      <x:c r="H236" t="str">
        <x:v>RF23!F59</x:v>
      </x:c>
    </x:row>
    <x:row r="237">
      <x:c r="A237" t="str">
        <x:v>confirmarAtencionAlertaYRegistroAtomicos</x:v>
      </x:c>
      <x:c r="B237" t="str">
        <x:v>id_alerta,id_mantenimiento</x:v>
      </x:c>
      <x:c r="C237" t="str">
        <x:v>C_ControlAlerta</x:v>
      </x:c>
      <x:c r="D237" t="str">
        <x:v>C_ControlAlerta</x:v>
      </x:c>
      <x:c r="E237" t="str">
        <x:v>otra</x:v>
      </x:c>
      <x:c r="F237" t="n">
        <x:v>1</x:v>
      </x:c>
      <x:c r="G237" t="str">
        <x:v>RF24</x:v>
      </x:c>
      <x:c r="H237" t="str">
        <x:v>RF24!F93</x:v>
      </x:c>
    </x:row>
    <x:row r="238">
      <x:c r="A238" t="str">
        <x:v>confirmarReconciliacionAutomaticaYHabilitarEnviosPostCommit</x:v>
      </x:c>
      <x:c r="B238" t="str">
        <x:v>resultadoNotificaciones</x:v>
      </x:c>
      <x:c r="C238" t="str">
        <x:v>C_ControlAlerta</x:v>
      </x:c>
      <x:c r="D238" t="str">
        <x:v>C_ControlAlerta</x:v>
      </x:c>
      <x:c r="E238" t="str">
        <x:v>otra</x:v>
      </x:c>
      <x:c r="F238" t="n">
        <x:v>1</x:v>
      </x:c>
      <x:c r="G238" t="str">
        <x:v>RF23</x:v>
      </x:c>
      <x:c r="H238" t="str">
        <x:v>RF23!F82</x:v>
      </x:c>
    </x:row>
    <x:row r="239">
      <x:c r="A239" t="str">
        <x:v>confirmarReconciliacionTransaccionalAlertas</x:v>
      </x:c>
      <x:c r="B239" t="str">
        <x:v>transicionesAplicadas,resultadoNotificaciones</x:v>
      </x:c>
      <x:c r="C239" t="str">
        <x:v>C_ControlAlerta</x:v>
      </x:c>
      <x:c r="D239" t="str">
        <x:v>C_ControlAlerta</x:v>
      </x:c>
      <x:c r="E239" t="str">
        <x:v>otra</x:v>
      </x:c>
      <x:c r="F239" t="n">
        <x:v>1</x:v>
      </x:c>
      <x:c r="G239" t="str">
        <x:v>RF23</x:v>
      </x:c>
      <x:c r="H239" t="str">
        <x:v>RF23!F42</x:v>
      </x:c>
    </x:row>
    <x:row r="240">
      <x:c r="A240" t="str">
        <x:v>confirmarReconciliacionTransaccionalRF23</x:v>
      </x:c>
      <x:c r="B240" t="str">
        <x:v>id_alerta,transicion_aplicada,datos_notificacion</x:v>
      </x:c>
      <x:c r="C240" t="str">
        <x:v>C_ControlAlerta</x:v>
      </x:c>
      <x:c r="D240" t="str">
        <x:v>C_ControlAlerta</x:v>
      </x:c>
      <x:c r="E240" t="str">
        <x:v>otra</x:v>
      </x:c>
      <x:c r="F240" t="n">
        <x:v>1</x:v>
      </x:c>
      <x:c r="G240" t="str">
        <x:v>RF24</x:v>
      </x:c>
      <x:c r="H240" t="str">
        <x:v>RF24!F29</x:v>
      </x:c>
    </x:row>
    <x:row r="241">
      <x:c r="A241" t="str">
        <x:v>confirmarRegistroConsistenteAlertaHistorialYNotificacion</x:v>
      </x:c>
      <x:c r="B241" t="str">
        <x:v>id_alerta,resultado_notificacion</x:v>
      </x:c>
      <x:c r="C241" t="str">
        <x:v>C_ControlAlerta</x:v>
      </x:c>
      <x:c r="D241" t="str">
        <x:v>C_ControlAlerta</x:v>
      </x:c>
      <x:c r="E241" t="str">
        <x:v>otra</x:v>
      </x:c>
      <x:c r="F241" t="n">
        <x:v>1</x:v>
      </x:c>
      <x:c r="G241" t="str">
        <x:v>RF22</x:v>
      </x:c>
      <x:c r="H241" t="str">
        <x:v>RF22!F102</x:v>
      </x:c>
    </x:row>
    <x:row r="242">
      <x:c r="A242" t="str">
        <x:v>determinarEstadoInicialAlerta</x:v>
      </x:c>
      <x:c r="B242" t="str">
        <x:v>criterio,fecha_objetivo,km_objetivo,intervalo_km,fecha_actual,km_vigente</x:v>
      </x:c>
      <x:c r="C242" t="str">
        <x:v>C_ControlAlerta</x:v>
      </x:c>
      <x:c r="D242" t="str">
        <x:v>C_ControlAlerta</x:v>
      </x:c>
      <x:c r="E242" t="str">
        <x:v>otra</x:v>
      </x:c>
      <x:c r="F242" t="n">
        <x:v>1</x:v>
      </x:c>
      <x:c r="G242" t="str">
        <x:v>RF22</x:v>
      </x:c>
      <x:c r="H242" t="str">
        <x:v>RF22!F63</x:v>
      </x:c>
    </x:row>
    <x:row r="243">
      <x:c r="A243" t="str">
        <x:v>determinarSiRequiereKilometraje</x:v>
      </x:c>
      <x:c r="B243" t="str">
        <x:v>datos_alerta.criterio,datos_alerta.estado</x:v>
      </x:c>
      <x:c r="C243" t="str">
        <x:v>C_ControlAlerta</x:v>
      </x:c>
      <x:c r="D243" t="str">
        <x:v>C_ControlAlerta</x:v>
      </x:c>
      <x:c r="E243" t="str">
        <x:v>otra</x:v>
      </x:c>
      <x:c r="F243" t="n">
        <x:v>1</x:v>
      </x:c>
      <x:c r="G243" t="str">
        <x:v>RF24</x:v>
      </x:c>
      <x:c r="H243" t="str">
        <x:v>RF24!F13</x:v>
      </x:c>
    </x:row>
    <x:row r="244">
      <x:c r="A244" t="str">
        <x:v>determinarVehiculoConsulta</x:v>
      </x:c>
      <x:c r="B244" t="str">
        <x:v>idVehiculoContexto,listaOrdenada</x:v>
      </x:c>
      <x:c r="C244" t="str">
        <x:v>C_ControlAlerta</x:v>
      </x:c>
      <x:c r="D244" t="str">
        <x:v>C_ControlAlerta</x:v>
      </x:c>
      <x:c r="E244" t="str">
        <x:v>otra</x:v>
      </x:c>
      <x:c r="F244" t="n">
        <x:v>1</x:v>
      </x:c>
      <x:c r="G244" t="str">
        <x:v>RF23</x:v>
      </x:c>
      <x:c r="H244" t="str">
        <x:v>RF23!F15</x:v>
      </x:c>
    </x:row>
    <x:row r="245">
      <x:c r="A245" t="str">
        <x:v>determinarVehiculoInicialActivo</x:v>
      </x:c>
      <x:c r="B245" t="str">
        <x:v>id_vehiculo_contexto,vehiculo_principal,lista_vehiculos</x:v>
      </x:c>
      <x:c r="C245" t="str">
        <x:v>C_ControlAlerta</x:v>
      </x:c>
      <x:c r="D245" t="str">
        <x:v>C_ControlAlerta</x:v>
      </x:c>
      <x:c r="E245" t="str">
        <x:v>otra</x:v>
      </x:c>
      <x:c r="F245" t="n">
        <x:v>1</x:v>
      </x:c>
      <x:c r="G245" t="str">
        <x:v>RF22</x:v>
      </x:c>
      <x:c r="H245" t="str">
        <x:v>RF22!F15</x:v>
      </x:c>
    </x:row>
    <x:row r="246">
      <x:c r="A246" t="str">
        <x:v>evaluarEstadoActualYCicloVida</x:v>
      </x:c>
      <x:c r="B246" t="str">
        <x:v>datos_alerta,fecha_actual,kilometraje_actual</x:v>
      </x:c>
      <x:c r="C246" t="str">
        <x:v>C_ControlAlerta</x:v>
      </x:c>
      <x:c r="D246" t="str">
        <x:v>C_ControlAlerta</x:v>
      </x:c>
      <x:c r="E246" t="str">
        <x:v>otra</x:v>
      </x:c>
      <x:c r="F246" t="n">
        <x:v>1</x:v>
      </x:c>
      <x:c r="G246" t="str">
        <x:v>RF24</x:v>
      </x:c>
      <x:c r="H246" t="str">
        <x:v>RF24!F19</x:v>
      </x:c>
    </x:row>
    <x:row r="247">
      <x:c r="A247" t="str">
        <x:v>evaluarEstadosYCicloVida</x:v>
      </x:c>
      <x:c r="B247" t="str">
        <x:v>listaAlertas,fechaActual,datosLecturaOpcional</x:v>
      </x:c>
      <x:c r="C247" t="str">
        <x:v>C_ControlAlerta</x:v>
      </x:c>
      <x:c r="D247" t="str">
        <x:v>C_ControlAlerta</x:v>
      </x:c>
      <x:c r="E247" t="str">
        <x:v>otra</x:v>
      </x:c>
      <x:c r="F247" t="n">
        <x:v>1</x:v>
      </x:c>
      <x:c r="G247" t="str">
        <x:v>RF23</x:v>
      </x:c>
      <x:c r="H247" t="str">
        <x:v>RF23!F30</x:v>
      </x:c>
    </x:row>
    <x:row r="248">
      <x:c r="A248" t="str">
        <x:v>evaluarEstadosYCicloVidaAutomatico</x:v>
      </x:c>
      <x:c r="B248" t="str">
        <x:v>listaAlertasActivas,fechaActual,lecturasPorVehiculoOpcional</x:v>
      </x:c>
      <x:c r="C248" t="str">
        <x:v>C_ControlAlerta</x:v>
      </x:c>
      <x:c r="D248" t="str">
        <x:v>C_ControlAlerta</x:v>
      </x:c>
      <x:c r="E248" t="str">
        <x:v>otra</x:v>
      </x:c>
      <x:c r="F248" t="n">
        <x:v>1</x:v>
      </x:c>
      <x:c r="G248" t="str">
        <x:v>RF23</x:v>
      </x:c>
      <x:c r="H248" t="str">
        <x:v>RF23!F70</x:v>
      </x:c>
    </x:row>
    <x:row r="249">
      <x:c r="A249" t="str">
        <x:v>filtrarLicenciasElegiblesYDetectarNecesidadKm</x:v>
      </x:c>
      <x:c r="B249" t="str">
        <x:v>listaAlertasCandidatas,datosLicenciasValidadas</x:v>
      </x:c>
      <x:c r="C249" t="str">
        <x:v>C_ControlAlerta</x:v>
      </x:c>
      <x:c r="D249" t="str">
        <x:v>C_ControlAlerta</x:v>
      </x:c>
      <x:c r="E249" t="str">
        <x:v>otra</x:v>
      </x:c>
      <x:c r="F249" t="n">
        <x:v>1</x:v>
      </x:c>
      <x:c r="G249" t="str">
        <x:v>RF23</x:v>
      </x:c>
      <x:c r="H249" t="str">
        <x:v>RF23!F64</x:v>
      </x:c>
    </x:row>
    <x:row r="250">
      <x:c r="A250" t="str">
        <x:v>filtrarYOrdenarAlertasPersonales</x:v>
      </x:c>
      <x:c r="B250" t="str">
        <x:v>listaAlertasPersonales,datosLicencias,filtroEstado=TODAS</x:v>
      </x:c>
      <x:c r="C250" t="str">
        <x:v>C_ControlAlerta</x:v>
      </x:c>
      <x:c r="D250" t="str">
        <x:v>C_ControlAlerta</x:v>
      </x:c>
      <x:c r="E250" t="str">
        <x:v>otra</x:v>
      </x:c>
      <x:c r="F250" t="n">
        <x:v>1</x:v>
      </x:c>
      <x:c r="G250" t="str">
        <x:v>RF23</x:v>
      </x:c>
      <x:c r="H250" t="str">
        <x:v>RF23!F101</x:v>
      </x:c>
    </x:row>
    <x:row r="251">
      <x:c r="A251" t="str">
        <x:v>identificarAlertasEvaluablesYCicloVida</x:v>
      </x:c>
      <x:c r="B251" t="str">
        <x:v>listaAlertas</x:v>
      </x:c>
      <x:c r="C251" t="str">
        <x:v>C_ControlAlerta</x:v>
      </x:c>
      <x:c r="D251" t="str">
        <x:v>C_ControlAlerta</x:v>
      </x:c>
      <x:c r="E251" t="str">
        <x:v>otra</x:v>
      </x:c>
      <x:c r="F251" t="n">
        <x:v>1</x:v>
      </x:c>
      <x:c r="G251" t="str">
        <x:v>RF23</x:v>
      </x:c>
      <x:c r="H251" t="str">
        <x:v>RF23!F22</x:v>
      </x:c>
    </x:row>
    <x:row r="252">
      <x:c r="A252" t="str">
        <x:v>identificarTransicionesReales</x:v>
      </x:c>
      <x:c r="B252" t="str">
        <x:v>listaAlertas,alertasEvaluadas</x:v>
      </x:c>
      <x:c r="C252" t="str">
        <x:v>C_ControlAlerta</x:v>
      </x:c>
      <x:c r="D252" t="str">
        <x:v>C_ControlAlerta</x:v>
      </x:c>
      <x:c r="E252" t="str">
        <x:v>otra</x:v>
      </x:c>
      <x:c r="F252" t="n">
        <x:v>1</x:v>
      </x:c>
      <x:c r="G252" t="str">
        <x:v>RF23</x:v>
      </x:c>
      <x:c r="H252" t="str">
        <x:v>RF23!F31</x:v>
      </x:c>
    </x:row>
    <x:row r="253">
      <x:c r="A253" t="str">
        <x:v>identificarTransicionesReales</x:v>
      </x:c>
      <x:c r="B253" t="str">
        <x:v>listaAlertasActivas,alertasEvaluadas</x:v>
      </x:c>
      <x:c r="C253" t="str">
        <x:v>C_ControlAlerta</x:v>
      </x:c>
      <x:c r="D253" t="str">
        <x:v>C_ControlAlerta</x:v>
      </x:c>
      <x:c r="E253" t="str">
        <x:v>otra</x:v>
      </x:c>
      <x:c r="F253" t="n">
        <x:v>1</x:v>
      </x:c>
      <x:c r="G253" t="str">
        <x:v>RF23</x:v>
      </x:c>
      <x:c r="H253" t="str">
        <x:v>RF23!F71</x:v>
      </x:c>
    </x:row>
    <x:row r="254">
      <x:c r="A254" t="str">
        <x:v>iniciarReconciliacionAutomaticaTransaccional</x:v>
      </x:c>
      <x:c r="B254" t="str">
        <x:v>transicionesReales,idsAlertasLicenciaNoElegibles,fechaActual</x:v>
      </x:c>
      <x:c r="C254" t="str">
        <x:v>C_ControlAlerta</x:v>
      </x:c>
      <x:c r="D254" t="str">
        <x:v>C_ControlAlerta</x:v>
      </x:c>
      <x:c r="E254" t="str">
        <x:v>otra</x:v>
      </x:c>
      <x:c r="F254" t="n">
        <x:v>1</x:v>
      </x:c>
      <x:c r="G254" t="str">
        <x:v>RF23</x:v>
      </x:c>
      <x:c r="H254" t="str">
        <x:v>RF23!F72</x:v>
      </x:c>
    </x:row>
    <x:row r="255">
      <x:c r="A255" t="str">
        <x:v>iniciarReconciliacionTransaccionalRF23</x:v>
      </x:c>
      <x:c r="B255" t="str">
        <x:v>id_alerta,estado_calculado,fecha_actual</x:v>
      </x:c>
      <x:c r="C255" t="str">
        <x:v>C_ControlAlerta</x:v>
      </x:c>
      <x:c r="D255" t="str">
        <x:v>C_ControlAlerta</x:v>
      </x:c>
      <x:c r="E255" t="str">
        <x:v>otra</x:v>
      </x:c>
      <x:c r="F255" t="n">
        <x:v>1</x:v>
      </x:c>
      <x:c r="G255" t="str">
        <x:v>RF24</x:v>
      </x:c>
      <x:c r="H255" t="str">
        <x:v>RF24!F20</x:v>
      </x:c>
    </x:row>
    <x:row r="256">
      <x:c r="A256" t="str">
        <x:v>iniciarReconciliacionTransaccionalYRevalidarEstados</x:v>
      </x:c>
      <x:c r="B256" t="str">
        <x:v>transicionesReales,fechaActual</x:v>
      </x:c>
      <x:c r="C256" t="str">
        <x:v>C_ControlAlerta</x:v>
      </x:c>
      <x:c r="D256" t="str">
        <x:v>C_ControlAlerta</x:v>
      </x:c>
      <x:c r="E256" t="str">
        <x:v>otra</x:v>
      </x:c>
      <x:c r="F256" t="n">
        <x:v>1</x:v>
      </x:c>
      <x:c r="G256" t="str">
        <x:v>RF23</x:v>
      </x:c>
      <x:c r="H256" t="str">
        <x:v>RF23!F32</x:v>
      </x:c>
    </x:row>
    <x:row r="257">
      <x:c r="A257" t="str">
        <x:v>iniciarRegistroConsistenteAlertaHistorialYNotificacion</x:v>
      </x:c>
      <x:c r="B257" t="str"/>
      <x:c r="C257" t="str">
        <x:v>C_ControlAlerta</x:v>
      </x:c>
      <x:c r="D257" t="str">
        <x:v>C_ControlAlerta</x:v>
      </x:c>
      <x:c r="E257" t="str">
        <x:v>otra</x:v>
      </x:c>
      <x:c r="F257" t="n">
        <x:v>1</x:v>
      </x:c>
      <x:c r="G257" t="str">
        <x:v>RF22</x:v>
      </x:c>
      <x:c r="H257" t="str">
        <x:v>RF22!F93</x:v>
      </x:c>
    </x:row>
    <x:row r="258">
      <x:c r="A258" t="str">
        <x:v>obtenerFechaActualConfiable</x:v>
      </x:c>
      <x:c r="B258" t="str"/>
      <x:c r="C258" t="str">
        <x:v>C_ControlAlerta</x:v>
      </x:c>
      <x:c r="D258" t="str">
        <x:v>C_ControlAlerta</x:v>
      </x:c>
      <x:c r="E258" t="str">
        <x:v>consulta</x:v>
      </x:c>
      <x:c r="F258" t="n">
        <x:v>2</x:v>
      </x:c>
      <x:c r="G258" t="str">
        <x:v>RF23, RF24</x:v>
      </x:c>
      <x:c r="H258" t="str">
        <x:v>RF23!F29</x:v>
      </x:c>
    </x:row>
    <x:row r="259">
      <x:c r="A259" t="str">
        <x:v>obtenerFechaActualConfiableAntesDeCalcular</x:v>
      </x:c>
      <x:c r="B259" t="str"/>
      <x:c r="C259" t="str">
        <x:v>C_ControlAlerta</x:v>
      </x:c>
      <x:c r="D259" t="str">
        <x:v>C_ControlAlerta</x:v>
      </x:c>
      <x:c r="E259" t="str">
        <x:v>consulta</x:v>
      </x:c>
      <x:c r="F259" t="n">
        <x:v>1</x:v>
      </x:c>
      <x:c r="G259" t="str">
        <x:v>RF22</x:v>
      </x:c>
      <x:c r="H259" t="str">
        <x:v>RF22!F60</x:v>
      </x:c>
    </x:row>
    <x:row r="260">
      <x:c r="A260" t="str">
        <x:v>prepararAlertasVisiblesYOrdenadas</x:v>
      </x:c>
      <x:c r="B260" t="str">
        <x:v>listaAlertasActualizada,TODAS</x:v>
      </x:c>
      <x:c r="C260" t="str">
        <x:v>C_ControlAlerta</x:v>
      </x:c>
      <x:c r="D260" t="str">
        <x:v>C_ControlAlerta</x:v>
      </x:c>
      <x:c r="E260" t="str">
        <x:v>otra</x:v>
      </x:c>
      <x:c r="F260" t="n">
        <x:v>1</x:v>
      </x:c>
      <x:c r="G260" t="str">
        <x:v>RF23</x:v>
      </x:c>
      <x:c r="H260" t="str">
        <x:v>RF23!F43</x:v>
      </x:c>
    </x:row>
    <x:row r="261">
      <x:c r="A261" t="str">
        <x:v>prepararCamposCondicionalesRF17ParaAlerta</x:v>
      </x:c>
      <x:c r="B261" t="str">
        <x:v>datos_tipo,datos_vehiculo.tipo_aceite</x:v>
      </x:c>
      <x:c r="C261" t="str">
        <x:v>C_ControlAlerta</x:v>
      </x:c>
      <x:c r="D261" t="str">
        <x:v>C_ControlAlerta</x:v>
      </x:c>
      <x:c r="E261" t="str">
        <x:v>otra</x:v>
      </x:c>
      <x:c r="F261" t="n">
        <x:v>1</x:v>
      </x:c>
      <x:c r="G261" t="str">
        <x:v>RF22</x:v>
      </x:c>
      <x:c r="H261" t="str">
        <x:v>RF22!F29</x:v>
      </x:c>
    </x:row>
    <x:row r="262">
      <x:c r="A262" t="str">
        <x:v>prepararReferenciasYBasesActuales</x:v>
      </x:c>
      <x:c r="B262" t="str">
        <x:v>referencia_ultimo_tipo_o_NULL,lista_servicios_otro_o_vacia,km_vigente_o_NULL,fecha_lectura_o_NULL</x:v>
      </x:c>
      <x:c r="C262" t="str">
        <x:v>C_ControlAlerta</x:v>
      </x:c>
      <x:c r="D262" t="str">
        <x:v>C_ControlAlerta</x:v>
      </x:c>
      <x:c r="E262" t="str">
        <x:v>otra</x:v>
      </x:c>
      <x:c r="F262" t="n">
        <x:v>1</x:v>
      </x:c>
      <x:c r="G262" t="str">
        <x:v>RF22</x:v>
      </x:c>
      <x:c r="H262" t="str">
        <x:v>RF22!F41</x:v>
      </x:c>
    </x:row>
    <x:row r="263">
      <x:c r="A263" t="str">
        <x:v>prepararVistaAlertasTodas</x:v>
      </x:c>
      <x:c r="B263" t="str">
        <x:v>lista_alertas</x:v>
      </x:c>
      <x:c r="C263" t="str">
        <x:v>C_ControlAlerta</x:v>
      </x:c>
      <x:c r="D263" t="str">
        <x:v>C_ControlAlerta</x:v>
      </x:c>
      <x:c r="E263" t="str">
        <x:v>otra</x:v>
      </x:c>
      <x:c r="F263" t="n">
        <x:v>1</x:v>
      </x:c>
      <x:c r="G263" t="str">
        <x:v>RF22</x:v>
      </x:c>
      <x:c r="H263" t="str">
        <x:v>RF22!F111</x:v>
      </x:c>
    </x:row>
    <x:row r="264">
      <x:c r="A264" t="str">
        <x:v>reevaluarAtendibilidadAlGuardar</x:v>
      </x:c>
      <x:c r="B264" t="str">
        <x:v>datos_alerta_vigente,fecha_actual,kilometraje_vigente</x:v>
      </x:c>
      <x:c r="C264" t="str">
        <x:v>C_ControlAlerta</x:v>
      </x:c>
      <x:c r="D264" t="str">
        <x:v>C_ControlAlerta</x:v>
      </x:c>
      <x:c r="E264" t="str">
        <x:v>otra</x:v>
      </x:c>
      <x:c r="F264" t="n">
        <x:v>1</x:v>
      </x:c>
      <x:c r="G264" t="str">
        <x:v>RF24</x:v>
      </x:c>
      <x:c r="H264" t="str">
        <x:v>RF24!F74</x:v>
      </x:c>
    </x:row>
    <x:row r="265">
      <x:c r="A265" t="str">
        <x:v>revalidarBasesObjetivosYEstadoAntesDeGuardar</x:v>
      </x:c>
      <x:c r="B265" t="str"/>
      <x:c r="C265" t="str">
        <x:v>C_ControlAlerta</x:v>
      </x:c>
      <x:c r="D265" t="str">
        <x:v>C_ControlAlerta</x:v>
      </x:c>
      <x:c r="E265" t="str">
        <x:v>validación</x:v>
      </x:c>
      <x:c r="F265" t="n">
        <x:v>1</x:v>
      </x:c>
      <x:c r="G265" t="str">
        <x:v>RF22</x:v>
      </x:c>
      <x:c r="H265" t="str">
        <x:v>RF22!F89</x:v>
      </x:c>
    </x:row>
    <x:row r="266">
      <x:c r="A266" t="str">
        <x:v>validarAusenciaAlertaEquivalenteAntesDeMostrarResumen</x:v>
      </x:c>
      <x:c r="B266" t="str">
        <x:v>existe_equivalente</x:v>
      </x:c>
      <x:c r="C266" t="str">
        <x:v>C_ControlAlerta</x:v>
      </x:c>
      <x:c r="D266" t="str">
        <x:v>C_ControlAlerta</x:v>
      </x:c>
      <x:c r="E266" t="str">
        <x:v>validación</x:v>
      </x:c>
      <x:c r="F266" t="n">
        <x:v>1</x:v>
      </x:c>
      <x:c r="G266" t="str">
        <x:v>RF22</x:v>
      </x:c>
      <x:c r="H266" t="str">
        <x:v>RF22!F66</x:v>
      </x:c>
    </x:row>
    <x:row r="267">
      <x:c r="A267" t="str">
        <x:v>validarBloqueoAlertasPorEstadoCuenta</x:v>
      </x:c>
      <x:c r="B267" t="str">
        <x:v>idUsuario</x:v>
      </x:c>
      <x:c r="C267" t="str">
        <x:v>C_ControlAlerta</x:v>
      </x:c>
      <x:c r="D267" t="str">
        <x:v>C_ControlAlerta</x:v>
      </x:c>
      <x:c r="E267" t="str">
        <x:v>validación</x:v>
      </x:c>
      <x:c r="F267" t="n">
        <x:v>1</x:v>
      </x:c>
      <x:c r="G267" t="str">
        <x:v>RF07</x:v>
      </x:c>
      <x:c r="H267" t="str">
        <x:v>RF007-E1!F65</x:v>
      </x:c>
    </x:row>
    <x:row r="268">
      <x:c r="A268" t="str">
        <x:v>validarConfiguracionManual</x:v>
      </x:c>
      <x:c r="B268" t="str">
        <x:v>criterio,unidad_tiempo,cantidad_tiempo,intervalo_km,km_vigente_o_NULL,servicio_otro_o_NULL</x:v>
      </x:c>
      <x:c r="C268" t="str">
        <x:v>C_ControlAlerta</x:v>
      </x:c>
      <x:c r="D268" t="str">
        <x:v>C_ControlAlerta</x:v>
      </x:c>
      <x:c r="E268" t="str">
        <x:v>validación</x:v>
      </x:c>
      <x:c r="F268" t="n">
        <x:v>1</x:v>
      </x:c>
      <x:c r="G268" t="str">
        <x:v>RF22</x:v>
      </x:c>
      <x:c r="H268" t="str">
        <x:v>RF22!F59</x:v>
      </x:c>
    </x:row>
    <x:row r="269">
      <x:c r="A269" t="str">
        <x:v>validarNoExisteAlertaEquivalenteVigente</x:v>
      </x:c>
      <x:c r="B269" t="str">
        <x:v>existe_equivalente</x:v>
      </x:c>
      <x:c r="C269" t="str">
        <x:v>C_ControlAlerta</x:v>
      </x:c>
      <x:c r="D269" t="str">
        <x:v>C_ControlAlerta</x:v>
      </x:c>
      <x:c r="E269" t="str">
        <x:v>validación</x:v>
      </x:c>
      <x:c r="F269" t="n">
        <x:v>1</x:v>
      </x:c>
      <x:c r="G269" t="str">
        <x:v>RF22</x:v>
      </x:c>
      <x:c r="H269" t="str">
        <x:v>RF22!F92</x:v>
      </x:c>
    </x:row>
    <x:row r="270">
      <x:c r="A270" t="str">
        <x:v>validarObjetivosFuturos</x:v>
      </x:c>
      <x:c r="B270" t="str">
        <x:v>criterio,fecha_objetivo,km_objetivo,fecha_actual,km_vigente</x:v>
      </x:c>
      <x:c r="C270" t="str">
        <x:v>C_ControlAlerta</x:v>
      </x:c>
      <x:c r="D270" t="str">
        <x:v>C_ControlAlerta</x:v>
      </x:c>
      <x:c r="E270" t="str">
        <x:v>validación</x:v>
      </x:c>
      <x:c r="F270" t="n">
        <x:v>1</x:v>
      </x:c>
      <x:c r="G270" t="str">
        <x:v>RF22</x:v>
      </x:c>
      <x:c r="H270" t="str">
        <x:v>RF22!F62</x:v>
      </x:c>
    </x:row>
    <x:row r="271">
      <x:c r="A271" t="str">
        <x:v>validarVehiculoActivoParaConsulta</x:v>
      </x:c>
      <x:c r="B271" t="str">
        <x:v>datosVehiculo</x:v>
      </x:c>
      <x:c r="C271" t="str">
        <x:v>C_ControlAlerta</x:v>
      </x:c>
      <x:c r="D271" t="str">
        <x:v>C_ControlAlerta</x:v>
      </x:c>
      <x:c r="E271" t="str">
        <x:v>validación</x:v>
      </x:c>
      <x:c r="F271" t="n">
        <x:v>1</x:v>
      </x:c>
      <x:c r="G271" t="str">
        <x:v>RF23</x:v>
      </x:c>
      <x:c r="H271" t="str">
        <x:v>RF23!F16</x:v>
      </x:c>
    </x:row>
    <x:row r="272">
      <x:c r="A272" t="str">
        <x:v>retornarSincronizacionPosterior</x:v>
      </x:c>
      <x:c r="B272" t="str"/>
      <x:c r="C272" t="str">
        <x:v>C_ControlAlerta</x:v>
      </x:c>
      <x:c r="D272" t="str">
        <x:v>C_ControlEstadoVehiculo</x:v>
      </x:c>
      <x:c r="E272" t="str">
        <x:v>retorno</x:v>
      </x:c>
      <x:c r="F272" t="n">
        <x:v>1</x:v>
      </x:c>
      <x:c r="G272" t="str">
        <x:v>RF12</x:v>
      </x:c>
      <x:c r="H272" t="str">
        <x:v>RF012-EF1!F47</x:v>
      </x:c>
    </x:row>
    <x:row r="273">
      <x:c r="A273" t="str">
        <x:v>prepararYRetornarAlertasResumen</x:v>
      </x:c>
      <x:c r="B273" t="str">
        <x:v>listaAlertasVigentes</x:v>
      </x:c>
      <x:c r="C273" t="str">
        <x:v>C_ControlAlerta</x:v>
      </x:c>
      <x:c r="D273" t="str">
        <x:v>C_ControlInicio</x:v>
      </x:c>
      <x:c r="E273" t="str">
        <x:v>otra</x:v>
      </x:c>
      <x:c r="F273" t="n">
        <x:v>1</x:v>
      </x:c>
      <x:c r="G273" t="str">
        <x:v>RF50</x:v>
      </x:c>
      <x:c r="H273" t="str">
        <x:v>RF050-EF1!F40</x:v>
      </x:c>
    </x:row>
    <x:row r="274">
      <x:c r="A274" t="str">
        <x:v>retornarSincronizacionCorreccion</x:v>
      </x:c>
      <x:c r="B274" t="str"/>
      <x:c r="C274" t="str">
        <x:v>C_ControlAlerta</x:v>
      </x:c>
      <x:c r="D274" t="str">
        <x:v>C_ControlKilometraje</x:v>
      </x:c>
      <x:c r="E274" t="str">
        <x:v>retorno</x:v>
      </x:c>
      <x:c r="F274" t="n">
        <x:v>1</x:v>
      </x:c>
      <x:c r="G274" t="str">
        <x:v>RF16</x:v>
      </x:c>
      <x:c r="H274" t="str">
        <x:v>RF016-EF1!F44</x:v>
      </x:c>
    </x:row>
    <x:row r="275">
      <x:c r="A275" t="str">
        <x:v>retornarSincronizacionKmCompleta</x:v>
      </x:c>
      <x:c r="B275" t="str"/>
      <x:c r="C275" t="str">
        <x:v>C_ControlAlerta</x:v>
      </x:c>
      <x:c r="D275" t="str">
        <x:v>C_ControlKilometraje</x:v>
      </x:c>
      <x:c r="E275" t="str">
        <x:v>retorno</x:v>
      </x:c>
      <x:c r="F275" t="n">
        <x:v>1</x:v>
      </x:c>
      <x:c r="G275" t="str">
        <x:v>RF14</x:v>
      </x:c>
      <x:c r="H275" t="str">
        <x:v>RF014-EF1!F40</x:v>
      </x:c>
    </x:row>
    <x:row r="276">
      <x:c r="A276" t="str">
        <x:v>revalidarLecturaRF14SiAplica</x:v>
      </x:c>
      <x:c r="B276" t="str">
        <x:v>id_vehiculo,criterio</x:v>
      </x:c>
      <x:c r="C276" t="str">
        <x:v>C_ControlAlerta</x:v>
      </x:c>
      <x:c r="D276" t="str">
        <x:v>C_ControlKilometraje</x:v>
      </x:c>
      <x:c r="E276" t="str">
        <x:v>validación</x:v>
      </x:c>
      <x:c r="F276" t="n">
        <x:v>1</x:v>
      </x:c>
      <x:c r="G276" t="str">
        <x:v>RF22</x:v>
      </x:c>
      <x:c r="H276" t="str">
        <x:v>RF22!F85</x:v>
      </x:c>
    </x:row>
    <x:row r="277">
      <x:c r="A277" t="str">
        <x:v>solicitarKilometrajeActualSiCorresponde</x:v>
      </x:c>
      <x:c r="B277" t="str">
        <x:v>datos_alerta.id_vehiculo,datos_alerta.criterio</x:v>
      </x:c>
      <x:c r="C277" t="str">
        <x:v>C_ControlAlerta</x:v>
      </x:c>
      <x:c r="D277" t="str">
        <x:v>C_ControlKilometraje</x:v>
      </x:c>
      <x:c r="E277" t="str">
        <x:v>presentación/navegación</x:v>
      </x:c>
      <x:c r="F277" t="n">
        <x:v>1</x:v>
      </x:c>
      <x:c r="G277" t="str">
        <x:v>RF24</x:v>
      </x:c>
      <x:c r="H277" t="str">
        <x:v>RF24!F14</x:v>
      </x:c>
    </x:row>
    <x:row r="278">
      <x:c r="A278" t="str">
        <x:v>solicitarKilometrajeVigenteSiCorresponde</x:v>
      </x:c>
      <x:c r="B278" t="str">
        <x:v>id_vehiculo,criterio</x:v>
      </x:c>
      <x:c r="C278" t="str">
        <x:v>C_ControlAlerta</x:v>
      </x:c>
      <x:c r="D278" t="str">
        <x:v>C_ControlKilometraje</x:v>
      </x:c>
      <x:c r="E278" t="str">
        <x:v>presentación/navegación</x:v>
      </x:c>
      <x:c r="F278" t="n">
        <x:v>1</x:v>
      </x:c>
      <x:c r="G278" t="str">
        <x:v>RF24</x:v>
      </x:c>
      <x:c r="H278" t="str">
        <x:v>RF24!F70</x:v>
      </x:c>
    </x:row>
    <x:row r="279">
      <x:c r="A279" t="str">
        <x:v>solicitarUltimaLecturaValidaRF14</x:v>
      </x:c>
      <x:c r="B279" t="str">
        <x:v>id_vehiculo</x:v>
      </x:c>
      <x:c r="C279" t="str">
        <x:v>C_ControlAlerta</x:v>
      </x:c>
      <x:c r="D279" t="str">
        <x:v>C_ControlKilometraje</x:v>
      </x:c>
      <x:c r="E279" t="str">
        <x:v>presentación/navegación</x:v>
      </x:c>
      <x:c r="F279" t="n">
        <x:v>1</x:v>
      </x:c>
      <x:c r="G279" t="str">
        <x:v>RF22</x:v>
      </x:c>
      <x:c r="H279" t="str">
        <x:v>RF22!F35</x:v>
      </x:c>
    </x:row>
    <x:row r="280">
      <x:c r="A280" t="str">
        <x:v>solicitarUltimoKilometrajeSiCorresponde</x:v>
      </x:c>
      <x:c r="B280" t="str">
        <x:v>idVehiculo,listaAlertas</x:v>
      </x:c>
      <x:c r="C280" t="str">
        <x:v>C_ControlAlerta</x:v>
      </x:c>
      <x:c r="D280" t="str">
        <x:v>C_ControlKilometraje</x:v>
      </x:c>
      <x:c r="E280" t="str">
        <x:v>presentación/navegación</x:v>
      </x:c>
      <x:c r="F280" t="n">
        <x:v>1</x:v>
      </x:c>
      <x:c r="G280" t="str">
        <x:v>RF23</x:v>
      </x:c>
      <x:c r="H280" t="str">
        <x:v>RF23!F24</x:v>
      </x:c>
    </x:row>
    <x:row r="281">
      <x:c r="A281" t="str">
        <x:v>solicitarUltimosKilometrajes</x:v>
      </x:c>
      <x:c r="B281" t="str">
        <x:v>listaIdVehiculoKm</x:v>
      </x:c>
      <x:c r="C281" t="str">
        <x:v>C_ControlAlerta</x:v>
      </x:c>
      <x:c r="D281" t="str">
        <x:v>C_ControlKilometraje</x:v>
      </x:c>
      <x:c r="E281" t="str">
        <x:v>presentación/navegación</x:v>
      </x:c>
      <x:c r="F281" t="n">
        <x:v>1</x:v>
      </x:c>
      <x:c r="G281" t="str">
        <x:v>RF23</x:v>
      </x:c>
      <x:c r="H281" t="str">
        <x:v>RF23!F66</x:v>
      </x:c>
    </x:row>
    <x:row r="282">
      <x:c r="A282" t="str">
        <x:v>retornarSeguimientoLicenciaCreado</x:v>
      </x:c>
      <x:c r="B282" t="str">
        <x:v>idAlerta</x:v>
      </x:c>
      <x:c r="C282" t="str">
        <x:v>C_ControlAlerta</x:v>
      </x:c>
      <x:c r="D282" t="str">
        <x:v>C_ControlLicencia</x:v>
      </x:c>
      <x:c r="E282" t="str">
        <x:v>retorno</x:v>
      </x:c>
      <x:c r="F282" t="n">
        <x:v>1</x:v>
      </x:c>
      <x:c r="G282" t="str">
        <x:v>RF51</x:v>
      </x:c>
      <x:c r="H282" t="str">
        <x:v>RF051-EF1!F58</x:v>
      </x:c>
    </x:row>
    <x:row r="283">
      <x:c r="A283" t="str">
        <x:v>solicitarDatosLicenciasTitular</x:v>
      </x:c>
      <x:c r="B283" t="str">
        <x:v>idUsuarioAutenticado,listaIdLicencia</x:v>
      </x:c>
      <x:c r="C283" t="str">
        <x:v>C_ControlAlerta</x:v>
      </x:c>
      <x:c r="D283" t="str">
        <x:v>C_ControlLicencia</x:v>
      </x:c>
      <x:c r="E283" t="str">
        <x:v>presentación/navegación</x:v>
      </x:c>
      <x:c r="F283" t="n">
        <x:v>1</x:v>
      </x:c>
      <x:c r="G283" t="str">
        <x:v>RF23</x:v>
      </x:c>
      <x:c r="H283" t="str">
        <x:v>RF23!F97</x:v>
      </x:c>
    </x:row>
    <x:row r="284">
      <x:c r="A284" t="str">
        <x:v>solicitarElegibilidadLicenciasAlertas</x:v>
      </x:c>
      <x:c r="B284" t="str">
        <x:v>listaIdLicencia,listaIdUsuario</x:v>
      </x:c>
      <x:c r="C284" t="str">
        <x:v>C_ControlAlerta</x:v>
      </x:c>
      <x:c r="D284" t="str">
        <x:v>C_ControlLicencia</x:v>
      </x:c>
      <x:c r="E284" t="str">
        <x:v>presentación/navegación</x:v>
      </x:c>
      <x:c r="F284" t="n">
        <x:v>1</x:v>
      </x:c>
      <x:c r="G284" t="str">
        <x:v>RF23</x:v>
      </x:c>
      <x:c r="H284" t="str">
        <x:v>RF23!F60</x:v>
      </x:c>
    </x:row>
    <x:row r="285">
      <x:c r="A285" t="str">
        <x:v>solicitarVehiculosActivosYPrincipal</x:v>
      </x:c>
      <x:c r="B285" t="str">
        <x:v>id_usuario</x:v>
      </x:c>
      <x:c r="C285" t="str">
        <x:v>C_ControlAlerta</x:v>
      </x:c>
      <x:c r="D285" t="str">
        <x:v>C_ControlListadoVehiculos</x:v>
      </x:c>
      <x:c r="E285" t="str">
        <x:v>presentación/navegación</x:v>
      </x:c>
      <x:c r="F285" t="n">
        <x:v>1</x:v>
      </x:c>
      <x:c r="G285" t="str">
        <x:v>RF22</x:v>
      </x:c>
      <x:c r="H285" t="str">
        <x:v>RF22!F7</x:v>
      </x:c>
    </x:row>
    <x:row r="286">
      <x:c r="A286" t="str">
        <x:v>solicitarVehiculosUsuario</x:v>
      </x:c>
      <x:c r="B286" t="str">
        <x:v>idUsuario</x:v>
      </x:c>
      <x:c r="C286" t="str">
        <x:v>C_ControlAlerta</x:v>
      </x:c>
      <x:c r="D286" t="str">
        <x:v>C_ControlListadoVehiculos</x:v>
      </x:c>
      <x:c r="E286" t="str">
        <x:v>presentación/navegación</x:v>
      </x:c>
      <x:c r="F286" t="n">
        <x:v>1</x:v>
      </x:c>
      <x:c r="G286" t="str">
        <x:v>RF23</x:v>
      </x:c>
      <x:c r="H286" t="str">
        <x:v>RF23!F10</x:v>
      </x:c>
    </x:row>
    <x:row r="287">
      <x:c r="A287" t="str">
        <x:v>retornarAlertaAtendibleParaGuardar</x:v>
      </x:c>
      <x:c r="B287" t="str">
        <x:v>estado_verificado,kilometraje_vigente,servicio_otro_verificado_o_NULL</x:v>
      </x:c>
      <x:c r="C287" t="str">
        <x:v>C_ControlAlerta</x:v>
      </x:c>
      <x:c r="D287" t="str">
        <x:v>C_ControlMantenimiento</x:v>
      </x:c>
      <x:c r="E287" t="str">
        <x:v>retorno</x:v>
      </x:c>
      <x:c r="F287" t="n">
        <x:v>1</x:v>
      </x:c>
      <x:c r="G287" t="str">
        <x:v>RF24</x:v>
      </x:c>
      <x:c r="H287" t="str">
        <x:v>RF24!F75</x:v>
      </x:c>
    </x:row>
    <x:row r="288">
      <x:c r="A288" t="str">
        <x:v>retornarDependenciasReconciliadas</x:v>
      </x:c>
      <x:c r="B288" t="str">
        <x:v>resultado_alertas,resultado_historial_alertas,resultado_notificaciones</x:v>
      </x:c>
      <x:c r="C288" t="str">
        <x:v>C_ControlAlerta</x:v>
      </x:c>
      <x:c r="D288" t="str">
        <x:v>C_ControlMantenimiento</x:v>
      </x:c>
      <x:c r="E288" t="str">
        <x:v>retorno</x:v>
      </x:c>
      <x:c r="F288" t="n">
        <x:v>1</x:v>
      </x:c>
      <x:c r="G288" t="str">
        <x:v>RF21</x:v>
      </x:c>
      <x:c r="H288" t="str">
        <x:v>RF21!F37</x:v>
      </x:c>
    </x:row>
    <x:row r="289">
      <x:c r="A289" t="str">
        <x:v>revalidarReferenciaHistorialOpcional</x:v>
      </x:c>
      <x:c r="B289" t="str">
        <x:v>id_usuario,id_vehiculo,id_tipo_mantenimiento,servicio_otro_o_NULL,id_mantenimiento_referencia_o_NULL,seleccion_sugerencia</x:v>
      </x:c>
      <x:c r="C289" t="str">
        <x:v>C_ControlAlerta</x:v>
      </x:c>
      <x:c r="D289" t="str">
        <x:v>C_ControlMantenimiento</x:v>
      </x:c>
      <x:c r="E289" t="str">
        <x:v>validación</x:v>
      </x:c>
      <x:c r="F289" t="n">
        <x:v>1</x:v>
      </x:c>
      <x:c r="G289" t="str">
        <x:v>RF22</x:v>
      </x:c>
      <x:c r="H289" t="str">
        <x:v>RF22!F81</x:v>
      </x:c>
    </x:row>
    <x:row r="290">
      <x:c r="A290" t="str">
        <x:v>solicitarAntecedentesParaProgramacion</x:v>
      </x:c>
      <x:c r="B290" t="str">
        <x:v>id_usuario,id_vehiculo,id_tipo_mantenimiento</x:v>
      </x:c>
      <x:c r="C290" t="str">
        <x:v>C_ControlAlerta</x:v>
      </x:c>
      <x:c r="D290" t="str">
        <x:v>C_ControlMantenimiento</x:v>
      </x:c>
      <x:c r="E290" t="str">
        <x:v>presentación/navegación</x:v>
      </x:c>
      <x:c r="F290" t="n">
        <x:v>1</x:v>
      </x:c>
      <x:c r="G290" t="str">
        <x:v>RF22</x:v>
      </x:c>
      <x:c r="H290" t="str">
        <x:v>RF22!F31</x:v>
      </x:c>
    </x:row>
    <x:row r="291">
      <x:c r="A291" t="str">
        <x:v>solicitarRegistroRealizadoDesdeAlerta</x:v>
      </x:c>
      <x:c r="B291" t="str">
        <x:v>id_alerta,id_usuario,id_vehiculo,id_tipo_mantenimiento,servicio_otro_alerta_o_NULL</x:v>
      </x:c>
      <x:c r="C291" t="str">
        <x:v>C_ControlAlerta</x:v>
      </x:c>
      <x:c r="D291" t="str">
        <x:v>C_ControlMantenimiento</x:v>
      </x:c>
      <x:c r="E291" t="str">
        <x:v>presentación/navegación</x:v>
      </x:c>
      <x:c r="F291" t="n">
        <x:v>1</x:v>
      </x:c>
      <x:c r="G291" t="str">
        <x:v>RF24</x:v>
      </x:c>
      <x:c r="H291" t="str">
        <x:v>RF24!F34</x:v>
      </x:c>
    </x:row>
    <x:row r="292">
      <x:c r="A292" t="str">
        <x:v>solicitarUltimoRealizadoServicioOtro</x:v>
      </x:c>
      <x:c r="B292" t="str">
        <x:v>id_usuario,id_vehiculo,nombre_elegido</x:v>
      </x:c>
      <x:c r="C292" t="str">
        <x:v>C_ControlAlerta</x:v>
      </x:c>
      <x:c r="D292" t="str">
        <x:v>C_ControlMantenimiento</x:v>
      </x:c>
      <x:c r="E292" t="str">
        <x:v>presentación/navegación</x:v>
      </x:c>
      <x:c r="F292" t="n">
        <x:v>1</x:v>
      </x:c>
      <x:c r="G292" t="str">
        <x:v>RF22</x:v>
      </x:c>
      <x:c r="H292" t="str">
        <x:v>RF22!F51</x:v>
      </x:c>
    </x:row>
    <x:row r="293">
      <x:c r="A293" t="str">
        <x:v>atenderNotificacionAlerta</x:v>
      </x:c>
      <x:c r="B293" t="str">
        <x:v>id_usuario,id_alerta</x:v>
      </x:c>
      <x:c r="C293" t="str">
        <x:v>C_ControlAlerta</x:v>
      </x:c>
      <x:c r="D293" t="str">
        <x:v>C_ControlNotificacion</x:v>
      </x:c>
      <x:c r="E293" t="str">
        <x:v>otra</x:v>
      </x:c>
      <x:c r="F293" t="n">
        <x:v>1</x:v>
      </x:c>
      <x:c r="G293" t="str">
        <x:v>RF24</x:v>
      </x:c>
      <x:c r="H293" t="str">
        <x:v>RF24!F89</x:v>
      </x:c>
    </x:row>
    <x:row r="294">
      <x:c r="A294" t="str">
        <x:v>retornarDetalleDestinoMantenimiento</x:v>
      </x:c>
      <x:c r="B294" t="str">
        <x:v>datosAlerta</x:v>
      </x:c>
      <x:c r="C294" t="str">
        <x:v>C_ControlAlerta</x:v>
      </x:c>
      <x:c r="D294" t="str">
        <x:v>C_ControlNotificacion</x:v>
      </x:c>
      <x:c r="E294" t="str">
        <x:v>retorno</x:v>
      </x:c>
      <x:c r="F294" t="n">
        <x:v>1</x:v>
      </x:c>
      <x:c r="G294" t="str">
        <x:v>RF47</x:v>
      </x:c>
      <x:c r="H294" t="str">
        <x:v>RF047-EF1!F30</x:v>
      </x:c>
    </x:row>
    <x:row r="295">
      <x:c r="A295" t="str">
        <x:v>retornarEstadoOrigen</x:v>
      </x:c>
      <x:c r="B295" t="str">
        <x:v>datosAlerta</x:v>
      </x:c>
      <x:c r="C295" t="str">
        <x:v>C_ControlAlerta</x:v>
      </x:c>
      <x:c r="D295" t="str">
        <x:v>C_ControlNotificacion</x:v>
      </x:c>
      <x:c r="E295" t="str">
        <x:v>retorno</x:v>
      </x:c>
      <x:c r="F295" t="n">
        <x:v>1</x:v>
      </x:c>
      <x:c r="G295" t="str">
        <x:v>RF47</x:v>
      </x:c>
      <x:c r="H295" t="str">
        <x:v>RF047-EF1!F13</x:v>
      </x:c>
    </x:row>
    <x:row r="296">
      <x:c r="A296" t="str">
        <x:v>retornarEstadosOrigen</x:v>
      </x:c>
      <x:c r="B296" t="str">
        <x:v>listaAlertas</x:v>
      </x:c>
      <x:c r="C296" t="str">
        <x:v>C_ControlAlerta</x:v>
      </x:c>
      <x:c r="D296" t="str">
        <x:v>C_ControlNotificacion</x:v>
      </x:c>
      <x:c r="E296" t="str">
        <x:v>retorno</x:v>
      </x:c>
      <x:c r="F296" t="n">
        <x:v>2</x:v>
      </x:c>
      <x:c r="G296" t="str">
        <x:v>RF46</x:v>
      </x:c>
      <x:c r="H296" t="str">
        <x:v>RF046-EF1!F13</x:v>
      </x:c>
    </x:row>
    <x:row r="297">
      <x:c r="A297" t="str">
        <x:v>sincronizarNotificacionAlertaAnteriorSegunEstado</x:v>
      </x:c>
      <x:c r="B297" t="str">
        <x:v>idUsuario,idAlertaAnterior,estadoFinal</x:v>
      </x:c>
      <x:c r="C297" t="str">
        <x:v>C_ControlAlerta</x:v>
      </x:c>
      <x:c r="D297" t="str">
        <x:v>C_ControlNotificacion</x:v>
      </x:c>
      <x:c r="E297" t="str">
        <x:v>otra</x:v>
      </x:c>
      <x:c r="F297" t="n">
        <x:v>1</x:v>
      </x:c>
      <x:c r="G297" t="str">
        <x:v>RF32</x:v>
      </x:c>
      <x:c r="H297" t="str">
        <x:v>RF032-EF1!F70</x:v>
      </x:c>
    </x:row>
    <x:row r="298">
      <x:c r="A298" t="str">
        <x:v>sincronizarNotificacionAlertaCreada</x:v>
      </x:c>
      <x:c r="B298" t="str">
        <x:v>id_usuario,id_alerta,estado_inicial</x:v>
      </x:c>
      <x:c r="C298" t="str">
        <x:v>C_ControlAlerta</x:v>
      </x:c>
      <x:c r="D298" t="str">
        <x:v>C_ControlNotificacion</x:v>
      </x:c>
      <x:c r="E298" t="str">
        <x:v>otra</x:v>
      </x:c>
      <x:c r="F298" t="n">
        <x:v>1</x:v>
      </x:c>
      <x:c r="G298" t="str">
        <x:v>RF22</x:v>
      </x:c>
      <x:c r="H298" t="str">
        <x:v>RF22!F98</x:v>
      </x:c>
    </x:row>
    <x:row r="299">
      <x:c r="A299" t="str">
        <x:v>sincronizarNotificacionPorEstadoAlerta</x:v>
      </x:c>
      <x:c r="B299" t="str">
        <x:v>id_usuario,id_alerta,detalle_actualizado.estado</x:v>
      </x:c>
      <x:c r="C299" t="str">
        <x:v>C_ControlAlerta</x:v>
      </x:c>
      <x:c r="D299" t="str">
        <x:v>C_ControlNotificacion</x:v>
      </x:c>
      <x:c r="E299" t="str">
        <x:v>otra</x:v>
      </x:c>
      <x:c r="F299" t="n">
        <x:v>1</x:v>
      </x:c>
      <x:c r="G299" t="str">
        <x:v>RF24</x:v>
      </x:c>
      <x:c r="H299" t="str">
        <x:v>RF24!F25</x:v>
      </x:c>
    </x:row>
    <x:row r="300">
      <x:c r="A300" t="str">
        <x:v>sincronizarNotificacionesPorEstadoVehiculo</x:v>
      </x:c>
      <x:c r="B300" t="str">
        <x:v>idVehiculo,estadoNuevo,resultadoAlertas</x:v>
      </x:c>
      <x:c r="C300" t="str">
        <x:v>C_ControlAlerta</x:v>
      </x:c>
      <x:c r="D300" t="str">
        <x:v>C_ControlNotificacion</x:v>
      </x:c>
      <x:c r="E300" t="str">
        <x:v>otra</x:v>
      </x:c>
      <x:c r="F300" t="n">
        <x:v>1</x:v>
      </x:c>
      <x:c r="G300" t="str">
        <x:v>RF12</x:v>
      </x:c>
      <x:c r="H300" t="str">
        <x:v>RF012-EF1!F42</x:v>
      </x:c>
    </x:row>
    <x:row r="301">
      <x:c r="A301" t="str">
        <x:v>sincronizarNotificacionesPorEstadosAlerta</x:v>
      </x:c>
      <x:c r="B301" t="str">
        <x:v>idUsuario,listaAlertasActualizada,transicionesAplicadas</x:v>
      </x:c>
      <x:c r="C301" t="str">
        <x:v>C_ControlAlerta</x:v>
      </x:c>
      <x:c r="D301" t="str">
        <x:v>C_ControlNotificacion</x:v>
      </x:c>
      <x:c r="E301" t="str">
        <x:v>otra</x:v>
      </x:c>
      <x:c r="F301" t="n">
        <x:v>1</x:v>
      </x:c>
      <x:c r="G301" t="str">
        <x:v>RF23</x:v>
      </x:c>
      <x:c r="H301" t="str">
        <x:v>RF23!F37</x:v>
      </x:c>
    </x:row>
    <x:row r="302">
      <x:c r="A302" t="str">
        <x:v>sincronizarNotificacionesResumenSegunAlertas</x:v>
      </x:c>
      <x:c r="B302" t="str">
        <x:v>idUsuario,listaAlertasVigentes,idsAlertasAnuladas</x:v>
      </x:c>
      <x:c r="C302" t="str">
        <x:v>C_ControlAlerta</x:v>
      </x:c>
      <x:c r="D302" t="str">
        <x:v>C_ControlNotificacion</x:v>
      </x:c>
      <x:c r="E302" t="str">
        <x:v>otra</x:v>
      </x:c>
      <x:c r="F302" t="n">
        <x:v>1</x:v>
      </x:c>
      <x:c r="G302" t="str">
        <x:v>RF50</x:v>
      </x:c>
      <x:c r="H302" t="str">
        <x:v>RF050-EF1!F36</x:v>
      </x:c>
    </x:row>
    <x:row r="303">
      <x:c r="A303" t="str">
        <x:v>sincronizarNotificacionesYProgramarDespachoPostCommit</x:v>
      </x:c>
      <x:c r="B303" t="str">
        <x:v>listaAlertasActualizada,transicionesAplicadas,idsAlertasLicenciaNoElegibles</x:v>
      </x:c>
      <x:c r="C303" t="str">
        <x:v>C_ControlAlerta</x:v>
      </x:c>
      <x:c r="D303" t="str">
        <x:v>C_ControlNotificacion</x:v>
      </x:c>
      <x:c r="E303" t="str">
        <x:v>otra</x:v>
      </x:c>
      <x:c r="F303" t="n">
        <x:v>1</x:v>
      </x:c>
      <x:c r="G303" t="str">
        <x:v>RF23</x:v>
      </x:c>
      <x:c r="H303" t="str">
        <x:v>RF23!F78</x:v>
      </x:c>
    </x:row>
    <x:row r="304">
      <x:c r="A304" t="str">
        <x:v>sincronizarYDespacharNotificacionNuevaVigenciaSOATSiActiva</x:v>
      </x:c>
      <x:c r="B304" t="str">
        <x:v>idUsuario,idVehiculo,datosAlertaNueva</x:v>
      </x:c>
      <x:c r="C304" t="str">
        <x:v>C_ControlAlerta</x:v>
      </x:c>
      <x:c r="D304" t="str">
        <x:v>C_ControlNotificacion</x:v>
      </x:c>
      <x:c r="E304" t="str">
        <x:v>otra</x:v>
      </x:c>
      <x:c r="F304" t="n">
        <x:v>1</x:v>
      </x:c>
      <x:c r="G304" t="str">
        <x:v>RF32</x:v>
      </x:c>
      <x:c r="H304" t="str">
        <x:v>RF032-EF1!F78</x:v>
      </x:c>
    </x:row>
    <x:row r="305">
      <x:c r="A305" t="str">
        <x:v>sincronizarYDespacharNotificacionSOATPorEstadoInicial</x:v>
      </x:c>
      <x:c r="B305" t="str">
        <x:v>idUsuario,idVehiculo,idSOAT,datosAlerta.estado</x:v>
      </x:c>
      <x:c r="C305" t="str">
        <x:v>C_ControlAlerta</x:v>
      </x:c>
      <x:c r="D305" t="str">
        <x:v>C_ControlNotificacion</x:v>
      </x:c>
      <x:c r="E305" t="str">
        <x:v>otra</x:v>
      </x:c>
      <x:c r="F305" t="n">
        <x:v>1</x:v>
      </x:c>
      <x:c r="G305" t="str">
        <x:v>RF33</x:v>
      </x:c>
      <x:c r="H305" t="str">
        <x:v>RF033-EF1!F45</x:v>
      </x:c>
    </x:row>
    <x:row r="306">
      <x:c r="A306" t="str">
        <x:v>sincronizarYDespacharNotificacionSOATPorEstadoInicial</x:v>
      </x:c>
      <x:c r="B306" t="str">
        <x:v>idUsuario,idVehiculo,idSOAT,datosAlerta.idAlerta,datosAlerta.estado</x:v>
      </x:c>
      <x:c r="C306" t="str">
        <x:v>C_ControlAlerta</x:v>
      </x:c>
      <x:c r="D306" t="str">
        <x:v>C_ControlNotificacion</x:v>
      </x:c>
      <x:c r="E306" t="str">
        <x:v>otra</x:v>
      </x:c>
      <x:c r="F306" t="n">
        <x:v>1</x:v>
      </x:c>
      <x:c r="G306" t="str">
        <x:v>RF31</x:v>
      </x:c>
      <x:c r="H306" t="str">
        <x:v>RF031-EF1!F46</x:v>
      </x:c>
    </x:row>
    <x:row r="307">
      <x:c r="A307" t="str">
        <x:v>sincronizarYDespacharNotificacionSOATTrasEdicionSiActiva</x:v>
      </x:c>
      <x:c r="B307" t="str">
        <x:v>idUsuario,idVehiculo,datosAlerta</x:v>
      </x:c>
      <x:c r="C307" t="str">
        <x:v>C_ControlAlerta</x:v>
      </x:c>
      <x:c r="D307" t="str">
        <x:v>C_ControlNotificacion</x:v>
      </x:c>
      <x:c r="E307" t="str">
        <x:v>otra</x:v>
      </x:c>
      <x:c r="F307" t="n">
        <x:v>1</x:v>
      </x:c>
      <x:c r="G307" t="str">
        <x:v>RF32</x:v>
      </x:c>
      <x:c r="H307" t="str">
        <x:v>RF032-EF1!F48</x:v>
      </x:c>
    </x:row>
    <x:row r="308">
      <x:c r="A308" t="str">
        <x:v>suspenderNotificacionSOAT</x:v>
      </x:c>
      <x:c r="B308" t="str">
        <x:v>idUsuario,idSOAT</x:v>
      </x:c>
      <x:c r="C308" t="str">
        <x:v>C_ControlAlerta</x:v>
      </x:c>
      <x:c r="D308" t="str">
        <x:v>C_ControlNotificacion</x:v>
      </x:c>
      <x:c r="E308" t="str">
        <x:v>otra</x:v>
      </x:c>
      <x:c r="F308" t="n">
        <x:v>1</x:v>
      </x:c>
      <x:c r="G308" t="str">
        <x:v>RF33</x:v>
      </x:c>
      <x:c r="H308" t="str">
        <x:v>RF033-EF1!F55</x:v>
      </x:c>
    </x:row>
    <x:row r="309">
      <x:c r="A309" t="str">
        <x:v>retornarEstadoRecordatorio</x:v>
      </x:c>
      <x:c r="B309" t="str">
        <x:v>datosAlerta</x:v>
      </x:c>
      <x:c r="C309" t="str">
        <x:v>C_ControlAlerta</x:v>
      </x:c>
      <x:c r="D309" t="str">
        <x:v>C_ControlSOAT</x:v>
      </x:c>
      <x:c r="E309" t="str">
        <x:v>retorno</x:v>
      </x:c>
      <x:c r="F309" t="n">
        <x:v>1</x:v>
      </x:c>
      <x:c r="G309" t="str">
        <x:v>RF33</x:v>
      </x:c>
      <x:c r="H309" t="str">
        <x:v>RF033-EF1!F32</x:v>
      </x:c>
    </x:row>
    <x:row r="310">
      <x:c r="A310" t="str">
        <x:v>retornarRecordatorioActivado</x:v>
      </x:c>
      <x:c r="B310" t="str">
        <x:v>datosAlerta</x:v>
      </x:c>
      <x:c r="C310" t="str">
        <x:v>C_ControlAlerta</x:v>
      </x:c>
      <x:c r="D310" t="str">
        <x:v>C_ControlSOAT</x:v>
      </x:c>
      <x:c r="E310" t="str">
        <x:v>retorno</x:v>
      </x:c>
      <x:c r="F310" t="n">
        <x:v>1</x:v>
      </x:c>
      <x:c r="G310" t="str">
        <x:v>RF33</x:v>
      </x:c>
      <x:c r="H310" t="str">
        <x:v>RF033-EF1!F49</x:v>
      </x:c>
    </x:row>
    <x:row r="311">
      <x:c r="A311" t="str">
        <x:v>retornarRecordatorioDesactivado</x:v>
      </x:c>
      <x:c r="B311" t="str"/>
      <x:c r="C311" t="str">
        <x:v>C_ControlAlerta</x:v>
      </x:c>
      <x:c r="D311" t="str">
        <x:v>C_ControlSOAT</x:v>
      </x:c>
      <x:c r="E311" t="str">
        <x:v>retorno</x:v>
      </x:c>
      <x:c r="F311" t="n">
        <x:v>1</x:v>
      </x:c>
      <x:c r="G311" t="str">
        <x:v>RF33</x:v>
      </x:c>
      <x:c r="H311" t="str">
        <x:v>RF033-EF1!F59</x:v>
      </x:c>
    </x:row>
    <x:row r="312">
      <x:c r="A312" t="str">
        <x:v>retornarRecordatorioSOATActivado</x:v>
      </x:c>
      <x:c r="B312" t="str">
        <x:v>datosAlerta</x:v>
      </x:c>
      <x:c r="C312" t="str">
        <x:v>C_ControlAlerta</x:v>
      </x:c>
      <x:c r="D312" t="str">
        <x:v>C_ControlSOAT</x:v>
      </x:c>
      <x:c r="E312" t="str">
        <x:v>retorno</x:v>
      </x:c>
      <x:c r="F312" t="n">
        <x:v>1</x:v>
      </x:c>
      <x:c r="G312" t="str">
        <x:v>RF31</x:v>
      </x:c>
      <x:c r="H312" t="str">
        <x:v>RF031-EF1!F50</x:v>
      </x:c>
    </x:row>
    <x:row r="313">
      <x:c r="A313" t="str">
        <x:v>retornarResultadoEdicionSOAT</x:v>
      </x:c>
      <x:c r="B313" t="str">
        <x:v>recordatorioActivo,datosAlerta?</x:v>
      </x:c>
      <x:c r="C313" t="str">
        <x:v>C_ControlAlerta</x:v>
      </x:c>
      <x:c r="D313" t="str">
        <x:v>C_ControlSOAT</x:v>
      </x:c>
      <x:c r="E313" t="str">
        <x:v>retorno</x:v>
      </x:c>
      <x:c r="F313" t="n">
        <x:v>1</x:v>
      </x:c>
      <x:c r="G313" t="str">
        <x:v>RF32</x:v>
      </x:c>
      <x:c r="H313" t="str">
        <x:v>RF032-EF1!F52</x:v>
      </x:c>
    </x:row>
    <x:row r="314">
      <x:c r="A314" t="str">
        <x:v>retornarResultadoRenovacion</x:v>
      </x:c>
      <x:c r="B314" t="str">
        <x:v>recordatorioActivo,datosAlertaNueva?</x:v>
      </x:c>
      <x:c r="C314" t="str">
        <x:v>C_ControlAlerta</x:v>
      </x:c>
      <x:c r="D314" t="str">
        <x:v>C_ControlSOAT</x:v>
      </x:c>
      <x:c r="E314" t="str">
        <x:v>retorno</x:v>
      </x:c>
      <x:c r="F314" t="n">
        <x:v>1</x:v>
      </x:c>
      <x:c r="G314" t="str">
        <x:v>RF32</x:v>
      </x:c>
      <x:c r="H314" t="str">
        <x:v>RF032-EF1!F82</x:v>
      </x:c>
    </x:row>
    <x:row r="315">
      <x:c r="A315" t="str">
        <x:v>validarPermisoLecturaAlertasLicenciaConservada</x:v>
      </x:c>
      <x:c r="B315" t="str">
        <x:v>idUsuarioAutenticado</x:v>
      </x:c>
      <x:c r="C315" t="str">
        <x:v>C_ControlAlerta</x:v>
      </x:c>
      <x:c r="D315" t="str">
        <x:v>C_ControlSuscripcion</x:v>
      </x:c>
      <x:c r="E315" t="str">
        <x:v>validación</x:v>
      </x:c>
      <x:c r="F315" t="n">
        <x:v>1</x:v>
      </x:c>
      <x:c r="G315" t="str">
        <x:v>RF23</x:v>
      </x:c>
      <x:c r="H315" t="str">
        <x:v>RF23!F91</x:v>
      </x:c>
    </x:row>
    <x:row r="316">
      <x:c r="A316" t="str">
        <x:v>revalidarTipoMantenimientoActivoPermitido</x:v>
      </x:c>
      <x:c r="B316" t="str">
        <x:v>id_tipo_mantenimiento</x:v>
      </x:c>
      <x:c r="C316" t="str">
        <x:v>C_ControlAlerta</x:v>
      </x:c>
      <x:c r="D316" t="str">
        <x:v>C_ControlTipoMantenimiento</x:v>
      </x:c>
      <x:c r="E316" t="str">
        <x:v>validación</x:v>
      </x:c>
      <x:c r="F316" t="n">
        <x:v>1</x:v>
      </x:c>
      <x:c r="G316" t="str">
        <x:v>RF22</x:v>
      </x:c>
      <x:c r="H316" t="str">
        <x:v>RF22!F77</x:v>
      </x:c>
    </x:row>
    <x:row r="317">
      <x:c r="A317" t="str">
        <x:v>solicitarTipoMantenimientoActivo</x:v>
      </x:c>
      <x:c r="B317" t="str">
        <x:v>id_tipo_mantenimiento</x:v>
      </x:c>
      <x:c r="C317" t="str">
        <x:v>C_ControlAlerta</x:v>
      </x:c>
      <x:c r="D317" t="str">
        <x:v>C_ControlTipoMantenimiento</x:v>
      </x:c>
      <x:c r="E317" t="str">
        <x:v>presentación/navegación</x:v>
      </x:c>
      <x:c r="F317" t="n">
        <x:v>1</x:v>
      </x:c>
      <x:c r="G317" t="str">
        <x:v>RF22</x:v>
      </x:c>
      <x:c r="H317" t="str">
        <x:v>RF22!F25</x:v>
      </x:c>
    </x:row>
    <x:row r="318">
      <x:c r="A318" t="str">
        <x:v>solicitarTiposMantenimientoActivos</x:v>
      </x:c>
      <x:c r="B318" t="str"/>
      <x:c r="C318" t="str">
        <x:v>C_ControlAlerta</x:v>
      </x:c>
      <x:c r="D318" t="str">
        <x:v>C_ControlTipoMantenimiento</x:v>
      </x:c>
      <x:c r="E318" t="str">
        <x:v>presentación/navegación</x:v>
      </x:c>
      <x:c r="F318" t="n">
        <x:v>1</x:v>
      </x:c>
      <x:c r="G318" t="str">
        <x:v>RF22</x:v>
      </x:c>
      <x:c r="H318" t="str">
        <x:v>RF22!F11</x:v>
      </x:c>
    </x:row>
    <x:row r="319">
      <x:c r="A319" t="str">
        <x:v>solicitarEstadosCuentasPropietarias</x:v>
      </x:c>
      <x:c r="B319" t="str">
        <x:v>listaIdUsuario</x:v>
      </x:c>
      <x:c r="C319" t="str">
        <x:v>C_ControlAlerta</x:v>
      </x:c>
      <x:c r="D319" t="str">
        <x:v>C_ControlUsuario</x:v>
      </x:c>
      <x:c r="E319" t="str">
        <x:v>presentación/navegación</x:v>
      </x:c>
      <x:c r="F319" t="n">
        <x:v>1</x:v>
      </x:c>
      <x:c r="G319" t="str">
        <x:v>RF23</x:v>
      </x:c>
      <x:c r="H319" t="str">
        <x:v>RF23!F55</x:v>
      </x:c>
    </x:row>
    <x:row r="320">
      <x:c r="A320" t="str">
        <x:v>verificarCuentaActivaParaConsultaPersonal</x:v>
      </x:c>
      <x:c r="B320" t="str">
        <x:v>idUsuarioAutenticado</x:v>
      </x:c>
      <x:c r="C320" t="str">
        <x:v>C_ControlAlerta</x:v>
      </x:c>
      <x:c r="D320" t="str">
        <x:v>C_ControlUsuario</x:v>
      </x:c>
      <x:c r="E320" t="str">
        <x:v>validación</x:v>
      </x:c>
      <x:c r="F320" t="n">
        <x:v>1</x:v>
      </x:c>
      <x:c r="G320" t="str">
        <x:v>RF23</x:v>
      </x:c>
      <x:c r="H320" t="str">
        <x:v>RF23!F87</x:v>
      </x:c>
    </x:row>
    <x:row r="321">
      <x:c r="A321" t="str">
        <x:v>revalidarVehiculoActivoUsuario</x:v>
      </x:c>
      <x:c r="B321" t="str">
        <x:v>id_usuario,id_vehiculo</x:v>
      </x:c>
      <x:c r="C321" t="str">
        <x:v>C_ControlAlerta</x:v>
      </x:c>
      <x:c r="D321" t="str">
        <x:v>C_ControlVehiculo</x:v>
      </x:c>
      <x:c r="E321" t="str">
        <x:v>validación</x:v>
      </x:c>
      <x:c r="F321" t="n">
        <x:v>1</x:v>
      </x:c>
      <x:c r="G321" t="str">
        <x:v>RF22</x:v>
      </x:c>
      <x:c r="H321" t="str">
        <x:v>RF22!F73</x:v>
      </x:c>
    </x:row>
    <x:row r="322">
      <x:c r="A322" t="str">
        <x:v>solicitarDatosVehiculo</x:v>
      </x:c>
      <x:c r="B322" t="str">
        <x:v>datos_alerta.id_vehiculo</x:v>
      </x:c>
      <x:c r="C322" t="str">
        <x:v>C_ControlAlerta</x:v>
      </x:c>
      <x:c r="D322" t="str">
        <x:v>C_ControlVehiculo</x:v>
      </x:c>
      <x:c r="E322" t="str">
        <x:v>presentación/navegación</x:v>
      </x:c>
      <x:c r="F322" t="n">
        <x:v>1</x:v>
      </x:c>
      <x:c r="G322" t="str">
        <x:v>RF24</x:v>
      </x:c>
      <x:c r="H322" t="str">
        <x:v>RF24!F9</x:v>
      </x:c>
    </x:row>
    <x:row r="323">
      <x:c r="A323" t="str">
        <x:v>solicitarEstadosVehiculosAlertas</x:v>
      </x:c>
      <x:c r="B323" t="str">
        <x:v>listaIdVehiculo</x:v>
      </x:c>
      <x:c r="C323" t="str">
        <x:v>C_ControlAlerta</x:v>
      </x:c>
      <x:c r="D323" t="str">
        <x:v>C_ControlVehiculo</x:v>
      </x:c>
      <x:c r="E323" t="str">
        <x:v>presentación/navegación</x:v>
      </x:c>
      <x:c r="F323" t="n">
        <x:v>1</x:v>
      </x:c>
      <x:c r="G323" t="str">
        <x:v>RF23</x:v>
      </x:c>
      <x:c r="H323" t="str">
        <x:v>RF23!F51</x:v>
      </x:c>
    </x:row>
    <x:row r="324">
      <x:c r="A324" t="str">
        <x:v>validarVehiculoActivoUsuario</x:v>
      </x:c>
      <x:c r="B324" t="str">
        <x:v>id_usuario,id_vehiculo</x:v>
      </x:c>
      <x:c r="C324" t="str">
        <x:v>C_ControlAlerta</x:v>
      </x:c>
      <x:c r="D324" t="str">
        <x:v>C_ControlVehiculo</x:v>
      </x:c>
      <x:c r="E324" t="str">
        <x:v>validación</x:v>
      </x:c>
      <x:c r="F324" t="n">
        <x:v>1</x:v>
      </x:c>
      <x:c r="G324" t="str">
        <x:v>RF22</x:v>
      </x:c>
      <x:c r="H324" t="str">
        <x:v>RF22!F21</x:v>
      </x:c>
    </x:row>
    <x:row r="325">
      <x:c r="A325" t="str">
        <x:v>retornarFiltroAlertasAplicado</x:v>
      </x:c>
      <x:c r="B325" t="str"/>
      <x:c r="C325" t="str">
        <x:v>C_ControlAlerta</x:v>
      </x:c>
      <x:c r="D325" t="str">
        <x:v>C_EliminarCuenta</x:v>
      </x:c>
      <x:c r="E325" t="str">
        <x:v>retorno</x:v>
      </x:c>
      <x:c r="F325" t="n">
        <x:v>1</x:v>
      </x:c>
      <x:c r="G325" t="str">
        <x:v>RF07</x:v>
      </x:c>
      <x:c r="H325" t="str">
        <x:v>RF007-E1!F66</x:v>
      </x:c>
    </x:row>
    <x:row r="326">
      <x:c r="A326" t="str">
        <x:v>actualizarAlertasRecalculadasSiCorresponde</x:v>
      </x:c>
      <x:c r="B326" t="str">
        <x:v>datosAlertas,fechaActual</x:v>
      </x:c>
      <x:c r="C326" t="str">
        <x:v>C_ControlAlerta</x:v>
      </x:c>
      <x:c r="D326" t="str">
        <x:v>E_Alerta</x:v>
      </x:c>
      <x:c r="E326" t="str">
        <x:v>escritura</x:v>
      </x:c>
      <x:c r="F326" t="n">
        <x:v>1</x:v>
      </x:c>
      <x:c r="G326" t="str">
        <x:v>RF12</x:v>
      </x:c>
      <x:c r="H326" t="str">
        <x:v>RF012-EF1!F38</x:v>
      </x:c>
    </x:row>
    <x:row r="327">
      <x:c r="A327" t="str">
        <x:v>actualizarEstadosAlertasSiCambiaron</x:v>
      </x:c>
      <x:c r="B327" t="str">
        <x:v>transiciones</x:v>
      </x:c>
      <x:c r="C327" t="str">
        <x:v>C_ControlAlerta</x:v>
      </x:c>
      <x:c r="D327" t="str">
        <x:v>E_Alerta</x:v>
      </x:c>
      <x:c r="E327" t="str">
        <x:v>escritura</x:v>
      </x:c>
      <x:c r="F327" t="n">
        <x:v>1</x:v>
      </x:c>
      <x:c r="G327" t="str">
        <x:v>RF14</x:v>
      </x:c>
      <x:c r="H327" t="str">
        <x:v>RF014-EF1!F36</x:v>
      </x:c>
    </x:row>
    <x:row r="328">
      <x:c r="A328" t="str">
        <x:v>actualizarEstadosAutomaticosSiCorresponde</x:v>
      </x:c>
      <x:c r="B328" t="str">
        <x:v>transicionesReales,fechaActual</x:v>
      </x:c>
      <x:c r="C328" t="str">
        <x:v>C_ControlAlerta</x:v>
      </x:c>
      <x:c r="D328" t="str">
        <x:v>E_Alerta</x:v>
      </x:c>
      <x:c r="E328" t="str">
        <x:v>escritura</x:v>
      </x:c>
      <x:c r="F328" t="n">
        <x:v>1</x:v>
      </x:c>
      <x:c r="G328" t="str">
        <x:v>RF23</x:v>
      </x:c>
      <x:c r="H328" t="str">
        <x:v>RF23!F73</x:v>
      </x:c>
    </x:row>
    <x:row r="329">
      <x:c r="A329" t="str">
        <x:v>actualizarEstadosSiCorresponde</x:v>
      </x:c>
      <x:c r="B329" t="str">
        <x:v>idUsuario,idVehiculo,transicionesReales,fechaActual</x:v>
      </x:c>
      <x:c r="C329" t="str">
        <x:v>C_ControlAlerta</x:v>
      </x:c>
      <x:c r="D329" t="str">
        <x:v>E_Alerta</x:v>
      </x:c>
      <x:c r="E329" t="str">
        <x:v>escritura</x:v>
      </x:c>
      <x:c r="F329" t="n">
        <x:v>1</x:v>
      </x:c>
      <x:c r="G329" t="str">
        <x:v>RF23</x:v>
      </x:c>
      <x:c r="H329" t="str">
        <x:v>RF23!F33</x:v>
      </x:c>
    </x:row>
    <x:row r="330">
      <x:c r="A330" t="str">
        <x:v>actualizarEstadosSiCorresponde</x:v>
      </x:c>
      <x:c r="B330" t="str">
        <x:v>idVehiculo,kmNuevo</x:v>
      </x:c>
      <x:c r="C330" t="str">
        <x:v>C_ControlAlerta</x:v>
      </x:c>
      <x:c r="D330" t="str">
        <x:v>E_Alerta</x:v>
      </x:c>
      <x:c r="E330" t="str">
        <x:v>escritura</x:v>
      </x:c>
      <x:c r="F330" t="n">
        <x:v>1</x:v>
      </x:c>
      <x:c r="G330" t="str">
        <x:v>RF16</x:v>
      </x:c>
      <x:c r="H330" t="str">
        <x:v>RF016-EF1!F40</x:v>
      </x:c>
    </x:row>
    <x:row r="331">
      <x:c r="A331" t="str">
        <x:v>actualizarOCrearSeguimientoSOATPorEdicionSiActivo</x:v>
      </x:c>
      <x:c r="B331" t="str">
        <x:v>idSOAT,nuevaFechaVencimiento,recordatorioActivo,fechaActual</x:v>
      </x:c>
      <x:c r="C331" t="str">
        <x:v>C_ControlAlerta</x:v>
      </x:c>
      <x:c r="D331" t="str">
        <x:v>E_Alerta</x:v>
      </x:c>
      <x:c r="E331" t="str">
        <x:v>escritura</x:v>
      </x:c>
      <x:c r="F331" t="n">
        <x:v>1</x:v>
      </x:c>
      <x:c r="G331" t="str">
        <x:v>RF32</x:v>
      </x:c>
      <x:c r="H331" t="str">
        <x:v>RF032-EF1!F44</x:v>
      </x:c>
    </x:row>
    <x:row r="332">
      <x:c r="A332" t="str">
        <x:v>cerrarAlertaSOATAnteriorPorRenovacionSiCorresponde</x:v>
      </x:c>
      <x:c r="B332" t="str">
        <x:v>idSOATAnterior,idSOATNuevo</x:v>
      </x:c>
      <x:c r="C332" t="str">
        <x:v>C_ControlAlerta</x:v>
      </x:c>
      <x:c r="D332" t="str">
        <x:v>E_Alerta</x:v>
      </x:c>
      <x:c r="E332" t="str">
        <x:v>otra</x:v>
      </x:c>
      <x:c r="F332" t="n">
        <x:v>1</x:v>
      </x:c>
      <x:c r="G332" t="str">
        <x:v>RF32</x:v>
      </x:c>
      <x:c r="H332" t="str">
        <x:v>RF032-EF1!F66</x:v>
      </x:c>
    </x:row>
    <x:row r="333">
      <x:c r="A333" t="str">
        <x:v>consultarAlertaActualParaGuardarConBloqueo</x:v>
      </x:c>
      <x:c r="B333" t="str">
        <x:v>id_usuario,id_alerta</x:v>
      </x:c>
      <x:c r="C333" t="str">
        <x:v>C_ControlAlerta</x:v>
      </x:c>
      <x:c r="D333" t="str">
        <x:v>E_Alerta</x:v>
      </x:c>
      <x:c r="E333" t="str">
        <x:v>consulta</x:v>
      </x:c>
      <x:c r="F333" t="n">
        <x:v>1</x:v>
      </x:c>
      <x:c r="G333" t="str">
        <x:v>RF24</x:v>
      </x:c>
      <x:c r="H333" t="str">
        <x:v>RF24!F68</x:v>
      </x:c>
    </x:row>
    <x:row r="334">
      <x:c r="A334" t="str">
        <x:v>consultarAlertaEquivalenteVigente</x:v>
      </x:c>
      <x:c r="B334" t="str">
        <x:v>id_vehiculo,id_tipo_mantenimiento,criterio,fecha_objetivo,km_objetivo,fecha_actual,servicio_otro_o_NULL</x:v>
      </x:c>
      <x:c r="C334" t="str">
        <x:v>C_ControlAlerta</x:v>
      </x:c>
      <x:c r="D334" t="str">
        <x:v>E_Alerta</x:v>
      </x:c>
      <x:c r="E334" t="str">
        <x:v>consulta</x:v>
      </x:c>
      <x:c r="F334" t="n">
        <x:v>2</x:v>
      </x:c>
      <x:c r="G334" t="str">
        <x:v>RF22</x:v>
      </x:c>
      <x:c r="H334" t="str">
        <x:v>RF22!F64</x:v>
      </x:c>
    </x:row>
    <x:row r="335">
      <x:c r="A335" t="str">
        <x:v>consultarAlertaSOATPorVigencia</x:v>
      </x:c>
      <x:c r="B335" t="str">
        <x:v>idSOAT</x:v>
      </x:c>
      <x:c r="C335" t="str">
        <x:v>C_ControlAlerta</x:v>
      </x:c>
      <x:c r="D335" t="str">
        <x:v>E_Alerta</x:v>
      </x:c>
      <x:c r="E335" t="str">
        <x:v>consulta</x:v>
      </x:c>
      <x:c r="F335" t="n">
        <x:v>1</x:v>
      </x:c>
      <x:c r="G335" t="str">
        <x:v>RF33</x:v>
      </x:c>
      <x:c r="H335" t="str">
        <x:v>RF033-EF1!F30</x:v>
      </x:c>
    </x:row>
    <x:row r="336">
      <x:c r="A336" t="str">
        <x:v>consultarAlertasEvaluablesYCandidatasACierre</x:v>
      </x:c>
      <x:c r="B336" t="str"/>
      <x:c r="C336" t="str">
        <x:v>C_ControlAlerta</x:v>
      </x:c>
      <x:c r="D336" t="str">
        <x:v>E_Alerta</x:v>
      </x:c>
      <x:c r="E336" t="str">
        <x:v>consulta</x:v>
      </x:c>
      <x:c r="F336" t="n">
        <x:v>1</x:v>
      </x:c>
      <x:c r="G336" t="str">
        <x:v>RF23</x:v>
      </x:c>
      <x:c r="H336" t="str">
        <x:v>RF23!F49</x:v>
      </x:c>
    </x:row>
    <x:row r="337">
      <x:c r="A337" t="str">
        <x:v>consultarAlertasKilometrajeVigentes</x:v>
      </x:c>
      <x:c r="B337" t="str">
        <x:v>idVehiculo</x:v>
      </x:c>
      <x:c r="C337" t="str">
        <x:v>C_ControlAlerta</x:v>
      </x:c>
      <x:c r="D337" t="str">
        <x:v>E_Alerta</x:v>
      </x:c>
      <x:c r="E337" t="str">
        <x:v>consulta</x:v>
      </x:c>
      <x:c r="F337" t="n">
        <x:v>1</x:v>
      </x:c>
      <x:c r="G337" t="str">
        <x:v>RF14</x:v>
      </x:c>
      <x:c r="H337" t="str">
        <x:v>RF014-EF1!F33</x:v>
      </x:c>
    </x:row>
    <x:row r="338">
      <x:c r="A338" t="str">
        <x:v>consultarAlertasLicenciaVisiblesDeTitular</x:v>
      </x:c>
      <x:c r="B338" t="str">
        <x:v>idUsuarioAutenticado,categoria=LICENCIA</x:v>
      </x:c>
      <x:c r="C338" t="str">
        <x:v>C_ControlAlerta</x:v>
      </x:c>
      <x:c r="D338" t="str">
        <x:v>E_Alerta</x:v>
      </x:c>
      <x:c r="E338" t="str">
        <x:v>consulta</x:v>
      </x:c>
      <x:c r="F338" t="n">
        <x:v>1</x:v>
      </x:c>
      <x:c r="G338" t="str">
        <x:v>RF23</x:v>
      </x:c>
      <x:c r="H338" t="str">
        <x:v>RF23!F95</x:v>
      </x:c>
    </x:row>
    <x:row r="339">
      <x:c r="A339" t="str">
        <x:v>consultarAlertasPorIds</x:v>
      </x:c>
      <x:c r="B339" t="str">
        <x:v>listaIdAlertaNoNulos</x:v>
      </x:c>
      <x:c r="C339" t="str">
        <x:v>C_ControlAlerta</x:v>
      </x:c>
      <x:c r="D339" t="str">
        <x:v>E_Alerta</x:v>
      </x:c>
      <x:c r="E339" t="str">
        <x:v>consulta</x:v>
      </x:c>
      <x:c r="F339" t="n">
        <x:v>2</x:v>
      </x:c>
      <x:c r="G339" t="str">
        <x:v>RF46</x:v>
      </x:c>
      <x:c r="H339" t="str">
        <x:v>RF046-EF1!F11</x:v>
      </x:c>
    </x:row>
    <x:row r="340">
      <x:c r="A340" t="str">
        <x:v>consultarAlertasVehiculo</x:v>
      </x:c>
      <x:c r="B340" t="str">
        <x:v>idVehiculo</x:v>
      </x:c>
      <x:c r="C340" t="str">
        <x:v>C_ControlAlerta</x:v>
      </x:c>
      <x:c r="D340" t="str">
        <x:v>E_Alerta</x:v>
      </x:c>
      <x:c r="E340" t="str">
        <x:v>consulta</x:v>
      </x:c>
      <x:c r="F340" t="n">
        <x:v>1</x:v>
      </x:c>
      <x:c r="G340" t="str">
        <x:v>RF12</x:v>
      </x:c>
      <x:c r="H340" t="str">
        <x:v>RF012-EF1!F35</x:v>
      </x:c>
    </x:row>
    <x:row r="341">
      <x:c r="A341" t="str">
        <x:v>consultarAlertasVehiculo</x:v>
      </x:c>
      <x:c r="B341" t="str">
        <x:v>id_usuario,id_vehiculo</x:v>
      </x:c>
      <x:c r="C341" t="str">
        <x:v>C_ControlAlerta</x:v>
      </x:c>
      <x:c r="D341" t="str">
        <x:v>E_Alerta</x:v>
      </x:c>
      <x:c r="E341" t="str">
        <x:v>consulta</x:v>
      </x:c>
      <x:c r="F341" t="n">
        <x:v>1</x:v>
      </x:c>
      <x:c r="G341" t="str">
        <x:v>RF22</x:v>
      </x:c>
      <x:c r="H341" t="str">
        <x:v>RF22!F109</x:v>
      </x:c>
    </x:row>
    <x:row r="342">
      <x:c r="A342" t="str">
        <x:v>consultarAlertasVisiblesVehiculoUsuario</x:v>
      </x:c>
      <x:c r="B342" t="str">
        <x:v>idUsuario,idVehiculo</x:v>
      </x:c>
      <x:c r="C342" t="str">
        <x:v>C_ControlAlerta</x:v>
      </x:c>
      <x:c r="D342" t="str">
        <x:v>E_Alerta</x:v>
      </x:c>
      <x:c r="E342" t="str">
        <x:v>consulta</x:v>
      </x:c>
      <x:c r="F342" t="n">
        <x:v>1</x:v>
      </x:c>
      <x:c r="G342" t="str">
        <x:v>RF23</x:v>
      </x:c>
      <x:c r="H342" t="str">
        <x:v>RF23!F20</x:v>
      </x:c>
    </x:row>
    <x:row r="343">
      <x:c r="A343" t="str">
        <x:v>consultarDetalleAlertaUsuario</x:v>
      </x:c>
      <x:c r="B343" t="str">
        <x:v>idUsuario,idAlerta</x:v>
      </x:c>
      <x:c r="C343" t="str">
        <x:v>C_ControlAlerta</x:v>
      </x:c>
      <x:c r="D343" t="str">
        <x:v>E_Alerta</x:v>
      </x:c>
      <x:c r="E343" t="str">
        <x:v>consulta</x:v>
      </x:c>
      <x:c r="F343" t="n">
        <x:v>1</x:v>
      </x:c>
      <x:c r="G343" t="str">
        <x:v>RF47</x:v>
      </x:c>
      <x:c r="H343" t="str">
        <x:v>RF047-EF1!F28</x:v>
      </x:c>
    </x:row>
    <x:row r="344">
      <x:c r="A344" t="str">
        <x:v>consultarDetalleAlertaUsuario</x:v>
      </x:c>
      <x:c r="B344" t="str">
        <x:v>id_usuario,id_alerta</x:v>
      </x:c>
      <x:c r="C344" t="str">
        <x:v>C_ControlAlerta</x:v>
      </x:c>
      <x:c r="D344" t="str">
        <x:v>E_Alerta</x:v>
      </x:c>
      <x:c r="E344" t="str">
        <x:v>consulta</x:v>
      </x:c>
      <x:c r="F344" t="n">
        <x:v>1</x:v>
      </x:c>
      <x:c r="G344" t="str">
        <x:v>RF24</x:v>
      </x:c>
      <x:c r="H344" t="str">
        <x:v>RF24!F7</x:v>
      </x:c>
    </x:row>
    <x:row r="345">
      <x:c r="A345" t="str">
        <x:v>consultarEstadoAlerta</x:v>
      </x:c>
      <x:c r="B345" t="str">
        <x:v>idAlerta</x:v>
      </x:c>
      <x:c r="C345" t="str">
        <x:v>C_ControlAlerta</x:v>
      </x:c>
      <x:c r="D345" t="str">
        <x:v>E_Alerta</x:v>
      </x:c>
      <x:c r="E345" t="str">
        <x:v>consulta</x:v>
      </x:c>
      <x:c r="F345" t="n">
        <x:v>1</x:v>
      </x:c>
      <x:c r="G345" t="str">
        <x:v>RF47</x:v>
      </x:c>
      <x:c r="H345" t="str">
        <x:v>RF047-EF1!F11</x:v>
      </x:c>
    </x:row>
    <x:row r="346">
      <x:c r="A346" t="str">
        <x:v>crearOActualizarAlertaNuevaVigenciaSiActiva</x:v>
      </x:c>
      <x:c r="B346" t="str">
        <x:v>idSOATNuevo,soatNuevo.fechaVencimiento,recordatorioActivo,fechaActual</x:v>
      </x:c>
      <x:c r="C346" t="str">
        <x:v>C_ControlAlerta</x:v>
      </x:c>
      <x:c r="D346" t="str">
        <x:v>E_Alerta</x:v>
      </x:c>
      <x:c r="E346" t="str">
        <x:v>otra</x:v>
      </x:c>
      <x:c r="F346" t="n">
        <x:v>1</x:v>
      </x:c>
      <x:c r="G346" t="str">
        <x:v>RF32</x:v>
      </x:c>
      <x:c r="H346" t="str">
        <x:v>RF032-EF1!F74</x:v>
      </x:c>
    </x:row>
    <x:row r="347">
      <x:c r="A347" t="str">
        <x:v>crearOActualizarAlertaSOATUnica</x:v>
      </x:c>
      <x:c r="B347" t="str">
        <x:v>idUsuario,idVehiculo,idSOAT,fechaVencimiento,estadoInicial,fechaActual</x:v>
      </x:c>
      <x:c r="C347" t="str">
        <x:v>C_ControlAlerta</x:v>
      </x:c>
      <x:c r="D347" t="str">
        <x:v>E_Alerta</x:v>
      </x:c>
      <x:c r="E347" t="str">
        <x:v>otra</x:v>
      </x:c>
      <x:c r="F347" t="n">
        <x:v>1</x:v>
      </x:c>
      <x:c r="G347" t="str">
        <x:v>RF33</x:v>
      </x:c>
      <x:c r="H347" t="str">
        <x:v>RF033-EF1!F41</x:v>
      </x:c>
    </x:row>
    <x:row r="348">
      <x:c r="A348" t="str">
        <x:v>crearOActualizarAlertaSOATUnica</x:v>
      </x:c>
      <x:c r="B348" t="str">
        <x:v>idVehiculo,idSOAT,fechaVencimiento,estadoInicial,fechaActual</x:v>
      </x:c>
      <x:c r="C348" t="str">
        <x:v>C_ControlAlerta</x:v>
      </x:c>
      <x:c r="D348" t="str">
        <x:v>E_Alerta</x:v>
      </x:c>
      <x:c r="E348" t="str">
        <x:v>otra</x:v>
      </x:c>
      <x:c r="F348" t="n">
        <x:v>1</x:v>
      </x:c>
      <x:c r="G348" t="str">
        <x:v>RF31</x:v>
      </x:c>
      <x:c r="H348" t="str">
        <x:v>RF031-EF1!F42</x:v>
      </x:c>
    </x:row>
    <x:row r="349">
      <x:c r="A349" t="str">
        <x:v>guardarAlertaManual</x:v>
      </x:c>
      <x:c r="B349" t="str">
        <x:v>id_vehiculo,id_tipo_mantenimiento,servicio_otro_o_NULL,criterio,fecha_ultimo_servicio_ref_o_NULL,km_ultimo_servicio_ref_o_NULL,unidad_tiempo,cantidad_tiempo,intervalo_km,fecha_objetivo,km_objetivo,tipo_aceite_referencia_o_NULL,estado_inicial,fecha_actual,id_mantenimiento_referencia_o_NULL</x:v>
      </x:c>
      <x:c r="C349" t="str">
        <x:v>C_ControlAlerta</x:v>
      </x:c>
      <x:c r="D349" t="str">
        <x:v>E_Alerta</x:v>
      </x:c>
      <x:c r="E349" t="str">
        <x:v>otra</x:v>
      </x:c>
      <x:c r="F349" t="n">
        <x:v>1</x:v>
      </x:c>
      <x:c r="G349" t="str">
        <x:v>RF22</x:v>
      </x:c>
      <x:c r="H349" t="str">
        <x:v>RF22!F94</x:v>
      </x:c>
    </x:row>
    <x:row r="350">
      <x:c r="A350" t="str">
        <x:v>marcarAlertaRealizadaSiAtendible</x:v>
      </x:c>
      <x:c r="B350" t="str">
        <x:v>id_alerta,id_mantenimiento,estado_verificado</x:v>
      </x:c>
      <x:c r="C350" t="str">
        <x:v>C_ControlAlerta</x:v>
      </x:c>
      <x:c r="D350" t="str">
        <x:v>E_Alerta</x:v>
      </x:c>
      <x:c r="E350" t="str">
        <x:v>escritura</x:v>
      </x:c>
      <x:c r="F350" t="n">
        <x:v>1</x:v>
      </x:c>
      <x:c r="G350" t="str">
        <x:v>RF24</x:v>
      </x:c>
      <x:c r="H350" t="str">
        <x:v>RF24!F85</x:v>
      </x:c>
    </x:row>
    <x:row r="351">
      <x:c r="A351" t="str">
        <x:v>pausarGeneracionFuturaSOAT</x:v>
      </x:c>
      <x:c r="B351" t="str">
        <x:v>idSOAT</x:v>
      </x:c>
      <x:c r="C351" t="str">
        <x:v>C_ControlAlerta</x:v>
      </x:c>
      <x:c r="D351" t="str">
        <x:v>E_Alerta</x:v>
      </x:c>
      <x:c r="E351" t="str">
        <x:v>otra</x:v>
      </x:c>
      <x:c r="F351" t="n">
        <x:v>1</x:v>
      </x:c>
      <x:c r="G351" t="str">
        <x:v>RF33</x:v>
      </x:c>
      <x:c r="H351" t="str">
        <x:v>RF033-EF1!F53</x:v>
      </x:c>
    </x:row>
    <x:row r="352">
      <x:c r="A352" t="str">
        <x:v>registrarAlertaAutomaticaLicencia</x:v>
      </x:c>
      <x:c r="B352" t="str">
        <x:v>idLicencia,fechaObjetivo,estado,categoria='LICENCIA',origen='LICENCIA'</x:v>
      </x:c>
      <x:c r="C352" t="str">
        <x:v>C_ControlAlerta</x:v>
      </x:c>
      <x:c r="D352" t="str">
        <x:v>E_Alerta</x:v>
      </x:c>
      <x:c r="E352" t="str">
        <x:v>escritura</x:v>
      </x:c>
      <x:c r="F352" t="n">
        <x:v>1</x:v>
      </x:c>
      <x:c r="G352" t="str">
        <x:v>RF51</x:v>
      </x:c>
      <x:c r="H352" t="str">
        <x:v>RF051-EF1!F54</x:v>
      </x:c>
    </x:row>
    <x:row r="353">
      <x:c r="A353" t="str">
        <x:v>sincronizarEstadoAutomaticoSiCorresponde</x:v>
      </x:c>
      <x:c r="B353" t="str">
        <x:v>id_alerta,estado_calculado,fecha_actual</x:v>
      </x:c>
      <x:c r="C353" t="str">
        <x:v>C_ControlAlerta</x:v>
      </x:c>
      <x:c r="D353" t="str">
        <x:v>E_Alerta</x:v>
      </x:c>
      <x:c r="E353" t="str">
        <x:v>otra</x:v>
      </x:c>
      <x:c r="F353" t="n">
        <x:v>1</x:v>
      </x:c>
      <x:c r="G353" t="str">
        <x:v>RF24</x:v>
      </x:c>
      <x:c r="H353" t="str">
        <x:v>RF24!F21</x:v>
      </x:c>
    </x:row>
    <x:row r="354">
      <x:c r="A354" t="str">
        <x:v>sincronizarYConsultarAlertasResumen</x:v>
      </x:c>
      <x:c r="B354" t="str">
        <x:v>idUsuario,idVehiculoSeleccionado,kilometraje,fechaActual</x:v>
      </x:c>
      <x:c r="C354" t="str">
        <x:v>C_ControlAlerta</x:v>
      </x:c>
      <x:c r="D354" t="str">
        <x:v>E_Alerta</x:v>
      </x:c>
      <x:c r="E354" t="str">
        <x:v>otra</x:v>
      </x:c>
      <x:c r="F354" t="n">
        <x:v>1</x:v>
      </x:c>
      <x:c r="G354" t="str">
        <x:v>RF50</x:v>
      </x:c>
      <x:c r="H354" t="str">
        <x:v>RF050-EF1!F32</x:v>
      </x:c>
    </x:row>
    <x:row r="355">
      <x:c r="A355" t="str">
        <x:v>registrarCierreSOATPorRenovacionSiCorresponde</x:v>
      </x:c>
      <x:c r="B355" t="str">
        <x:v>idAlertaAnterior,estadoFinal,transicionCierre?,SISTEMA</x:v>
      </x:c>
      <x:c r="C355" t="str">
        <x:v>C_ControlAlerta</x:v>
      </x:c>
      <x:c r="D355" t="str">
        <x:v>E_HistorialAlerta</x:v>
      </x:c>
      <x:c r="E355" t="str">
        <x:v>escritura</x:v>
      </x:c>
      <x:c r="F355" t="n">
        <x:v>1</x:v>
      </x:c>
      <x:c r="G355" t="str">
        <x:v>RF32</x:v>
      </x:c>
      <x:c r="H355" t="str">
        <x:v>RF032-EF1!F68</x:v>
      </x:c>
    </x:row>
    <x:row r="356">
      <x:c r="A356" t="str">
        <x:v>registrarCreacionAlerta</x:v>
      </x:c>
      <x:c r="B356" t="str">
        <x:v>id_alerta,NULL,estado_inicial,motivo_creacion_manual</x:v>
      </x:c>
      <x:c r="C356" t="str">
        <x:v>C_ControlAlerta</x:v>
      </x:c>
      <x:c r="D356" t="str">
        <x:v>E_HistorialAlerta</x:v>
      </x:c>
      <x:c r="E356" t="str">
        <x:v>escritura</x:v>
      </x:c>
      <x:c r="F356" t="n">
        <x:v>1</x:v>
      </x:c>
      <x:c r="G356" t="str">
        <x:v>RF22</x:v>
      </x:c>
      <x:c r="H356" t="str">
        <x:v>RF22!F96</x:v>
      </x:c>
    </x:row>
    <x:row r="357">
      <x:c r="A357" t="str">
        <x:v>registrarCreacionOCambioSOATSiCorresponde</x:v>
      </x:c>
      <x:c r="B357" t="str">
        <x:v>datosAlerta,transicionAplicada?,MANUAL</x:v>
      </x:c>
      <x:c r="C357" t="str">
        <x:v>C_ControlAlerta</x:v>
      </x:c>
      <x:c r="D357" t="str">
        <x:v>E_HistorialAlerta</x:v>
      </x:c>
      <x:c r="E357" t="str">
        <x:v>escritura</x:v>
      </x:c>
      <x:c r="F357" t="n">
        <x:v>2</x:v>
      </x:c>
      <x:c r="G357" t="str">
        <x:v>RF31, RF33</x:v>
      </x:c>
      <x:c r="H357" t="str">
        <x:v>RF031-EF1!F44</x:v>
      </x:c>
    </x:row>
    <x:row r="358">
      <x:c r="A358" t="str">
        <x:v>registrarEstadoInicialAlerta</x:v>
      </x:c>
      <x:c r="B358" t="str">
        <x:v>idAlerta,estadoInicial</x:v>
      </x:c>
      <x:c r="C358" t="str">
        <x:v>C_ControlAlerta</x:v>
      </x:c>
      <x:c r="D358" t="str">
        <x:v>E_HistorialAlerta</x:v>
      </x:c>
      <x:c r="E358" t="str">
        <x:v>escritura</x:v>
      </x:c>
      <x:c r="F358" t="n">
        <x:v>1</x:v>
      </x:c>
      <x:c r="G358" t="str">
        <x:v>RF51</x:v>
      </x:c>
      <x:c r="H358" t="str">
        <x:v>RF051-EF1!F56</x:v>
      </x:c>
    </x:row>
    <x:row r="359">
      <x:c r="A359" t="str">
        <x:v>registrarNuevaVigenciaSOATSiCorresponde</x:v>
      </x:c>
      <x:c r="B359" t="str">
        <x:v>datosAlertaNueva?,transicionNueva?,SISTEMA</x:v>
      </x:c>
      <x:c r="C359" t="str">
        <x:v>C_ControlAlerta</x:v>
      </x:c>
      <x:c r="D359" t="str">
        <x:v>E_HistorialAlerta</x:v>
      </x:c>
      <x:c r="E359" t="str">
        <x:v>escritura</x:v>
      </x:c>
      <x:c r="F359" t="n">
        <x:v>1</x:v>
      </x:c>
      <x:c r="G359" t="str">
        <x:v>RF32</x:v>
      </x:c>
      <x:c r="H359" t="str">
        <x:v>RF032-EF1!F76</x:v>
      </x:c>
    </x:row>
    <x:row r="360">
      <x:c r="A360" t="str">
        <x:v>registrarTransicionAutomaticaSiCorresponde</x:v>
      </x:c>
      <x:c r="B360" t="str">
        <x:v>id_alerta,transicion_aplicada,AUTOMATICO</x:v>
      </x:c>
      <x:c r="C360" t="str">
        <x:v>C_ControlAlerta</x:v>
      </x:c>
      <x:c r="D360" t="str">
        <x:v>E_HistorialAlerta</x:v>
      </x:c>
      <x:c r="E360" t="str">
        <x:v>escritura</x:v>
      </x:c>
      <x:c r="F360" t="n">
        <x:v>1</x:v>
      </x:c>
      <x:c r="G360" t="str">
        <x:v>RF24</x:v>
      </x:c>
      <x:c r="H360" t="str">
        <x:v>RF24!F23</x:v>
      </x:c>
    </x:row>
    <x:row r="361">
      <x:c r="A361" t="str">
        <x:v>registrarTransicionEstado</x:v>
      </x:c>
      <x:c r="B361" t="str">
        <x:v>id_alerta,estado_anterior,REALIZADA,ATENCION_MANTENIMIENTO</x:v>
      </x:c>
      <x:c r="C361" t="str">
        <x:v>C_ControlAlerta</x:v>
      </x:c>
      <x:c r="D361" t="str">
        <x:v>E_HistorialAlerta</x:v>
      </x:c>
      <x:c r="E361" t="str">
        <x:v>escritura</x:v>
      </x:c>
      <x:c r="F361" t="n">
        <x:v>1</x:v>
      </x:c>
      <x:c r="G361" t="str">
        <x:v>RF24</x:v>
      </x:c>
      <x:c r="H361" t="str">
        <x:v>RF24!F87</x:v>
      </x:c>
    </x:row>
    <x:row r="362">
      <x:c r="A362" t="str">
        <x:v>registrarTransicionesAutomaticasSiCorresponde</x:v>
      </x:c>
      <x:c r="B362" t="str">
        <x:v>transicionesAplicadas,AUTOMATICO</x:v>
      </x:c>
      <x:c r="C362" t="str">
        <x:v>C_ControlAlerta</x:v>
      </x:c>
      <x:c r="D362" t="str">
        <x:v>E_HistorialAlerta</x:v>
      </x:c>
      <x:c r="E362" t="str">
        <x:v>escritura</x:v>
      </x:c>
      <x:c r="F362" t="n">
        <x:v>2</x:v>
      </x:c>
      <x:c r="G362" t="str">
        <x:v>RF23</x:v>
      </x:c>
      <x:c r="H362" t="str">
        <x:v>RF23!F35</x:v>
      </x:c>
    </x:row>
    <x:row r="363">
      <x:c r="A363" t="str">
        <x:v>registrarTransicionesDefensivasSiCorresponde</x:v>
      </x:c>
      <x:c r="B363" t="str">
        <x:v>transicionesAplicadas,AUTOMATICO</x:v>
      </x:c>
      <x:c r="C363" t="str">
        <x:v>C_ControlAlerta</x:v>
      </x:c>
      <x:c r="D363" t="str">
        <x:v>E_HistorialAlerta</x:v>
      </x:c>
      <x:c r="E363" t="str">
        <x:v>escritura</x:v>
      </x:c>
      <x:c r="F363" t="n">
        <x:v>1</x:v>
      </x:c>
      <x:c r="G363" t="str">
        <x:v>RF50</x:v>
      </x:c>
      <x:c r="H363" t="str">
        <x:v>RF050-EF1!F34</x:v>
      </x:c>
    </x:row>
    <x:row r="364">
      <x:c r="A364" t="str">
        <x:v>registrarTransicionesEdicionSOATSiCorresponde</x:v>
      </x:c>
      <x:c r="B364" t="str">
        <x:v>transicionesAplicadas,SISTEMA</x:v>
      </x:c>
      <x:c r="C364" t="str">
        <x:v>C_ControlAlerta</x:v>
      </x:c>
      <x:c r="D364" t="str">
        <x:v>E_HistorialAlerta</x:v>
      </x:c>
      <x:c r="E364" t="str">
        <x:v>escritura</x:v>
      </x:c>
      <x:c r="F364" t="n">
        <x:v>1</x:v>
      </x:c>
      <x:c r="G364" t="str">
        <x:v>RF32</x:v>
      </x:c>
      <x:c r="H364" t="str">
        <x:v>RF032-EF1!F46</x:v>
      </x:c>
    </x:row>
    <x:row r="365">
      <x:c r="A365" t="str">
        <x:v>registrarTransicionesEstadoVehiculoSiCorresponde</x:v>
      </x:c>
      <x:c r="B365" t="str">
        <x:v>transicionesAplicadas,AUTOMATICO</x:v>
      </x:c>
      <x:c r="C365" t="str">
        <x:v>C_ControlAlerta</x:v>
      </x:c>
      <x:c r="D365" t="str">
        <x:v>E_HistorialAlerta</x:v>
      </x:c>
      <x:c r="E365" t="str">
        <x:v>escritura</x:v>
      </x:c>
      <x:c r="F365" t="n">
        <x:v>1</x:v>
      </x:c>
      <x:c r="G365" t="str">
        <x:v>RF12</x:v>
      </x:c>
      <x:c r="H365" t="str">
        <x:v>RF012-EF1!F40</x:v>
      </x:c>
    </x:row>
    <x:row r="366">
      <x:c r="A366" t="str">
        <x:v>registrarTransicionesPorCorreccionSiHay</x:v>
      </x:c>
      <x:c r="B366" t="str">
        <x:v>transiciones</x:v>
      </x:c>
      <x:c r="C366" t="str">
        <x:v>C_ControlAlerta</x:v>
      </x:c>
      <x:c r="D366" t="str">
        <x:v>E_HistorialAlerta</x:v>
      </x:c>
      <x:c r="E366" t="str">
        <x:v>escritura</x:v>
      </x:c>
      <x:c r="F366" t="n">
        <x:v>1</x:v>
      </x:c>
      <x:c r="G366" t="str">
        <x:v>RF16</x:v>
      </x:c>
      <x:c r="H366" t="str">
        <x:v>RF016-EF1!F42</x:v>
      </x:c>
    </x:row>
    <x:row r="367">
      <x:c r="A367" t="str">
        <x:v>registrarTransicionesSinDuplicar</x:v>
      </x:c>
      <x:c r="B367" t="str">
        <x:v>transiciones</x:v>
      </x:c>
      <x:c r="C367" t="str">
        <x:v>C_ControlAlerta</x:v>
      </x:c>
      <x:c r="D367" t="str">
        <x:v>E_HistorialAlerta</x:v>
      </x:c>
      <x:c r="E367" t="str">
        <x:v>escritura</x:v>
      </x:c>
      <x:c r="F367" t="n">
        <x:v>1</x:v>
      </x:c>
      <x:c r="G367" t="str">
        <x:v>RF14</x:v>
      </x:c>
      <x:c r="H367" t="str">
        <x:v>RF014-EF1!F38</x:v>
      </x:c>
    </x:row>
    <x:row r="368">
      <x:c r="A368" t="str">
        <x:v>mostrarAlertaProgramada</x:v>
      </x:c>
      <x:c r="B368" t="str">
        <x:v>fecha_objetivo,km_objetivo,criterio,estado_inicial,servicio_otro_o_NULL</x:v>
      </x:c>
      <x:c r="C368" t="str">
        <x:v>C_ControlAlerta</x:v>
      </x:c>
      <x:c r="D368" t="str">
        <x:v>I_AlertaProgramada</x:v>
      </x:c>
      <x:c r="E368" t="str">
        <x:v>presentación/navegación</x:v>
      </x:c>
      <x:c r="F368" t="n">
        <x:v>1</x:v>
      </x:c>
      <x:c r="G368" t="str">
        <x:v>RF22</x:v>
      </x:c>
      <x:c r="H368" t="str">
        <x:v>RF22!F104</x:v>
      </x:c>
    </x:row>
    <x:row r="369">
      <x:c r="A369" t="str">
        <x:v>mostrarAlertasActualizadas</x:v>
      </x:c>
      <x:c r="B369" t="str">
        <x:v>lista_alertas,TODAS</x:v>
      </x:c>
      <x:c r="C369" t="str">
        <x:v>C_ControlAlerta</x:v>
      </x:c>
      <x:c r="D369" t="str">
        <x:v>I_Alertas</x:v>
      </x:c>
      <x:c r="E369" t="str">
        <x:v>presentación/navegación</x:v>
      </x:c>
      <x:c r="F369" t="n">
        <x:v>1</x:v>
      </x:c>
      <x:c r="G369" t="str">
        <x:v>RF22</x:v>
      </x:c>
      <x:c r="H369" t="str">
        <x:v>RF22!F112</x:v>
      </x:c>
    </x:row>
    <x:row r="370">
      <x:c r="A370" t="str">
        <x:v>mostrarPestanaLicencia</x:v>
      </x:c>
      <x:c r="B370" t="str">
        <x:v>alertasPersonalesOrdenadas,filtrosEstado,datosLicencias</x:v>
      </x:c>
      <x:c r="C370" t="str">
        <x:v>C_ControlAlerta</x:v>
      </x:c>
      <x:c r="D370" t="str">
        <x:v>I_Alertas</x:v>
      </x:c>
      <x:c r="E370" t="str">
        <x:v>presentación/navegación</x:v>
      </x:c>
      <x:c r="F370" t="n">
        <x:v>1</x:v>
      </x:c>
      <x:c r="G370" t="str">
        <x:v>RF23</x:v>
      </x:c>
      <x:c r="H370" t="str">
        <x:v>RF23!F102</x:v>
      </x:c>
    </x:row>
    <x:row r="371">
      <x:c r="A371" t="str">
        <x:v>mostrarPestanaVehiculos</x:v>
      </x:c>
      <x:c r="B371" t="str">
        <x:v>datosVehiculo,alertasPriorizadas,filtrosEstado,pestanasDisponibles</x:v>
      </x:c>
      <x:c r="C371" t="str">
        <x:v>C_ControlAlerta</x:v>
      </x:c>
      <x:c r="D371" t="str">
        <x:v>I_Alertas</x:v>
      </x:c>
      <x:c r="E371" t="str">
        <x:v>presentación/navegación</x:v>
      </x:c>
      <x:c r="F371" t="n">
        <x:v>1</x:v>
      </x:c>
      <x:c r="G371" t="str">
        <x:v>RF23</x:v>
      </x:c>
      <x:c r="H371" t="str">
        <x:v>RF23!F45</x:v>
      </x:c>
    </x:row>
    <x:row r="372">
      <x:c r="A372" t="str">
        <x:v>mostrarVehiculoConsultaInicial</x:v>
      </x:c>
      <x:c r="B372" t="str">
        <x:v>datosVehiculo,listaOrdenada</x:v>
      </x:c>
      <x:c r="C372" t="str">
        <x:v>C_ControlAlerta</x:v>
      </x:c>
      <x:c r="D372" t="str">
        <x:v>I_Alertas</x:v>
      </x:c>
      <x:c r="E372" t="str">
        <x:v>presentación/navegación</x:v>
      </x:c>
      <x:c r="F372" t="n">
        <x:v>1</x:v>
      </x:c>
      <x:c r="G372" t="str">
        <x:v>RF23</x:v>
      </x:c>
      <x:c r="H372" t="str">
        <x:v>RF23!F17</x:v>
      </x:c>
    </x:row>
    <x:row r="373">
      <x:c r="A373" t="str">
        <x:v>mostrarResumenProgramacion</x:v>
      </x:c>
      <x:c r="B373" t="str">
        <x:v>datos_vehiculo,datos_tipo,fecha_ultimo_servicio_ref_o_NULL,km_ultimo_servicio_ref_o_NULL,fecha_base_actual,km_base_actual_o_NULL,criterio,unidad_tiempo,cantidad_tiempo,intervalo_km,fecha_objetivo,km_objetivo,estado_inicial,tipo_aceite_referencia,servicio_otro_o_NULL</x:v>
      </x:c>
      <x:c r="C373" t="str">
        <x:v>C_ControlAlerta</x:v>
      </x:c>
      <x:c r="D373" t="str">
        <x:v>I_ConfirmacionProgramacion</x:v>
      </x:c>
      <x:c r="E373" t="str">
        <x:v>presentación/navegación</x:v>
      </x:c>
      <x:c r="F373" t="n">
        <x:v>1</x:v>
      </x:c>
      <x:c r="G373" t="str">
        <x:v>RF22</x:v>
      </x:c>
      <x:c r="H373" t="str">
        <x:v>RF22!F68</x:v>
      </x:c>
    </x:row>
    <x:row r="374">
      <x:c r="A374" t="str">
        <x:v>mostrarDetalleAlerta</x:v>
      </x:c>
      <x:c r="B374" t="str">
        <x:v>detalle_actualizado,datos_vehiculo,acciones_disponibles</x:v>
      </x:c>
      <x:c r="C374" t="str">
        <x:v>C_ControlAlerta</x:v>
      </x:c>
      <x:c r="D374" t="str">
        <x:v>I_DetalleAlerta</x:v>
      </x:c>
      <x:c r="E374" t="str">
        <x:v>presentación/navegación</x:v>
      </x:c>
      <x:c r="F374" t="n">
        <x:v>1</x:v>
      </x:c>
      <x:c r="G374" t="str">
        <x:v>RF24</x:v>
      </x:c>
      <x:c r="H374" t="str">
        <x:v>RF24!F30</x:v>
      </x:c>
    </x:row>
    <x:row r="375">
      <x:c r="A375" t="str">
        <x:v>mostrarDetalleAlertaRealizada</x:v>
      </x:c>
      <x:c r="B375" t="str">
        <x:v>detalle_realizado,datos_mantenimiento</x:v>
      </x:c>
      <x:c r="C375" t="str">
        <x:v>C_ControlAlerta</x:v>
      </x:c>
      <x:c r="D375" t="str">
        <x:v>I_DetalleAlerta</x:v>
      </x:c>
      <x:c r="E375" t="str">
        <x:v>presentación/navegación</x:v>
      </x:c>
      <x:c r="F375" t="n">
        <x:v>1</x:v>
      </x:c>
      <x:c r="G375" t="str">
        <x:v>RF24</x:v>
      </x:c>
      <x:c r="H375" t="str">
        <x:v>RF24!F95</x:v>
      </x:c>
    </x:row>
    <x:row r="376">
      <x:c r="A376" t="str">
        <x:v>actualizarReferenciaServicioOtro</x:v>
      </x:c>
      <x:c r="B376" t="str">
        <x:v>id_mantenimiento_o_NULL,fecha_servicio_o_NULL,km_servicio_o_NULL</x:v>
      </x:c>
      <x:c r="C376" t="str">
        <x:v>C_ControlAlerta</x:v>
      </x:c>
      <x:c r="D376" t="str">
        <x:v>I_ProgramarAlerta</x:v>
      </x:c>
      <x:c r="E376" t="str">
        <x:v>escritura</x:v>
      </x:c>
      <x:c r="F376" t="n">
        <x:v>1</x:v>
      </x:c>
      <x:c r="G376" t="str">
        <x:v>RF22</x:v>
      </x:c>
      <x:c r="H376" t="str">
        <x:v>RF22!F55</x:v>
      </x:c>
    </x:row>
    <x:row r="377">
      <x:c r="A377" t="str">
        <x:v>mostrarDatosReferenciaYActuales</x:v>
      </x:c>
      <x:c r="B377" t="str">
        <x:v>referencia_ultimo_tipo_o_NULL,lista_servicios_otro_o_vacia,fecha_actual,km_vigente_o_NULL,tipo_aceite_referencia</x:v>
      </x:c>
      <x:c r="C377" t="str">
        <x:v>C_ControlAlerta</x:v>
      </x:c>
      <x:c r="D377" t="str">
        <x:v>I_ProgramarAlerta</x:v>
      </x:c>
      <x:c r="E377" t="str">
        <x:v>presentación/navegación</x:v>
      </x:c>
      <x:c r="F377" t="n">
        <x:v>1</x:v>
      </x:c>
      <x:c r="G377" t="str">
        <x:v>RF22</x:v>
      </x:c>
      <x:c r="H377" t="str">
        <x:v>RF22!F42</x:v>
      </x:c>
    </x:row>
    <x:row r="378">
      <x:c r="A378" t="str">
        <x:v>mostrarFormularioBase</x:v>
      </x:c>
      <x:c r="B378" t="str">
        <x:v>lista_vehiculos,vehiculo_inicial,lista_tipos_registrables</x:v>
      </x:c>
      <x:c r="C378" t="str">
        <x:v>C_ControlAlerta</x:v>
      </x:c>
      <x:c r="D378" t="str">
        <x:v>I_ProgramarAlerta</x:v>
      </x:c>
      <x:c r="E378" t="str">
        <x:v>presentación/navegación</x:v>
      </x:c>
      <x:c r="F378" t="n">
        <x:v>1</x:v>
      </x:c>
      <x:c r="G378" t="str">
        <x:v>RF22</x:v>
      </x:c>
      <x:c r="H378" t="str">
        <x:v>RF22!F16</x:v>
      </x:c>
    </x:row>
    <x:row r="379">
      <x:c r="A379" t="str">
        <x:v>validarPermiso</x:v>
      </x:c>
      <x:c r="B379" t="str">
        <x:v>idAdmin,GESTIONAR_CATALOGOS</x:v>
      </x:c>
      <x:c r="C379" t="str">
        <x:v>C_ControlCatalogo</x:v>
      </x:c>
      <x:c r="D379" t="str">
        <x:v>C_Autorizacion</x:v>
      </x:c>
      <x:c r="E379" t="str">
        <x:v>validación</x:v>
      </x:c>
      <x:c r="F379" t="n">
        <x:v>1</x:v>
      </x:c>
      <x:c r="G379" t="str">
        <x:v>RF62</x:v>
      </x:c>
      <x:c r="H379" t="str">
        <x:v>RF062_EXITOSO!F7</x:v>
      </x:c>
    </x:row>
    <x:row r="380">
      <x:c r="A380" t="str">
        <x:v>validarNombreNoVacioYNormalizar</x:v>
      </x:c>
      <x:c r="B380" t="str">
        <x:v>nombre</x:v>
      </x:c>
      <x:c r="C380" t="str">
        <x:v>C_ControlCatalogo</x:v>
      </x:c>
      <x:c r="D380" t="str">
        <x:v>C_ControlCatalogo</x:v>
      </x:c>
      <x:c r="E380" t="str">
        <x:v>validación</x:v>
      </x:c>
      <x:c r="F380" t="n">
        <x:v>1</x:v>
      </x:c>
      <x:c r="G380" t="str">
        <x:v>RF62</x:v>
      </x:c>
      <x:c r="H380" t="str">
        <x:v>RF062_EXITOSO!F26</x:v>
      </x:c>
    </x:row>
    <x:row r="381">
      <x:c r="A381" t="str">
        <x:v>listarCategoriasConfigurables</x:v>
      </x:c>
      <x:c r="B381" t="str"/>
      <x:c r="C381" t="str">
        <x:v>C_ControlCatalogo</x:v>
      </x:c>
      <x:c r="D381" t="str">
        <x:v>E_Catalogo</x:v>
      </x:c>
      <x:c r="E381" t="str">
        <x:v>otra</x:v>
      </x:c>
      <x:c r="F381" t="n">
        <x:v>1</x:v>
      </x:c>
      <x:c r="G381" t="str">
        <x:v>RF62</x:v>
      </x:c>
      <x:c r="H381" t="str">
        <x:v>RF062_EXITOSO!F9</x:v>
      </x:c>
    </x:row>
    <x:row r="382">
      <x:c r="A382" t="str">
        <x:v>crearElemento</x:v>
      </x:c>
      <x:c r="B382" t="str">
        <x:v>catalogoId,nombre,ACTIVO</x:v>
      </x:c>
      <x:c r="C382" t="str">
        <x:v>C_ControlCatalogo</x:v>
      </x:c>
      <x:c r="D382" t="str">
        <x:v>E_CatalogoDetalle</x:v>
      </x:c>
      <x:c r="E382" t="str">
        <x:v>otra</x:v>
      </x:c>
      <x:c r="F382" t="n">
        <x:v>1</x:v>
      </x:c>
      <x:c r="G382" t="str">
        <x:v>RF62</x:v>
      </x:c>
      <x:c r="H382" t="str">
        <x:v>RF062_EXITOSO!F29</x:v>
      </x:c>
    </x:row>
    <x:row r="383">
      <x:c r="A383" t="str">
        <x:v>existeElemento</x:v>
      </x:c>
      <x:c r="B383" t="str">
        <x:v>catalogoId,nombreNormalizado</x:v>
      </x:c>
      <x:c r="C383" t="str">
        <x:v>C_ControlCatalogo</x:v>
      </x:c>
      <x:c r="D383" t="str">
        <x:v>E_CatalogoDetalle</x:v>
      </x:c>
      <x:c r="E383" t="str">
        <x:v>otra</x:v>
      </x:c>
      <x:c r="F383" t="n">
        <x:v>1</x:v>
      </x:c>
      <x:c r="G383" t="str">
        <x:v>RF62</x:v>
      </x:c>
      <x:c r="H383" t="str">
        <x:v>RF062_EXITOSO!F27</x:v>
      </x:c>
    </x:row>
    <x:row r="384">
      <x:c r="A384" t="str">
        <x:v>listarElementos</x:v>
      </x:c>
      <x:c r="B384" t="str">
        <x:v>catalogoId</x:v>
      </x:c>
      <x:c r="C384" t="str">
        <x:v>C_ControlCatalogo</x:v>
      </x:c>
      <x:c r="D384" t="str">
        <x:v>E_CatalogoDetalle</x:v>
      </x:c>
      <x:c r="E384" t="str">
        <x:v>otra</x:v>
      </x:c>
      <x:c r="F384" t="n">
        <x:v>2</x:v>
      </x:c>
      <x:c r="G384" t="str">
        <x:v>RF62</x:v>
      </x:c>
      <x:c r="H384" t="str">
        <x:v>RF062_EXITOSO!F15</x:v>
      </x:c>
    </x:row>
    <x:row r="385">
      <x:c r="A385" t="str">
        <x:v>mostrarCategorias</x:v>
      </x:c>
      <x:c r="B385" t="str">
        <x:v>lista</x:v>
      </x:c>
      <x:c r="C385" t="str">
        <x:v>C_ControlCatalogo</x:v>
      </x:c>
      <x:c r="D385" t="str">
        <x:v>I_CatalogosAdmin</x:v>
      </x:c>
      <x:c r="E385" t="str">
        <x:v>presentación/navegación</x:v>
      </x:c>
      <x:c r="F385" t="n">
        <x:v>1</x:v>
      </x:c>
      <x:c r="G385" t="str">
        <x:v>RF62</x:v>
      </x:c>
      <x:c r="H385" t="str">
        <x:v>RF062_EXITOSO!F11</x:v>
      </x:c>
    </x:row>
    <x:row r="386">
      <x:c r="A386" t="str">
        <x:v>mostrarElementoRegistrado</x:v>
      </x:c>
      <x:c r="B386" t="str">
        <x:v>nombre,ACTIVO</x:v>
      </x:c>
      <x:c r="C386" t="str">
        <x:v>C_ControlCatalogo</x:v>
      </x:c>
      <x:c r="D386" t="str">
        <x:v>I_ConfirmacionCatalogo</x:v>
      </x:c>
      <x:c r="E386" t="str">
        <x:v>presentación/navegación</x:v>
      </x:c>
      <x:c r="F386" t="n">
        <x:v>1</x:v>
      </x:c>
      <x:c r="G386" t="str">
        <x:v>RF62</x:v>
      </x:c>
      <x:c r="H386" t="str">
        <x:v>RF062_EXITOSO!F32</x:v>
      </x:c>
    </x:row>
    <x:row r="387">
      <x:c r="A387" t="str">
        <x:v>mostrarFormulario</x:v>
      </x:c>
      <x:c r="B387" t="str">
        <x:v>nombre,estado=ACTIVO</x:v>
      </x:c>
      <x:c r="C387" t="str">
        <x:v>C_ControlCatalogo</x:v>
      </x:c>
      <x:c r="D387" t="str">
        <x:v>I_FormularioCatalogo</x:v>
      </x:c>
      <x:c r="E387" t="str">
        <x:v>presentación/navegación</x:v>
      </x:c>
      <x:c r="F387" t="n">
        <x:v>1</x:v>
      </x:c>
      <x:c r="G387" t="str">
        <x:v>RF62</x:v>
      </x:c>
      <x:c r="H387" t="str">
        <x:v>RF062_EXITOSO!F22</x:v>
      </x:c>
    </x:row>
    <x:row r="388">
      <x:c r="A388" t="str">
        <x:v>mostrarListadoActualizado</x:v>
      </x:c>
      <x:c r="B388" t="str">
        <x:v>lista</x:v>
      </x:c>
      <x:c r="C388" t="str">
        <x:v>C_ControlCatalogo</x:v>
      </x:c>
      <x:c r="D388" t="str">
        <x:v>I_ListaElementosCatalogo</x:v>
      </x:c>
      <x:c r="E388" t="str">
        <x:v>presentación/navegación</x:v>
      </x:c>
      <x:c r="F388" t="n">
        <x:v>1</x:v>
      </x:c>
      <x:c r="G388" t="str">
        <x:v>RF62</x:v>
      </x:c>
      <x:c r="H388" t="str">
        <x:v>RF062_EXITOSO!F38</x:v>
      </x:c>
    </x:row>
    <x:row r="389">
      <x:c r="A389" t="str">
        <x:v>mostrarTiposMantenimiento</x:v>
      </x:c>
      <x:c r="B389" t="str">
        <x:v>lista</x:v>
      </x:c>
      <x:c r="C389" t="str">
        <x:v>C_ControlCatalogo</x:v>
      </x:c>
      <x:c r="D389" t="str">
        <x:v>I_ListaElementosCatalogo</x:v>
      </x:c>
      <x:c r="E389" t="str">
        <x:v>presentación/navegación</x:v>
      </x:c>
      <x:c r="F389" t="n">
        <x:v>1</x:v>
      </x:c>
      <x:c r="G389" t="str">
        <x:v>RF62</x:v>
      </x:c>
      <x:c r="H389" t="str">
        <x:v>RF062_EXITOSO!F17</x:v>
      </x:c>
    </x:row>
    <x:row r="390">
      <x:c r="A390" t="str">
        <x:v>consolidarContenidoPublico</x:v>
      </x:c>
      <x:c r="B390" t="str">
        <x:v>datosVehiculo,imagenPrincipal</x:v>
      </x:c>
      <x:c r="C390" t="str">
        <x:v>C_ControlCompartirVehiculo</x:v>
      </x:c>
      <x:c r="D390" t="str">
        <x:v>C_ControlCompartirVehiculo</x:v>
      </x:c>
      <x:c r="E390" t="str">
        <x:v>otra</x:v>
      </x:c>
      <x:c r="F390" t="n">
        <x:v>1</x:v>
      </x:c>
      <x:c r="G390" t="str">
        <x:v>RF41</x:v>
      </x:c>
      <x:c r="H390" t="str">
        <x:v>RF041-EF1!F13</x:v>
      </x:c>
    </x:row>
    <x:row r="391">
      <x:c r="A391" t="str">
        <x:v>validarCanalComparticion</x:v>
      </x:c>
      <x:c r="B391" t="str">
        <x:v>canal</x:v>
      </x:c>
      <x:c r="C391" t="str">
        <x:v>C_ControlCompartirVehiculo</x:v>
      </x:c>
      <x:c r="D391" t="str">
        <x:v>C_ControlCompartirVehiculo</x:v>
      </x:c>
      <x:c r="E391" t="str">
        <x:v>validación</x:v>
      </x:c>
      <x:c r="F391" t="n">
        <x:v>1</x:v>
      </x:c>
      <x:c r="G391" t="str">
        <x:v>RF41</x:v>
      </x:c>
      <x:c r="H391" t="str">
        <x:v>RF041-EF1!F21</x:v>
      </x:c>
    </x:row>
    <x:row r="392">
      <x:c r="A392" t="str">
        <x:v>solicitarImagenPrincipalPublica</x:v>
      </x:c>
      <x:c r="B392" t="str">
        <x:v>idVehiculo</x:v>
      </x:c>
      <x:c r="C392" t="str">
        <x:v>C_ControlCompartirVehiculo</x:v>
      </x:c>
      <x:c r="D392" t="str">
        <x:v>C_ControlImagenVehiculo</x:v>
      </x:c>
      <x:c r="E392" t="str">
        <x:v>presentación/navegación</x:v>
      </x:c>
      <x:c r="F392" t="n">
        <x:v>1</x:v>
      </x:c>
      <x:c r="G392" t="str">
        <x:v>RF41</x:v>
      </x:c>
      <x:c r="H392" t="str">
        <x:v>RF041-EF1!F10</x:v>
      </x:c>
    </x:row>
    <x:row r="393">
      <x:c r="A393" t="str">
        <x:v>consultarDatosPublicosVehiculo</x:v>
      </x:c>
      <x:c r="B393" t="str">
        <x:v>idUsuario,idVehiculo</x:v>
      </x:c>
      <x:c r="C393" t="str">
        <x:v>C_ControlCompartirVehiculo</x:v>
      </x:c>
      <x:c r="D393" t="str">
        <x:v>E_Vehiculo</x:v>
      </x:c>
      <x:c r="E393" t="str">
        <x:v>consulta</x:v>
      </x:c>
      <x:c r="F393" t="n">
        <x:v>1</x:v>
      </x:c>
      <x:c r="G393" t="str">
        <x:v>RF41</x:v>
      </x:c>
      <x:c r="H393" t="str">
        <x:v>RF041-EF1!F8</x:v>
      </x:c>
    </x:row>
    <x:row r="394">
      <x:c r="A394" t="str">
        <x:v>restaurarVistaAutos</x:v>
      </x:c>
      <x:c r="B394" t="str"/>
      <x:c r="C394" t="str">
        <x:v>C_ControlCompartirVehiculo</x:v>
      </x:c>
      <x:c r="D394" t="str">
        <x:v>I_Autos</x:v>
      </x:c>
      <x:c r="E394" t="str">
        <x:v>otra</x:v>
      </x:c>
      <x:c r="F394" t="n">
        <x:v>1</x:v>
      </x:c>
      <x:c r="G394" t="str">
        <x:v>RF41</x:v>
      </x:c>
      <x:c r="H394" t="str">
        <x:v>RF041-EF1!F26</x:v>
      </x:c>
    </x:row>
    <x:row r="395">
      <x:c r="A395" t="str">
        <x:v>mostrarVistaPreviaPDF</x:v>
      </x:c>
      <x:c r="B395" t="str">
        <x:v>archivoPDFTemporal,WHATSAPP,CORREO</x:v>
      </x:c>
      <x:c r="C395" t="str">
        <x:v>C_ControlCompartirVehiculo</x:v>
      </x:c>
      <x:c r="D395" t="str">
        <x:v>I_VistaPreviaCompartirVehiculo</x:v>
      </x:c>
      <x:c r="E395" t="str">
        <x:v>presentación/navegación</x:v>
      </x:c>
      <x:c r="F395" t="n">
        <x:v>1</x:v>
      </x:c>
      <x:c r="G395" t="str">
        <x:v>RF41</x:v>
      </x:c>
      <x:c r="H395" t="str">
        <x:v>RF041-EF1!F16</x:v>
      </x:c>
    </x:row>
    <x:row r="396">
      <x:c r="A396" t="str">
        <x:v>abrirCanalConPDF</x:v>
      </x:c>
      <x:c r="B396" t="str">
        <x:v>archivoPDFTemporal,canal</x:v>
      </x:c>
      <x:c r="C396" t="str">
        <x:v>C_ControlCompartirVehiculo</x:v>
      </x:c>
      <x:c r="D396" t="str">
        <x:v>ServicioCompartirDispositivo</x:v>
      </x:c>
      <x:c r="E396" t="str">
        <x:v>presentación/navegación</x:v>
      </x:c>
      <x:c r="F396" t="n">
        <x:v>1</x:v>
      </x:c>
      <x:c r="G396" t="str">
        <x:v>RF41</x:v>
      </x:c>
      <x:c r="H396" t="str">
        <x:v>RF041-EF1!F23</x:v>
      </x:c>
    </x:row>
    <x:row r="397">
      <x:c r="A397" t="str">
        <x:v>generarFichaVehiculoPDF</x:v>
      </x:c>
      <x:c r="B397" t="str">
        <x:v>contenidoPublico</x:v>
      </x:c>
      <x:c r="C397" t="str">
        <x:v>C_ControlCompartirVehiculo</x:v>
      </x:c>
      <x:c r="D397" t="str">
        <x:v>ServicioGeneradorPDF</x:v>
      </x:c>
      <x:c r="E397" t="str">
        <x:v>otra</x:v>
      </x:c>
      <x:c r="F397" t="n">
        <x:v>1</x:v>
      </x:c>
      <x:c r="G397" t="str">
        <x:v>RF41</x:v>
      </x:c>
      <x:c r="H397" t="str">
        <x:v>RF041-EF1!F14</x:v>
      </x:c>
    </x:row>
    <x:row r="398">
      <x:c r="A398" t="str">
        <x:v>validarPermisoGestionCuenta</x:v>
      </x:c>
      <x:c r="B398" t="str">
        <x:v>idAdmin</x:v>
      </x:c>
      <x:c r="C398" t="str">
        <x:v>C_ControlCuenta</x:v>
      </x:c>
      <x:c r="D398" t="str">
        <x:v>C_Autorizacion</x:v>
      </x:c>
      <x:c r="E398" t="str">
        <x:v>validación</x:v>
      </x:c>
      <x:c r="F398" t="n">
        <x:v>1</x:v>
      </x:c>
      <x:c r="G398" t="str">
        <x:v>RF59</x:v>
      </x:c>
      <x:c r="H398" t="str">
        <x:v>RF059_EXITOSO!F7</x:v>
      </x:c>
    </x:row>
    <x:row r="399">
      <x:c r="A399" t="str">
        <x:v>validarMotivoYReglas</x:v>
      </x:c>
      <x:c r="B399" t="str">
        <x:v>motivo,estado</x:v>
      </x:c>
      <x:c r="C399" t="str">
        <x:v>C_ControlCuenta</x:v>
      </x:c>
      <x:c r="D399" t="str">
        <x:v>C_ControlCuenta</x:v>
      </x:c>
      <x:c r="E399" t="str">
        <x:v>validación</x:v>
      </x:c>
      <x:c r="F399" t="n">
        <x:v>1</x:v>
      </x:c>
      <x:c r="G399" t="str">
        <x:v>RF59</x:v>
      </x:c>
      <x:c r="H399" t="str">
        <x:v>RF059_EXITOSO!F15</x:v>
      </x:c>
    </x:row>
    <x:row r="400">
      <x:c r="A400" t="str">
        <x:v>retornarEstadoYPlazo</x:v>
      </x:c>
      <x:c r="B400" t="str">
        <x:v>estado,diasRestantes</x:v>
      </x:c>
      <x:c r="C400" t="str">
        <x:v>C_ControlCuenta</x:v>
      </x:c>
      <x:c r="D400" t="str">
        <x:v>C_ControlUsuariosAdmin</x:v>
      </x:c>
      <x:c r="E400" t="str">
        <x:v>retorno</x:v>
      </x:c>
      <x:c r="F400" t="n">
        <x:v>1</x:v>
      </x:c>
      <x:c r="G400" t="str">
        <x:v>RF58</x:v>
      </x:c>
      <x:c r="H400" t="str">
        <x:v>RF058_EXITOSO!F25</x:v>
      </x:c>
    </x:row>
    <x:row r="401">
      <x:c r="A401" t="str">
        <x:v>registrarEvento</x:v>
      </x:c>
      <x:c r="B401" t="str">
        <x:v>SUSPENSION,idAdmin,motivo,fecha</x:v>
      </x:c>
      <x:c r="C401" t="str">
        <x:v>C_ControlCuenta</x:v>
      </x:c>
      <x:c r="D401" t="str">
        <x:v>E_EstadoCuenta</x:v>
      </x:c>
      <x:c r="E401" t="str">
        <x:v>escritura</x:v>
      </x:c>
      <x:c r="F401" t="n">
        <x:v>1</x:v>
      </x:c>
      <x:c r="G401" t="str">
        <x:v>RF59</x:v>
      </x:c>
      <x:c r="H401" t="str">
        <x:v>RF059_EXITOSO!F21</x:v>
      </x:c>
    </x:row>
    <x:row r="402">
      <x:c r="A402" t="str">
        <x:v>invalidarSesionesUsuario</x:v>
      </x:c>
      <x:c r="B402" t="str">
        <x:v>idUsuarioObjetivo</x:v>
      </x:c>
      <x:c r="C402" t="str">
        <x:v>C_ControlCuenta</x:v>
      </x:c>
      <x:c r="D402" t="str">
        <x:v>E_Sesion</x:v>
      </x:c>
      <x:c r="E402" t="str">
        <x:v>otra</x:v>
      </x:c>
      <x:c r="F402" t="n">
        <x:v>1</x:v>
      </x:c>
      <x:c r="G402" t="str">
        <x:v>RF59</x:v>
      </x:c>
      <x:c r="H402" t="str">
        <x:v>RF059_EXITOSO!F19</x:v>
      </x:c>
    </x:row>
    <x:row r="403">
      <x:c r="A403" t="str">
        <x:v>actualizarEstadoCuenta</x:v>
      </x:c>
      <x:c r="B403" t="str">
        <x:v>idUsuarioObjetivo,SUSPENDIDA</x:v>
      </x:c>
      <x:c r="C403" t="str">
        <x:v>C_ControlCuenta</x:v>
      </x:c>
      <x:c r="D403" t="str">
        <x:v>E_Usuario</x:v>
      </x:c>
      <x:c r="E403" t="str">
        <x:v>escritura</x:v>
      </x:c>
      <x:c r="F403" t="n">
        <x:v>1</x:v>
      </x:c>
      <x:c r="G403" t="str">
        <x:v>RF59</x:v>
      </x:c>
      <x:c r="H403" t="str">
        <x:v>RF059_EXITOSO!F17</x:v>
      </x:c>
    </x:row>
    <x:row r="404">
      <x:c r="A404" t="str">
        <x:v>consultarEstadoCuenta</x:v>
      </x:c>
      <x:c r="B404" t="str">
        <x:v>idUsuarioObjetivo</x:v>
      </x:c>
      <x:c r="C404" t="str">
        <x:v>C_ControlCuenta</x:v>
      </x:c>
      <x:c r="D404" t="str">
        <x:v>E_Usuario</x:v>
      </x:c>
      <x:c r="E404" t="str">
        <x:v>consulta</x:v>
      </x:c>
      <x:c r="F404" t="n">
        <x:v>1</x:v>
      </x:c>
      <x:c r="G404" t="str">
        <x:v>RF59</x:v>
      </x:c>
      <x:c r="H404" t="str">
        <x:v>RF059_EXITOSO!F9</x:v>
      </x:c>
    </x:row>
    <x:row r="405">
      <x:c r="A405" t="str">
        <x:v>mostrarConfirmacionSuspension</x:v>
      </x:c>
      <x:c r="B405" t="str"/>
      <x:c r="C405" t="str">
        <x:v>C_ControlCuenta</x:v>
      </x:c>
      <x:c r="D405" t="str">
        <x:v>I_ConfirmacionEstadoCuenta</x:v>
      </x:c>
      <x:c r="E405" t="str">
        <x:v>presentación/navegación</x:v>
      </x:c>
      <x:c r="F405" t="n">
        <x:v>1</x:v>
      </x:c>
      <x:c r="G405" t="str">
        <x:v>RF59</x:v>
      </x:c>
      <x:c r="H405" t="str">
        <x:v>RF059_EXITOSO!F11</x:v>
      </x:c>
    </x:row>
    <x:row r="406">
      <x:c r="A406" t="str">
        <x:v>mostrarCuentaSuspendida</x:v>
      </x:c>
      <x:c r="B406" t="str"/>
      <x:c r="C406" t="str">
        <x:v>C_ControlCuenta</x:v>
      </x:c>
      <x:c r="D406" t="str">
        <x:v>I_ConfirmacionEstadoCuenta</x:v>
      </x:c>
      <x:c r="E406" t="str">
        <x:v>presentación/navegación</x:v>
      </x:c>
      <x:c r="F406" t="n">
        <x:v>1</x:v>
      </x:c>
      <x:c r="G406" t="str">
        <x:v>RF59</x:v>
      </x:c>
      <x:c r="H406" t="str">
        <x:v>RF059_EXITOSO!F23</x:v>
      </x:c>
    </x:row>
    <x:row r="407">
      <x:c r="A407" t="str">
        <x:v>mostrarDetalle</x:v>
      </x:c>
      <x:c r="B407" t="str">
        <x:v>estado=SUSPENDIDA</x:v>
      </x:c>
      <x:c r="C407" t="str">
        <x:v>C_ControlCuenta</x:v>
      </x:c>
      <x:c r="D407" t="str">
        <x:v>I_DetalleUsuarioAdmin</x:v>
      </x:c>
      <x:c r="E407" t="str">
        <x:v>presentación/navegación</x:v>
      </x:c>
      <x:c r="F407" t="n">
        <x:v>1</x:v>
      </x:c>
      <x:c r="G407" t="str">
        <x:v>RF59</x:v>
      </x:c>
      <x:c r="H407" t="str">
        <x:v>RF059_EXITOSO!F26</x:v>
      </x:c>
    </x:row>
    <x:row r="408">
      <x:c r="A408" t="str">
        <x:v>prepararDetalleYAcciones</x:v>
      </x:c>
      <x:c r="B408" t="str">
        <x:v>datosVehiculo,kilometraje,fechaLectura,datosSOAT,estadoSOAT,estadoTIVE,datosTIVE,estadoImagen,datosImagen</x:v>
      </x:c>
      <x:c r="C408" t="str">
        <x:v>C_ControlDetalleVehiculo</x:v>
      </x:c>
      <x:c r="D408" t="str">
        <x:v>C_ControlDetalleVehiculo</x:v>
      </x:c>
      <x:c r="E408" t="str">
        <x:v>otra</x:v>
      </x:c>
      <x:c r="F408" t="n">
        <x:v>1</x:v>
      </x:c>
      <x:c r="G408" t="str">
        <x:v>RF10</x:v>
      </x:c>
      <x:c r="H408" t="str">
        <x:v>RF010-EF1!F30</x:v>
      </x:c>
    </x:row>
    <x:row r="409">
      <x:c r="A409" t="str">
        <x:v>validarAccesoDetalle</x:v>
      </x:c>
      <x:c r="B409" t="str">
        <x:v>datosVehiculo</x:v>
      </x:c>
      <x:c r="C409" t="str">
        <x:v>C_ControlDetalleVehiculo</x:v>
      </x:c>
      <x:c r="D409" t="str">
        <x:v>C_ControlDetalleVehiculo</x:v>
      </x:c>
      <x:c r="E409" t="str">
        <x:v>validación</x:v>
      </x:c>
      <x:c r="F409" t="n">
        <x:v>1</x:v>
      </x:c>
      <x:c r="G409" t="str">
        <x:v>RF10</x:v>
      </x:c>
      <x:c r="H409" t="str">
        <x:v>RF010-EF1!F9</x:v>
      </x:c>
    </x:row>
    <x:row r="410">
      <x:c r="A410" t="str">
        <x:v>retornarDetalleActualizado</x:v>
      </x:c>
      <x:c r="B410" t="str">
        <x:v>datosDetalle</x:v>
      </x:c>
      <x:c r="C410" t="str">
        <x:v>C_ControlDetalleVehiculo</x:v>
      </x:c>
      <x:c r="D410" t="str">
        <x:v>C_ControlEdicionVehiculo</x:v>
      </x:c>
      <x:c r="E410" t="str">
        <x:v>retorno</x:v>
      </x:c>
      <x:c r="F410" t="n">
        <x:v>1</x:v>
      </x:c>
      <x:c r="G410" t="str">
        <x:v>RF11</x:v>
      </x:c>
      <x:c r="H410" t="str">
        <x:v>RF011-EF1!F38</x:v>
      </x:c>
    </x:row>
    <x:row r="411">
      <x:c r="A411" t="str">
        <x:v>retornarDetalleActualizado</x:v>
      </x:c>
      <x:c r="B411" t="str">
        <x:v>datosDetalle</x:v>
      </x:c>
      <x:c r="C411" t="str">
        <x:v>C_ControlDetalleVehiculo</x:v>
      </x:c>
      <x:c r="D411" t="str">
        <x:v>C_ControlImagenVehiculo</x:v>
      </x:c>
      <x:c r="E411" t="str">
        <x:v>retorno</x:v>
      </x:c>
      <x:c r="F411" t="n">
        <x:v>3</x:v>
      </x:c>
      <x:c r="G411" t="str">
        <x:v>RF42, RF43, RF45</x:v>
      </x:c>
      <x:c r="H411" t="str">
        <x:v>RF042-EF1!F34</x:v>
      </x:c>
    </x:row>
    <x:row r="412">
      <x:c r="A412" t="str">
        <x:v>solicitarEstadoImagen</x:v>
      </x:c>
      <x:c r="B412" t="str">
        <x:v>idVehiculo</x:v>
      </x:c>
      <x:c r="C412" t="str">
        <x:v>C_ControlDetalleVehiculo</x:v>
      </x:c>
      <x:c r="D412" t="str">
        <x:v>C_ControlImagenVehiculo</x:v>
      </x:c>
      <x:c r="E412" t="str">
        <x:v>presentación/navegación</x:v>
      </x:c>
      <x:c r="F412" t="n">
        <x:v>1</x:v>
      </x:c>
      <x:c r="G412" t="str">
        <x:v>RF10</x:v>
      </x:c>
      <x:c r="H412" t="str">
        <x:v>RF010-EF1!F26</x:v>
      </x:c>
    </x:row>
    <x:row r="413">
      <x:c r="A413" t="str">
        <x:v>consultarUltimoKilometraje</x:v>
      </x:c>
      <x:c r="B413" t="str">
        <x:v>idVehiculo</x:v>
      </x:c>
      <x:c r="C413" t="str">
        <x:v>C_ControlDetalleVehiculo</x:v>
      </x:c>
      <x:c r="D413" t="str">
        <x:v>C_ControlKilometraje</x:v>
      </x:c>
      <x:c r="E413" t="str">
        <x:v>consulta</x:v>
      </x:c>
      <x:c r="F413" t="n">
        <x:v>1</x:v>
      </x:c>
      <x:c r="G413" t="str">
        <x:v>RF10</x:v>
      </x:c>
      <x:c r="H413" t="str">
        <x:v>RF010-EF1!F11</x:v>
      </x:c>
    </x:row>
    <x:row r="414">
      <x:c r="A414" t="str">
        <x:v>consultarInformacionSOAT</x:v>
      </x:c>
      <x:c r="B414" t="str">
        <x:v>idVehiculo</x:v>
      </x:c>
      <x:c r="C414" t="str">
        <x:v>C_ControlDetalleVehiculo</x:v>
      </x:c>
      <x:c r="D414" t="str">
        <x:v>C_ControlSOAT</x:v>
      </x:c>
      <x:c r="E414" t="str">
        <x:v>consulta</x:v>
      </x:c>
      <x:c r="F414" t="n">
        <x:v>1</x:v>
      </x:c>
      <x:c r="G414" t="str">
        <x:v>RF10</x:v>
      </x:c>
      <x:c r="H414" t="str">
        <x:v>RF010-EF1!F16</x:v>
      </x:c>
    </x:row>
    <x:row r="415">
      <x:c r="A415" t="str">
        <x:v>consultarTIVERegistrada</x:v>
      </x:c>
      <x:c r="B415" t="str">
        <x:v>idVehiculo</x:v>
      </x:c>
      <x:c r="C415" t="str">
        <x:v>C_ControlDetalleVehiculo</x:v>
      </x:c>
      <x:c r="D415" t="str">
        <x:v>C_ControlTIVE</x:v>
      </x:c>
      <x:c r="E415" t="str">
        <x:v>consulta</x:v>
      </x:c>
      <x:c r="F415" t="n">
        <x:v>1</x:v>
      </x:c>
      <x:c r="G415" t="str">
        <x:v>RF10</x:v>
      </x:c>
      <x:c r="H415" t="str">
        <x:v>RF010-EF1!F21</x:v>
      </x:c>
    </x:row>
    <x:row r="416">
      <x:c r="A416" t="str">
        <x:v>retornarDetalleActualizado</x:v>
      </x:c>
      <x:c r="B416" t="str">
        <x:v>datosDetalle</x:v>
      </x:c>
      <x:c r="C416" t="str">
        <x:v>C_ControlDetalleVehiculo</x:v>
      </x:c>
      <x:c r="D416" t="str">
        <x:v>C_ControlTIVE</x:v>
      </x:c>
      <x:c r="E416" t="str">
        <x:v>retorno</x:v>
      </x:c>
      <x:c r="F416" t="n">
        <x:v>1</x:v>
      </x:c>
      <x:c r="G416" t="str">
        <x:v>RF54</x:v>
      </x:c>
      <x:c r="H416" t="str">
        <x:v>RF054-EF1!F51</x:v>
      </x:c>
    </x:row>
    <x:row r="417">
      <x:c r="A417" t="str">
        <x:v>consultarVehiculoUsuario</x:v>
      </x:c>
      <x:c r="B417" t="str">
        <x:v>idUsuario,idVehiculo</x:v>
      </x:c>
      <x:c r="C417" t="str">
        <x:v>C_ControlDetalleVehiculo</x:v>
      </x:c>
      <x:c r="D417" t="str">
        <x:v>E_Vehiculo</x:v>
      </x:c>
      <x:c r="E417" t="str">
        <x:v>consulta</x:v>
      </x:c>
      <x:c r="F417" t="n">
        <x:v>1</x:v>
      </x:c>
      <x:c r="G417" t="str">
        <x:v>RF10</x:v>
      </x:c>
      <x:c r="H417" t="str">
        <x:v>RF010-EF1!F7</x:v>
      </x:c>
    </x:row>
    <x:row r="418">
      <x:c r="A418" t="str">
        <x:v>mostrarDetalleVehiculo</x:v>
      </x:c>
      <x:c r="B418" t="str">
        <x:v>datosDetalle,accionesDisponibles</x:v>
      </x:c>
      <x:c r="C418" t="str">
        <x:v>C_ControlDetalleVehiculo</x:v>
      </x:c>
      <x:c r="D418" t="str">
        <x:v>I_DetalleVehiculo</x:v>
      </x:c>
      <x:c r="E418" t="str">
        <x:v>presentación/navegación</x:v>
      </x:c>
      <x:c r="F418" t="n">
        <x:v>1</x:v>
      </x:c>
      <x:c r="G418" t="str">
        <x:v>RF10</x:v>
      </x:c>
      <x:c r="H418" t="str">
        <x:v>RF010-EF1!F32</x:v>
      </x:c>
    </x:row>
    <x:row r="419">
      <x:c r="A419" t="str">
        <x:v>solicitarDetalleActualizado</x:v>
      </x:c>
      <x:c r="B419" t="str">
        <x:v>idUsuario,idVehiculo</x:v>
      </x:c>
      <x:c r="C419" t="str">
        <x:v>C_ControlEdicionVehiculo</x:v>
      </x:c>
      <x:c r="D419" t="str">
        <x:v>C_ControlDetalleVehiculo</x:v>
      </x:c>
      <x:c r="E419" t="str">
        <x:v>presentación/navegación</x:v>
      </x:c>
      <x:c r="F419" t="n">
        <x:v>1</x:v>
      </x:c>
      <x:c r="G419" t="str">
        <x:v>RF11</x:v>
      </x:c>
      <x:c r="H419" t="str">
        <x:v>RF011-EF1!F37</x:v>
      </x:c>
    </x:row>
    <x:row r="420">
      <x:c r="A420" t="str">
        <x:v>consolidarYVerificarCambios</x:v>
      </x:c>
      <x:c r="B420" t="str">
        <x:v>datosActuales,datosModificados,estadoVehiculo</x:v>
      </x:c>
      <x:c r="C420" t="str">
        <x:v>C_ControlEdicionVehiculo</x:v>
      </x:c>
      <x:c r="D420" t="str">
        <x:v>C_ControlEdicionVehiculo</x:v>
      </x:c>
      <x:c r="E420" t="str">
        <x:v>otra</x:v>
      </x:c>
      <x:c r="F420" t="n">
        <x:v>1</x:v>
      </x:c>
      <x:c r="G420" t="str">
        <x:v>RF11</x:v>
      </x:c>
      <x:c r="H420" t="str">
        <x:v>RF011-EF1!F24</x:v>
      </x:c>
    </x:row>
    <x:row r="421">
      <x:c r="A421" t="str">
        <x:v>evaluarResultadoValidacion</x:v>
      </x:c>
      <x:c r="B421" t="str">
        <x:v>resultado</x:v>
      </x:c>
      <x:c r="C421" t="str">
        <x:v>C_ControlEdicionVehiculo</x:v>
      </x:c>
      <x:c r="D421" t="str">
        <x:v>C_ControlEdicionVehiculo</x:v>
      </x:c>
      <x:c r="E421" t="str">
        <x:v>otra</x:v>
      </x:c>
      <x:c r="F421" t="n">
        <x:v>1</x:v>
      </x:c>
      <x:c r="G421" t="str">
        <x:v>RF11</x:v>
      </x:c>
      <x:c r="H421" t="str">
        <x:v>RF011-EF1!F33</x:v>
      </x:c>
    </x:row>
    <x:row r="422">
      <x:c r="A422" t="str">
        <x:v>validarVehiculoEditable</x:v>
      </x:c>
      <x:c r="B422" t="str">
        <x:v>estadoVehiculo</x:v>
      </x:c>
      <x:c r="C422" t="str">
        <x:v>C_ControlEdicionVehiculo</x:v>
      </x:c>
      <x:c r="D422" t="str">
        <x:v>C_ControlEdicionVehiculo</x:v>
      </x:c>
      <x:c r="E422" t="str">
        <x:v>validación</x:v>
      </x:c>
      <x:c r="F422" t="n">
        <x:v>1</x:v>
      </x:c>
      <x:c r="G422" t="str">
        <x:v>RF11</x:v>
      </x:c>
      <x:c r="H422" t="str">
        <x:v>RF011-EF1!F11</x:v>
      </x:c>
    </x:row>
    <x:row r="423">
      <x:c r="A423" t="str">
        <x:v>solicitarImagenPrincipal</x:v>
      </x:c>
      <x:c r="B423" t="str">
        <x:v>idVehiculo</x:v>
      </x:c>
      <x:c r="C423" t="str">
        <x:v>C_ControlEdicionVehiculo</x:v>
      </x:c>
      <x:c r="D423" t="str">
        <x:v>C_ControlImagenVehiculo</x:v>
      </x:c>
      <x:c r="E423" t="str">
        <x:v>presentación/navegación</x:v>
      </x:c>
      <x:c r="F423" t="n">
        <x:v>1</x:v>
      </x:c>
      <x:c r="G423" t="str">
        <x:v>RF11</x:v>
      </x:c>
      <x:c r="H423" t="str">
        <x:v>RF011-EF1!F9</x:v>
      </x:c>
    </x:row>
    <x:row r="424">
      <x:c r="A424" t="str">
        <x:v>solicitarUltimoKilometraje</x:v>
      </x:c>
      <x:c r="B424" t="str">
        <x:v>idVehiculo</x:v>
      </x:c>
      <x:c r="C424" t="str">
        <x:v>C_ControlEdicionVehiculo</x:v>
      </x:c>
      <x:c r="D424" t="str">
        <x:v>C_ControlKilometraje</x:v>
      </x:c>
      <x:c r="E424" t="str">
        <x:v>presentación/navegación</x:v>
      </x:c>
      <x:c r="F424" t="n">
        <x:v>1</x:v>
      </x:c>
      <x:c r="G424" t="str">
        <x:v>RF11</x:v>
      </x:c>
      <x:c r="H424" t="str">
        <x:v>RF011-EF1!F13</x:v>
      </x:c>
    </x:row>
    <x:row r="425">
      <x:c r="A425" t="str">
        <x:v>validarDatosModificados</x:v>
      </x:c>
      <x:c r="B425" t="str">
        <x:v>datosConsolidados</x:v>
      </x:c>
      <x:c r="C425" t="str">
        <x:v>C_ControlEdicionVehiculo</x:v>
      </x:c>
      <x:c r="D425" t="str">
        <x:v>C_ValidacionVehiculo</x:v>
      </x:c>
      <x:c r="E425" t="str">
        <x:v>validación</x:v>
      </x:c>
      <x:c r="F425" t="n">
        <x:v>1</x:v>
      </x:c>
      <x:c r="G425" t="str">
        <x:v>RF11</x:v>
      </x:c>
      <x:c r="H425" t="str">
        <x:v>RF011-EF1!F25</x:v>
      </x:c>
    </x:row>
    <x:row r="426">
      <x:c r="A426" t="str">
        <x:v>actualizarDatosGeneralesVehiculo</x:v>
      </x:c>
      <x:c r="B426" t="str">
        <x:v>idVehiculo,datosConsolidados</x:v>
      </x:c>
      <x:c r="C426" t="str">
        <x:v>C_ControlEdicionVehiculo</x:v>
      </x:c>
      <x:c r="D426" t="str">
        <x:v>E_Vehiculo</x:v>
      </x:c>
      <x:c r="E426" t="str">
        <x:v>escritura</x:v>
      </x:c>
      <x:c r="F426" t="n">
        <x:v>1</x:v>
      </x:c>
      <x:c r="G426" t="str">
        <x:v>RF11</x:v>
      </x:c>
      <x:c r="H426" t="str">
        <x:v>RF011-EF1!F34</x:v>
      </x:c>
    </x:row>
    <x:row r="427">
      <x:c r="A427" t="str">
        <x:v>consultarDatosEditablesVehiculo</x:v>
      </x:c>
      <x:c r="B427" t="str">
        <x:v>idUsuario,idVehiculo</x:v>
      </x:c>
      <x:c r="C427" t="str">
        <x:v>C_ControlEdicionVehiculo</x:v>
      </x:c>
      <x:c r="D427" t="str">
        <x:v>E_Vehiculo</x:v>
      </x:c>
      <x:c r="E427" t="str">
        <x:v>consulta</x:v>
      </x:c>
      <x:c r="F427" t="n">
        <x:v>1</x:v>
      </x:c>
      <x:c r="G427" t="str">
        <x:v>RF11</x:v>
      </x:c>
      <x:c r="H427" t="str">
        <x:v>RF011-EF1!F7</x:v>
      </x:c>
    </x:row>
    <x:row r="428">
      <x:c r="A428" t="str">
        <x:v>consultarVINEnOtroVehiculoSiCambiado</x:v>
      </x:c>
      <x:c r="B428" t="str">
        <x:v>idVehiculo,numeroVin</x:v>
      </x:c>
      <x:c r="C428" t="str">
        <x:v>C_ControlEdicionVehiculo</x:v>
      </x:c>
      <x:c r="D428" t="str">
        <x:v>E_Vehiculo</x:v>
      </x:c>
      <x:c r="E428" t="str">
        <x:v>consulta</x:v>
      </x:c>
      <x:c r="F428" t="n">
        <x:v>1</x:v>
      </x:c>
      <x:c r="G428" t="str">
        <x:v>RF11</x:v>
      </x:c>
      <x:c r="H428" t="str">
        <x:v>RF011-EF1!F30</x:v>
      </x:c>
    </x:row>
    <x:row r="429">
      <x:c r="A429" t="str">
        <x:v>mostrarDetalleActualizado</x:v>
      </x:c>
      <x:c r="B429" t="str">
        <x:v>datosDetalle</x:v>
      </x:c>
      <x:c r="C429" t="str">
        <x:v>C_ControlEdicionVehiculo</x:v>
      </x:c>
      <x:c r="D429" t="str">
        <x:v>I_DetalleVehiculo</x:v>
      </x:c>
      <x:c r="E429" t="str">
        <x:v>presentación/navegación</x:v>
      </x:c>
      <x:c r="F429" t="n">
        <x:v>1</x:v>
      </x:c>
      <x:c r="G429" t="str">
        <x:v>RF11</x:v>
      </x:c>
      <x:c r="H429" t="str">
        <x:v>RF011-EF1!F39</x:v>
      </x:c>
    </x:row>
    <x:row r="430">
      <x:c r="A430" t="str">
        <x:v>mostrarFormularioEdicion</x:v>
      </x:c>
      <x:c r="B430" t="str">
        <x:v>datosVehiculo,datosImagen,kilometraje,fechaLectura</x:v>
      </x:c>
      <x:c r="C430" t="str">
        <x:v>C_ControlEdicionVehiculo</x:v>
      </x:c>
      <x:c r="D430" t="str">
        <x:v>I_EdicionVehiculo</x:v>
      </x:c>
      <x:c r="E430" t="str">
        <x:v>presentación/navegación</x:v>
      </x:c>
      <x:c r="F430" t="n">
        <x:v>1</x:v>
      </x:c>
      <x:c r="G430" t="str">
        <x:v>RF11</x:v>
      </x:c>
      <x:c r="H430" t="str">
        <x:v>RF011-EF1!F17</x:v>
      </x:c>
    </x:row>
    <x:row r="431">
      <x:c r="A431" t="str">
        <x:v>sincronizarAlertasPorEstadoVehiculo</x:v>
      </x:c>
      <x:c r="B431" t="str">
        <x:v>idVehiculo,estadoNuevo</x:v>
      </x:c>
      <x:c r="C431" t="str">
        <x:v>C_ControlEstadoVehiculo</x:v>
      </x:c>
      <x:c r="D431" t="str">
        <x:v>C_ControlAlerta</x:v>
      </x:c>
      <x:c r="E431" t="str">
        <x:v>otra</x:v>
      </x:c>
      <x:c r="F431" t="n">
        <x:v>1</x:v>
      </x:c>
      <x:c r="G431" t="str">
        <x:v>RF12</x:v>
      </x:c>
      <x:c r="H431" t="str">
        <x:v>RF012-EF1!F34</x:v>
      </x:c>
    </x:row>
    <x:row r="432">
      <x:c r="A432" t="str">
        <x:v>determinarEstadoNuevo</x:v>
      </x:c>
      <x:c r="B432" t="str">
        <x:v>estadoActual</x:v>
      </x:c>
      <x:c r="C432" t="str">
        <x:v>C_ControlEstadoVehiculo</x:v>
      </x:c>
      <x:c r="D432" t="str">
        <x:v>C_ControlEstadoVehiculo</x:v>
      </x:c>
      <x:c r="E432" t="str">
        <x:v>otra</x:v>
      </x:c>
      <x:c r="F432" t="n">
        <x:v>1</x:v>
      </x:c>
      <x:c r="G432" t="str">
        <x:v>RF12</x:v>
      </x:c>
      <x:c r="H432" t="str">
        <x:v>RF012-EF1!F10</x:v>
      </x:c>
    </x:row>
    <x:row r="433">
      <x:c r="A433" t="str">
        <x:v>determinarPrincipalReactivado</x:v>
      </x:c>
      <x:c r="B433" t="str">
        <x:v>cantidadActivos</x:v>
      </x:c>
      <x:c r="C433" t="str">
        <x:v>C_ControlEstadoVehiculo</x:v>
      </x:c>
      <x:c r="D433" t="str">
        <x:v>C_ControlEstadoVehiculo</x:v>
      </x:c>
      <x:c r="E433" t="str">
        <x:v>otra</x:v>
      </x:c>
      <x:c r="F433" t="n">
        <x:v>1</x:v>
      </x:c>
      <x:c r="G433" t="str">
        <x:v>RF12</x:v>
      </x:c>
      <x:c r="H433" t="str">
        <x:v>RF012-EF1!F20</x:v>
      </x:c>
    </x:row>
    <x:row r="434">
      <x:c r="A434" t="str">
        <x:v>evaluarPermisoActivacion</x:v>
      </x:c>
      <x:c r="B434" t="str">
        <x:v>tipoPlan,cantidadActivos</x:v>
      </x:c>
      <x:c r="C434" t="str">
        <x:v>C_ControlEstadoVehiculo</x:v>
      </x:c>
      <x:c r="D434" t="str">
        <x:v>C_ControlEstadoVehiculo</x:v>
      </x:c>
      <x:c r="E434" t="str">
        <x:v>otra</x:v>
      </x:c>
      <x:c r="F434" t="n">
        <x:v>1</x:v>
      </x:c>
      <x:c r="G434" t="str">
        <x:v>RF12</x:v>
      </x:c>
      <x:c r="H434" t="str">
        <x:v>RF012-EF1!F19</x:v>
      </x:c>
    </x:row>
    <x:row r="435">
      <x:c r="A435" t="str">
        <x:v>prepararCambioEstado</x:v>
      </x:c>
      <x:c r="B435" t="str">
        <x:v>estadoNuevo,cantidadActivos</x:v>
      </x:c>
      <x:c r="C435" t="str">
        <x:v>C_ControlEstadoVehiculo</x:v>
      </x:c>
      <x:c r="D435" t="str">
        <x:v>C_ControlEstadoVehiculo</x:v>
      </x:c>
      <x:c r="E435" t="str">
        <x:v>otra</x:v>
      </x:c>
      <x:c r="F435" t="n">
        <x:v>1</x:v>
      </x:c>
      <x:c r="G435" t="str">
        <x:v>RF12</x:v>
      </x:c>
      <x:c r="H435" t="str">
        <x:v>RF012-EF1!F30</x:v>
      </x:c>
    </x:row>
    <x:row r="436">
      <x:c r="A436" t="str">
        <x:v>validarDesactivacionPermitida</x:v>
      </x:c>
      <x:c r="B436" t="str">
        <x:v>esPrincipal,listaActivos</x:v>
      </x:c>
      <x:c r="C436" t="str">
        <x:v>C_ControlEstadoVehiculo</x:v>
      </x:c>
      <x:c r="D436" t="str">
        <x:v>C_ControlEstadoVehiculo</x:v>
      </x:c>
      <x:c r="E436" t="str">
        <x:v>validación</x:v>
      </x:c>
      <x:c r="F436" t="n">
        <x:v>1</x:v>
      </x:c>
      <x:c r="G436" t="str">
        <x:v>RF12</x:v>
      </x:c>
      <x:c r="H436" t="str">
        <x:v>RF012-EF1!F24</x:v>
      </x:c>
    </x:row>
    <x:row r="437">
      <x:c r="A437" t="str">
        <x:v>verificarTipoCambioEstado</x:v>
      </x:c>
      <x:c r="B437" t="str">
        <x:v>estadoNuevo</x:v>
      </x:c>
      <x:c r="C437" t="str">
        <x:v>C_ControlEstadoVehiculo</x:v>
      </x:c>
      <x:c r="D437" t="str">
        <x:v>C_ControlEstadoVehiculo</x:v>
      </x:c>
      <x:c r="E437" t="str">
        <x:v>validación</x:v>
      </x:c>
      <x:c r="F437" t="n">
        <x:v>1</x:v>
      </x:c>
      <x:c r="G437" t="str">
        <x:v>RF12</x:v>
      </x:c>
      <x:c r="H437" t="str">
        <x:v>RF012-EF1!F11</x:v>
      </x:c>
    </x:row>
    <x:row r="438">
      <x:c r="A438" t="str">
        <x:v>solicitarListadoActualizado</x:v>
      </x:c>
      <x:c r="B438" t="str">
        <x:v>idUsuario</x:v>
      </x:c>
      <x:c r="C438" t="str">
        <x:v>C_ControlEstadoVehiculo</x:v>
      </x:c>
      <x:c r="D438" t="str">
        <x:v>C_ControlListadoVehiculos</x:v>
      </x:c>
      <x:c r="E438" t="str">
        <x:v>presentación/navegación</x:v>
      </x:c>
      <x:c r="F438" t="n">
        <x:v>1</x:v>
      </x:c>
      <x:c r="G438" t="str">
        <x:v>RF12</x:v>
      </x:c>
      <x:c r="H438" t="str">
        <x:v>RF012-EF1!F54</x:v>
      </x:c>
    </x:row>
    <x:row r="439">
      <x:c r="A439" t="str">
        <x:v>solicitarValidacionPlanActivacion</x:v>
      </x:c>
      <x:c r="B439" t="str">
        <x:v>idUsuario</x:v>
      </x:c>
      <x:c r="C439" t="str">
        <x:v>C_ControlEstadoVehiculo</x:v>
      </x:c>
      <x:c r="D439" t="str">
        <x:v>C_ControlSuscripcion</x:v>
      </x:c>
      <x:c r="E439" t="str">
        <x:v>presentación/navegación</x:v>
      </x:c>
      <x:c r="F439" t="n">
        <x:v>1</x:v>
      </x:c>
      <x:c r="G439" t="str">
        <x:v>RF12</x:v>
      </x:c>
      <x:c r="H439" t="str">
        <x:v>RF012-EF1!F13</x:v>
      </x:c>
    </x:row>
    <x:row r="440">
      <x:c r="A440" t="str">
        <x:v>aplicarCambioEstadoYPrincipal</x:v>
      </x:c>
      <x:c r="B440" t="str">
        <x:v>idVehiculo,estadoNuevo,esPrincipalResultante</x:v>
      </x:c>
      <x:c r="C440" t="str">
        <x:v>C_ControlEstadoVehiculo</x:v>
      </x:c>
      <x:c r="D440" t="str">
        <x:v>E_Vehiculo</x:v>
      </x:c>
      <x:c r="E440" t="str">
        <x:v>otra</x:v>
      </x:c>
      <x:c r="F440" t="n">
        <x:v>1</x:v>
      </x:c>
      <x:c r="G440" t="str">
        <x:v>RF12</x:v>
      </x:c>
      <x:c r="H440" t="str">
        <x:v>RF012-EF1!F31</x:v>
      </x:c>
    </x:row>
    <x:row r="441">
      <x:c r="A441" t="str">
        <x:v>consultarCantidadVehiculosActivos</x:v>
      </x:c>
      <x:c r="B441" t="str">
        <x:v>idUsuario</x:v>
      </x:c>
      <x:c r="C441" t="str">
        <x:v>C_ControlEstadoVehiculo</x:v>
      </x:c>
      <x:c r="D441" t="str">
        <x:v>E_Vehiculo</x:v>
      </x:c>
      <x:c r="E441" t="str">
        <x:v>consulta</x:v>
      </x:c>
      <x:c r="F441" t="n">
        <x:v>1</x:v>
      </x:c>
      <x:c r="G441" t="str">
        <x:v>RF12</x:v>
      </x:c>
      <x:c r="H441" t="str">
        <x:v>RF012-EF1!F17</x:v>
      </x:c>
    </x:row>
    <x:row r="442">
      <x:c r="A442" t="str">
        <x:v>consultarOtrosVehiculosActivos</x:v>
      </x:c>
      <x:c r="B442" t="str">
        <x:v>idUsuario,idVehiculo</x:v>
      </x:c>
      <x:c r="C442" t="str">
        <x:v>C_ControlEstadoVehiculo</x:v>
      </x:c>
      <x:c r="D442" t="str">
        <x:v>E_Vehiculo</x:v>
      </x:c>
      <x:c r="E442" t="str">
        <x:v>consulta</x:v>
      </x:c>
      <x:c r="F442" t="n">
        <x:v>1</x:v>
      </x:c>
      <x:c r="G442" t="str">
        <x:v>RF12</x:v>
      </x:c>
      <x:c r="H442" t="str">
        <x:v>RF012-EF1!F22</x:v>
      </x:c>
    </x:row>
    <x:row r="443">
      <x:c r="A443" t="str">
        <x:v>consultarVehiculoEstado</x:v>
      </x:c>
      <x:c r="B443" t="str">
        <x:v>idUsuario,idVehiculo</x:v>
      </x:c>
      <x:c r="C443" t="str">
        <x:v>C_ControlEstadoVehiculo</x:v>
      </x:c>
      <x:c r="D443" t="str">
        <x:v>E_Vehiculo</x:v>
      </x:c>
      <x:c r="E443" t="str">
        <x:v>consulta</x:v>
      </x:c>
      <x:c r="F443" t="n">
        <x:v>1</x:v>
      </x:c>
      <x:c r="G443" t="str">
        <x:v>RF12</x:v>
      </x:c>
      <x:c r="H443" t="str">
        <x:v>RF012-EF1!F8</x:v>
      </x:c>
    </x:row>
    <x:row r="444">
      <x:c r="A444" t="str">
        <x:v>mostrarConfirmacionCambioEstado</x:v>
      </x:c>
      <x:c r="B444" t="str">
        <x:v>estadoActual,estadoNuevo</x:v>
      </x:c>
      <x:c r="C444" t="str">
        <x:v>C_ControlEstadoVehiculo</x:v>
      </x:c>
      <x:c r="D444" t="str">
        <x:v>I_ConfirmacionEstadoVehiculo</x:v>
      </x:c>
      <x:c r="E444" t="str">
        <x:v>presentación/navegación</x:v>
      </x:c>
      <x:c r="F444" t="n">
        <x:v>1</x:v>
      </x:c>
      <x:c r="G444" t="str">
        <x:v>RF12</x:v>
      </x:c>
      <x:c r="H444" t="str">
        <x:v>RF012-EF1!F26</x:v>
      </x:c>
    </x:row>
    <x:row r="445">
      <x:c r="A445" t="str">
        <x:v>mostrarCambioEstadoExitoso</x:v>
      </x:c>
      <x:c r="B445" t="str">
        <x:v>estadoNuevo</x:v>
      </x:c>
      <x:c r="C445" t="str">
        <x:v>C_ControlEstadoVehiculo</x:v>
      </x:c>
      <x:c r="D445" t="str">
        <x:v>I_ConfirmacionOperacion</x:v>
      </x:c>
      <x:c r="E445" t="str">
        <x:v>presentación/navegación</x:v>
      </x:c>
      <x:c r="F445" t="n">
        <x:v>1</x:v>
      </x:c>
      <x:c r="G445" t="str">
        <x:v>RF12</x:v>
      </x:c>
      <x:c r="H445" t="str">
        <x:v>RF012-EF1!F49</x:v>
      </x:c>
    </x:row>
    <x:row r="446">
      <x:c r="A446" t="str">
        <x:v>determinarAccionesDetalle</x:v>
      </x:c>
      <x:c r="B446" t="str">
        <x:v>datos_vehiculo.estado,datos_mantenimiento.estado</x:v>
      </x:c>
      <x:c r="C446" t="str">
        <x:v>C_ControlHistorial</x:v>
      </x:c>
      <x:c r="D446" t="str">
        <x:v>C_ControlHistorial</x:v>
      </x:c>
      <x:c r="E446" t="str">
        <x:v>otra</x:v>
      </x:c>
      <x:c r="F446" t="n">
        <x:v>1</x:v>
      </x:c>
      <x:c r="G446" t="str">
        <x:v>RF19</x:v>
      </x:c>
      <x:c r="H446" t="str">
        <x:v>RF19!F28</x:v>
      </x:c>
    </x:row>
    <x:row r="447">
      <x:c r="A447" t="str">
        <x:v>identificarSeccionActual</x:v>
      </x:c>
      <x:c r="B447" t="str">
        <x:v>seccion_actual</x:v>
      </x:c>
      <x:c r="C447" t="str">
        <x:v>C_ControlHistorial</x:v>
      </x:c>
      <x:c r="D447" t="str">
        <x:v>C_ControlHistorial</x:v>
      </x:c>
      <x:c r="E447" t="str">
        <x:v>otra</x:v>
      </x:c>
      <x:c r="F447" t="n">
        <x:v>1</x:v>
      </x:c>
      <x:c r="G447" t="str">
        <x:v>RF26</x:v>
      </x:c>
      <x:c r="H447" t="str">
        <x:v>RF26!F11</x:v>
      </x:c>
    </x:row>
    <x:row r="448">
      <x:c r="A448" t="str">
        <x:v>integrarYOrdenarMantenimientosFiltrados</x:v>
      </x:c>
      <x:c r="B448" t="str">
        <x:v>lista_mantenimientos,lista_talleres,lista_tipos,orden</x:v>
      </x:c>
      <x:c r="C448" t="str">
        <x:v>C_ControlHistorial</x:v>
      </x:c>
      <x:c r="D448" t="str">
        <x:v>C_ControlHistorial</x:v>
      </x:c>
      <x:c r="E448" t="str">
        <x:v>otra</x:v>
      </x:c>
      <x:c r="F448" t="n">
        <x:v>1</x:v>
      </x:c>
      <x:c r="G448" t="str">
        <x:v>RF26</x:v>
      </x:c>
      <x:c r="H448" t="str">
        <x:v>RF26!F29</x:v>
      </x:c>
    </x:row>
    <x:row r="449">
      <x:c r="A449" t="str">
        <x:v>ordenarHistorialPorFechaDescendente</x:v>
      </x:c>
      <x:c r="B449" t="str">
        <x:v>lista_mantenimientos</x:v>
      </x:c>
      <x:c r="C449" t="str">
        <x:v>C_ControlHistorial</x:v>
      </x:c>
      <x:c r="D449" t="str">
        <x:v>C_ControlHistorial</x:v>
      </x:c>
      <x:c r="E449" t="str">
        <x:v>otra</x:v>
      </x:c>
      <x:c r="F449" t="n">
        <x:v>2</x:v>
      </x:c>
      <x:c r="G449" t="str">
        <x:v>RF18, RF21</x:v>
      </x:c>
      <x:c r="H449" t="str">
        <x:v>RF18!F27</x:v>
      </x:c>
    </x:row>
    <x:row r="450">
      <x:c r="A450" t="str">
        <x:v>ordenarHistorialPorFechaDescendente</x:v>
      </x:c>
      <x:c r="B450" t="str">
        <x:v>lista_mantenimientos_nueva</x:v>
      </x:c>
      <x:c r="C450" t="str">
        <x:v>C_ControlHistorial</x:v>
      </x:c>
      <x:c r="D450" t="str">
        <x:v>C_ControlHistorial</x:v>
      </x:c>
      <x:c r="E450" t="str">
        <x:v>otra</x:v>
      </x:c>
      <x:c r="F450" t="n">
        <x:v>1</x:v>
      </x:c>
      <x:c r="G450" t="str">
        <x:v>RF18</x:v>
      </x:c>
      <x:c r="H450" t="str">
        <x:v>RF18!F46</x:v>
      </x:c>
    </x:row>
    <x:row r="451">
      <x:c r="A451" t="str">
        <x:v>ordenarHistorialPorFechaMovimiento</x:v>
      </x:c>
      <x:c r="B451" t="str">
        <x:v>historialClasificado,FECHA_DESC</x:v>
      </x:c>
      <x:c r="C451" t="str">
        <x:v>C_ControlHistorial</x:v>
      </x:c>
      <x:c r="D451" t="str">
        <x:v>C_ControlHistorial</x:v>
      </x:c>
      <x:c r="E451" t="str">
        <x:v>otra</x:v>
      </x:c>
      <x:c r="F451" t="n">
        <x:v>1</x:v>
      </x:c>
      <x:c r="G451" t="str">
        <x:v>RF15</x:v>
      </x:c>
      <x:c r="H451" t="str">
        <x:v>RF015-EF1!F26</x:v>
      </x:c>
    </x:row>
    <x:row r="452">
      <x:c r="A452" t="str">
        <x:v>ordenarHistorialPorFechaMovimiento</x:v>
      </x:c>
      <x:c r="B452" t="str">
        <x:v>historialClasificado,criterioOrden</x:v>
      </x:c>
      <x:c r="C452" t="str">
        <x:v>C_ControlHistorial</x:v>
      </x:c>
      <x:c r="D452" t="str">
        <x:v>C_ControlHistorial</x:v>
      </x:c>
      <x:c r="E452" t="str">
        <x:v>otra</x:v>
      </x:c>
      <x:c r="F452" t="n">
        <x:v>1</x:v>
      </x:c>
      <x:c r="G452" t="str">
        <x:v>RF15</x:v>
      </x:c>
      <x:c r="H452" t="str">
        <x:v>RF015-EF1!F51</x:v>
      </x:c>
    </x:row>
    <x:row r="453">
      <x:c r="A453" t="str">
        <x:v>prepararDatosReporteConsolidados</x:v>
      </x:c>
      <x:c r="B453" t="str">
        <x:v>datos_vehiculo,kilometraje_actual,lista_mantenimientos,lista_talleres,repuestos_por_mantenimiento,fecha_desde,fecha_hasta,criterio_tipo_mantenimiento,incluir_anulados</x:v>
      </x:c>
      <x:c r="C453" t="str">
        <x:v>C_ControlHistorial</x:v>
      </x:c>
      <x:c r="D453" t="str">
        <x:v>C_ControlHistorial</x:v>
      </x:c>
      <x:c r="E453" t="str">
        <x:v>otra</x:v>
      </x:c>
      <x:c r="F453" t="n">
        <x:v>1</x:v>
      </x:c>
      <x:c r="G453" t="str">
        <x:v>RF27</x:v>
      </x:c>
      <x:c r="H453" t="str">
        <x:v>RF27!F51</x:v>
      </x:c>
    </x:row>
    <x:row r="454">
      <x:c r="A454" t="str">
        <x:v>prepararDetalleParaVista</x:v>
      </x:c>
      <x:c r="B454" t="str">
        <x:v>datos_mantenimiento,datos_vehiculo,datos_taller,lista_repuestos_detalle,acciones_disponibles</x:v>
      </x:c>
      <x:c r="C454" t="str">
        <x:v>C_ControlHistorial</x:v>
      </x:c>
      <x:c r="D454" t="str">
        <x:v>C_ControlHistorial</x:v>
      </x:c>
      <x:c r="E454" t="str">
        <x:v>otra</x:v>
      </x:c>
      <x:c r="F454" t="n">
        <x:v>1</x:v>
      </x:c>
      <x:c r="G454" t="str">
        <x:v>RF19</x:v>
      </x:c>
      <x:c r="H454" t="str">
        <x:v>RF19!F29</x:v>
      </x:c>
    </x:row>
    <x:row r="455">
      <x:c r="A455" t="str">
        <x:v>prepararHistorialActualizado</x:v>
      </x:c>
      <x:c r="B455" t="str">
        <x:v>lista_mantenimientos_ordenada,lista_talleres</x:v>
      </x:c>
      <x:c r="C455" t="str">
        <x:v>C_ControlHistorial</x:v>
      </x:c>
      <x:c r="D455" t="str">
        <x:v>C_ControlHistorial</x:v>
      </x:c>
      <x:c r="E455" t="str">
        <x:v>otra</x:v>
      </x:c>
      <x:c r="F455" t="n">
        <x:v>1</x:v>
      </x:c>
      <x:c r="G455" t="str">
        <x:v>RF21</x:v>
      </x:c>
      <x:c r="H455" t="str">
        <x:v>RF21!F49</x:v>
      </x:c>
    </x:row>
    <x:row r="456">
      <x:c r="A456" t="str">
        <x:v>prepararResumenHistorial</x:v>
      </x:c>
      <x:c r="B456" t="str">
        <x:v>lista_mantenimientos_ordenada,lista_talleres</x:v>
      </x:c>
      <x:c r="C456" t="str">
        <x:v>C_ControlHistorial</x:v>
      </x:c>
      <x:c r="D456" t="str">
        <x:v>C_ControlHistorial</x:v>
      </x:c>
      <x:c r="E456" t="str">
        <x:v>otra</x:v>
      </x:c>
      <x:c r="F456" t="n">
        <x:v>1</x:v>
      </x:c>
      <x:c r="G456" t="str">
        <x:v>RF18</x:v>
      </x:c>
      <x:c r="H456" t="str">
        <x:v>RF18!F28</x:v>
      </x:c>
    </x:row>
    <x:row r="457">
      <x:c r="A457" t="str">
        <x:v>prepararResumenHistorial</x:v>
      </x:c>
      <x:c r="B457" t="str">
        <x:v>lista_ordenada,lista_talleres</x:v>
      </x:c>
      <x:c r="C457" t="str">
        <x:v>C_ControlHistorial</x:v>
      </x:c>
      <x:c r="D457" t="str">
        <x:v>C_ControlHistorial</x:v>
      </x:c>
      <x:c r="E457" t="str">
        <x:v>otra</x:v>
      </x:c>
      <x:c r="F457" t="n">
        <x:v>1</x:v>
      </x:c>
      <x:c r="G457" t="str">
        <x:v>RF18</x:v>
      </x:c>
      <x:c r="H457" t="str">
        <x:v>RF18!F47</x:v>
      </x:c>
    </x:row>
    <x:row r="458">
      <x:c r="A458" t="str">
        <x:v>prepararSeccionKilometraje</x:v>
      </x:c>
      <x:c r="B458" t="str">
        <x:v>historial_km_integrado</x:v>
      </x:c>
      <x:c r="C458" t="str">
        <x:v>C_ControlHistorial</x:v>
      </x:c>
      <x:c r="D458" t="str">
        <x:v>C_ControlHistorial</x:v>
      </x:c>
      <x:c r="E458" t="str">
        <x:v>otra</x:v>
      </x:c>
      <x:c r="F458" t="n">
        <x:v>1</x:v>
      </x:c>
      <x:c r="G458" t="str">
        <x:v>RF25</x:v>
      </x:c>
      <x:c r="H458" t="str">
        <x:v>RF25!F37</x:v>
      </x:c>
    </x:row>
    <x:row r="459">
      <x:c r="A459" t="str">
        <x:v>prepararSeccionMantenimientosHistoricos</x:v>
      </x:c>
      <x:c r="B459" t="str">
        <x:v>lista_mantenimientos,lista_talleres</x:v>
      </x:c>
      <x:c r="C459" t="str">
        <x:v>C_ControlHistorial</x:v>
      </x:c>
      <x:c r="D459" t="str">
        <x:v>C_ControlHistorial</x:v>
      </x:c>
      <x:c r="E459" t="str">
        <x:v>otra</x:v>
      </x:c>
      <x:c r="F459" t="n">
        <x:v>1</x:v>
      </x:c>
      <x:c r="G459" t="str">
        <x:v>RF25</x:v>
      </x:c>
      <x:c r="H459" t="str">
        <x:v>RF25!F36</x:v>
      </x:c>
    </x:row>
    <x:row r="460">
      <x:c r="A460" t="str">
        <x:v>validarCriteriosHistorial</x:v>
      </x:c>
      <x:c r="B460" t="str">
        <x:v>idVehiculo,criterioOrden</x:v>
      </x:c>
      <x:c r="C460" t="str">
        <x:v>C_ControlHistorial</x:v>
      </x:c>
      <x:c r="D460" t="str">
        <x:v>C_ControlHistorial</x:v>
      </x:c>
      <x:c r="E460" t="str">
        <x:v>validación</x:v>
      </x:c>
      <x:c r="F460" t="n">
        <x:v>1</x:v>
      </x:c>
      <x:c r="G460" t="str">
        <x:v>RF15</x:v>
      </x:c>
      <x:c r="H460" t="str">
        <x:v>RF015-EF1!F37</x:v>
      </x:c>
    </x:row>
    <x:row r="461">
      <x:c r="A461" t="str">
        <x:v>validarFiltrosMantenimiento</x:v>
      </x:c>
      <x:c r="B461" t="str">
        <x:v>id_tipo_mantenimiento,orden,lista_tipos</x:v>
      </x:c>
      <x:c r="C461" t="str">
        <x:v>C_ControlHistorial</x:v>
      </x:c>
      <x:c r="D461" t="str">
        <x:v>C_ControlHistorial</x:v>
      </x:c>
      <x:c r="E461" t="str">
        <x:v>validación</x:v>
      </x:c>
      <x:c r="F461" t="n">
        <x:v>1</x:v>
      </x:c>
      <x:c r="G461" t="str">
        <x:v>RF26</x:v>
      </x:c>
      <x:c r="H461" t="str">
        <x:v>RF26!F21</x:v>
      </x:c>
    </x:row>
    <x:row r="462">
      <x:c r="A462" t="str">
        <x:v>validarOrdenKilometraje</x:v>
      </x:c>
      <x:c r="B462" t="str">
        <x:v>orden</x:v>
      </x:c>
      <x:c r="C462" t="str">
        <x:v>C_ControlHistorial</x:v>
      </x:c>
      <x:c r="D462" t="str">
        <x:v>C_ControlHistorial</x:v>
      </x:c>
      <x:c r="E462" t="str">
        <x:v>validación</x:v>
      </x:c>
      <x:c r="F462" t="n">
        <x:v>1</x:v>
      </x:c>
      <x:c r="G462" t="str">
        <x:v>RF26</x:v>
      </x:c>
      <x:c r="H462" t="str">
        <x:v>RF26!F37</x:v>
      </x:c>
    </x:row>
    <x:row r="463">
      <x:c r="A463" t="str">
        <x:v>retornarUltimoMantenimiento</x:v>
      </x:c>
      <x:c r="B463" t="str">
        <x:v>datosMantenimiento</x:v>
      </x:c>
      <x:c r="C463" t="str">
        <x:v>C_ControlHistorial</x:v>
      </x:c>
      <x:c r="D463" t="str">
        <x:v>C_ControlInicio</x:v>
      </x:c>
      <x:c r="E463" t="str">
        <x:v>retorno</x:v>
      </x:c>
      <x:c r="F463" t="n">
        <x:v>1</x:v>
      </x:c>
      <x:c r="G463" t="str">
        <x:v>RF50</x:v>
      </x:c>
      <x:c r="H463" t="str">
        <x:v>RF050-EF1!F45</x:v>
      </x:c>
    </x:row>
    <x:row r="464">
      <x:c r="A464" t="str">
        <x:v>solicitarDatosHistorialKilometraje</x:v>
      </x:c>
      <x:c r="B464" t="str">
        <x:v>idVehiculo</x:v>
      </x:c>
      <x:c r="C464" t="str">
        <x:v>C_ControlHistorial</x:v>
      </x:c>
      <x:c r="D464" t="str">
        <x:v>C_ControlKilometraje</x:v>
      </x:c>
      <x:c r="E464" t="str">
        <x:v>presentación/navegación</x:v>
      </x:c>
      <x:c r="F464" t="n">
        <x:v>1</x:v>
      </x:c>
      <x:c r="G464" t="str">
        <x:v>RF15</x:v>
      </x:c>
      <x:c r="H464" t="str">
        <x:v>RF015-EF1!F43</x:v>
      </x:c>
    </x:row>
    <x:row r="465">
      <x:c r="A465" t="str">
        <x:v>solicitarDatosHistorialKilometraje</x:v>
      </x:c>
      <x:c r="B465" t="str">
        <x:v>idVehiculoPrincipal</x:v>
      </x:c>
      <x:c r="C465" t="str">
        <x:v>C_ControlHistorial</x:v>
      </x:c>
      <x:c r="D465" t="str">
        <x:v>C_ControlKilometraje</x:v>
      </x:c>
      <x:c r="E465" t="str">
        <x:v>presentación/navegación</x:v>
      </x:c>
      <x:c r="F465" t="n">
        <x:v>1</x:v>
      </x:c>
      <x:c r="G465" t="str">
        <x:v>RF15</x:v>
      </x:c>
      <x:c r="H465" t="str">
        <x:v>RF015-EF1!F18</x:v>
      </x:c>
    </x:row>
    <x:row r="466">
      <x:c r="A466" t="str">
        <x:v>solicitarHistorialKilometraje</x:v>
      </x:c>
      <x:c r="B466" t="str">
        <x:v>id_vehiculo</x:v>
      </x:c>
      <x:c r="C466" t="str">
        <x:v>C_ControlHistorial</x:v>
      </x:c>
      <x:c r="D466" t="str">
        <x:v>C_ControlKilometraje</x:v>
      </x:c>
      <x:c r="E466" t="str">
        <x:v>presentación/navegación</x:v>
      </x:c>
      <x:c r="F466" t="n">
        <x:v>1</x:v>
      </x:c>
      <x:c r="G466" t="str">
        <x:v>RF25</x:v>
      </x:c>
      <x:c r="H466" t="str">
        <x:v>RF25!F28</x:v>
      </x:c>
    </x:row>
    <x:row r="467">
      <x:c r="A467" t="str">
        <x:v>solicitarHistorialKilometrajeOrdenado</x:v>
      </x:c>
      <x:c r="B467" t="str">
        <x:v>id_vehiculo,orden</x:v>
      </x:c>
      <x:c r="C467" t="str">
        <x:v>C_ControlHistorial</x:v>
      </x:c>
      <x:c r="D467" t="str">
        <x:v>C_ControlKilometraje</x:v>
      </x:c>
      <x:c r="E467" t="str">
        <x:v>presentación/navegación</x:v>
      </x:c>
      <x:c r="F467" t="n">
        <x:v>1</x:v>
      </x:c>
      <x:c r="G467" t="str">
        <x:v>RF26</x:v>
      </x:c>
      <x:c r="H467" t="str">
        <x:v>RF26!F39</x:v>
      </x:c>
    </x:row>
    <x:row r="468">
      <x:c r="A468" t="str">
        <x:v>solicitarKilometrajeActual</x:v>
      </x:c>
      <x:c r="B468" t="str">
        <x:v>id_vehiculo</x:v>
      </x:c>
      <x:c r="C468" t="str">
        <x:v>C_ControlHistorial</x:v>
      </x:c>
      <x:c r="D468" t="str">
        <x:v>C_ControlKilometraje</x:v>
      </x:c>
      <x:c r="E468" t="str">
        <x:v>presentación/navegación</x:v>
      </x:c>
      <x:c r="F468" t="n">
        <x:v>1</x:v>
      </x:c>
      <x:c r="G468" t="str">
        <x:v>RF27</x:v>
      </x:c>
      <x:c r="H468" t="str">
        <x:v>RF27!F35</x:v>
      </x:c>
    </x:row>
    <x:row r="469">
      <x:c r="A469" t="str">
        <x:v>solicitarRepuestosMantenimiento</x:v>
      </x:c>
      <x:c r="B469" t="str">
        <x:v>id_mantenimiento</x:v>
      </x:c>
      <x:c r="C469" t="str">
        <x:v>C_ControlHistorial</x:v>
      </x:c>
      <x:c r="D469" t="str">
        <x:v>C_ControlRepuesto</x:v>
      </x:c>
      <x:c r="E469" t="str">
        <x:v>presentación/navegación</x:v>
      </x:c>
      <x:c r="F469" t="n">
        <x:v>1</x:v>
      </x:c>
      <x:c r="G469" t="str">
        <x:v>RF19</x:v>
      </x:c>
      <x:c r="H469" t="str">
        <x:v>RF19!F21</x:v>
      </x:c>
    </x:row>
    <x:row r="470">
      <x:c r="A470" t="str">
        <x:v>solicitarRepuestosSiExisten</x:v>
      </x:c>
      <x:c r="B470" t="str">
        <x:v>lista_id_mantenimiento</x:v>
      </x:c>
      <x:c r="C470" t="str">
        <x:v>C_ControlHistorial</x:v>
      </x:c>
      <x:c r="D470" t="str">
        <x:v>C_ControlRepuesto</x:v>
      </x:c>
      <x:c r="E470" t="str">
        <x:v>presentación/navegación</x:v>
      </x:c>
      <x:c r="F470" t="n">
        <x:v>1</x:v>
      </x:c>
      <x:c r="G470" t="str">
        <x:v>RF27</x:v>
      </x:c>
      <x:c r="H470" t="str">
        <x:v>RF27!F45</x:v>
      </x:c>
    </x:row>
    <x:row r="471">
      <x:c r="A471" t="str">
        <x:v>solicitarDatosTallerSiExiste</x:v>
      </x:c>
      <x:c r="B471" t="str">
        <x:v>datos_mantenimiento.id_taller</x:v>
      </x:c>
      <x:c r="C471" t="str">
        <x:v>C_ControlHistorial</x:v>
      </x:c>
      <x:c r="D471" t="str">
        <x:v>C_ControlTaller</x:v>
      </x:c>
      <x:c r="E471" t="str">
        <x:v>presentación/navegación</x:v>
      </x:c>
      <x:c r="F471" t="n">
        <x:v>1</x:v>
      </x:c>
      <x:c r="G471" t="str">
        <x:v>RF19</x:v>
      </x:c>
      <x:c r="H471" t="str">
        <x:v>RF19!F16</x:v>
      </x:c>
    </x:row>
    <x:row r="472">
      <x:c r="A472" t="str">
        <x:v>solicitarDatosTalleres</x:v>
      </x:c>
      <x:c r="B472" t="str">
        <x:v>lista_id_taller_no_nulos</x:v>
      </x:c>
      <x:c r="C472" t="str">
        <x:v>C_ControlHistorial</x:v>
      </x:c>
      <x:c r="D472" t="str">
        <x:v>C_ControlTaller</x:v>
      </x:c>
      <x:c r="E472" t="str">
        <x:v>presentación/navegación</x:v>
      </x:c>
      <x:c r="F472" t="n">
        <x:v>1</x:v>
      </x:c>
      <x:c r="G472" t="str">
        <x:v>RF21</x:v>
      </x:c>
      <x:c r="H472" t="str">
        <x:v>RF21!F44</x:v>
      </x:c>
    </x:row>
    <x:row r="473">
      <x:c r="A473" t="str">
        <x:v>solicitarDatosTalleresSiExisten</x:v>
      </x:c>
      <x:c r="B473" t="str">
        <x:v>lista_id_taller_no_nulos</x:v>
      </x:c>
      <x:c r="C473" t="str">
        <x:v>C_ControlHistorial</x:v>
      </x:c>
      <x:c r="D473" t="str">
        <x:v>C_ControlTaller</x:v>
      </x:c>
      <x:c r="E473" t="str">
        <x:v>presentación/navegación</x:v>
      </x:c>
      <x:c r="F473" t="n">
        <x:v>3</x:v>
      </x:c>
      <x:c r="G473" t="str">
        <x:v>RF25, RF26, RF27</x:v>
      </x:c>
      <x:c r="H473" t="str">
        <x:v>RF25!F23</x:v>
      </x:c>
    </x:row>
    <x:row r="474">
      <x:c r="A474" t="str">
        <x:v>solicitarNombresTalleresSiCorresponde</x:v>
      </x:c>
      <x:c r="B474" t="str">
        <x:v>lista_id_taller_no_nulos</x:v>
      </x:c>
      <x:c r="C474" t="str">
        <x:v>C_ControlHistorial</x:v>
      </x:c>
      <x:c r="D474" t="str">
        <x:v>C_ControlTaller</x:v>
      </x:c>
      <x:c r="E474" t="str">
        <x:v>presentación/navegación</x:v>
      </x:c>
      <x:c r="F474" t="n">
        <x:v>2</x:v>
      </x:c>
      <x:c r="G474" t="str">
        <x:v>RF18</x:v>
      </x:c>
      <x:c r="H474" t="str">
        <x:v>RF18!F23</x:v>
      </x:c>
    </x:row>
    <x:row r="475">
      <x:c r="A475" t="str">
        <x:v>solicitarTiposParaFiltroHistorico</x:v>
      </x:c>
      <x:c r="B475" t="str">
        <x:v>id_usuario,id_vehiculo</x:v>
      </x:c>
      <x:c r="C475" t="str">
        <x:v>C_ControlHistorial</x:v>
      </x:c>
      <x:c r="D475" t="str">
        <x:v>C_ControlTipoMantenimiento</x:v>
      </x:c>
      <x:c r="E475" t="str">
        <x:v>presentación/navegación</x:v>
      </x:c>
      <x:c r="F475" t="n">
        <x:v>1</x:v>
      </x:c>
      <x:c r="G475" t="str">
        <x:v>RF26</x:v>
      </x:c>
      <x:c r="H475" t="str">
        <x:v>RF26!F13</x:v>
      </x:c>
    </x:row>
    <x:row r="476">
      <x:c r="A476" t="str">
        <x:v>solicitarDatosVehiculo</x:v>
      </x:c>
      <x:c r="B476" t="str">
        <x:v>id_usuario,id_vehiculo</x:v>
      </x:c>
      <x:c r="C476" t="str">
        <x:v>C_ControlHistorial</x:v>
      </x:c>
      <x:c r="D476" t="str">
        <x:v>C_ControlVehiculo</x:v>
      </x:c>
      <x:c r="E476" t="str">
        <x:v>presentación/navegación</x:v>
      </x:c>
      <x:c r="F476" t="n">
        <x:v>1</x:v>
      </x:c>
      <x:c r="G476" t="str">
        <x:v>RF19</x:v>
      </x:c>
      <x:c r="H476" t="str">
        <x:v>RF19!F11</x:v>
      </x:c>
    </x:row>
    <x:row r="477">
      <x:c r="A477" t="str">
        <x:v>validarVehiculoHistorialUsuario</x:v>
      </x:c>
      <x:c r="B477" t="str">
        <x:v>id_usuario,id_vehiculo</x:v>
      </x:c>
      <x:c r="C477" t="str">
        <x:v>C_ControlHistorial</x:v>
      </x:c>
      <x:c r="D477" t="str">
        <x:v>C_ControlVehiculo</x:v>
      </x:c>
      <x:c r="E477" t="str">
        <x:v>validación</x:v>
      </x:c>
      <x:c r="F477" t="n">
        <x:v>3</x:v>
      </x:c>
      <x:c r="G477" t="str">
        <x:v>RF25, RF26, RF27</x:v>
      </x:c>
      <x:c r="H477" t="str">
        <x:v>RF25!F16</x:v>
      </x:c>
    </x:row>
    <x:row r="478">
      <x:c r="A478" t="str">
        <x:v>validarVehiculoUsuario</x:v>
      </x:c>
      <x:c r="B478" t="str">
        <x:v>idUsuario,idVehiculo</x:v>
      </x:c>
      <x:c r="C478" t="str">
        <x:v>C_ControlHistorial</x:v>
      </x:c>
      <x:c r="D478" t="str">
        <x:v>C_ControlVehiculo</x:v>
      </x:c>
      <x:c r="E478" t="str">
        <x:v>validación</x:v>
      </x:c>
      <x:c r="F478" t="n">
        <x:v>1</x:v>
      </x:c>
      <x:c r="G478" t="str">
        <x:v>RF15</x:v>
      </x:c>
      <x:c r="H478" t="str">
        <x:v>RF015-EF1!F38</x:v>
      </x:c>
    </x:row>
    <x:row r="479">
      <x:c r="A479" t="str">
        <x:v>retornarDatosExportacion</x:v>
      </x:c>
      <x:c r="B479" t="str">
        <x:v>datos_reporte_consolidados</x:v>
      </x:c>
      <x:c r="C479" t="str">
        <x:v>C_ControlHistorial</x:v>
      </x:c>
      <x:c r="D479" t="str">
        <x:v>C_ReporteHistorial</x:v>
      </x:c>
      <x:c r="E479" t="str">
        <x:v>retorno</x:v>
      </x:c>
      <x:c r="F479" t="n">
        <x:v>1</x:v>
      </x:c>
      <x:c r="G479" t="str">
        <x:v>RF27</x:v>
      </x:c>
      <x:c r="H479" t="str">
        <x:v>RF27!F52</x:v>
      </x:c>
    </x:row>
    <x:row r="480">
      <x:c r="A480" t="str">
        <x:v>buscarMantenimientosParaExportacion</x:v>
      </x:c>
      <x:c r="B480" t="str">
        <x:v>id_usuario,id_vehiculo,fecha_desde,fecha_hasta,criterio_tipo_mantenimiento,incluir_anulados</x:v>
      </x:c>
      <x:c r="C480" t="str">
        <x:v>C_ControlHistorial</x:v>
      </x:c>
      <x:c r="D480" t="str">
        <x:v>E_Mantenimiento</x:v>
      </x:c>
      <x:c r="E480" t="str">
        <x:v>consulta</x:v>
      </x:c>
      <x:c r="F480" t="n">
        <x:v>1</x:v>
      </x:c>
      <x:c r="G480" t="str">
        <x:v>RF27</x:v>
      </x:c>
      <x:c r="H480" t="str">
        <x:v>RF27!F39</x:v>
      </x:c>
    </x:row>
    <x:row r="481">
      <x:c r="A481" t="str">
        <x:v>buscarMantenimientosPorVehiculo</x:v>
      </x:c>
      <x:c r="B481" t="str">
        <x:v>id_usuario,id_vehiculo</x:v>
      </x:c>
      <x:c r="C481" t="str">
        <x:v>C_ControlHistorial</x:v>
      </x:c>
      <x:c r="D481" t="str">
        <x:v>E_Mantenimiento</x:v>
      </x:c>
      <x:c r="E481" t="str">
        <x:v>consulta</x:v>
      </x:c>
      <x:c r="F481" t="n">
        <x:v>1</x:v>
      </x:c>
      <x:c r="G481" t="str">
        <x:v>RF25</x:v>
      </x:c>
      <x:c r="H481" t="str">
        <x:v>RF25!F21</x:v>
      </x:c>
    </x:row>
    <x:row r="482">
      <x:c r="A482" t="str">
        <x:v>buscarMantenimientosPorVehiculoConKmServicio</x:v>
      </x:c>
      <x:c r="B482" t="str">
        <x:v>id_usuario,id_vehiculo</x:v>
      </x:c>
      <x:c r="C482" t="str">
        <x:v>C_ControlHistorial</x:v>
      </x:c>
      <x:c r="D482" t="str">
        <x:v>E_Mantenimiento</x:v>
      </x:c>
      <x:c r="E482" t="str">
        <x:v>consulta</x:v>
      </x:c>
      <x:c r="F482" t="n">
        <x:v>2</x:v>
      </x:c>
      <x:c r="G482" t="str">
        <x:v>RF18, RF21</x:v>
      </x:c>
      <x:c r="H482" t="str">
        <x:v>RF18!F21</x:v>
      </x:c>
    </x:row>
    <x:row r="483">
      <x:c r="A483" t="str">
        <x:v>buscarMantenimientosPorVehiculoConKmServicio</x:v>
      </x:c>
      <x:c r="B483" t="str">
        <x:v>id_usuario,id_vehiculo_nuevo</x:v>
      </x:c>
      <x:c r="C483" t="str">
        <x:v>C_ControlHistorial</x:v>
      </x:c>
      <x:c r="D483" t="str">
        <x:v>E_Mantenimiento</x:v>
      </x:c>
      <x:c r="E483" t="str">
        <x:v>consulta</x:v>
      </x:c>
      <x:c r="F483" t="n">
        <x:v>1</x:v>
      </x:c>
      <x:c r="G483" t="str">
        <x:v>RF18</x:v>
      </x:c>
      <x:c r="H483" t="str">
        <x:v>RF18!F40</x:v>
      </x:c>
    </x:row>
    <x:row r="484">
      <x:c r="A484" t="str">
        <x:v>buscarMantenimientosPorVehiculoYTipo</x:v>
      </x:c>
      <x:c r="B484" t="str">
        <x:v>id_usuario,id_vehiculo,id_tipo_mantenimiento</x:v>
      </x:c>
      <x:c r="C484" t="str">
        <x:v>C_ControlHistorial</x:v>
      </x:c>
      <x:c r="D484" t="str">
        <x:v>E_Mantenimiento</x:v>
      </x:c>
      <x:c r="E484" t="str">
        <x:v>consulta</x:v>
      </x:c>
      <x:c r="F484" t="n">
        <x:v>1</x:v>
      </x:c>
      <x:c r="G484" t="str">
        <x:v>RF26</x:v>
      </x:c>
      <x:c r="H484" t="str">
        <x:v>RF26!F23</x:v>
      </x:c>
    </x:row>
    <x:row r="485">
      <x:c r="A485" t="str">
        <x:v>consultarDetalleMantenimientoUsuarioConKmServicio</x:v>
      </x:c>
      <x:c r="B485" t="str">
        <x:v>id_usuario,id_vehiculo,id_mantenimiento</x:v>
      </x:c>
      <x:c r="C485" t="str">
        <x:v>C_ControlHistorial</x:v>
      </x:c>
      <x:c r="D485" t="str">
        <x:v>E_Mantenimiento</x:v>
      </x:c>
      <x:c r="E485" t="str">
        <x:v>consulta</x:v>
      </x:c>
      <x:c r="F485" t="n">
        <x:v>1</x:v>
      </x:c>
      <x:c r="G485" t="str">
        <x:v>RF19</x:v>
      </x:c>
      <x:c r="H485" t="str">
        <x:v>RF19!F8</x:v>
      </x:c>
    </x:row>
    <x:row r="486">
      <x:c r="A486" t="str">
        <x:v>consultarResumenMantenimientos</x:v>
      </x:c>
      <x:c r="B486" t="str">
        <x:v>id_usuario,id_vehiculo</x:v>
      </x:c>
      <x:c r="C486" t="str">
        <x:v>C_ControlHistorial</x:v>
      </x:c>
      <x:c r="D486" t="str">
        <x:v>E_Mantenimiento</x:v>
      </x:c>
      <x:c r="E486" t="str">
        <x:v>consulta</x:v>
      </x:c>
      <x:c r="F486" t="n">
        <x:v>1</x:v>
      </x:c>
      <x:c r="G486" t="str">
        <x:v>RF17</x:v>
      </x:c>
      <x:c r="H486" t="str">
        <x:v>RF17!F14</x:v>
      </x:c>
    </x:row>
    <x:row r="487">
      <x:c r="A487" t="str">
        <x:v>obtenerUltimoMantenimientoRealizado</x:v>
      </x:c>
      <x:c r="B487" t="str">
        <x:v>idVehiculoSeleccionado</x:v>
      </x:c>
      <x:c r="C487" t="str">
        <x:v>C_ControlHistorial</x:v>
      </x:c>
      <x:c r="D487" t="str">
        <x:v>E_Mantenimiento</x:v>
      </x:c>
      <x:c r="E487" t="str">
        <x:v>consulta</x:v>
      </x:c>
      <x:c r="F487" t="n">
        <x:v>1</x:v>
      </x:c>
      <x:c r="G487" t="str">
        <x:v>RF50</x:v>
      </x:c>
      <x:c r="H487" t="str">
        <x:v>RF050-EF1!F43</x:v>
      </x:c>
    </x:row>
    <x:row r="488">
      <x:c r="A488" t="str">
        <x:v>mostrarDetalleMantenimiento</x:v>
      </x:c>
      <x:c r="B488" t="str">
        <x:v>detalle_preparado,acciones_disponibles</x:v>
      </x:c>
      <x:c r="C488" t="str">
        <x:v>C_ControlHistorial</x:v>
      </x:c>
      <x:c r="D488" t="str">
        <x:v>I_DetalleMantenimiento</x:v>
      </x:c>
      <x:c r="E488" t="str">
        <x:v>presentación/navegación</x:v>
      </x:c>
      <x:c r="F488" t="n">
        <x:v>1</x:v>
      </x:c>
      <x:c r="G488" t="str">
        <x:v>RF19</x:v>
      </x:c>
      <x:c r="H488" t="str">
        <x:v>RF19!F30</x:v>
      </x:c>
    </x:row>
    <x:row r="489">
      <x:c r="A489" t="str">
        <x:v>mostrarFiltrosKilometraje</x:v>
      </x:c>
      <x:c r="B489" t="str">
        <x:v>listaVehiculos,idVehiculoActual,criterioOrdenActual</x:v>
      </x:c>
      <x:c r="C489" t="str">
        <x:v>C_ControlHistorial</x:v>
      </x:c>
      <x:c r="D489" t="str">
        <x:v>I_FiltrosHistorial</x:v>
      </x:c>
      <x:c r="E489" t="str">
        <x:v>presentación/navegación</x:v>
      </x:c>
      <x:c r="F489" t="n">
        <x:v>1</x:v>
      </x:c>
      <x:c r="G489" t="str">
        <x:v>RF15</x:v>
      </x:c>
      <x:c r="H489" t="str">
        <x:v>RF015-EF1!F32</x:v>
      </x:c>
    </x:row>
    <x:row r="490">
      <x:c r="A490" t="str">
        <x:v>mostrarOpcionesFiltroMantenimiento</x:v>
      </x:c>
      <x:c r="B490" t="str">
        <x:v>lista_tipos,TODOS_LOS_TIPOS,MAS_RECIENTE,MAS_ANTIGUO,LIMPIAR_FILTROS</x:v>
      </x:c>
      <x:c r="C490" t="str">
        <x:v>C_ControlHistorial</x:v>
      </x:c>
      <x:c r="D490" t="str">
        <x:v>I_FiltrosHistorial</x:v>
      </x:c>
      <x:c r="E490" t="str">
        <x:v>presentación/navegación</x:v>
      </x:c>
      <x:c r="F490" t="n">
        <x:v>1</x:v>
      </x:c>
      <x:c r="G490" t="str">
        <x:v>RF26</x:v>
      </x:c>
      <x:c r="H490" t="str">
        <x:v>RF26!F17</x:v>
      </x:c>
    </x:row>
    <x:row r="491">
      <x:c r="A491" t="str">
        <x:v>mostrarOpcionesOrdenKilometraje</x:v>
      </x:c>
      <x:c r="B491" t="str">
        <x:v>MAS_RECIENTE,MAS_ANTIGUO,LIMPIAR_FILTROS</x:v>
      </x:c>
      <x:c r="C491" t="str">
        <x:v>C_ControlHistorial</x:v>
      </x:c>
      <x:c r="D491" t="str">
        <x:v>I_FiltrosHistorial</x:v>
      </x:c>
      <x:c r="E491" t="str">
        <x:v>presentación/navegación</x:v>
      </x:c>
      <x:c r="F491" t="n">
        <x:v>1</x:v>
      </x:c>
      <x:c r="G491" t="str">
        <x:v>RF26</x:v>
      </x:c>
      <x:c r="H491" t="str">
        <x:v>RF26!F33</x:v>
      </x:c>
    </x:row>
    <x:row r="492">
      <x:c r="A492" t="str">
        <x:v>mostrarHistorialFiltrado</x:v>
      </x:c>
      <x:c r="B492" t="str">
        <x:v>datosVehiculo,historialOrdenado,criterioOrden</x:v>
      </x:c>
      <x:c r="C492" t="str">
        <x:v>C_ControlHistorial</x:v>
      </x:c>
      <x:c r="D492" t="str">
        <x:v>I_HistorialKilometraje</x:v>
      </x:c>
      <x:c r="E492" t="str">
        <x:v>presentación/navegación</x:v>
      </x:c>
      <x:c r="F492" t="n">
        <x:v>1</x:v>
      </x:c>
      <x:c r="G492" t="str">
        <x:v>RF15</x:v>
      </x:c>
      <x:c r="H492" t="str">
        <x:v>RF015-EF1!F53</x:v>
      </x:c>
    </x:row>
    <x:row r="493">
      <x:c r="A493" t="str">
        <x:v>mostrarHistorialKilometraje</x:v>
      </x:c>
      <x:c r="B493" t="str">
        <x:v>idVehiculoPrincipal,historialOrdenado,FECHA_DESC</x:v>
      </x:c>
      <x:c r="C493" t="str">
        <x:v>C_ControlHistorial</x:v>
      </x:c>
      <x:c r="D493" t="str">
        <x:v>I_HistorialKilometraje</x:v>
      </x:c>
      <x:c r="E493" t="str">
        <x:v>presentación/navegación</x:v>
      </x:c>
      <x:c r="F493" t="n">
        <x:v>1</x:v>
      </x:c>
      <x:c r="G493" t="str">
        <x:v>RF15</x:v>
      </x:c>
      <x:c r="H493" t="str">
        <x:v>RF015-EF1!F27</x:v>
      </x:c>
    </x:row>
    <x:row r="494">
      <x:c r="A494" t="str">
        <x:v>mostrarVistaHistorialKilometraje</x:v>
      </x:c>
      <x:c r="B494" t="str"/>
      <x:c r="C494" t="str">
        <x:v>C_ControlHistorial</x:v>
      </x:c>
      <x:c r="D494" t="str">
        <x:v>I_HistorialKilometraje</x:v>
      </x:c>
      <x:c r="E494" t="str">
        <x:v>presentación/navegación</x:v>
      </x:c>
      <x:c r="F494" t="n">
        <x:v>1</x:v>
      </x:c>
      <x:c r="G494" t="str">
        <x:v>RF15</x:v>
      </x:c>
      <x:c r="H494" t="str">
        <x:v>RF015-EF1!F11</x:v>
      </x:c>
    </x:row>
    <x:row r="495">
      <x:c r="A495" t="str">
        <x:v>mostrarCargaHistorial</x:v>
      </x:c>
      <x:c r="B495" t="str">
        <x:v>id_vehiculo_nuevo</x:v>
      </x:c>
      <x:c r="C495" t="str">
        <x:v>C_ControlHistorial</x:v>
      </x:c>
      <x:c r="D495" t="str">
        <x:v>I_HistorialMantenimiento</x:v>
      </x:c>
      <x:c r="E495" t="str">
        <x:v>presentación/navegación</x:v>
      </x:c>
      <x:c r="F495" t="n">
        <x:v>1</x:v>
      </x:c>
      <x:c r="G495" t="str">
        <x:v>RF18</x:v>
      </x:c>
      <x:c r="H495" t="str">
        <x:v>RF18!F39</x:v>
      </x:c>
    </x:row>
    <x:row r="496">
      <x:c r="A496" t="str">
        <x:v>mostrarHistorialActualizado</x:v>
      </x:c>
      <x:c r="B496" t="str">
        <x:v>id_vehiculo_nuevo,lista_preparada,MAS_RECIENTE</x:v>
      </x:c>
      <x:c r="C496" t="str">
        <x:v>C_ControlHistorial</x:v>
      </x:c>
      <x:c r="D496" t="str">
        <x:v>I_HistorialMantenimiento</x:v>
      </x:c>
      <x:c r="E496" t="str">
        <x:v>presentación/navegación</x:v>
      </x:c>
      <x:c r="F496" t="n">
        <x:v>1</x:v>
      </x:c>
      <x:c r="G496" t="str">
        <x:v>RF18</x:v>
      </x:c>
      <x:c r="H496" t="str">
        <x:v>RF18!F48</x:v>
      </x:c>
    </x:row>
    <x:row r="497">
      <x:c r="A497" t="str">
        <x:v>mostrarHistorialActualizado</x:v>
      </x:c>
      <x:c r="B497" t="str">
        <x:v>lista_historial_preparada</x:v>
      </x:c>
      <x:c r="C497" t="str">
        <x:v>C_ControlHistorial</x:v>
      </x:c>
      <x:c r="D497" t="str">
        <x:v>I_HistorialMantenimiento</x:v>
      </x:c>
      <x:c r="E497" t="str">
        <x:v>presentación/navegación</x:v>
      </x:c>
      <x:c r="F497" t="n">
        <x:v>1</x:v>
      </x:c>
      <x:c r="G497" t="str">
        <x:v>RF21</x:v>
      </x:c>
      <x:c r="H497" t="str">
        <x:v>RF21!F50</x:v>
      </x:c>
    </x:row>
    <x:row r="498">
      <x:c r="A498" t="str">
        <x:v>mostrarHistorialMantenimiento</x:v>
      </x:c>
      <x:c r="B498" t="str">
        <x:v>lista_historial_preparada,MAS_RECIENTE</x:v>
      </x:c>
      <x:c r="C498" t="str">
        <x:v>C_ControlHistorial</x:v>
      </x:c>
      <x:c r="D498" t="str">
        <x:v>I_HistorialMantenimiento</x:v>
      </x:c>
      <x:c r="E498" t="str">
        <x:v>presentación/navegación</x:v>
      </x:c>
      <x:c r="F498" t="n">
        <x:v>1</x:v>
      </x:c>
      <x:c r="G498" t="str">
        <x:v>RF18</x:v>
      </x:c>
      <x:c r="H498" t="str">
        <x:v>RF18!F30</x:v>
      </x:c>
    </x:row>
    <x:row r="499">
      <x:c r="A499" t="str">
        <x:v>mostrarVistaHistorialMantenimiento</x:v>
      </x:c>
      <x:c r="B499" t="str">
        <x:v>id_vehiculo</x:v>
      </x:c>
      <x:c r="C499" t="str">
        <x:v>C_ControlHistorial</x:v>
      </x:c>
      <x:c r="D499" t="str">
        <x:v>I_HistorialMantenimiento</x:v>
      </x:c>
      <x:c r="E499" t="str">
        <x:v>presentación/navegación</x:v>
      </x:c>
      <x:c r="F499" t="n">
        <x:v>1</x:v>
      </x:c>
      <x:c r="G499" t="str">
        <x:v>RF18</x:v>
      </x:c>
      <x:c r="H499" t="str">
        <x:v>RF18!F18</x:v>
      </x:c>
    </x:row>
    <x:row r="500">
      <x:c r="A500" t="str">
        <x:v>mostrarVistaHistorialMantenimiento</x:v>
      </x:c>
      <x:c r="B500" t="str">
        <x:v>id_vehiculo,estado_vehiculo,lista_mantenimientos</x:v>
      </x:c>
      <x:c r="C500" t="str">
        <x:v>C_ControlHistorial</x:v>
      </x:c>
      <x:c r="D500" t="str">
        <x:v>I_HistorialMantenimiento</x:v>
      </x:c>
      <x:c r="E500" t="str">
        <x:v>presentación/navegación</x:v>
      </x:c>
      <x:c r="F500" t="n">
        <x:v>1</x:v>
      </x:c>
      <x:c r="G500" t="str">
        <x:v>RF17</x:v>
      </x:c>
      <x:c r="H500" t="str">
        <x:v>RF17!F16</x:v>
      </x:c>
    </x:row>
    <x:row r="501">
      <x:c r="A501" t="str">
        <x:v>mostrarHistorialVehiculo</x:v>
      </x:c>
      <x:c r="B501" t="str">
        <x:v>id_vehiculo,seccion_mantenimientos,seccion_kilometraje,MANTENIMIENTOS</x:v>
      </x:c>
      <x:c r="C501" t="str">
        <x:v>C_ControlHistorial</x:v>
      </x:c>
      <x:c r="D501" t="str">
        <x:v>I_HistorialVehiculo</x:v>
      </x:c>
      <x:c r="E501" t="str">
        <x:v>presentación/navegación</x:v>
      </x:c>
      <x:c r="F501" t="n">
        <x:v>1</x:v>
      </x:c>
      <x:c r="G501" t="str">
        <x:v>RF25</x:v>
      </x:c>
      <x:c r="H501" t="str">
        <x:v>RF25!F39</x:v>
      </x:c>
    </x:row>
    <x:row r="502">
      <x:c r="A502" t="str">
        <x:v>mostrarKilometrajeOrdenado</x:v>
      </x:c>
      <x:c r="B502" t="str">
        <x:v>historial_km_ordenado,orden</x:v>
      </x:c>
      <x:c r="C502" t="str">
        <x:v>C_ControlHistorial</x:v>
      </x:c>
      <x:c r="D502" t="str">
        <x:v>I_HistorialVehiculo</x:v>
      </x:c>
      <x:c r="E502" t="str">
        <x:v>presentación/navegación</x:v>
      </x:c>
      <x:c r="F502" t="n">
        <x:v>1</x:v>
      </x:c>
      <x:c r="G502" t="str">
        <x:v>RF26</x:v>
      </x:c>
      <x:c r="H502" t="str">
        <x:v>RF26!F46</x:v>
      </x:c>
    </x:row>
    <x:row r="503">
      <x:c r="A503" t="str">
        <x:v>mostrarMantenimientosFiltrados</x:v>
      </x:c>
      <x:c r="B503" t="str">
        <x:v>resultados,id_tipo_mantenimiento,orden</x:v>
      </x:c>
      <x:c r="C503" t="str">
        <x:v>C_ControlHistorial</x:v>
      </x:c>
      <x:c r="D503" t="str">
        <x:v>I_HistorialVehiculo</x:v>
      </x:c>
      <x:c r="E503" t="str">
        <x:v>presentación/navegación</x:v>
      </x:c>
      <x:c r="F503" t="n">
        <x:v>1</x:v>
      </x:c>
      <x:c r="G503" t="str">
        <x:v>RF26</x:v>
      </x:c>
      <x:c r="H503" t="str">
        <x:v>RF26!F30</x:v>
      </x:c>
    </x:row>
    <x:row r="504">
      <x:c r="A504" t="str">
        <x:v>retornarEstadoImagenTIVE</x:v>
      </x:c>
      <x:c r="B504" t="str">
        <x:v>GUARDADA</x:v>
      </x:c>
      <x:c r="C504" t="str">
        <x:v>C_ControlImagenTIVE</x:v>
      </x:c>
      <x:c r="D504" t="str">
        <x:v>C_ControlTIVE</x:v>
      </x:c>
      <x:c r="E504" t="str">
        <x:v>retorno</x:v>
      </x:c>
      <x:c r="F504" t="n">
        <x:v>1</x:v>
      </x:c>
      <x:c r="G504" t="str">
        <x:v>RF54</x:v>
      </x:c>
      <x:c r="H504" t="str">
        <x:v>RF054-EF1!F44</x:v>
      </x:c>
    </x:row>
    <x:row r="505">
      <x:c r="A505" t="str">
        <x:v>retornarImagenTIVE</x:v>
      </x:c>
      <x:c r="B505" t="str">
        <x:v>referenciaImagen</x:v>
      </x:c>
      <x:c r="C505" t="str">
        <x:v>C_ControlImagenTIVE</x:v>
      </x:c>
      <x:c r="D505" t="str">
        <x:v>C_ControlTIVE</x:v>
      </x:c>
      <x:c r="E505" t="str">
        <x:v>retorno</x:v>
      </x:c>
      <x:c r="F505" t="n">
        <x:v>1</x:v>
      </x:c>
      <x:c r="G505" t="str">
        <x:v>RF55</x:v>
      </x:c>
      <x:c r="H505" t="str">
        <x:v>RF055-EF1!F18</x:v>
      </x:c>
    </x:row>
    <x:row r="506">
      <x:c r="A506" t="str">
        <x:v>retornarReferenciaImagenActual</x:v>
      </x:c>
      <x:c r="B506" t="str">
        <x:v>referenciaImagenActual</x:v>
      </x:c>
      <x:c r="C506" t="str">
        <x:v>C_ControlImagenTIVE</x:v>
      </x:c>
      <x:c r="D506" t="str">
        <x:v>C_ControlTIVE</x:v>
      </x:c>
      <x:c r="E506" t="str">
        <x:v>retorno</x:v>
      </x:c>
      <x:c r="F506" t="n">
        <x:v>1</x:v>
      </x:c>
      <x:c r="G506" t="str">
        <x:v>RF56</x:v>
      </x:c>
      <x:c r="H506" t="str">
        <x:v>RF056-EF1!F44</x:v>
      </x:c>
    </x:row>
    <x:row r="507">
      <x:c r="A507" t="str">
        <x:v>retornarVistaPreviaImagenActual</x:v>
      </x:c>
      <x:c r="B507" t="str">
        <x:v>referenciaImagenActual</x:v>
      </x:c>
      <x:c r="C507" t="str">
        <x:v>C_ControlImagenTIVE</x:v>
      </x:c>
      <x:c r="D507" t="str">
        <x:v>C_ControlTIVE</x:v>
      </x:c>
      <x:c r="E507" t="str">
        <x:v>retorno</x:v>
      </x:c>
      <x:c r="F507" t="n">
        <x:v>1</x:v>
      </x:c>
      <x:c r="G507" t="str">
        <x:v>RF56</x:v>
      </x:c>
      <x:c r="H507" t="str">
        <x:v>RF056-EF1!F17</x:v>
      </x:c>
    </x:row>
    <x:row r="508">
      <x:c r="A508" t="str">
        <x:v>consultarImagenPorCodigo</x:v>
      </x:c>
      <x:c r="B508" t="str">
        <x:v>codigoVerificacion</x:v>
      </x:c>
      <x:c r="C508" t="str">
        <x:v>C_ControlImagenTIVE</x:v>
      </x:c>
      <x:c r="D508" t="str">
        <x:v>E_ImagenTIVE</x:v>
      </x:c>
      <x:c r="E508" t="str">
        <x:v>consulta</x:v>
      </x:c>
      <x:c r="F508" t="n">
        <x:v>2</x:v>
      </x:c>
      <x:c r="G508" t="str">
        <x:v>RF55, RF56</x:v>
      </x:c>
      <x:c r="H508" t="str">
        <x:v>RF055-EF1!F16</x:v>
      </x:c>
    </x:row>
    <x:row r="509">
      <x:c r="A509" t="str">
        <x:v>consultarImagenPorCodigo</x:v>
      </x:c>
      <x:c r="B509" t="str">
        <x:v>codigoVerificacionAnterior</x:v>
      </x:c>
      <x:c r="C509" t="str">
        <x:v>C_ControlImagenTIVE</x:v>
      </x:c>
      <x:c r="D509" t="str">
        <x:v>E_ImagenTIVE</x:v>
      </x:c>
      <x:c r="E509" t="str">
        <x:v>consulta</x:v>
      </x:c>
      <x:c r="F509" t="n">
        <x:v>1</x:v>
      </x:c>
      <x:c r="G509" t="str">
        <x:v>RF56</x:v>
      </x:c>
      <x:c r="H509" t="str">
        <x:v>RF056-EF1!F15</x:v>
      </x:c>
    </x:row>
    <x:row r="510">
      <x:c r="A510" t="str">
        <x:v>guardarReferenciaImagen</x:v>
      </x:c>
      <x:c r="B510" t="str">
        <x:v>codigoVerificacion,rutaSegura,tipo,tamanio</x:v>
      </x:c>
      <x:c r="C510" t="str">
        <x:v>C_ControlImagenTIVE</x:v>
      </x:c>
      <x:c r="D510" t="str">
        <x:v>E_ImagenTIVE</x:v>
      </x:c>
      <x:c r="E510" t="str">
        <x:v>otra</x:v>
      </x:c>
      <x:c r="F510" t="n">
        <x:v>1</x:v>
      </x:c>
      <x:c r="G510" t="str">
        <x:v>RF54</x:v>
      </x:c>
      <x:c r="H510" t="str">
        <x:v>RF054-EF1!F42</x:v>
      </x:c>
    </x:row>
    <x:row r="511">
      <x:c r="A511" t="str">
        <x:v>retornarImagenPublica</x:v>
      </x:c>
      <x:c r="B511" t="str">
        <x:v>imagenPrincipal</x:v>
      </x:c>
      <x:c r="C511" t="str">
        <x:v>C_ControlImagenVehiculo</x:v>
      </x:c>
      <x:c r="D511" t="str">
        <x:v>C_ControlCompartirVehiculo</x:v>
      </x:c>
      <x:c r="E511" t="str">
        <x:v>retorno</x:v>
      </x:c>
      <x:c r="F511" t="n">
        <x:v>1</x:v>
      </x:c>
      <x:c r="G511" t="str">
        <x:v>RF41</x:v>
      </x:c>
      <x:c r="H511" t="str">
        <x:v>RF041-EF1!F11</x:v>
      </x:c>
    </x:row>
    <x:row r="512">
      <x:c r="A512" t="str">
        <x:v>retornarEstadoImagen</x:v>
      </x:c>
      <x:c r="B512" t="str">
        <x:v>estadoImagen,datosImagen</x:v>
      </x:c>
      <x:c r="C512" t="str">
        <x:v>C_ControlImagenVehiculo</x:v>
      </x:c>
      <x:c r="D512" t="str">
        <x:v>C_ControlDetalleVehiculo</x:v>
      </x:c>
      <x:c r="E512" t="str">
        <x:v>retorno</x:v>
      </x:c>
      <x:c r="F512" t="n">
        <x:v>1</x:v>
      </x:c>
      <x:c r="G512" t="str">
        <x:v>RF10</x:v>
      </x:c>
      <x:c r="H512" t="str">
        <x:v>RF010-EF1!F29</x:v>
      </x:c>
    </x:row>
    <x:row r="513">
      <x:c r="A513" t="str">
        <x:v>solicitarDetalleActualizadoSegunRF10</x:v>
      </x:c>
      <x:c r="B513" t="str">
        <x:v>idUsuario,idVehiculo</x:v>
      </x:c>
      <x:c r="C513" t="str">
        <x:v>C_ControlImagenVehiculo</x:v>
      </x:c>
      <x:c r="D513" t="str">
        <x:v>C_ControlDetalleVehiculo</x:v>
      </x:c>
      <x:c r="E513" t="str">
        <x:v>presentación/navegación</x:v>
      </x:c>
      <x:c r="F513" t="n">
        <x:v>3</x:v>
      </x:c>
      <x:c r="G513" t="str">
        <x:v>RF42, RF43, RF45</x:v>
      </x:c>
      <x:c r="H513" t="str">
        <x:v>RF042-EF1!F33</x:v>
      </x:c>
    </x:row>
    <x:row r="514">
      <x:c r="A514" t="str">
        <x:v>retornarImagenPrincipal</x:v>
      </x:c>
      <x:c r="B514" t="str">
        <x:v>estadoImagen,datosImagen</x:v>
      </x:c>
      <x:c r="C514" t="str">
        <x:v>C_ControlImagenVehiculo</x:v>
      </x:c>
      <x:c r="D514" t="str">
        <x:v>C_ControlEdicionVehiculo</x:v>
      </x:c>
      <x:c r="E514" t="str">
        <x:v>retorno</x:v>
      </x:c>
      <x:c r="F514" t="n">
        <x:v>1</x:v>
      </x:c>
      <x:c r="G514" t="str">
        <x:v>RF11</x:v>
      </x:c>
      <x:c r="H514" t="str">
        <x:v>RF011-EF1!F10</x:v>
      </x:c>
    </x:row>
    <x:row r="515">
      <x:c r="A515" t="str">
        <x:v>establecerEstadoImagenPredeterminada</x:v>
      </x:c>
      <x:c r="B515" t="str"/>
      <x:c r="C515" t="str">
        <x:v>C_ControlImagenVehiculo</x:v>
      </x:c>
      <x:c r="D515" t="str">
        <x:v>C_ControlImagenVehiculo</x:v>
      </x:c>
      <x:c r="E515" t="str">
        <x:v>otra</x:v>
      </x:c>
      <x:c r="F515" t="n">
        <x:v>1</x:v>
      </x:c>
      <x:c r="G515" t="str">
        <x:v>RF45</x:v>
      </x:c>
      <x:c r="H515" t="str">
        <x:v>RF045-EF1!F22</x:v>
      </x:c>
    </x:row>
    <x:row r="516">
      <x:c r="A516" t="str">
        <x:v>evaluarValidacionImagen</x:v>
      </x:c>
      <x:c r="B516" t="str">
        <x:v>resultadoValidacion</x:v>
      </x:c>
      <x:c r="C516" t="str">
        <x:v>C_ControlImagenVehiculo</x:v>
      </x:c>
      <x:c r="D516" t="str">
        <x:v>C_ControlImagenVehiculo</x:v>
      </x:c>
      <x:c r="E516" t="str">
        <x:v>otra</x:v>
      </x:c>
      <x:c r="F516" t="n">
        <x:v>2</x:v>
      </x:c>
      <x:c r="G516" t="str">
        <x:v>RF42, RF43</x:v>
      </x:c>
      <x:c r="H516" t="str">
        <x:v>RF042-EF1!F24</x:v>
      </x:c>
    </x:row>
    <x:row r="517">
      <x:c r="A517" t="str">
        <x:v>validarActualizacionImagenDisponible</x:v>
      </x:c>
      <x:c r="B517" t="str">
        <x:v>PERSONALIZADA,vehiculoActivoRF10</x:v>
      </x:c>
      <x:c r="C517" t="str">
        <x:v>C_ControlImagenVehiculo</x:v>
      </x:c>
      <x:c r="D517" t="str">
        <x:v>C_ControlImagenVehiculo</x:v>
      </x:c>
      <x:c r="E517" t="str">
        <x:v>validación</x:v>
      </x:c>
      <x:c r="F517" t="n">
        <x:v>1</x:v>
      </x:c>
      <x:c r="G517" t="str">
        <x:v>RF43</x:v>
      </x:c>
      <x:c r="H517" t="str">
        <x:v>RF043-EF1!F9</x:v>
      </x:c>
    </x:row>
    <x:row r="518">
      <x:c r="A518" t="str">
        <x:v>validarEliminacionImagenDisponible</x:v>
      </x:c>
      <x:c r="B518" t="str">
        <x:v>PERSONALIZADA,vehiculoActivoRF10</x:v>
      </x:c>
      <x:c r="C518" t="str">
        <x:v>C_ControlImagenVehiculo</x:v>
      </x:c>
      <x:c r="D518" t="str">
        <x:v>C_ControlImagenVehiculo</x:v>
      </x:c>
      <x:c r="E518" t="str">
        <x:v>validación</x:v>
      </x:c>
      <x:c r="F518" t="n">
        <x:v>1</x:v>
      </x:c>
      <x:c r="G518" t="str">
        <x:v>RF45</x:v>
      </x:c>
      <x:c r="H518" t="str">
        <x:v>RF045-EF1!F9</x:v>
      </x:c>
    </x:row>
    <x:row r="519">
      <x:c r="A519" t="str">
        <x:v>validarRegistroImagenDisponible</x:v>
      </x:c>
      <x:c r="B519" t="str">
        <x:v>PREDETERMINADA,vehiculoActivoRF10</x:v>
      </x:c>
      <x:c r="C519" t="str">
        <x:v>C_ControlImagenVehiculo</x:v>
      </x:c>
      <x:c r="D519" t="str">
        <x:v>C_ControlImagenVehiculo</x:v>
      </x:c>
      <x:c r="E519" t="str">
        <x:v>validación</x:v>
      </x:c>
      <x:c r="F519" t="n">
        <x:v>1</x:v>
      </x:c>
      <x:c r="G519" t="str">
        <x:v>RF42</x:v>
      </x:c>
      <x:c r="H519" t="str">
        <x:v>RF042-EF1!F9</x:v>
      </x:c>
    </x:row>
    <x:row r="520">
      <x:c r="A520" t="str">
        <x:v>retornarEstadoImagen</x:v>
      </x:c>
      <x:c r="B520" t="str">
        <x:v>estadoImagen,datosImagen</x:v>
      </x:c>
      <x:c r="C520" t="str">
        <x:v>C_ControlImagenVehiculo</x:v>
      </x:c>
      <x:c r="D520" t="str">
        <x:v>C_ControlInicio</x:v>
      </x:c>
      <x:c r="E520" t="str">
        <x:v>retorno</x:v>
      </x:c>
      <x:c r="F520" t="n">
        <x:v>1</x:v>
      </x:c>
      <x:c r="G520" t="str">
        <x:v>RF50</x:v>
      </x:c>
      <x:c r="H520" t="str">
        <x:v>RF050-EF1!F25</x:v>
      </x:c>
    </x:row>
    <x:row r="521">
      <x:c r="A521" t="str">
        <x:v>retornarImagenesPrincipales</x:v>
      </x:c>
      <x:c r="B521" t="str">
        <x:v>mapaImagenes</x:v>
      </x:c>
      <x:c r="C521" t="str">
        <x:v>C_ControlImagenVehiculo</x:v>
      </x:c>
      <x:c r="D521" t="str">
        <x:v>C_ControlListadoVehiculos</x:v>
      </x:c>
      <x:c r="E521" t="str">
        <x:v>retorno</x:v>
      </x:c>
      <x:c r="F521" t="n">
        <x:v>4</x:v>
      </x:c>
      <x:c r="G521" t="str">
        <x:v>RF09, RF12, RF13</x:v>
      </x:c>
      <x:c r="H521" t="str">
        <x:v>RF009-EF1!F13</x:v>
      </x:c>
    </x:row>
    <x:row r="522">
      <x:c r="A522" t="str">
        <x:v>retornarEstadoImagenInicial</x:v>
      </x:c>
      <x:c r="B522" t="str">
        <x:v>estadoImagen</x:v>
      </x:c>
      <x:c r="C522" t="str">
        <x:v>C_ControlImagenVehiculo</x:v>
      </x:c>
      <x:c r="D522" t="str">
        <x:v>C_ControlRegistroVehiculo</x:v>
      </x:c>
      <x:c r="E522" t="str">
        <x:v>retorno</x:v>
      </x:c>
      <x:c r="F522" t="n">
        <x:v>1</x:v>
      </x:c>
      <x:c r="G522" t="str">
        <x:v>RF08</x:v>
      </x:c>
      <x:c r="H522" t="str">
        <x:v>RF008-EF1!F42</x:v>
      </x:c>
    </x:row>
    <x:row r="523">
      <x:c r="A523" t="str">
        <x:v>validarImagenSeleccionada</x:v>
      </x:c>
      <x:c r="B523" t="str">
        <x:v>imagen</x:v>
      </x:c>
      <x:c r="C523" t="str">
        <x:v>C_ControlImagenVehiculo</x:v>
      </x:c>
      <x:c r="D523" t="str">
        <x:v>C_ValidacionImagenVehiculo</x:v>
      </x:c>
      <x:c r="E523" t="str">
        <x:v>validación</x:v>
      </x:c>
      <x:c r="F523" t="n">
        <x:v>1</x:v>
      </x:c>
      <x:c r="G523" t="str">
        <x:v>RF42</x:v>
      </x:c>
      <x:c r="H523" t="str">
        <x:v>RF042-EF1!F22</x:v>
      </x:c>
    </x:row>
    <x:row r="524">
      <x:c r="A524" t="str">
        <x:v>validarImagenSeleccionada</x:v>
      </x:c>
      <x:c r="B524" t="str">
        <x:v>imagenNueva</x:v>
      </x:c>
      <x:c r="C524" t="str">
        <x:v>C_ControlImagenVehiculo</x:v>
      </x:c>
      <x:c r="D524" t="str">
        <x:v>C_ValidacionImagenVehiculo</x:v>
      </x:c>
      <x:c r="E524" t="str">
        <x:v>validación</x:v>
      </x:c>
      <x:c r="F524" t="n">
        <x:v>1</x:v>
      </x:c>
      <x:c r="G524" t="str">
        <x:v>RF43</x:v>
      </x:c>
      <x:c r="H524" t="str">
        <x:v>RF043-EF1!F22</x:v>
      </x:c>
    </x:row>
    <x:row r="525">
      <x:c r="A525" t="str">
        <x:v>actualizarImagenPrincipal</x:v>
      </x:c>
      <x:c r="B525" t="str">
        <x:v>idVehiculo,imagenNueva</x:v>
      </x:c>
      <x:c r="C525" t="str">
        <x:v>C_ControlImagenVehiculo</x:v>
      </x:c>
      <x:c r="D525" t="str">
        <x:v>E_ImagenVehiculo</x:v>
      </x:c>
      <x:c r="E525" t="str">
        <x:v>escritura</x:v>
      </x:c>
      <x:c r="F525" t="n">
        <x:v>1</x:v>
      </x:c>
      <x:c r="G525" t="str">
        <x:v>RF43</x:v>
      </x:c>
      <x:c r="H525" t="str">
        <x:v>RF043-EF1!F25</x:v>
      </x:c>
    </x:row>
    <x:row r="526">
      <x:c r="A526" t="str">
        <x:v>consultarImagenPrincipal</x:v>
      </x:c>
      <x:c r="B526" t="str">
        <x:v>idVehiculo</x:v>
      </x:c>
      <x:c r="C526" t="str">
        <x:v>C_ControlImagenVehiculo</x:v>
      </x:c>
      <x:c r="D526" t="str">
        <x:v>E_ImagenVehiculo</x:v>
      </x:c>
      <x:c r="E526" t="str">
        <x:v>consulta</x:v>
      </x:c>
      <x:c r="F526" t="n">
        <x:v>4</x:v>
      </x:c>
      <x:c r="G526" t="str">
        <x:v>RF10, RF42, RF43, RF45</x:v>
      </x:c>
      <x:c r="H526" t="str">
        <x:v>RF010-EF1!F27</x:v>
      </x:c>
    </x:row>
    <x:row r="527">
      <x:c r="A527" t="str">
        <x:v>consultarImagenPrincipal</x:v>
      </x:c>
      <x:c r="B527" t="str">
        <x:v>idVehiculoSeleccionado</x:v>
      </x:c>
      <x:c r="C527" t="str">
        <x:v>C_ControlImagenVehiculo</x:v>
      </x:c>
      <x:c r="D527" t="str">
        <x:v>E_ImagenVehiculo</x:v>
      </x:c>
      <x:c r="E527" t="str">
        <x:v>consulta</x:v>
      </x:c>
      <x:c r="F527" t="n">
        <x:v>1</x:v>
      </x:c>
      <x:c r="G527" t="str">
        <x:v>RF50</x:v>
      </x:c>
      <x:c r="H527" t="str">
        <x:v>RF050-EF1!F23</x:v>
      </x:c>
    </x:row>
    <x:row r="528">
      <x:c r="A528" t="str">
        <x:v>eliminarImagenPrincipal</x:v>
      </x:c>
      <x:c r="B528" t="str">
        <x:v>idVehiculo</x:v>
      </x:c>
      <x:c r="C528" t="str">
        <x:v>C_ControlImagenVehiculo</x:v>
      </x:c>
      <x:c r="D528" t="str">
        <x:v>E_ImagenVehiculo</x:v>
      </x:c>
      <x:c r="E528" t="str">
        <x:v>escritura</x:v>
      </x:c>
      <x:c r="F528" t="n">
        <x:v>1</x:v>
      </x:c>
      <x:c r="G528" t="str">
        <x:v>RF45</x:v>
      </x:c>
      <x:c r="H528" t="str">
        <x:v>RF045-EF1!F20</x:v>
      </x:c>
    </x:row>
    <x:row r="529">
      <x:c r="A529" t="str">
        <x:v>registrarImagenPrincipal</x:v>
      </x:c>
      <x:c r="B529" t="str">
        <x:v>idVehiculo,imagen</x:v>
      </x:c>
      <x:c r="C529" t="str">
        <x:v>C_ControlImagenVehiculo</x:v>
      </x:c>
      <x:c r="D529" t="str">
        <x:v>E_ImagenVehiculo</x:v>
      </x:c>
      <x:c r="E529" t="str">
        <x:v>escritura</x:v>
      </x:c>
      <x:c r="F529" t="n">
        <x:v>1</x:v>
      </x:c>
      <x:c r="G529" t="str">
        <x:v>RF42</x:v>
      </x:c>
      <x:c r="H529" t="str">
        <x:v>RF042-EF1!F26</x:v>
      </x:c>
    </x:row>
    <x:row r="530">
      <x:c r="A530" t="str">
        <x:v>mostrarGestionActualizacion</x:v>
      </x:c>
      <x:c r="B530" t="str">
        <x:v>datosImagenActual</x:v>
      </x:c>
      <x:c r="C530" t="str">
        <x:v>C_ControlImagenVehiculo</x:v>
      </x:c>
      <x:c r="D530" t="str">
        <x:v>I_ActualizarImagenVehiculo</x:v>
      </x:c>
      <x:c r="E530" t="str">
        <x:v>presentación/navegación</x:v>
      </x:c>
      <x:c r="F530" t="n">
        <x:v>1</x:v>
      </x:c>
      <x:c r="G530" t="str">
        <x:v>RF43</x:v>
      </x:c>
      <x:c r="H530" t="str">
        <x:v>RF043-EF1!F10</x:v>
      </x:c>
    </x:row>
    <x:row r="531">
      <x:c r="A531" t="str">
        <x:v>mostrarActualizacionImagenExitosa</x:v>
      </x:c>
      <x:c r="B531" t="str"/>
      <x:c r="C531" t="str">
        <x:v>C_ControlImagenVehiculo</x:v>
      </x:c>
      <x:c r="D531" t="str">
        <x:v>I_ConfirmacionOperacion</x:v>
      </x:c>
      <x:c r="E531" t="str">
        <x:v>presentación/navegación</x:v>
      </x:c>
      <x:c r="F531" t="n">
        <x:v>1</x:v>
      </x:c>
      <x:c r="G531" t="str">
        <x:v>RF43</x:v>
      </x:c>
      <x:c r="H531" t="str">
        <x:v>RF043-EF1!F28</x:v>
      </x:c>
    </x:row>
    <x:row r="532">
      <x:c r="A532" t="str">
        <x:v>mostrarConfirmacionEliminarImagen</x:v>
      </x:c>
      <x:c r="B532" t="str"/>
      <x:c r="C532" t="str">
        <x:v>C_ControlImagenVehiculo</x:v>
      </x:c>
      <x:c r="D532" t="str">
        <x:v>I_ConfirmacionOperacion</x:v>
      </x:c>
      <x:c r="E532" t="str">
        <x:v>presentación/navegación</x:v>
      </x:c>
      <x:c r="F532" t="n">
        <x:v>1</x:v>
      </x:c>
      <x:c r="G532" t="str">
        <x:v>RF45</x:v>
      </x:c>
      <x:c r="H532" t="str">
        <x:v>RF045-EF1!F15</x:v>
      </x:c>
    </x:row>
    <x:row r="533">
      <x:c r="A533" t="str">
        <x:v>mostrarEliminacionImagenExitosa</x:v>
      </x:c>
      <x:c r="B533" t="str"/>
      <x:c r="C533" t="str">
        <x:v>C_ControlImagenVehiculo</x:v>
      </x:c>
      <x:c r="D533" t="str">
        <x:v>I_ConfirmacionOperacion</x:v>
      </x:c>
      <x:c r="E533" t="str">
        <x:v>presentación/navegación</x:v>
      </x:c>
      <x:c r="F533" t="n">
        <x:v>1</x:v>
      </x:c>
      <x:c r="G533" t="str">
        <x:v>RF45</x:v>
      </x:c>
      <x:c r="H533" t="str">
        <x:v>RF045-EF1!F23</x:v>
      </x:c>
    </x:row>
    <x:row r="534">
      <x:c r="A534" t="str">
        <x:v>mostrarRegistroImagenExitoso</x:v>
      </x:c>
      <x:c r="B534" t="str"/>
      <x:c r="C534" t="str">
        <x:v>C_ControlImagenVehiculo</x:v>
      </x:c>
      <x:c r="D534" t="str">
        <x:v>I_ConfirmacionOperacion</x:v>
      </x:c>
      <x:c r="E534" t="str">
        <x:v>presentación/navegación</x:v>
      </x:c>
      <x:c r="F534" t="n">
        <x:v>1</x:v>
      </x:c>
      <x:c r="G534" t="str">
        <x:v>RF42</x:v>
      </x:c>
      <x:c r="H534" t="str">
        <x:v>RF042-EF1!F29</x:v>
      </x:c>
    </x:row>
    <x:row r="535">
      <x:c r="A535" t="str">
        <x:v>mostrarDetalleActualizado</x:v>
      </x:c>
      <x:c r="B535" t="str">
        <x:v>datosDetalle</x:v>
      </x:c>
      <x:c r="C535" t="str">
        <x:v>C_ControlImagenVehiculo</x:v>
      </x:c>
      <x:c r="D535" t="str">
        <x:v>I_DetalleVehiculo</x:v>
      </x:c>
      <x:c r="E535" t="str">
        <x:v>presentación/navegación</x:v>
      </x:c>
      <x:c r="F535" t="n">
        <x:v>3</x:v>
      </x:c>
      <x:c r="G535" t="str">
        <x:v>RF42, RF43, RF45</x:v>
      </x:c>
      <x:c r="H535" t="str">
        <x:v>RF042-EF1!F35</x:v>
      </x:c>
    </x:row>
    <x:row r="536">
      <x:c r="A536" t="str">
        <x:v>mostrarEliminacionImagen</x:v>
      </x:c>
      <x:c r="B536" t="str">
        <x:v>datosImagenActual</x:v>
      </x:c>
      <x:c r="C536" t="str">
        <x:v>C_ControlImagenVehiculo</x:v>
      </x:c>
      <x:c r="D536" t="str">
        <x:v>I_EliminarImagenVehiculo</x:v>
      </x:c>
      <x:c r="E536" t="str">
        <x:v>presentación/navegación</x:v>
      </x:c>
      <x:c r="F536" t="n">
        <x:v>1</x:v>
      </x:c>
      <x:c r="G536" t="str">
        <x:v>RF45</x:v>
      </x:c>
      <x:c r="H536" t="str">
        <x:v>RF045-EF1!F10</x:v>
      </x:c>
    </x:row>
    <x:row r="537">
      <x:c r="A537" t="str">
        <x:v>mostrarRegistroImagen</x:v>
      </x:c>
      <x:c r="B537" t="str"/>
      <x:c r="C537" t="str">
        <x:v>C_ControlImagenVehiculo</x:v>
      </x:c>
      <x:c r="D537" t="str">
        <x:v>I_RegistrarImagenVehiculo</x:v>
      </x:c>
      <x:c r="E537" t="str">
        <x:v>presentación/navegación</x:v>
      </x:c>
      <x:c r="F537" t="n">
        <x:v>1</x:v>
      </x:c>
      <x:c r="G537" t="str">
        <x:v>RF42</x:v>
      </x:c>
      <x:c r="H537" t="str">
        <x:v>RF042-EF1!F10</x:v>
      </x:c>
    </x:row>
    <x:row r="538">
      <x:c r="A538" t="str">
        <x:v>mostrarVistaPrevia</x:v>
      </x:c>
      <x:c r="B538" t="str">
        <x:v>imagen</x:v>
      </x:c>
      <x:c r="C538" t="str">
        <x:v>C_ControlImagenVehiculo</x:v>
      </x:c>
      <x:c r="D538" t="str">
        <x:v>I_VistaPreviaImagen</x:v>
      </x:c>
      <x:c r="E538" t="str">
        <x:v>presentación/navegación</x:v>
      </x:c>
      <x:c r="F538" t="n">
        <x:v>1</x:v>
      </x:c>
      <x:c r="G538" t="str">
        <x:v>RF42</x:v>
      </x:c>
      <x:c r="H538" t="str">
        <x:v>RF042-EF1!F18</x:v>
      </x:c>
    </x:row>
    <x:row r="539">
      <x:c r="A539" t="str">
        <x:v>mostrarVistaPrevia</x:v>
      </x:c>
      <x:c r="B539" t="str">
        <x:v>imagenNueva</x:v>
      </x:c>
      <x:c r="C539" t="str">
        <x:v>C_ControlImagenVehiculo</x:v>
      </x:c>
      <x:c r="D539" t="str">
        <x:v>I_VistaPreviaImagen</x:v>
      </x:c>
      <x:c r="E539" t="str">
        <x:v>presentación/navegación</x:v>
      </x:c>
      <x:c r="F539" t="n">
        <x:v>1</x:v>
      </x:c>
      <x:c r="G539" t="str">
        <x:v>RF43</x:v>
      </x:c>
      <x:c r="H539" t="str">
        <x:v>RF043-EF1!F17</x:v>
      </x:c>
    </x:row>
    <x:row r="540">
      <x:c r="A540" t="str">
        <x:v>abrirGaleriaImagenes</x:v>
      </x:c>
      <x:c r="B540" t="str"/>
      <x:c r="C540" t="str">
        <x:v>C_ControlImagenVehiculo</x:v>
      </x:c>
      <x:c r="D540" t="str">
        <x:v>ServicioGaleriaDispositivo</x:v>
      </x:c>
      <x:c r="E540" t="str">
        <x:v>presentación/navegación</x:v>
      </x:c>
      <x:c r="F540" t="n">
        <x:v>2</x:v>
      </x:c>
      <x:c r="G540" t="str">
        <x:v>RF42, RF43</x:v>
      </x:c>
      <x:c r="H540" t="str">
        <x:v>RF042-EF1!F15</x:v>
      </x:c>
    </x:row>
    <x:row r="541">
      <x:c r="A541" t="str">
        <x:v>validarPermisoMutacion</x:v>
      </x:c>
      <x:c r="B541" t="str">
        <x:v>idAdmin,GESTIONAR_INCIDENCIAS,AGREGAR_AVANCE</x:v>
      </x:c>
      <x:c r="C541" t="str">
        <x:v>C_ControlIncidencia</x:v>
      </x:c>
      <x:c r="D541" t="str">
        <x:v>C_Autorizacion</x:v>
      </x:c>
      <x:c r="E541" t="str">
        <x:v>validación</x:v>
      </x:c>
      <x:c r="F541" t="n">
        <x:v>1</x:v>
      </x:c>
      <x:c r="G541" t="str">
        <x:v>RF61</x:v>
      </x:c>
      <x:c r="H541" t="str">
        <x:v>RF061_EXITOSO!F38</x:v>
      </x:c>
    </x:row>
    <x:row r="542">
      <x:c r="A542" t="str">
        <x:v>validarPermisoMutacion</x:v>
      </x:c>
      <x:c r="B542" t="str">
        <x:v>idAdmin,GESTIONAR_INCIDENCIAS,DOCUMENTAR_SOLUCION</x:v>
      </x:c>
      <x:c r="C542" t="str">
        <x:v>C_ControlIncidencia</x:v>
      </x:c>
      <x:c r="D542" t="str">
        <x:v>C_Autorizacion</x:v>
      </x:c>
      <x:c r="E542" t="str">
        <x:v>validación</x:v>
      </x:c>
      <x:c r="F542" t="n">
        <x:v>1</x:v>
      </x:c>
      <x:c r="G542" t="str">
        <x:v>RF61</x:v>
      </x:c>
      <x:c r="H542" t="str">
        <x:v>RF061_EXITOSO!F50</x:v>
      </x:c>
    </x:row>
    <x:row r="543">
      <x:c r="A543" t="str">
        <x:v>validarPermisoMutacion</x:v>
      </x:c>
      <x:c r="B543" t="str">
        <x:v>idAdmin,GESTIONAR_INCIDENCIAS,MODIFICAR_ESTADO</x:v>
      </x:c>
      <x:c r="C543" t="str">
        <x:v>C_ControlIncidencia</x:v>
      </x:c>
      <x:c r="D543" t="str">
        <x:v>C_Autorizacion</x:v>
      </x:c>
      <x:c r="E543" t="str">
        <x:v>validación</x:v>
      </x:c>
      <x:c r="F543" t="n">
        <x:v>1</x:v>
      </x:c>
      <x:c r="G543" t="str">
        <x:v>RF61</x:v>
      </x:c>
      <x:c r="H543" t="str">
        <x:v>RF061_EXITOSO!F23</x:v>
      </x:c>
    </x:row>
    <x:row r="544">
      <x:c r="A544" t="str">
        <x:v>validarPermisoMutacion</x:v>
      </x:c>
      <x:c r="B544" t="str">
        <x:v>idAdmin,GESTIONAR_INCIDENCIAS,RESOLVER_INCIDENCIA</x:v>
      </x:c>
      <x:c r="C544" t="str">
        <x:v>C_ControlIncidencia</x:v>
      </x:c>
      <x:c r="D544" t="str">
        <x:v>C_Autorizacion</x:v>
      </x:c>
      <x:c r="E544" t="str">
        <x:v>validación</x:v>
      </x:c>
      <x:c r="F544" t="n">
        <x:v>1</x:v>
      </x:c>
      <x:c r="G544" t="str">
        <x:v>RF61</x:v>
      </x:c>
      <x:c r="H544" t="str">
        <x:v>RF061_EXITOSO!F59</x:v>
      </x:c>
    </x:row>
    <x:row r="545">
      <x:c r="A545" t="str">
        <x:v>validarCamposYEvidencia</x:v>
      </x:c>
      <x:c r="B545" t="str"/>
      <x:c r="C545" t="str">
        <x:v>C_ControlIncidencia</x:v>
      </x:c>
      <x:c r="D545" t="str">
        <x:v>C_ControlIncidencia</x:v>
      </x:c>
      <x:c r="E545" t="str">
        <x:v>validación</x:v>
      </x:c>
      <x:c r="F545" t="n">
        <x:v>1</x:v>
      </x:c>
      <x:c r="G545" t="str">
        <x:v>RF63</x:v>
      </x:c>
      <x:c r="H545" t="str">
        <x:v>RF063_EXITOSO!F24</x:v>
      </x:c>
    </x:row>
    <x:row r="546">
      <x:c r="A546" t="str">
        <x:v>validarTextoAvance</x:v>
      </x:c>
      <x:c r="B546" t="str">
        <x:v>descripcion</x:v>
      </x:c>
      <x:c r="C546" t="str">
        <x:v>C_ControlIncidencia</x:v>
      </x:c>
      <x:c r="D546" t="str">
        <x:v>C_ControlIncidencia</x:v>
      </x:c>
      <x:c r="E546" t="str">
        <x:v>validación</x:v>
      </x:c>
      <x:c r="F546" t="n">
        <x:v>1</x:v>
      </x:c>
      <x:c r="G546" t="str">
        <x:v>RF61</x:v>
      </x:c>
      <x:c r="H546" t="str">
        <x:v>RF061_EXITOSO!F40</x:v>
      </x:c>
    </x:row>
    <x:row r="547">
      <x:c r="A547" t="str">
        <x:v>validarTransicion</x:v>
      </x:c>
      <x:c r="B547" t="str">
        <x:v>PENDIENTE,EN_PROCESO</x:v>
      </x:c>
      <x:c r="C547" t="str">
        <x:v>C_ControlIncidencia</x:v>
      </x:c>
      <x:c r="D547" t="str">
        <x:v>C_ControlIncidencia</x:v>
      </x:c>
      <x:c r="E547" t="str">
        <x:v>validación</x:v>
      </x:c>
      <x:c r="F547" t="n">
        <x:v>1</x:v>
      </x:c>
      <x:c r="G547" t="str">
        <x:v>RF61</x:v>
      </x:c>
      <x:c r="H547" t="str">
        <x:v>RF061_EXITOSO!F25</x:v>
      </x:c>
    </x:row>
    <x:row r="548">
      <x:c r="A548" t="str">
        <x:v>obtenerIdentidadAutenticada</x:v>
      </x:c>
      <x:c r="B548" t="str"/>
      <x:c r="C548" t="str">
        <x:v>C_ControlIncidencia</x:v>
      </x:c>
      <x:c r="D548" t="str">
        <x:v>C_Sesion</x:v>
      </x:c>
      <x:c r="E548" t="str">
        <x:v>consulta</x:v>
      </x:c>
      <x:c r="F548" t="n">
        <x:v>1</x:v>
      </x:c>
      <x:c r="G548" t="str">
        <x:v>RF63</x:v>
      </x:c>
      <x:c r="H548" t="str">
        <x:v>RF063_EXITOSO!F25</x:v>
      </x:c>
    </x:row>
    <x:row r="549">
      <x:c r="A549" t="str">
        <x:v>obtenerUsuarioAutenticado</x:v>
      </x:c>
      <x:c r="B549" t="str"/>
      <x:c r="C549" t="str">
        <x:v>C_ControlIncidencia</x:v>
      </x:c>
      <x:c r="D549" t="str">
        <x:v>C_Sesion</x:v>
      </x:c>
      <x:c r="E549" t="str">
        <x:v>consulta</x:v>
      </x:c>
      <x:c r="F549" t="n">
        <x:v>1</x:v>
      </x:c>
      <x:c r="G549" t="str">
        <x:v>RF64</x:v>
      </x:c>
      <x:c r="H549" t="str">
        <x:v>RF064_EXITOSO!F7</x:v>
      </x:c>
    </x:row>
    <x:row r="550">
      <x:c r="A550" t="str">
        <x:v>comprobarSolucionDocumentada</x:v>
      </x:c>
      <x:c r="B550" t="str">
        <x:v>idIncidencia</x:v>
      </x:c>
      <x:c r="C550" t="str">
        <x:v>C_ControlIncidencia</x:v>
      </x:c>
      <x:c r="D550" t="str">
        <x:v>E_AvanceIncidencia</x:v>
      </x:c>
      <x:c r="E550" t="str">
        <x:v>otra</x:v>
      </x:c>
      <x:c r="F550" t="n">
        <x:v>1</x:v>
      </x:c>
      <x:c r="G550" t="str">
        <x:v>RF61</x:v>
      </x:c>
      <x:c r="H550" t="str">
        <x:v>RF061_EXITOSO!F61</x:v>
      </x:c>
    </x:row>
    <x:row r="551">
      <x:c r="A551" t="str">
        <x:v>guardarAvanceFinal</x:v>
      </x:c>
      <x:c r="B551" t="str">
        <x:v>idIncidencia,idAdmin,textoSolucion</x:v>
      </x:c>
      <x:c r="C551" t="str">
        <x:v>C_ControlIncidencia</x:v>
      </x:c>
      <x:c r="D551" t="str">
        <x:v>E_AvanceIncidencia</x:v>
      </x:c>
      <x:c r="E551" t="str">
        <x:v>otra</x:v>
      </x:c>
      <x:c r="F551" t="n">
        <x:v>1</x:v>
      </x:c>
      <x:c r="G551" t="str">
        <x:v>RF61</x:v>
      </x:c>
      <x:c r="H551" t="str">
        <x:v>RF061_EXITOSO!F52</x:v>
      </x:c>
    </x:row>
    <x:row r="552">
      <x:c r="A552" t="str">
        <x:v>listarAvances</x:v>
      </x:c>
      <x:c r="B552" t="str">
        <x:v>idIncidencia</x:v>
      </x:c>
      <x:c r="C552" t="str">
        <x:v>C_ControlIncidencia</x:v>
      </x:c>
      <x:c r="D552" t="str">
        <x:v>E_AvanceIncidencia</x:v>
      </x:c>
      <x:c r="E552" t="str">
        <x:v>otra</x:v>
      </x:c>
      <x:c r="F552" t="n">
        <x:v>1</x:v>
      </x:c>
      <x:c r="G552" t="str">
        <x:v>RF64</x:v>
      </x:c>
      <x:c r="H552" t="str">
        <x:v>RF064_EXITOSO!F23</x:v>
      </x:c>
    </x:row>
    <x:row r="553">
      <x:c r="A553" t="str">
        <x:v>registrarAvance</x:v>
      </x:c>
      <x:c r="B553" t="str">
        <x:v>idIncidencia,idAdmin,descripcion,fecha</x:v>
      </x:c>
      <x:c r="C553" t="str">
        <x:v>C_ControlIncidencia</x:v>
      </x:c>
      <x:c r="D553" t="str">
        <x:v>E_AvanceIncidencia</x:v>
      </x:c>
      <x:c r="E553" t="str">
        <x:v>escritura</x:v>
      </x:c>
      <x:c r="F553" t="n">
        <x:v>1</x:v>
      </x:c>
      <x:c r="G553" t="str">
        <x:v>RF61</x:v>
      </x:c>
      <x:c r="H553" t="str">
        <x:v>RF061_EXITOSO!F41</x:v>
      </x:c>
    </x:row>
    <x:row r="554">
      <x:c r="A554" t="str">
        <x:v>registrarEventoEstado</x:v>
      </x:c>
      <x:c r="B554" t="str">
        <x:v>idIncidencia,idAdmin,RESUELTA,motivo</x:v>
      </x:c>
      <x:c r="C554" t="str">
        <x:v>C_ControlIncidencia</x:v>
      </x:c>
      <x:c r="D554" t="str">
        <x:v>E_AvanceIncidencia</x:v>
      </x:c>
      <x:c r="E554" t="str">
        <x:v>escritura</x:v>
      </x:c>
      <x:c r="F554" t="n">
        <x:v>1</x:v>
      </x:c>
      <x:c r="G554" t="str">
        <x:v>RF61</x:v>
      </x:c>
      <x:c r="H554" t="str">
        <x:v>RF061_EXITOSO!F65</x:v>
      </x:c>
    </x:row>
    <x:row r="555">
      <x:c r="A555" t="str">
        <x:v>registrarEventoEstado</x:v>
      </x:c>
      <x:c r="B555" t="str">
        <x:v>idIncidencia,idAdmin,motivo</x:v>
      </x:c>
      <x:c r="C555" t="str">
        <x:v>C_ControlIncidencia</x:v>
      </x:c>
      <x:c r="D555" t="str">
        <x:v>E_AvanceIncidencia</x:v>
      </x:c>
      <x:c r="E555" t="str">
        <x:v>escritura</x:v>
      </x:c>
      <x:c r="F555" t="n">
        <x:v>1</x:v>
      </x:c>
      <x:c r="G555" t="str">
        <x:v>RF61</x:v>
      </x:c>
      <x:c r="H555" t="str">
        <x:v>RF061_EXITOSO!F28</x:v>
      </x:c>
    </x:row>
    <x:row r="556">
      <x:c r="A556" t="str">
        <x:v>guardarEvidencia</x:v>
      </x:c>
      <x:c r="B556" t="str">
        <x:v>codigo,archivo</x:v>
      </x:c>
      <x:c r="C556" t="str">
        <x:v>C_ControlIncidencia</x:v>
      </x:c>
      <x:c r="D556" t="str">
        <x:v>E_EvidenciaIncidencia</x:v>
      </x:c>
      <x:c r="E556" t="str">
        <x:v>otra</x:v>
      </x:c>
      <x:c r="F556" t="n">
        <x:v>1</x:v>
      </x:c>
      <x:c r="G556" t="str">
        <x:v>RF63</x:v>
      </x:c>
      <x:c r="H556" t="str">
        <x:v>RF063_EXITOSO!F29</x:v>
      </x:c>
    </x:row>
    <x:row r="557">
      <x:c r="A557" t="str">
        <x:v>actualizarEstadoYFecha</x:v>
      </x:c>
      <x:c r="B557" t="str">
        <x:v>EN_PROCESO</x:v>
      </x:c>
      <x:c r="C557" t="str">
        <x:v>C_ControlIncidencia</x:v>
      </x:c>
      <x:c r="D557" t="str">
        <x:v>E_Incidencia</x:v>
      </x:c>
      <x:c r="E557" t="str">
        <x:v>escritura</x:v>
      </x:c>
      <x:c r="F557" t="n">
        <x:v>1</x:v>
      </x:c>
      <x:c r="G557" t="str">
        <x:v>RF61</x:v>
      </x:c>
      <x:c r="H557" t="str">
        <x:v>RF061_EXITOSO!F26</x:v>
      </x:c>
    </x:row>
    <x:row r="558">
      <x:c r="A558" t="str">
        <x:v>actualizarEstadoYFecha</x:v>
      </x:c>
      <x:c r="B558" t="str">
        <x:v>RESUELTA,fechaResolucion</x:v>
      </x:c>
      <x:c r="C558" t="str">
        <x:v>C_ControlIncidencia</x:v>
      </x:c>
      <x:c r="D558" t="str">
        <x:v>E_Incidencia</x:v>
      </x:c>
      <x:c r="E558" t="str">
        <x:v>escritura</x:v>
      </x:c>
      <x:c r="F558" t="n">
        <x:v>1</x:v>
      </x:c>
      <x:c r="G558" t="str">
        <x:v>RF61</x:v>
      </x:c>
      <x:c r="H558" t="str">
        <x:v>RF061_EXITOSO!F63</x:v>
      </x:c>
    </x:row>
    <x:row r="559">
      <x:c r="A559" t="str">
        <x:v>buscarPorReportanteYEstado</x:v>
      </x:c>
      <x:c r="B559" t="str">
        <x:v>idUsuario,EN_PROCESO</x:v>
      </x:c>
      <x:c r="C559" t="str">
        <x:v>C_ControlIncidencia</x:v>
      </x:c>
      <x:c r="D559" t="str">
        <x:v>E_Incidencia</x:v>
      </x:c>
      <x:c r="E559" t="str">
        <x:v>consulta</x:v>
      </x:c>
      <x:c r="F559" t="n">
        <x:v>1</x:v>
      </x:c>
      <x:c r="G559" t="str">
        <x:v>RF64</x:v>
      </x:c>
      <x:c r="H559" t="str">
        <x:v>RF064_EXITOSO!F15</x:v>
      </x:c>
    </x:row>
    <x:row r="560">
      <x:c r="A560" t="str">
        <x:v>crearIncidencia</x:v>
      </x:c>
      <x:c r="B560" t="str">
        <x:v>titulo,categoria,descripcion,origen=USUARIO,idReportante,estado=PENDIENTE</x:v>
      </x:c>
      <x:c r="C560" t="str">
        <x:v>C_ControlIncidencia</x:v>
      </x:c>
      <x:c r="D560" t="str">
        <x:v>E_Incidencia</x:v>
      </x:c>
      <x:c r="E560" t="str">
        <x:v>otra</x:v>
      </x:c>
      <x:c r="F560" t="n">
        <x:v>1</x:v>
      </x:c>
      <x:c r="G560" t="str">
        <x:v>RF63</x:v>
      </x:c>
      <x:c r="H560" t="str">
        <x:v>RF063_EXITOSO!F27</x:v>
      </x:c>
    </x:row>
    <x:row r="561">
      <x:c r="A561" t="str">
        <x:v>listarIncidencias</x:v>
      </x:c>
      <x:c r="B561" t="str">
        <x:v>filtros</x:v>
      </x:c>
      <x:c r="C561" t="str">
        <x:v>C_ControlIncidencia</x:v>
      </x:c>
      <x:c r="D561" t="str">
        <x:v>E_Incidencia</x:v>
      </x:c>
      <x:c r="E561" t="str">
        <x:v>otra</x:v>
      </x:c>
      <x:c r="F561" t="n">
        <x:v>1</x:v>
      </x:c>
      <x:c r="G561" t="str">
        <x:v>RF61</x:v>
      </x:c>
      <x:c r="H561" t="str">
        <x:v>RF061_EXITOSO!F7</x:v>
      </x:c>
    </x:row>
    <x:row r="562">
      <x:c r="A562" t="str">
        <x:v>listarPorReportante</x:v>
      </x:c>
      <x:c r="B562" t="str">
        <x:v>idUsuario</x:v>
      </x:c>
      <x:c r="C562" t="str">
        <x:v>C_ControlIncidencia</x:v>
      </x:c>
      <x:c r="D562" t="str">
        <x:v>E_Incidencia</x:v>
      </x:c>
      <x:c r="E562" t="str">
        <x:v>otra</x:v>
      </x:c>
      <x:c r="F562" t="n">
        <x:v>1</x:v>
      </x:c>
      <x:c r="G562" t="str">
        <x:v>RF64</x:v>
      </x:c>
      <x:c r="H562" t="str">
        <x:v>RF064_EXITOSO!F9</x:v>
      </x:c>
    </x:row>
    <x:row r="563">
      <x:c r="A563" t="str">
        <x:v>obtenerIncidencia</x:v>
      </x:c>
      <x:c r="B563" t="str">
        <x:v>idIncidencia</x:v>
      </x:c>
      <x:c r="C563" t="str">
        <x:v>C_ControlIncidencia</x:v>
      </x:c>
      <x:c r="D563" t="str">
        <x:v>E_Incidencia</x:v>
      </x:c>
      <x:c r="E563" t="str">
        <x:v>consulta</x:v>
      </x:c>
      <x:c r="F563" t="n">
        <x:v>1</x:v>
      </x:c>
      <x:c r="G563" t="str">
        <x:v>RF61</x:v>
      </x:c>
      <x:c r="H563" t="str">
        <x:v>RF061_EXITOSO!F12</x:v>
      </x:c>
    </x:row>
    <x:row r="564">
      <x:c r="A564" t="str">
        <x:v>obtenerIncidenciaDelReportante</x:v>
      </x:c>
      <x:c r="B564" t="str">
        <x:v>idIncidencia,idUsuario</x:v>
      </x:c>
      <x:c r="C564" t="str">
        <x:v>C_ControlIncidencia</x:v>
      </x:c>
      <x:c r="D564" t="str">
        <x:v>E_Incidencia</x:v>
      </x:c>
      <x:c r="E564" t="str">
        <x:v>consulta</x:v>
      </x:c>
      <x:c r="F564" t="n">
        <x:v>1</x:v>
      </x:c>
      <x:c r="G564" t="str">
        <x:v>RF64</x:v>
      </x:c>
      <x:c r="H564" t="str">
        <x:v>RF064_EXITOSO!F21</x:v>
      </x:c>
    </x:row>
    <x:row r="565">
      <x:c r="A565" t="str">
        <x:v>consultarUsuarioSesion</x:v>
      </x:c>
      <x:c r="B565" t="str">
        <x:v>idUsuarioSesion</x:v>
      </x:c>
      <x:c r="C565" t="str">
        <x:v>C_ControlIncidencia</x:v>
      </x:c>
      <x:c r="D565" t="str">
        <x:v>E_Usuario</x:v>
      </x:c>
      <x:c r="E565" t="str">
        <x:v>consulta</x:v>
      </x:c>
      <x:c r="F565" t="n">
        <x:v>1</x:v>
      </x:c>
      <x:c r="G565" t="str">
        <x:v>RF63</x:v>
      </x:c>
      <x:c r="H565" t="str">
        <x:v>RF063_EXITOSO!F7</x:v>
      </x:c>
    </x:row>
    <x:row r="566">
      <x:c r="A566" t="str">
        <x:v>obtenerIdentidadReportante</x:v>
      </x:c>
      <x:c r="B566" t="str">
        <x:v>idReportante</x:v>
      </x:c>
      <x:c r="C566" t="str">
        <x:v>C_ControlIncidencia</x:v>
      </x:c>
      <x:c r="D566" t="str">
        <x:v>E_Usuario</x:v>
      </x:c>
      <x:c r="E566" t="str">
        <x:v>consulta</x:v>
      </x:c>
      <x:c r="F566" t="n">
        <x:v>1</x:v>
      </x:c>
      <x:c r="G566" t="str">
        <x:v>RF61</x:v>
      </x:c>
      <x:c r="H566" t="str">
        <x:v>RF061_EXITOSO!F14</x:v>
      </x:c>
    </x:row>
    <x:row r="567">
      <x:c r="A567" t="str">
        <x:v>mostrarCambioEstado</x:v>
      </x:c>
      <x:c r="B567" t="str">
        <x:v>actual=EN_PROCESO</x:v>
      </x:c>
      <x:c r="C567" t="str">
        <x:v>C_ControlIncidencia</x:v>
      </x:c>
      <x:c r="D567" t="str">
        <x:v>I_ActualizarEstadoIncidencia</x:v>
      </x:c>
      <x:c r="E567" t="str">
        <x:v>presentación/navegación</x:v>
      </x:c>
      <x:c r="F567" t="n">
        <x:v>1</x:v>
      </x:c>
      <x:c r="G567" t="str">
        <x:v>RF61</x:v>
      </x:c>
      <x:c r="H567" t="str">
        <x:v>RF061_EXITOSO!F56</x:v>
      </x:c>
    </x:row>
    <x:row r="568">
      <x:c r="A568" t="str">
        <x:v>mostrarFormularioEstado</x:v>
      </x:c>
      <x:c r="B568" t="str">
        <x:v>actual=PENDIENTE</x:v>
      </x:c>
      <x:c r="C568" t="str">
        <x:v>C_ControlIncidencia</x:v>
      </x:c>
      <x:c r="D568" t="str">
        <x:v>I_ActualizarEstadoIncidencia</x:v>
      </x:c>
      <x:c r="E568" t="str">
        <x:v>presentación/navegación</x:v>
      </x:c>
      <x:c r="F568" t="n">
        <x:v>1</x:v>
      </x:c>
      <x:c r="G568" t="str">
        <x:v>RF61</x:v>
      </x:c>
      <x:c r="H568" t="str">
        <x:v>RF061_EXITOSO!F20</x:v>
      </x:c>
    </x:row>
    <x:row r="569">
      <x:c r="A569" t="str">
        <x:v>mostrarCamposAvance</x:v>
      </x:c>
      <x:c r="B569" t="str"/>
      <x:c r="C569" t="str">
        <x:v>C_ControlIncidencia</x:v>
      </x:c>
      <x:c r="D569" t="str">
        <x:v>I_AgregarAvanceIncidencia</x:v>
      </x:c>
      <x:c r="E569" t="str">
        <x:v>presentación/navegación</x:v>
      </x:c>
      <x:c r="F569" t="n">
        <x:v>1</x:v>
      </x:c>
      <x:c r="G569" t="str">
        <x:v>RF61</x:v>
      </x:c>
      <x:c r="H569" t="str">
        <x:v>RF061_EXITOSO!F34</x:v>
      </x:c>
    </x:row>
    <x:row r="570">
      <x:c r="A570" t="str">
        <x:v>mostrarFormularioAvanceFinal</x:v>
      </x:c>
      <x:c r="B570" t="str"/>
      <x:c r="C570" t="str">
        <x:v>C_ControlIncidencia</x:v>
      </x:c>
      <x:c r="D570" t="str">
        <x:v>I_AgregarAvanceIncidencia</x:v>
      </x:c>
      <x:c r="E570" t="str">
        <x:v>presentación/navegación</x:v>
      </x:c>
      <x:c r="F570" t="n">
        <x:v>1</x:v>
      </x:c>
      <x:c r="G570" t="str">
        <x:v>RF61</x:v>
      </x:c>
      <x:c r="H570" t="str">
        <x:v>RF061_EXITOSO!F47</x:v>
      </x:c>
    </x:row>
    <x:row r="571">
      <x:c r="A571" t="str">
        <x:v>mostrarIncidenciaEnviada</x:v>
      </x:c>
      <x:c r="B571" t="str">
        <x:v>codigo,PENDIENTE</x:v>
      </x:c>
      <x:c r="C571" t="str">
        <x:v>C_ControlIncidencia</x:v>
      </x:c>
      <x:c r="D571" t="str">
        <x:v>I_ConfirmacionIncidenciaEnviada</x:v>
      </x:c>
      <x:c r="E571" t="str">
        <x:v>presentación/navegación</x:v>
      </x:c>
      <x:c r="F571" t="n">
        <x:v>1</x:v>
      </x:c>
      <x:c r="G571" t="str">
        <x:v>RF63</x:v>
      </x:c>
      <x:c r="H571" t="str">
        <x:v>RF063_EXITOSO!F32</x:v>
      </x:c>
    </x:row>
    <x:row r="572">
      <x:c r="A572" t="str">
        <x:v>mostrarDetalleEnProceso</x:v>
      </x:c>
      <x:c r="B572" t="str"/>
      <x:c r="C572" t="str">
        <x:v>C_ControlIncidencia</x:v>
      </x:c>
      <x:c r="D572" t="str">
        <x:v>I_DetalleIncidenciaAdmin</x:v>
      </x:c>
      <x:c r="E572" t="str">
        <x:v>presentación/navegación</x:v>
      </x:c>
      <x:c r="F572" t="n">
        <x:v>1</x:v>
      </x:c>
      <x:c r="G572" t="str">
        <x:v>RF61</x:v>
      </x:c>
      <x:c r="H572" t="str">
        <x:v>RF061_EXITOSO!F31</x:v>
      </x:c>
    </x:row>
    <x:row r="573">
      <x:c r="A573" t="str">
        <x:v>mostrarDetalleIncidencia</x:v>
      </x:c>
      <x:c r="B573" t="str">
        <x:v>datos,reportadoPor</x:v>
      </x:c>
      <x:c r="C573" t="str">
        <x:v>C_ControlIncidencia</x:v>
      </x:c>
      <x:c r="D573" t="str">
        <x:v>I_DetalleIncidenciaAdmin</x:v>
      </x:c>
      <x:c r="E573" t="str">
        <x:v>presentación/navegación</x:v>
      </x:c>
      <x:c r="F573" t="n">
        <x:v>1</x:v>
      </x:c>
      <x:c r="G573" t="str">
        <x:v>RF61</x:v>
      </x:c>
      <x:c r="H573" t="str">
        <x:v>RF061_EXITOSO!F16</x:v>
      </x:c>
    </x:row>
    <x:row r="574">
      <x:c r="A574" t="str">
        <x:v>mostrarDetalleResueltoYAvances</x:v>
      </x:c>
      <x:c r="B574" t="str"/>
      <x:c r="C574" t="str">
        <x:v>C_ControlIncidencia</x:v>
      </x:c>
      <x:c r="D574" t="str">
        <x:v>I_DetalleIncidenciaAdmin</x:v>
      </x:c>
      <x:c r="E574" t="str">
        <x:v>presentación/navegación</x:v>
      </x:c>
      <x:c r="F574" t="n">
        <x:v>1</x:v>
      </x:c>
      <x:c r="G574" t="str">
        <x:v>RF61</x:v>
      </x:c>
      <x:c r="H574" t="str">
        <x:v>RF061_EXITOSO!F67</x:v>
      </x:c>
    </x:row>
    <x:row r="575">
      <x:c r="A575" t="str">
        <x:v>mostrarNuevoAvance</x:v>
      </x:c>
      <x:c r="B575" t="str"/>
      <x:c r="C575" t="str">
        <x:v>C_ControlIncidencia</x:v>
      </x:c>
      <x:c r="D575" t="str">
        <x:v>I_DetalleIncidenciaAdmin</x:v>
      </x:c>
      <x:c r="E575" t="str">
        <x:v>presentación/navegación</x:v>
      </x:c>
      <x:c r="F575" t="n">
        <x:v>1</x:v>
      </x:c>
      <x:c r="G575" t="str">
        <x:v>RF61</x:v>
      </x:c>
      <x:c r="H575" t="str">
        <x:v>RF061_EXITOSO!F43</x:v>
      </x:c>
    </x:row>
    <x:row r="576">
      <x:c r="A576" t="str">
        <x:v>mostrarDetalleYAvances</x:v>
      </x:c>
      <x:c r="B576" t="str">
        <x:v>datos,avances</x:v>
      </x:c>
      <x:c r="C576" t="str">
        <x:v>C_ControlIncidencia</x:v>
      </x:c>
      <x:c r="D576" t="str">
        <x:v>I_DetalleIncidenciaUsuario</x:v>
      </x:c>
      <x:c r="E576" t="str">
        <x:v>presentación/navegación</x:v>
      </x:c>
      <x:c r="F576" t="n">
        <x:v>1</x:v>
      </x:c>
      <x:c r="G576" t="str">
        <x:v>RF64</x:v>
      </x:c>
      <x:c r="H576" t="str">
        <x:v>RF064_EXITOSO!F25</x:v>
      </x:c>
    </x:row>
    <x:row r="577">
      <x:c r="A577" t="str">
        <x:v>mostrarIncidencias</x:v>
      </x:c>
      <x:c r="B577" t="str">
        <x:v>lista</x:v>
      </x:c>
      <x:c r="C577" t="str">
        <x:v>C_ControlIncidencia</x:v>
      </x:c>
      <x:c r="D577" t="str">
        <x:v>I_IncidenciasAdmin</x:v>
      </x:c>
      <x:c r="E577" t="str">
        <x:v>presentación/navegación</x:v>
      </x:c>
      <x:c r="F577" t="n">
        <x:v>1</x:v>
      </x:c>
      <x:c r="G577" t="str">
        <x:v>RF61</x:v>
      </x:c>
      <x:c r="H577" t="str">
        <x:v>RF061_EXITOSO!F9</x:v>
      </x:c>
    </x:row>
    <x:row r="578">
      <x:c r="A578" t="str">
        <x:v>actualizarListaPropia</x:v>
      </x:c>
      <x:c r="B578" t="str">
        <x:v>lista</x:v>
      </x:c>
      <x:c r="C578" t="str">
        <x:v>C_ControlIncidencia</x:v>
      </x:c>
      <x:c r="D578" t="str">
        <x:v>I_MisIncidencias</x:v>
      </x:c>
      <x:c r="E578" t="str">
        <x:v>escritura</x:v>
      </x:c>
      <x:c r="F578" t="n">
        <x:v>1</x:v>
      </x:c>
      <x:c r="G578" t="str">
        <x:v>RF64</x:v>
      </x:c>
      <x:c r="H578" t="str">
        <x:v>RF064_EXITOSO!F17</x:v>
      </x:c>
    </x:row>
    <x:row r="579">
      <x:c r="A579" t="str">
        <x:v>mostrarListadoPrevio</x:v>
      </x:c>
      <x:c r="B579" t="str"/>
      <x:c r="C579" t="str">
        <x:v>C_ControlIncidencia</x:v>
      </x:c>
      <x:c r="D579" t="str">
        <x:v>I_MisIncidencias</x:v>
      </x:c>
      <x:c r="E579" t="str">
        <x:v>presentación/navegación</x:v>
      </x:c>
      <x:c r="F579" t="n">
        <x:v>1</x:v>
      </x:c>
      <x:c r="G579" t="str">
        <x:v>RF64</x:v>
      </x:c>
      <x:c r="H579" t="str">
        <x:v>RF064_EXITOSO!F30</x:v>
      </x:c>
    </x:row>
    <x:row r="580">
      <x:c r="A580" t="str">
        <x:v>mostrarListadoPropio</x:v>
      </x:c>
      <x:c r="B580" t="str">
        <x:v>lista</x:v>
      </x:c>
      <x:c r="C580" t="str">
        <x:v>C_ControlIncidencia</x:v>
      </x:c>
      <x:c r="D580" t="str">
        <x:v>I_MisIncidencias</x:v>
      </x:c>
      <x:c r="E580" t="str">
        <x:v>presentación/navegación</x:v>
      </x:c>
      <x:c r="F580" t="n">
        <x:v>1</x:v>
      </x:c>
      <x:c r="G580" t="str">
        <x:v>RF64</x:v>
      </x:c>
      <x:c r="H580" t="str">
        <x:v>RF064_EXITOSO!F11</x:v>
      </x:c>
    </x:row>
    <x:row r="581">
      <x:c r="A581" t="str">
        <x:v>mostrarMisIncidencias</x:v>
      </x:c>
      <x:c r="B581" t="str"/>
      <x:c r="C581" t="str">
        <x:v>C_ControlIncidencia</x:v>
      </x:c>
      <x:c r="D581" t="str">
        <x:v>I_MisIncidencias</x:v>
      </x:c>
      <x:c r="E581" t="str">
        <x:v>presentación/navegación</x:v>
      </x:c>
      <x:c r="F581" t="n">
        <x:v>1</x:v>
      </x:c>
      <x:c r="G581" t="str">
        <x:v>RF63</x:v>
      </x:c>
      <x:c r="H581" t="str">
        <x:v>RF063_EXITOSO!F36</x:v>
      </x:c>
    </x:row>
    <x:row r="582">
      <x:c r="A582" t="str">
        <x:v>adjuntarArchivoAlFormulario</x:v>
      </x:c>
      <x:c r="B582" t="str">
        <x:v>archivo</x:v>
      </x:c>
      <x:c r="C582" t="str">
        <x:v>C_ControlIncidencia</x:v>
      </x:c>
      <x:c r="D582" t="str">
        <x:v>I_RegistroIncidenciaUsuario</x:v>
      </x:c>
      <x:c r="E582" t="str">
        <x:v>otra</x:v>
      </x:c>
      <x:c r="F582" t="n">
        <x:v>1</x:v>
      </x:c>
      <x:c r="G582" t="str">
        <x:v>RF63</x:v>
      </x:c>
      <x:c r="H582" t="str">
        <x:v>RF063_EXITOSO!F20</x:v>
      </x:c>
    </x:row>
    <x:row r="583">
      <x:c r="A583" t="str">
        <x:v>mostrarFormularioYReportante</x:v>
      </x:c>
      <x:c r="B583" t="str">
        <x:v>nombre,correo</x:v>
      </x:c>
      <x:c r="C583" t="str">
        <x:v>C_ControlIncidencia</x:v>
      </x:c>
      <x:c r="D583" t="str">
        <x:v>I_RegistroIncidenciaUsuario</x:v>
      </x:c>
      <x:c r="E583" t="str">
        <x:v>presentación/navegación</x:v>
      </x:c>
      <x:c r="F583" t="n">
        <x:v>1</x:v>
      </x:c>
      <x:c r="G583" t="str">
        <x:v>RF63</x:v>
      </x:c>
      <x:c r="H583" t="str">
        <x:v>RF063_EXITOSO!F9</x:v>
      </x:c>
    </x:row>
    <x:row r="584">
      <x:c r="A584" t="str">
        <x:v>mostrarFuentesCamaraGaleria</x:v>
      </x:c>
      <x:c r="B584" t="str"/>
      <x:c r="C584" t="str">
        <x:v>C_ControlIncidencia</x:v>
      </x:c>
      <x:c r="D584" t="str">
        <x:v>I_SeleccionarEvidenciaIncidencia</x:v>
      </x:c>
      <x:c r="E584" t="str">
        <x:v>presentación/navegación</x:v>
      </x:c>
      <x:c r="F584" t="n">
        <x:v>1</x:v>
      </x:c>
      <x:c r="G584" t="str">
        <x:v>RF63</x:v>
      </x:c>
      <x:c r="H584" t="str">
        <x:v>RF063_EXITOSO!F14</x:v>
      </x:c>
    </x:row>
    <x:row r="585">
      <x:c r="A585" t="str">
        <x:v>solicitarAlertasResumen</x:v>
      </x:c>
      <x:c r="B585" t="str">
        <x:v>idUsuario,idVehiculoSeleccionado,kilometraje,fechaActual</x:v>
      </x:c>
      <x:c r="C585" t="str">
        <x:v>C_ControlInicio</x:v>
      </x:c>
      <x:c r="D585" t="str">
        <x:v>C_ControlAlerta</x:v>
      </x:c>
      <x:c r="E585" t="str">
        <x:v>presentación/navegación</x:v>
      </x:c>
      <x:c r="F585" t="n">
        <x:v>1</x:v>
      </x:c>
      <x:c r="G585" t="str">
        <x:v>RF50</x:v>
      </x:c>
      <x:c r="H585" t="str">
        <x:v>RF050-EF1!F31</x:v>
      </x:c>
    </x:row>
    <x:row r="586">
      <x:c r="A586" t="str">
        <x:v>consultarUltimoMantenimientoRealizado</x:v>
      </x:c>
      <x:c r="B586" t="str">
        <x:v>idVehiculoSeleccionado</x:v>
      </x:c>
      <x:c r="C586" t="str">
        <x:v>C_ControlInicio</x:v>
      </x:c>
      <x:c r="D586" t="str">
        <x:v>C_ControlHistorial</x:v>
      </x:c>
      <x:c r="E586" t="str">
        <x:v>consulta</x:v>
      </x:c>
      <x:c r="F586" t="n">
        <x:v>1</x:v>
      </x:c>
      <x:c r="G586" t="str">
        <x:v>RF50</x:v>
      </x:c>
      <x:c r="H586" t="str">
        <x:v>RF050-EF1!F42</x:v>
      </x:c>
    </x:row>
    <x:row r="587">
      <x:c r="A587" t="str">
        <x:v>solicitarEstadoImagen</x:v>
      </x:c>
      <x:c r="B587" t="str">
        <x:v>idVehiculoSeleccionado</x:v>
      </x:c>
      <x:c r="C587" t="str">
        <x:v>C_ControlInicio</x:v>
      </x:c>
      <x:c r="D587" t="str">
        <x:v>C_ControlImagenVehiculo</x:v>
      </x:c>
      <x:c r="E587" t="str">
        <x:v>presentación/navegación</x:v>
      </x:c>
      <x:c r="F587" t="n">
        <x:v>1</x:v>
      </x:c>
      <x:c r="G587" t="str">
        <x:v>RF50</x:v>
      </x:c>
      <x:c r="H587" t="str">
        <x:v>RF050-EF1!F22</x:v>
      </x:c>
    </x:row>
    <x:row r="588">
      <x:c r="A588" t="str">
        <x:v>integrarResumenInicio</x:v>
      </x:c>
      <x:c r="B588" t="str">
        <x:v>datosConsultados</x:v>
      </x:c>
      <x:c r="C588" t="str">
        <x:v>C_ControlInicio</x:v>
      </x:c>
      <x:c r="D588" t="str">
        <x:v>C_ControlInicio</x:v>
      </x:c>
      <x:c r="E588" t="str">
        <x:v>otra</x:v>
      </x:c>
      <x:c r="F588" t="n">
        <x:v>1</x:v>
      </x:c>
      <x:c r="G588" t="str">
        <x:v>RF50</x:v>
      </x:c>
      <x:c r="H588" t="str">
        <x:v>RF050-EF1!F52</x:v>
      </x:c>
    </x:row>
    <x:row r="589">
      <x:c r="A589" t="str">
        <x:v>prepararSelectorYSeleccionInicial</x:v>
      </x:c>
      <x:c r="B589" t="str">
        <x:v>listaVehiculos,idPrincipal</x:v>
      </x:c>
      <x:c r="C589" t="str">
        <x:v>C_ControlInicio</x:v>
      </x:c>
      <x:c r="D589" t="str">
        <x:v>C_ControlInicio</x:v>
      </x:c>
      <x:c r="E589" t="str">
        <x:v>otra</x:v>
      </x:c>
      <x:c r="F589" t="n">
        <x:v>1</x:v>
      </x:c>
      <x:c r="G589" t="str">
        <x:v>RF50</x:v>
      </x:c>
      <x:c r="H589" t="str">
        <x:v>RF050-EF1!F20</x:v>
      </x:c>
    </x:row>
    <x:row r="590">
      <x:c r="A590" t="str">
        <x:v>consultarUltimoKilometraje</x:v>
      </x:c>
      <x:c r="B590" t="str">
        <x:v>idVehiculoSeleccionado</x:v>
      </x:c>
      <x:c r="C590" t="str">
        <x:v>C_ControlInicio</x:v>
      </x:c>
      <x:c r="D590" t="str">
        <x:v>C_ControlKilometraje</x:v>
      </x:c>
      <x:c r="E590" t="str">
        <x:v>consulta</x:v>
      </x:c>
      <x:c r="F590" t="n">
        <x:v>1</x:v>
      </x:c>
      <x:c r="G590" t="str">
        <x:v>RF50</x:v>
      </x:c>
      <x:c r="H590" t="str">
        <x:v>RF050-EF1!F26</x:v>
      </x:c>
    </x:row>
    <x:row r="591">
      <x:c r="A591" t="str">
        <x:v>consultarTotalPendientes</x:v>
      </x:c>
      <x:c r="B591" t="str">
        <x:v>idUsuario</x:v>
      </x:c>
      <x:c r="C591" t="str">
        <x:v>C_ControlInicio</x:v>
      </x:c>
      <x:c r="D591" t="str">
        <x:v>C_ControlNotificacion</x:v>
      </x:c>
      <x:c r="E591" t="str">
        <x:v>consulta</x:v>
      </x:c>
      <x:c r="F591" t="n">
        <x:v>1</x:v>
      </x:c>
      <x:c r="G591" t="str">
        <x:v>RF50</x:v>
      </x:c>
      <x:c r="H591" t="str">
        <x:v>RF050-EF1!F47</x:v>
      </x:c>
    </x:row>
    <x:row r="592">
      <x:c r="A592" t="str">
        <x:v>obtenerUsuarioAutenticado</x:v>
      </x:c>
      <x:c r="B592" t="str">
        <x:v>contextoSesion</x:v>
      </x:c>
      <x:c r="C592" t="str">
        <x:v>C_ControlInicio</x:v>
      </x:c>
      <x:c r="D592" t="str">
        <x:v>C_ControlUsuario</x:v>
      </x:c>
      <x:c r="E592" t="str">
        <x:v>consulta</x:v>
      </x:c>
      <x:c r="F592" t="n">
        <x:v>1</x:v>
      </x:c>
      <x:c r="G592" t="str">
        <x:v>RF50</x:v>
      </x:c>
      <x:c r="H592" t="str">
        <x:v>RF050-EF1!F7</x:v>
      </x:c>
    </x:row>
    <x:row r="593">
      <x:c r="A593" t="str">
        <x:v>solicitarVehiculosActivosYPrincipal</x:v>
      </x:c>
      <x:c r="B593" t="str">
        <x:v>idUsuario</x:v>
      </x:c>
      <x:c r="C593" t="str">
        <x:v>C_ControlInicio</x:v>
      </x:c>
      <x:c r="D593" t="str">
        <x:v>C_ControlVehiculo</x:v>
      </x:c>
      <x:c r="E593" t="str">
        <x:v>presentación/navegación</x:v>
      </x:c>
      <x:c r="F593" t="n">
        <x:v>1</x:v>
      </x:c>
      <x:c r="G593" t="str">
        <x:v>RF50</x:v>
      </x:c>
      <x:c r="H593" t="str">
        <x:v>RF050-EF1!F14</x:v>
      </x:c>
    </x:row>
    <x:row r="594">
      <x:c r="A594" t="str">
        <x:v>mostrarResumenInicio</x:v>
      </x:c>
      <x:c r="B594" t="str">
        <x:v>resumenInicio</x:v>
      </x:c>
      <x:c r="C594" t="str">
        <x:v>C_ControlInicio</x:v>
      </x:c>
      <x:c r="D594" t="str">
        <x:v>I_Inicio</x:v>
      </x:c>
      <x:c r="E594" t="str">
        <x:v>presentación/navegación</x:v>
      </x:c>
      <x:c r="F594" t="n">
        <x:v>1</x:v>
      </x:c>
      <x:c r="G594" t="str">
        <x:v>RF50</x:v>
      </x:c>
      <x:c r="H594" t="str">
        <x:v>RF050-EF1!F53</x:v>
      </x:c>
    </x:row>
    <x:row r="595">
      <x:c r="A595" t="str">
        <x:v>recalcularAlertasPorCorreccionKm</x:v>
      </x:c>
      <x:c r="B595" t="str">
        <x:v>idVehiculo,kmNuevo</x:v>
      </x:c>
      <x:c r="C595" t="str">
        <x:v>C_ControlKilometraje</x:v>
      </x:c>
      <x:c r="D595" t="str">
        <x:v>C_ControlAlerta</x:v>
      </x:c>
      <x:c r="E595" t="str">
        <x:v>otra</x:v>
      </x:c>
      <x:c r="F595" t="n">
        <x:v>1</x:v>
      </x:c>
      <x:c r="G595" t="str">
        <x:v>RF16</x:v>
      </x:c>
      <x:c r="H595" t="str">
        <x:v>RF016-EF1!F39</x:v>
      </x:c>
    </x:row>
    <x:row r="596">
      <x:c r="A596" t="str">
        <x:v>retornarBaseKilometrajeRevalidada</x:v>
      </x:c>
      <x:c r="B596" t="str">
        <x:v>km_vigente_confirmacion_o_NULL,fecha_lectura_confirmacion_o_NULL</x:v>
      </x:c>
      <x:c r="C596" t="str">
        <x:v>C_ControlKilometraje</x:v>
      </x:c>
      <x:c r="D596" t="str">
        <x:v>C_ControlAlerta</x:v>
      </x:c>
      <x:c r="E596" t="str">
        <x:v>retorno</x:v>
      </x:c>
      <x:c r="F596" t="n">
        <x:v>1</x:v>
      </x:c>
      <x:c r="G596" t="str">
        <x:v>RF22</x:v>
      </x:c>
      <x:c r="H596" t="str">
        <x:v>RF22!F88</x:v>
      </x:c>
    </x:row>
    <x:row r="597">
      <x:c r="A597" t="str">
        <x:v>retornarDatosKilometraje</x:v>
      </x:c>
      <x:c r="B597" t="str">
        <x:v>kilometraje_actual,fecha_lectura</x:v>
      </x:c>
      <x:c r="C597" t="str">
        <x:v>C_ControlKilometraje</x:v>
      </x:c>
      <x:c r="D597" t="str">
        <x:v>C_ControlAlerta</x:v>
      </x:c>
      <x:c r="E597" t="str">
        <x:v>retorno</x:v>
      </x:c>
      <x:c r="F597" t="n">
        <x:v>1</x:v>
      </x:c>
      <x:c r="G597" t="str">
        <x:v>RF24</x:v>
      </x:c>
      <x:c r="H597" t="str">
        <x:v>RF24!F17</x:v>
      </x:c>
    </x:row>
    <x:row r="598">
      <x:c r="A598" t="str">
        <x:v>retornarKilometrajeActualYFecha</x:v>
      </x:c>
      <x:c r="B598" t="str">
        <x:v>km_vigente_o_NULL,fecha_lectura_o_NULL</x:v>
      </x:c>
      <x:c r="C598" t="str">
        <x:v>C_ControlKilometraje</x:v>
      </x:c>
      <x:c r="D598" t="str">
        <x:v>C_ControlAlerta</x:v>
      </x:c>
      <x:c r="E598" t="str">
        <x:v>retorno</x:v>
      </x:c>
      <x:c r="F598" t="n">
        <x:v>1</x:v>
      </x:c>
      <x:c r="G598" t="str">
        <x:v>RF22</x:v>
      </x:c>
      <x:c r="H598" t="str">
        <x:v>RF22!F40</x:v>
      </x:c>
    </x:row>
    <x:row r="599">
      <x:c r="A599" t="str">
        <x:v>retornarKilometrajeVigente</x:v>
      </x:c>
      <x:c r="B599" t="str">
        <x:v>kilometraje_vigente</x:v>
      </x:c>
      <x:c r="C599" t="str">
        <x:v>C_ControlKilometraje</x:v>
      </x:c>
      <x:c r="D599" t="str">
        <x:v>C_ControlAlerta</x:v>
      </x:c>
      <x:c r="E599" t="str">
        <x:v>retorno</x:v>
      </x:c>
      <x:c r="F599" t="n">
        <x:v>1</x:v>
      </x:c>
      <x:c r="G599" t="str">
        <x:v>RF24</x:v>
      </x:c>
      <x:c r="H599" t="str">
        <x:v>RF24!F73</x:v>
      </x:c>
    </x:row>
    <x:row r="600">
      <x:c r="A600" t="str">
        <x:v>retornarUltimoKilometraje</x:v>
      </x:c>
      <x:c r="B600" t="str">
        <x:v>datosLecturaOpcional</x:v>
      </x:c>
      <x:c r="C600" t="str">
        <x:v>C_ControlKilometraje</x:v>
      </x:c>
      <x:c r="D600" t="str">
        <x:v>C_ControlAlerta</x:v>
      </x:c>
      <x:c r="E600" t="str">
        <x:v>retorno</x:v>
      </x:c>
      <x:c r="F600" t="n">
        <x:v>1</x:v>
      </x:c>
      <x:c r="G600" t="str">
        <x:v>RF23</x:v>
      </x:c>
      <x:c r="H600" t="str">
        <x:v>RF23!F27</x:v>
      </x:c>
    </x:row>
    <x:row r="601">
      <x:c r="A601" t="str">
        <x:v>retornarUltimosKilometrajes</x:v>
      </x:c>
      <x:c r="B601" t="str">
        <x:v>lecturasPorVehiculo</x:v>
      </x:c>
      <x:c r="C601" t="str">
        <x:v>C_ControlKilometraje</x:v>
      </x:c>
      <x:c r="D601" t="str">
        <x:v>C_ControlAlerta</x:v>
      </x:c>
      <x:c r="E601" t="str">
        <x:v>retorno</x:v>
      </x:c>
      <x:c r="F601" t="n">
        <x:v>1</x:v>
      </x:c>
      <x:c r="G601" t="str">
        <x:v>RF23</x:v>
      </x:c>
      <x:c r="H601" t="str">
        <x:v>RF23!F69</x:v>
      </x:c>
    </x:row>
    <x:row r="602">
      <x:c r="A602" t="str">
        <x:v>sincronizarAlertasKm</x:v>
      </x:c>
      <x:c r="B602" t="str">
        <x:v>idVehiculo,kmNuevo,fechaGuardado</x:v>
      </x:c>
      <x:c r="C602" t="str">
        <x:v>C_ControlKilometraje</x:v>
      </x:c>
      <x:c r="D602" t="str">
        <x:v>C_ControlAlerta</x:v>
      </x:c>
      <x:c r="E602" t="str">
        <x:v>otra</x:v>
      </x:c>
      <x:c r="F602" t="n">
        <x:v>1</x:v>
      </x:c>
      <x:c r="G602" t="str">
        <x:v>RF14</x:v>
      </x:c>
      <x:c r="H602" t="str">
        <x:v>RF014-EF1!F32</x:v>
      </x:c>
    </x:row>
    <x:row r="603">
      <x:c r="A603" t="str">
        <x:v>retornarUltimaLectura</x:v>
      </x:c>
      <x:c r="B603" t="str">
        <x:v>kilometraje,fechaLectura</x:v>
      </x:c>
      <x:c r="C603" t="str">
        <x:v>C_ControlKilometraje</x:v>
      </x:c>
      <x:c r="D603" t="str">
        <x:v>C_ControlDetalleVehiculo</x:v>
      </x:c>
      <x:c r="E603" t="str">
        <x:v>retorno</x:v>
      </x:c>
      <x:c r="F603" t="n">
        <x:v>1</x:v>
      </x:c>
      <x:c r="G603" t="str">
        <x:v>RF10</x:v>
      </x:c>
      <x:c r="H603" t="str">
        <x:v>RF010-EF1!F14</x:v>
      </x:c>
    </x:row>
    <x:row r="604">
      <x:c r="A604" t="str">
        <x:v>retornarUltimoKilometraje</x:v>
      </x:c>
      <x:c r="B604" t="str">
        <x:v>kilometraje,fechaLectura</x:v>
      </x:c>
      <x:c r="C604" t="str">
        <x:v>C_ControlKilometraje</x:v>
      </x:c>
      <x:c r="D604" t="str">
        <x:v>C_ControlEdicionVehiculo</x:v>
      </x:c>
      <x:c r="E604" t="str">
        <x:v>retorno</x:v>
      </x:c>
      <x:c r="F604" t="n">
        <x:v>1</x:v>
      </x:c>
      <x:c r="G604" t="str">
        <x:v>RF11</x:v>
      </x:c>
      <x:c r="H604" t="str">
        <x:v>RF011-EF1!F16</x:v>
      </x:c>
    </x:row>
    <x:row r="605">
      <x:c r="A605" t="str">
        <x:v>retornarHistorialKilometraje</x:v>
      </x:c>
      <x:c r="B605" t="str">
        <x:v>historialClasificado</x:v>
      </x:c>
      <x:c r="C605" t="str">
        <x:v>C_ControlKilometraje</x:v>
      </x:c>
      <x:c r="D605" t="str">
        <x:v>C_ControlHistorial</x:v>
      </x:c>
      <x:c r="E605" t="str">
        <x:v>retorno</x:v>
      </x:c>
      <x:c r="F605" t="n">
        <x:v>2</x:v>
      </x:c>
      <x:c r="G605" t="str">
        <x:v>RF15</x:v>
      </x:c>
      <x:c r="H605" t="str">
        <x:v>RF015-EF1!F25</x:v>
      </x:c>
    </x:row>
    <x:row r="606">
      <x:c r="A606" t="str">
        <x:v>retornarHistorialKilometraje</x:v>
      </x:c>
      <x:c r="B606" t="str">
        <x:v>historial_km_integrado,kilometraje_actual</x:v>
      </x:c>
      <x:c r="C606" t="str">
        <x:v>C_ControlKilometraje</x:v>
      </x:c>
      <x:c r="D606" t="str">
        <x:v>C_ControlHistorial</x:v>
      </x:c>
      <x:c r="E606" t="str">
        <x:v>retorno</x:v>
      </x:c>
      <x:c r="F606" t="n">
        <x:v>1</x:v>
      </x:c>
      <x:c r="G606" t="str">
        <x:v>RF25</x:v>
      </x:c>
      <x:c r="H606" t="str">
        <x:v>RF25!F34</x:v>
      </x:c>
    </x:row>
    <x:row r="607">
      <x:c r="A607" t="str">
        <x:v>retornarHistorialKilometrajeOrdenado</x:v>
      </x:c>
      <x:c r="B607" t="str">
        <x:v>historial_km_ordenado</x:v>
      </x:c>
      <x:c r="C607" t="str">
        <x:v>C_ControlKilometraje</x:v>
      </x:c>
      <x:c r="D607" t="str">
        <x:v>C_ControlHistorial</x:v>
      </x:c>
      <x:c r="E607" t="str">
        <x:v>retorno</x:v>
      </x:c>
      <x:c r="F607" t="n">
        <x:v>1</x:v>
      </x:c>
      <x:c r="G607" t="str">
        <x:v>RF26</x:v>
      </x:c>
      <x:c r="H607" t="str">
        <x:v>RF26!F45</x:v>
      </x:c>
    </x:row>
    <x:row r="608">
      <x:c r="A608" t="str">
        <x:v>retornarKilometrajeActual</x:v>
      </x:c>
      <x:c r="B608" t="str">
        <x:v>kilometraje_actual</x:v>
      </x:c>
      <x:c r="C608" t="str">
        <x:v>C_ControlKilometraje</x:v>
      </x:c>
      <x:c r="D608" t="str">
        <x:v>C_ControlHistorial</x:v>
      </x:c>
      <x:c r="E608" t="str">
        <x:v>retorno</x:v>
      </x:c>
      <x:c r="F608" t="n">
        <x:v>1</x:v>
      </x:c>
      <x:c r="G608" t="str">
        <x:v>RF27</x:v>
      </x:c>
      <x:c r="H608" t="str">
        <x:v>RF27!F38</x:v>
      </x:c>
    </x:row>
    <x:row r="609">
      <x:c r="A609" t="str">
        <x:v>retornarUltimaLectura</x:v>
      </x:c>
      <x:c r="B609" t="str">
        <x:v>kilometraje,fechaLectura</x:v>
      </x:c>
      <x:c r="C609" t="str">
        <x:v>C_ControlKilometraje</x:v>
      </x:c>
      <x:c r="D609" t="str">
        <x:v>C_ControlInicio</x:v>
      </x:c>
      <x:c r="E609" t="str">
        <x:v>retorno</x:v>
      </x:c>
      <x:c r="F609" t="n">
        <x:v>1</x:v>
      </x:c>
      <x:c r="G609" t="str">
        <x:v>RF50</x:v>
      </x:c>
      <x:c r="H609" t="str">
        <x:v>RF050-EF1!F29</x:v>
      </x:c>
    </x:row>
    <x:row r="610">
      <x:c r="A610" t="str">
        <x:v>clasificarMovimientosHistorial</x:v>
      </x:c>
      <x:c r="B610" t="str">
        <x:v>historialIntegrado</x:v>
      </x:c>
      <x:c r="C610" t="str">
        <x:v>C_ControlKilometraje</x:v>
      </x:c>
      <x:c r="D610" t="str">
        <x:v>C_ControlKilometraje</x:v>
      </x:c>
      <x:c r="E610" t="str">
        <x:v>otra</x:v>
      </x:c>
      <x:c r="F610" t="n">
        <x:v>2</x:v>
      </x:c>
      <x:c r="G610" t="str">
        <x:v>RF15</x:v>
      </x:c>
      <x:c r="H610" t="str">
        <x:v>RF015-EF1!F24</x:v>
      </x:c>
    </x:row>
    <x:row r="611">
      <x:c r="A611" t="str">
        <x:v>confirmarTransaccionCorreccion</x:v>
      </x:c>
      <x:c r="B611" t="str"/>
      <x:c r="C611" t="str">
        <x:v>C_ControlKilometraje</x:v>
      </x:c>
      <x:c r="D611" t="str">
        <x:v>C_ControlKilometraje</x:v>
      </x:c>
      <x:c r="E611" t="str">
        <x:v>otra</x:v>
      </x:c>
      <x:c r="F611" t="n">
        <x:v>1</x:v>
      </x:c>
      <x:c r="G611" t="str">
        <x:v>RF16</x:v>
      </x:c>
      <x:c r="H611" t="str">
        <x:v>RF016-EF1!F37</x:v>
      </x:c>
    </x:row>
    <x:row r="612">
      <x:c r="A612" t="str">
        <x:v>iniciarTransaccionCorreccion</x:v>
      </x:c>
      <x:c r="B612" t="str">
        <x:v>idVehiculo,claveOperacion</x:v>
      </x:c>
      <x:c r="C612" t="str">
        <x:v>C_ControlKilometraje</x:v>
      </x:c>
      <x:c r="D612" t="str">
        <x:v>C_ControlKilometraje</x:v>
      </x:c>
      <x:c r="E612" t="str">
        <x:v>otra</x:v>
      </x:c>
      <x:c r="F612" t="n">
        <x:v>1</x:v>
      </x:c>
      <x:c r="G612" t="str">
        <x:v>RF16</x:v>
      </x:c>
      <x:c r="H612" t="str">
        <x:v>RF016-EF1!F32</x:v>
      </x:c>
    </x:row>
    <x:row r="613">
      <x:c r="A613" t="str">
        <x:v>integrarHistorialKilometraje</x:v>
      </x:c>
      <x:c r="B613" t="str">
        <x:v>listaLecturas,listaCorrecciones</x:v>
      </x:c>
      <x:c r="C613" t="str">
        <x:v>C_ControlKilometraje</x:v>
      </x:c>
      <x:c r="D613" t="str">
        <x:v>C_ControlKilometraje</x:v>
      </x:c>
      <x:c r="E613" t="str">
        <x:v>otra</x:v>
      </x:c>
      <x:c r="F613" t="n">
        <x:v>2</x:v>
      </x:c>
      <x:c r="G613" t="str">
        <x:v>RF15</x:v>
      </x:c>
      <x:c r="H613" t="str">
        <x:v>RF015-EF1!F23</x:v>
      </x:c>
    </x:row>
    <x:row r="614">
      <x:c r="A614" t="str">
        <x:v>integrarHistorialKilometraje</x:v>
      </x:c>
      <x:c r="B614" t="str">
        <x:v>lista_kilometrajes,lista_correcciones</x:v>
      </x:c>
      <x:c r="C614" t="str">
        <x:v>C_ControlKilometraje</x:v>
      </x:c>
      <x:c r="D614" t="str">
        <x:v>C_ControlKilometraje</x:v>
      </x:c>
      <x:c r="E614" t="str">
        <x:v>otra</x:v>
      </x:c>
      <x:c r="F614" t="n">
        <x:v>1</x:v>
      </x:c>
      <x:c r="G614" t="str">
        <x:v>RF25</x:v>
      </x:c>
      <x:c r="H614" t="str">
        <x:v>RF25!F33</x:v>
      </x:c>
    </x:row>
    <x:row r="615">
      <x:c r="A615" t="str">
        <x:v>integrarYOrdenarHistorialKilometraje</x:v>
      </x:c>
      <x:c r="B615" t="str">
        <x:v>lista_kilometrajes,lista_correcciones,orden</x:v>
      </x:c>
      <x:c r="C615" t="str">
        <x:v>C_ControlKilometraje</x:v>
      </x:c>
      <x:c r="D615" t="str">
        <x:v>C_ControlKilometraje</x:v>
      </x:c>
      <x:c r="E615" t="str">
        <x:v>otra</x:v>
      </x:c>
      <x:c r="F615" t="n">
        <x:v>1</x:v>
      </x:c>
      <x:c r="G615" t="str">
        <x:v>RF26</x:v>
      </x:c>
      <x:c r="H615" t="str">
        <x:v>RF26!F44</x:v>
      </x:c>
    </x:row>
    <x:row r="616">
      <x:c r="A616" t="str">
        <x:v>prepararBaseKilometrajeActual</x:v>
      </x:c>
      <x:c r="B616" t="str">
        <x:v>km_vigente_o_NULL,fecha_lectura_o_NULL</x:v>
      </x:c>
      <x:c r="C616" t="str">
        <x:v>C_ControlKilometraje</x:v>
      </x:c>
      <x:c r="D616" t="str">
        <x:v>C_ControlKilometraje</x:v>
      </x:c>
      <x:c r="E616" t="str">
        <x:v>otra</x:v>
      </x:c>
      <x:c r="F616" t="n">
        <x:v>1</x:v>
      </x:c>
      <x:c r="G616" t="str">
        <x:v>RF22</x:v>
      </x:c>
      <x:c r="H616" t="str">
        <x:v>RF22!F39</x:v>
      </x:c>
    </x:row>
    <x:row r="617">
      <x:c r="A617" t="str">
        <x:v>revalidarVersionYKm</x:v>
      </x:c>
      <x:c r="B617" t="str">
        <x:v>kmPrevio,kmNuevo,version</x:v>
      </x:c>
      <x:c r="C617" t="str">
        <x:v>C_ControlKilometraje</x:v>
      </x:c>
      <x:c r="D617" t="str">
        <x:v>C_ControlKilometraje</x:v>
      </x:c>
      <x:c r="E617" t="str">
        <x:v>validación</x:v>
      </x:c>
      <x:c r="F617" t="n">
        <x:v>2</x:v>
      </x:c>
      <x:c r="G617" t="str">
        <x:v>RF14, RF16</x:v>
      </x:c>
      <x:c r="H617" t="str">
        <x:v>RF014-EF1!F28</x:v>
      </x:c>
    </x:row>
    <x:row r="618">
      <x:c r="A618" t="str">
        <x:v>validarCoherenciaHistorial</x:v>
      </x:c>
      <x:c r="B618" t="str">
        <x:v>kmNuevo,kmAnteriorValido</x:v>
      </x:c>
      <x:c r="C618" t="str">
        <x:v>C_ControlKilometraje</x:v>
      </x:c>
      <x:c r="D618" t="str">
        <x:v>C_ControlKilometraje</x:v>
      </x:c>
      <x:c r="E618" t="str">
        <x:v>validación</x:v>
      </x:c>
      <x:c r="F618" t="n">
        <x:v>1</x:v>
      </x:c>
      <x:c r="G618" t="str">
        <x:v>RF16</x:v>
      </x:c>
      <x:c r="H618" t="str">
        <x:v>RF016-EF1!F21</x:v>
      </x:c>
    </x:row>
    <x:row r="619">
      <x:c r="A619" t="str">
        <x:v>validarKilometrajeDiferente</x:v>
      </x:c>
      <x:c r="B619" t="str">
        <x:v>kmPrevio,kmNuevo</x:v>
      </x:c>
      <x:c r="C619" t="str">
        <x:v>C_ControlKilometraje</x:v>
      </x:c>
      <x:c r="D619" t="str">
        <x:v>C_ControlKilometraje</x:v>
      </x:c>
      <x:c r="E619" t="str">
        <x:v>validación</x:v>
      </x:c>
      <x:c r="F619" t="n">
        <x:v>1</x:v>
      </x:c>
      <x:c r="G619" t="str">
        <x:v>RF16</x:v>
      </x:c>
      <x:c r="H619" t="str">
        <x:v>RF016-EF1!F18</x:v>
      </x:c>
    </x:row>
    <x:row r="620">
      <x:c r="A620" t="str">
        <x:v>validarNuevoKilometraje</x:v>
      </x:c>
      <x:c r="B620" t="str">
        <x:v>kmPrevio,kmNuevo</x:v>
      </x:c>
      <x:c r="C620" t="str">
        <x:v>C_ControlKilometraje</x:v>
      </x:c>
      <x:c r="D620" t="str">
        <x:v>C_ControlKilometraje</x:v>
      </x:c>
      <x:c r="E620" t="str">
        <x:v>validación</x:v>
      </x:c>
      <x:c r="F620" t="n">
        <x:v>1</x:v>
      </x:c>
      <x:c r="G620" t="str">
        <x:v>RF14</x:v>
      </x:c>
      <x:c r="H620" t="str">
        <x:v>RF014-EF1!F18</x:v>
      </x:c>
    </x:row>
    <x:row r="621">
      <x:c r="A621" t="str">
        <x:v>verificarLecturaVigenteSiExiste</x:v>
      </x:c>
      <x:c r="B621" t="str">
        <x:v>id_vehiculo,km_vigente_o_NULL</x:v>
      </x:c>
      <x:c r="C621" t="str">
        <x:v>C_ControlKilometraje</x:v>
      </x:c>
      <x:c r="D621" t="str">
        <x:v>C_ControlKilometraje</x:v>
      </x:c>
      <x:c r="E621" t="str">
        <x:v>validación</x:v>
      </x:c>
      <x:c r="F621" t="n">
        <x:v>1</x:v>
      </x:c>
      <x:c r="G621" t="str">
        <x:v>RF22</x:v>
      </x:c>
      <x:c r="H621" t="str">
        <x:v>RF22!F38</x:v>
      </x:c>
    </x:row>
    <x:row r="622">
      <x:c r="A622" t="str">
        <x:v>retornarUltimosKilometrajes</x:v>
      </x:c>
      <x:c r="B622" t="str">
        <x:v>mapaKilometrajes</x:v>
      </x:c>
      <x:c r="C622" t="str">
        <x:v>C_ControlKilometraje</x:v>
      </x:c>
      <x:c r="D622" t="str">
        <x:v>C_ControlListadoVehiculos</x:v>
      </x:c>
      <x:c r="E622" t="str">
        <x:v>retorno</x:v>
      </x:c>
      <x:c r="F622" t="n">
        <x:v>4</x:v>
      </x:c>
      <x:c r="G622" t="str">
        <x:v>RF09, RF12, RF13</x:v>
      </x:c>
      <x:c r="H622" t="str">
        <x:v>RF009-EF1!F17</x:v>
      </x:c>
    </x:row>
    <x:row r="623">
      <x:c r="A623" t="str">
        <x:v>retornarConsistenciaKilometraje</x:v>
      </x:c>
      <x:c r="B623" t="str">
        <x:v>resultado_km</x:v>
      </x:c>
      <x:c r="C623" t="str">
        <x:v>C_ControlKilometraje</x:v>
      </x:c>
      <x:c r="D623" t="str">
        <x:v>C_ControlMantenimiento</x:v>
      </x:c>
      <x:c r="E623" t="str">
        <x:v>retorno</x:v>
      </x:c>
      <x:c r="F623" t="n">
        <x:v>1</x:v>
      </x:c>
      <x:c r="G623" t="str">
        <x:v>RF21</x:v>
      </x:c>
      <x:c r="H623" t="str">
        <x:v>RF21!F35</x:v>
      </x:c>
    </x:row>
    <x:row r="624">
      <x:c r="A624" t="str">
        <x:v>retornarContextoKilometrajeServicio</x:v>
      </x:c>
      <x:c r="B624" t="str">
        <x:v>lecturas_pertinentes,lectura_vigente</x:v>
      </x:c>
      <x:c r="C624" t="str">
        <x:v>C_ControlKilometraje</x:v>
      </x:c>
      <x:c r="D624" t="str">
        <x:v>C_ControlMantenimiento</x:v>
      </x:c>
      <x:c r="E624" t="str">
        <x:v>retorno</x:v>
      </x:c>
      <x:c r="F624" t="n">
        <x:v>1</x:v>
      </x:c>
      <x:c r="G624" t="str">
        <x:v>RF17</x:v>
      </x:c>
      <x:c r="H624" t="str">
        <x:v>RF17!F79</x:v>
      </x:c>
    </x:row>
    <x:row r="625">
      <x:c r="A625" t="str">
        <x:v>retornarContextoKmServicio</x:v>
      </x:c>
      <x:c r="B625" t="str">
        <x:v>lecturas_pertinentes,lectura_vigente</x:v>
      </x:c>
      <x:c r="C625" t="str">
        <x:v>C_ControlKilometraje</x:v>
      </x:c>
      <x:c r="D625" t="str">
        <x:v>C_ControlMantenimiento</x:v>
      </x:c>
      <x:c r="E625" t="str">
        <x:v>retorno</x:v>
      </x:c>
      <x:c r="F625" t="n">
        <x:v>1</x:v>
      </x:c>
      <x:c r="G625" t="str">
        <x:v>RF24</x:v>
      </x:c>
      <x:c r="H625" t="str">
        <x:v>RF24!F79</x:v>
      </x:c>
    </x:row>
    <x:row r="626">
      <x:c r="A626" t="str">
        <x:v>retornarKilometrajeServicio</x:v>
      </x:c>
      <x:c r="B626" t="str">
        <x:v>id_kilometraje,kilometraje_servicio,fecha_lectura</x:v>
      </x:c>
      <x:c r="C626" t="str">
        <x:v>C_ControlKilometraje</x:v>
      </x:c>
      <x:c r="D626" t="str">
        <x:v>C_ControlMantenimiento</x:v>
      </x:c>
      <x:c r="E626" t="str">
        <x:v>retorno</x:v>
      </x:c>
      <x:c r="F626" t="n">
        <x:v>1</x:v>
      </x:c>
      <x:c r="G626" t="str">
        <x:v>RF17</x:v>
      </x:c>
      <x:c r="H626" t="str">
        <x:v>RF17!F33</x:v>
      </x:c>
    </x:row>
    <x:row r="627">
      <x:c r="A627" t="str">
        <x:v>retornarReferenciaKmServicio</x:v>
      </x:c>
      <x:c r="B627" t="str">
        <x:v>km_referencia,fecha_lectura,id_kilometraje_referencia</x:v>
      </x:c>
      <x:c r="C627" t="str">
        <x:v>C_ControlKilometraje</x:v>
      </x:c>
      <x:c r="D627" t="str">
        <x:v>C_ControlMantenimiento</x:v>
      </x:c>
      <x:c r="E627" t="str">
        <x:v>retorno</x:v>
      </x:c>
      <x:c r="F627" t="n">
        <x:v>1</x:v>
      </x:c>
      <x:c r="G627" t="str">
        <x:v>RF24</x:v>
      </x:c>
      <x:c r="H627" t="str">
        <x:v>RF24!F47</x:v>
      </x:c>
    </x:row>
    <x:row r="628">
      <x:c r="A628" t="str">
        <x:v>retornarResultadoLecturaAsociada</x:v>
      </x:c>
      <x:c r="B628" t="str">
        <x:v>resultado_lectura</x:v>
      </x:c>
      <x:c r="C628" t="str">
        <x:v>C_ControlKilometraje</x:v>
      </x:c>
      <x:c r="D628" t="str">
        <x:v>C_ControlMantenimiento</x:v>
      </x:c>
      <x:c r="E628" t="str">
        <x:v>retorno</x:v>
      </x:c>
      <x:c r="F628" t="n">
        <x:v>1</x:v>
      </x:c>
      <x:c r="G628" t="str">
        <x:v>RF21</x:v>
      </x:c>
      <x:c r="H628" t="str">
        <x:v>RF21!F29</x:v>
      </x:c>
    </x:row>
    <x:row r="629">
      <x:c r="A629" t="str">
        <x:v>atenderAvisoKmPorActualizacion</x:v>
      </x:c>
      <x:c r="B629" t="str">
        <x:v>idVehiculo,fechaGuardado</x:v>
      </x:c>
      <x:c r="C629" t="str">
        <x:v>C_ControlKilometraje</x:v>
      </x:c>
      <x:c r="D629" t="str">
        <x:v>C_ControlNotificacion</x:v>
      </x:c>
      <x:c r="E629" t="str">
        <x:v>otra</x:v>
      </x:c>
      <x:c r="F629" t="n">
        <x:v>1</x:v>
      </x:c>
      <x:c r="G629" t="str">
        <x:v>RF14</x:v>
      </x:c>
      <x:c r="H629" t="str">
        <x:v>RF014-EF1!F46</x:v>
      </x:c>
    </x:row>
    <x:row r="630">
      <x:c r="A630" t="str">
        <x:v>retornarContextoActualizacion</x:v>
      </x:c>
      <x:c r="B630" t="str">
        <x:v>ultimoKilometraje,fechaLectura</x:v>
      </x:c>
      <x:c r="C630" t="str">
        <x:v>C_ControlKilometraje</x:v>
      </x:c>
      <x:c r="D630" t="str">
        <x:v>C_ControlNotificacion</x:v>
      </x:c>
      <x:c r="E630" t="str">
        <x:v>retorno</x:v>
      </x:c>
      <x:c r="F630" t="n">
        <x:v>1</x:v>
      </x:c>
      <x:c r="G630" t="str">
        <x:v>RF47</x:v>
      </x:c>
      <x:c r="H630" t="str">
        <x:v>RF047-EF1!F22</x:v>
      </x:c>
    </x:row>
    <x:row r="631">
      <x:c r="A631" t="str">
        <x:v>retornarKilometrajeInicialRegistrado</x:v>
      </x:c>
      <x:c r="B631" t="str">
        <x:v>idKilometraje,fechaGuardado</x:v>
      </x:c>
      <x:c r="C631" t="str">
        <x:v>C_ControlKilometraje</x:v>
      </x:c>
      <x:c r="D631" t="str">
        <x:v>C_ControlRegistroVehiculo</x:v>
      </x:c>
      <x:c r="E631" t="str">
        <x:v>retorno</x:v>
      </x:c>
      <x:c r="F631" t="n">
        <x:v>1</x:v>
      </x:c>
      <x:c r="G631" t="str">
        <x:v>RF08</x:v>
      </x:c>
      <x:c r="H631" t="str">
        <x:v>RF008-EF1!F50</x:v>
      </x:c>
    </x:row>
    <x:row r="632">
      <x:c r="A632" t="str">
        <x:v>revalidarVehiculoEnConfirmacion</x:v>
      </x:c>
      <x:c r="B632" t="str">
        <x:v>idUsuario,idVehiculo</x:v>
      </x:c>
      <x:c r="C632" t="str">
        <x:v>C_ControlKilometraje</x:v>
      </x:c>
      <x:c r="D632" t="str">
        <x:v>C_ControlVehiculo</x:v>
      </x:c>
      <x:c r="E632" t="str">
        <x:v>validación</x:v>
      </x:c>
      <x:c r="F632" t="n">
        <x:v>2</x:v>
      </x:c>
      <x:c r="G632" t="str">
        <x:v>RF14, RF16</x:v>
      </x:c>
      <x:c r="H632" t="str">
        <x:v>RF014-EF1!F24</x:v>
      </x:c>
    </x:row>
    <x:row r="633">
      <x:c r="A633" t="str">
        <x:v>verificarVehiculoUsuarioActivo</x:v>
      </x:c>
      <x:c r="B633" t="str">
        <x:v>idUsuario,idVehiculo</x:v>
      </x:c>
      <x:c r="C633" t="str">
        <x:v>C_ControlKilometraje</x:v>
      </x:c>
      <x:c r="D633" t="str">
        <x:v>C_ControlVehiculo</x:v>
      </x:c>
      <x:c r="E633" t="str">
        <x:v>validación</x:v>
      </x:c>
      <x:c r="F633" t="n">
        <x:v>2</x:v>
      </x:c>
      <x:c r="G633" t="str">
        <x:v>RF14, RF16</x:v>
      </x:c>
      <x:c r="H633" t="str">
        <x:v>RF014-EF1!F7</x:v>
      </x:c>
    </x:row>
    <x:row r="634">
      <x:c r="A634" t="str">
        <x:v>reiniciarCicloTrasLectura</x:v>
      </x:c>
      <x:c r="B634" t="str">
        <x:v>idVehiculo,fechaGuardado</x:v>
      </x:c>
      <x:c r="C634" t="str">
        <x:v>C_ControlKilometraje</x:v>
      </x:c>
      <x:c r="D634" t="str">
        <x:v>C_RecordatorioKm</x:v>
      </x:c>
      <x:c r="E634" t="str">
        <x:v>otra</x:v>
      </x:c>
      <x:c r="F634" t="n">
        <x:v>1</x:v>
      </x:c>
      <x:c r="G634" t="str">
        <x:v>RF14</x:v>
      </x:c>
      <x:c r="H634" t="str">
        <x:v>RF014-EF1!F42</x:v>
      </x:c>
    </x:row>
    <x:row r="635">
      <x:c r="A635" t="str">
        <x:v>retornarUltimasLecturas</x:v>
      </x:c>
      <x:c r="B635" t="str">
        <x:v>lecturasPorVehiculo</x:v>
      </x:c>
      <x:c r="C635" t="str">
        <x:v>C_ControlKilometraje</x:v>
      </x:c>
      <x:c r="D635" t="str">
        <x:v>C_RecordatorioKm</x:v>
      </x:c>
      <x:c r="E635" t="str">
        <x:v>retorno</x:v>
      </x:c>
      <x:c r="F635" t="n">
        <x:v>1</x:v>
      </x:c>
      <x:c r="G635" t="str">
        <x:v>RF44</x:v>
      </x:c>
      <x:c r="H635" t="str">
        <x:v>RF044-EF1!F31</x:v>
      </x:c>
    </x:row>
    <x:row r="636">
      <x:c r="A636" t="str">
        <x:v>consultarCorreccionesPorLecturas</x:v>
      </x:c>
      <x:c r="B636" t="str">
        <x:v>listaLecturas</x:v>
      </x:c>
      <x:c r="C636" t="str">
        <x:v>C_ControlKilometraje</x:v>
      </x:c>
      <x:c r="D636" t="str">
        <x:v>E_CorreccionKilometraje</x:v>
      </x:c>
      <x:c r="E636" t="str">
        <x:v>consulta</x:v>
      </x:c>
      <x:c r="F636" t="n">
        <x:v>2</x:v>
      </x:c>
      <x:c r="G636" t="str">
        <x:v>RF15</x:v>
      </x:c>
      <x:c r="H636" t="str">
        <x:v>RF015-EF1!F21</x:v>
      </x:c>
    </x:row>
    <x:row r="637">
      <x:c r="A637" t="str">
        <x:v>consultarCorreccionesPorLecturas</x:v>
      </x:c>
      <x:c r="B637" t="str">
        <x:v>lista_kilometrajes</x:v>
      </x:c>
      <x:c r="C637" t="str">
        <x:v>C_ControlKilometraje</x:v>
      </x:c>
      <x:c r="D637" t="str">
        <x:v>E_CorreccionKilometraje</x:v>
      </x:c>
      <x:c r="E637" t="str">
        <x:v>consulta</x:v>
      </x:c>
      <x:c r="F637" t="n">
        <x:v>2</x:v>
      </x:c>
      <x:c r="G637" t="str">
        <x:v>RF25, RF26</x:v>
      </x:c>
      <x:c r="H637" t="str">
        <x:v>RF25!F31</x:v>
      </x:c>
    </x:row>
    <x:row r="638">
      <x:c r="A638" t="str">
        <x:v>registrarCambio</x:v>
      </x:c>
      <x:c r="B638" t="str">
        <x:v>idLectura,kmPrevio,kmNuevo,fechaSistema,origen=USUARIO</x:v>
      </x:c>
      <x:c r="C638" t="str">
        <x:v>C_ControlKilometraje</x:v>
      </x:c>
      <x:c r="D638" t="str">
        <x:v>E_CorreccionKilometraje</x:v>
      </x:c>
      <x:c r="E638" t="str">
        <x:v>escritura</x:v>
      </x:c>
      <x:c r="F638" t="n">
        <x:v>1</x:v>
      </x:c>
      <x:c r="G638" t="str">
        <x:v>RF16</x:v>
      </x:c>
      <x:c r="H638" t="str">
        <x:v>RF016-EF1!F33</x:v>
      </x:c>
    </x:row>
    <x:row r="639">
      <x:c r="A639" t="str">
        <x:v>actualizarLecturaVigenteSiVersionCoincide</x:v>
      </x:c>
      <x:c r="B639" t="str">
        <x:v>idLectura,kmNuevo,version</x:v>
      </x:c>
      <x:c r="C639" t="str">
        <x:v>C_ControlKilometraje</x:v>
      </x:c>
      <x:c r="D639" t="str">
        <x:v>E_Kilometraje</x:v>
      </x:c>
      <x:c r="E639" t="str">
        <x:v>escritura</x:v>
      </x:c>
      <x:c r="F639" t="n">
        <x:v>1</x:v>
      </x:c>
      <x:c r="G639" t="str">
        <x:v>RF16</x:v>
      </x:c>
      <x:c r="H639" t="str">
        <x:v>RF016-EF1!F35</x:v>
      </x:c>
    </x:row>
    <x:row r="640">
      <x:c r="A640" t="str">
        <x:v>bloquearYConsultarUltimaLectura</x:v>
      </x:c>
      <x:c r="B640" t="str">
        <x:v>idVehiculo</x:v>
      </x:c>
      <x:c r="C640" t="str">
        <x:v>C_ControlKilometraje</x:v>
      </x:c>
      <x:c r="D640" t="str">
        <x:v>E_Kilometraje</x:v>
      </x:c>
      <x:c r="E640" t="str">
        <x:v>otra</x:v>
      </x:c>
      <x:c r="F640" t="n">
        <x:v>1</x:v>
      </x:c>
      <x:c r="G640" t="str">
        <x:v>RF16</x:v>
      </x:c>
      <x:c r="H640" t="str">
        <x:v>RF016-EF1!F29</x:v>
      </x:c>
    </x:row>
    <x:row r="641">
      <x:c r="A641" t="str">
        <x:v>consultarHistorialKilometraje</x:v>
      </x:c>
      <x:c r="B641" t="str">
        <x:v>idVehiculo</x:v>
      </x:c>
      <x:c r="C641" t="str">
        <x:v>C_ControlKilometraje</x:v>
      </x:c>
      <x:c r="D641" t="str">
        <x:v>E_Kilometraje</x:v>
      </x:c>
      <x:c r="E641" t="str">
        <x:v>consulta</x:v>
      </x:c>
      <x:c r="F641" t="n">
        <x:v>1</x:v>
      </x:c>
      <x:c r="G641" t="str">
        <x:v>RF15</x:v>
      </x:c>
      <x:c r="H641" t="str">
        <x:v>RF015-EF1!F44</x:v>
      </x:c>
    </x:row>
    <x:row r="642">
      <x:c r="A642" t="str">
        <x:v>consultarHistorialKilometraje</x:v>
      </x:c>
      <x:c r="B642" t="str">
        <x:v>idVehiculoPrincipal</x:v>
      </x:c>
      <x:c r="C642" t="str">
        <x:v>C_ControlKilometraje</x:v>
      </x:c>
      <x:c r="D642" t="str">
        <x:v>E_Kilometraje</x:v>
      </x:c>
      <x:c r="E642" t="str">
        <x:v>consulta</x:v>
      </x:c>
      <x:c r="F642" t="n">
        <x:v>1</x:v>
      </x:c>
      <x:c r="G642" t="str">
        <x:v>RF15</x:v>
      </x:c>
      <x:c r="H642" t="str">
        <x:v>RF015-EF1!F19</x:v>
      </x:c>
    </x:row>
    <x:row r="643">
      <x:c r="A643" t="str">
        <x:v>consultarHistorialKilometraje</x:v>
      </x:c>
      <x:c r="B643" t="str">
        <x:v>id_vehiculo</x:v>
      </x:c>
      <x:c r="C643" t="str">
        <x:v>C_ControlKilometraje</x:v>
      </x:c>
      <x:c r="D643" t="str">
        <x:v>E_Kilometraje</x:v>
      </x:c>
      <x:c r="E643" t="str">
        <x:v>consulta</x:v>
      </x:c>
      <x:c r="F643" t="n">
        <x:v>2</x:v>
      </x:c>
      <x:c r="G643" t="str">
        <x:v>RF25, RF26</x:v>
      </x:c>
      <x:c r="H643" t="str">
        <x:v>RF25!F29</x:v>
      </x:c>
    </x:row>
    <x:row r="644">
      <x:c r="A644" t="str">
        <x:v>consultarKilometrajeVigente</x:v>
      </x:c>
      <x:c r="B644" t="str">
        <x:v>idVehiculo</x:v>
      </x:c>
      <x:c r="C644" t="str">
        <x:v>C_ControlKilometraje</x:v>
      </x:c>
      <x:c r="D644" t="str">
        <x:v>E_Kilometraje</x:v>
      </x:c>
      <x:c r="E644" t="str">
        <x:v>consulta</x:v>
      </x:c>
      <x:c r="F644" t="n">
        <x:v>1</x:v>
      </x:c>
      <x:c r="G644" t="str">
        <x:v>RF14</x:v>
      </x:c>
      <x:c r="H644" t="str">
        <x:v>RF014-EF1!F55</x:v>
      </x:c>
    </x:row>
    <x:row r="645">
      <x:c r="A645" t="str">
        <x:v>consultarLecturaCronologicaAnterior</x:v>
      </x:c>
      <x:c r="B645" t="str">
        <x:v>idVehiculo,idLectura</x:v>
      </x:c>
      <x:c r="C645" t="str">
        <x:v>C_ControlKilometraje</x:v>
      </x:c>
      <x:c r="D645" t="str">
        <x:v>E_Kilometraje</x:v>
      </x:c>
      <x:c r="E645" t="str">
        <x:v>consulta</x:v>
      </x:c>
      <x:c r="F645" t="n">
        <x:v>1</x:v>
      </x:c>
      <x:c r="G645" t="str">
        <x:v>RF16</x:v>
      </x:c>
      <x:c r="H645" t="str">
        <x:v>RF016-EF1!F19</x:v>
      </x:c>
    </x:row>
    <x:row r="646">
      <x:c r="A646" t="str">
        <x:v>consultarLecturasParaValidarKmServicio</x:v>
      </x:c>
      <x:c r="B646" t="str">
        <x:v>id_vehiculo,fecha_mantenimiento</x:v>
      </x:c>
      <x:c r="C646" t="str">
        <x:v>C_ControlKilometraje</x:v>
      </x:c>
      <x:c r="D646" t="str">
        <x:v>E_Kilometraje</x:v>
      </x:c>
      <x:c r="E646" t="str">
        <x:v>consulta</x:v>
      </x:c>
      <x:c r="F646" t="n">
        <x:v>1</x:v>
      </x:c>
      <x:c r="G646" t="str">
        <x:v>RF17</x:v>
      </x:c>
      <x:c r="H646" t="str">
        <x:v>RF17!F77</x:v>
      </x:c>
    </x:row>
    <x:row r="647">
      <x:c r="A647" t="str">
        <x:v>consultarLecturasValidasYContextoHistorico</x:v>
      </x:c>
      <x:c r="B647" t="str">
        <x:v>id_vehiculo,fecha_mantenimiento</x:v>
      </x:c>
      <x:c r="C647" t="str">
        <x:v>C_ControlKilometraje</x:v>
      </x:c>
      <x:c r="D647" t="str">
        <x:v>E_Kilometraje</x:v>
      </x:c>
      <x:c r="E647" t="str">
        <x:v>consulta</x:v>
      </x:c>
      <x:c r="F647" t="n">
        <x:v>1</x:v>
      </x:c>
      <x:c r="G647" t="str">
        <x:v>RF24</x:v>
      </x:c>
      <x:c r="H647" t="str">
        <x:v>RF24!F77</x:v>
      </x:c>
    </x:row>
    <x:row r="648">
      <x:c r="A648" t="str">
        <x:v>consultarUltimaLectura</x:v>
      </x:c>
      <x:c r="B648" t="str">
        <x:v>idVehiculo</x:v>
      </x:c>
      <x:c r="C648" t="str">
        <x:v>C_ControlKilometraje</x:v>
      </x:c>
      <x:c r="D648" t="str">
        <x:v>E_Kilometraje</x:v>
      </x:c>
      <x:c r="E648" t="str">
        <x:v>consulta</x:v>
      </x:c>
      <x:c r="F648" t="n">
        <x:v>3</x:v>
      </x:c>
      <x:c r="G648" t="str">
        <x:v>RF11, RF23, RF47</x:v>
      </x:c>
      <x:c r="H648" t="str">
        <x:v>RF011-EF1!F14</x:v>
      </x:c>
    </x:row>
    <x:row r="649">
      <x:c r="A649" t="str">
        <x:v>consultarUltimaLecturaBloqueada</x:v>
      </x:c>
      <x:c r="B649" t="str">
        <x:v>idVehiculo</x:v>
      </x:c>
      <x:c r="C649" t="str">
        <x:v>C_ControlKilometraje</x:v>
      </x:c>
      <x:c r="D649" t="str">
        <x:v>E_Kilometraje</x:v>
      </x:c>
      <x:c r="E649" t="str">
        <x:v>consulta</x:v>
      </x:c>
      <x:c r="F649" t="n">
        <x:v>1</x:v>
      </x:c>
      <x:c r="G649" t="str">
        <x:v>RF14</x:v>
      </x:c>
      <x:c r="H649" t="str">
        <x:v>RF014-EF1!F26</x:v>
      </x:c>
    </x:row>
    <x:row r="650">
      <x:c r="A650" t="str">
        <x:v>consultarUltimaLecturaEfectiva</x:v>
      </x:c>
      <x:c r="B650" t="str">
        <x:v>idVehiculo</x:v>
      </x:c>
      <x:c r="C650" t="str">
        <x:v>C_ControlKilometraje</x:v>
      </x:c>
      <x:c r="D650" t="str">
        <x:v>E_Kilometraje</x:v>
      </x:c>
      <x:c r="E650" t="str">
        <x:v>consulta</x:v>
      </x:c>
      <x:c r="F650" t="n">
        <x:v>2</x:v>
      </x:c>
      <x:c r="G650" t="str">
        <x:v>RF14, RF16</x:v>
      </x:c>
      <x:c r="H650" t="str">
        <x:v>RF014-EF1!F11</x:v>
      </x:c>
    </x:row>
    <x:row r="651">
      <x:c r="A651" t="str">
        <x:v>consultarUltimasLecturasEfectivas</x:v>
      </x:c>
      <x:c r="B651" t="str">
        <x:v>listaVehiculos</x:v>
      </x:c>
      <x:c r="C651" t="str">
        <x:v>C_ControlKilometraje</x:v>
      </x:c>
      <x:c r="D651" t="str">
        <x:v>E_Kilometraje</x:v>
      </x:c>
      <x:c r="E651" t="str">
        <x:v>consulta</x:v>
      </x:c>
      <x:c r="F651" t="n">
        <x:v>1</x:v>
      </x:c>
      <x:c r="G651" t="str">
        <x:v>RF44</x:v>
      </x:c>
      <x:c r="H651" t="str">
        <x:v>RF044-EF1!F29</x:v>
      </x:c>
    </x:row>
    <x:row r="652">
      <x:c r="A652" t="str">
        <x:v>consultarUltimasLecturasPorVehiculos</x:v>
      </x:c>
      <x:c r="B652" t="str">
        <x:v>idsVehiculos</x:v>
      </x:c>
      <x:c r="C652" t="str">
        <x:v>C_ControlKilometraje</x:v>
      </x:c>
      <x:c r="D652" t="str">
        <x:v>E_Kilometraje</x:v>
      </x:c>
      <x:c r="E652" t="str">
        <x:v>consulta</x:v>
      </x:c>
      <x:c r="F652" t="n">
        <x:v>3</x:v>
      </x:c>
      <x:c r="G652" t="str">
        <x:v>RF09, RF12, RF13</x:v>
      </x:c>
      <x:c r="H652" t="str">
        <x:v>RF009-EF1!F15</x:v>
      </x:c>
    </x:row>
    <x:row r="653">
      <x:c r="A653" t="str">
        <x:v>consultarUltimasLecturasPorVehiculos</x:v>
      </x:c>
      <x:c r="B653" t="str">
        <x:v>idsVehiculosFiltrados</x:v>
      </x:c>
      <x:c r="C653" t="str">
        <x:v>C_ControlKilometraje</x:v>
      </x:c>
      <x:c r="D653" t="str">
        <x:v>E_Kilometraje</x:v>
      </x:c>
      <x:c r="E653" t="str">
        <x:v>consulta</x:v>
      </x:c>
      <x:c r="F653" t="n">
        <x:v>1</x:v>
      </x:c>
      <x:c r="G653" t="str">
        <x:v>RF09</x:v>
      </x:c>
      <x:c r="H653" t="str">
        <x:v>RF009-EF1!F41</x:v>
      </x:c>
    </x:row>
    <x:row r="654">
      <x:c r="A654" t="str">
        <x:v>consultarUltimasLecturasValidas</x:v>
      </x:c>
      <x:c r="B654" t="str">
        <x:v>listaIdVehiculoKm</x:v>
      </x:c>
      <x:c r="C654" t="str">
        <x:v>C_ControlKilometraje</x:v>
      </x:c>
      <x:c r="D654" t="str">
        <x:v>E_Kilometraje</x:v>
      </x:c>
      <x:c r="E654" t="str">
        <x:v>consulta</x:v>
      </x:c>
      <x:c r="F654" t="n">
        <x:v>1</x:v>
      </x:c>
      <x:c r="G654" t="str">
        <x:v>RF23</x:v>
      </x:c>
      <x:c r="H654" t="str">
        <x:v>RF23!F67</x:v>
      </x:c>
    </x:row>
    <x:row r="655">
      <x:c r="A655" t="str">
        <x:v>consultarUltimoKilometraje</x:v>
      </x:c>
      <x:c r="B655" t="str">
        <x:v>id_vehiculo</x:v>
      </x:c>
      <x:c r="C655" t="str">
        <x:v>C_ControlKilometraje</x:v>
      </x:c>
      <x:c r="D655" t="str">
        <x:v>E_Kilometraje</x:v>
      </x:c>
      <x:c r="E655" t="str">
        <x:v>consulta</x:v>
      </x:c>
      <x:c r="F655" t="n">
        <x:v>2</x:v>
      </x:c>
      <x:c r="G655" t="str">
        <x:v>RF17, RF27</x:v>
      </x:c>
      <x:c r="H655" t="str">
        <x:v>RF17!F31</x:v>
      </x:c>
    </x:row>
    <x:row r="656">
      <x:c r="A656" t="str">
        <x:v>consultarUltimoKilometrajeValido</x:v>
      </x:c>
      <x:c r="B656" t="str">
        <x:v>datos_alerta.id_vehiculo</x:v>
      </x:c>
      <x:c r="C656" t="str">
        <x:v>C_ControlKilometraje</x:v>
      </x:c>
      <x:c r="D656" t="str">
        <x:v>E_Kilometraje</x:v>
      </x:c>
      <x:c r="E656" t="str">
        <x:v>consulta</x:v>
      </x:c>
      <x:c r="F656" t="n">
        <x:v>1</x:v>
      </x:c>
      <x:c r="G656" t="str">
        <x:v>RF24</x:v>
      </x:c>
      <x:c r="H656" t="str">
        <x:v>RF24!F15</x:v>
      </x:c>
    </x:row>
    <x:row r="657">
      <x:c r="A657" t="str">
        <x:v>consultarUltimoKilometrajeValido</x:v>
      </x:c>
      <x:c r="B657" t="str">
        <x:v>id_vehiculo</x:v>
      </x:c>
      <x:c r="C657" t="str">
        <x:v>C_ControlKilometraje</x:v>
      </x:c>
      <x:c r="D657" t="str">
        <x:v>E_Kilometraje</x:v>
      </x:c>
      <x:c r="E657" t="str">
        <x:v>consulta</x:v>
      </x:c>
      <x:c r="F657" t="n">
        <x:v>3</x:v>
      </x:c>
      <x:c r="G657" t="str">
        <x:v>RF22, RF24</x:v>
      </x:c>
      <x:c r="H657" t="str">
        <x:v>RF22!F36</x:v>
      </x:c>
    </x:row>
    <x:row r="658">
      <x:c r="A658" t="str">
        <x:v>consultarUltimoKilometrajeValidoSiAplica</x:v>
      </x:c>
      <x:c r="B658" t="str">
        <x:v>id_vehiculo,criterio</x:v>
      </x:c>
      <x:c r="C658" t="str">
        <x:v>C_ControlKilometraje</x:v>
      </x:c>
      <x:c r="D658" t="str">
        <x:v>E_Kilometraje</x:v>
      </x:c>
      <x:c r="E658" t="str">
        <x:v>consulta</x:v>
      </x:c>
      <x:c r="F658" t="n">
        <x:v>1</x:v>
      </x:c>
      <x:c r="G658" t="str">
        <x:v>RF22</x:v>
      </x:c>
      <x:c r="H658" t="str">
        <x:v>RF22!F86</x:v>
      </x:c>
    </x:row>
    <x:row r="659">
      <x:c r="A659" t="str">
        <x:v>crearRegistroKilometraje</x:v>
      </x:c>
      <x:c r="B659" t="str">
        <x:v>idVehiculo,kilometrajeInicial,origen=INICIAL</x:v>
      </x:c>
      <x:c r="C659" t="str">
        <x:v>C_ControlKilometraje</x:v>
      </x:c>
      <x:c r="D659" t="str">
        <x:v>E_Kilometraje</x:v>
      </x:c>
      <x:c r="E659" t="str">
        <x:v>otra</x:v>
      </x:c>
      <x:c r="F659" t="n">
        <x:v>1</x:v>
      </x:c>
      <x:c r="G659" t="str">
        <x:v>RF08</x:v>
      </x:c>
      <x:c r="H659" t="str">
        <x:v>RF008-EF1!F48</x:v>
      </x:c>
    </x:row>
    <x:row r="660">
      <x:c r="A660" t="str">
        <x:v>evaluarOrigenYAnularSoloSiExclusiva</x:v>
      </x:c>
      <x:c r="B660" t="str">
        <x:v>id_mantenimiento,id_vehiculo,id_kilometraje,origen_km</x:v>
      </x:c>
      <x:c r="C660" t="str">
        <x:v>C_ControlKilometraje</x:v>
      </x:c>
      <x:c r="D660" t="str">
        <x:v>E_Kilometraje</x:v>
      </x:c>
      <x:c r="E660" t="str">
        <x:v>otra</x:v>
      </x:c>
      <x:c r="F660" t="n">
        <x:v>1</x:v>
      </x:c>
      <x:c r="G660" t="str">
        <x:v>RF21</x:v>
      </x:c>
      <x:c r="H660" t="str">
        <x:v>RF21!F27</x:v>
      </x:c>
    </x:row>
    <x:row r="661">
      <x:c r="A661" t="str">
        <x:v>obtenerUltimoKilometraje</x:v>
      </x:c>
      <x:c r="B661" t="str">
        <x:v>idVehiculo</x:v>
      </x:c>
      <x:c r="C661" t="str">
        <x:v>C_ControlKilometraje</x:v>
      </x:c>
      <x:c r="D661" t="str">
        <x:v>E_Kilometraje</x:v>
      </x:c>
      <x:c r="E661" t="str">
        <x:v>consulta</x:v>
      </x:c>
      <x:c r="F661" t="n">
        <x:v>1</x:v>
      </x:c>
      <x:c r="G661" t="str">
        <x:v>RF10</x:v>
      </x:c>
      <x:c r="H661" t="str">
        <x:v>RF010-EF1!F12</x:v>
      </x:c>
    </x:row>
    <x:row r="662">
      <x:c r="A662" t="str">
        <x:v>obtenerUltimoKilometraje</x:v>
      </x:c>
      <x:c r="B662" t="str">
        <x:v>idVehiculoSeleccionado</x:v>
      </x:c>
      <x:c r="C662" t="str">
        <x:v>C_ControlKilometraje</x:v>
      </x:c>
      <x:c r="D662" t="str">
        <x:v>E_Kilometraje</x:v>
      </x:c>
      <x:c r="E662" t="str">
        <x:v>consulta</x:v>
      </x:c>
      <x:c r="F662" t="n">
        <x:v>1</x:v>
      </x:c>
      <x:c r="G662" t="str">
        <x:v>RF50</x:v>
      </x:c>
      <x:c r="H662" t="str">
        <x:v>RF050-EF1!F27</x:v>
      </x:c>
    </x:row>
    <x:row r="663">
      <x:c r="A663" t="str">
        <x:v>registrarLecturaAtomica</x:v>
      </x:c>
      <x:c r="B663" t="str">
        <x:v>idVehiculo,kmNuevo,fechaSistema,claveOperacion</x:v>
      </x:c>
      <x:c r="C663" t="str">
        <x:v>C_ControlKilometraje</x:v>
      </x:c>
      <x:c r="D663" t="str">
        <x:v>E_Kilometraje</x:v>
      </x:c>
      <x:c r="E663" t="str">
        <x:v>escritura</x:v>
      </x:c>
      <x:c r="F663" t="n">
        <x:v>1</x:v>
      </x:c>
      <x:c r="G663" t="str">
        <x:v>RF14</x:v>
      </x:c>
      <x:c r="H663" t="str">
        <x:v>RF014-EF1!F29</x:v>
      </x:c>
    </x:row>
    <x:row r="664">
      <x:c r="A664" t="str">
        <x:v>mostrarActualizacionExitosa</x:v>
      </x:c>
      <x:c r="B664" t="str">
        <x:v>kmNuevo</x:v>
      </x:c>
      <x:c r="C664" t="str">
        <x:v>C_ControlKilometraje</x:v>
      </x:c>
      <x:c r="D664" t="str">
        <x:v>I_ActualizarKilometraje</x:v>
      </x:c>
      <x:c r="E664" t="str">
        <x:v>presentación/navegación</x:v>
      </x:c>
      <x:c r="F664" t="n">
        <x:v>1</x:v>
      </x:c>
      <x:c r="G664" t="str">
        <x:v>RF14</x:v>
      </x:c>
      <x:c r="H664" t="str">
        <x:v>RF014-EF1!F51</x:v>
      </x:c>
    </x:row>
    <x:row r="665">
      <x:c r="A665" t="str">
        <x:v>mostrarCorreccionExitosa</x:v>
      </x:c>
      <x:c r="B665" t="str">
        <x:v>kmNuevo</x:v>
      </x:c>
      <x:c r="C665" t="str">
        <x:v>C_ControlKilometraje</x:v>
      </x:c>
      <x:c r="D665" t="str">
        <x:v>I_ActualizarKilometraje</x:v>
      </x:c>
      <x:c r="E665" t="str">
        <x:v>presentación/navegación</x:v>
      </x:c>
      <x:c r="F665" t="n">
        <x:v>1</x:v>
      </x:c>
      <x:c r="G665" t="str">
        <x:v>RF16</x:v>
      </x:c>
      <x:c r="H665" t="str">
        <x:v>RF016-EF1!F46</x:v>
      </x:c>
    </x:row>
    <x:row r="666">
      <x:c r="A666" t="str">
        <x:v>mostrarFormularioKm</x:v>
      </x:c>
      <x:c r="B666" t="str">
        <x:v>kmPrevio</x:v>
      </x:c>
      <x:c r="C666" t="str">
        <x:v>C_ControlKilometraje</x:v>
      </x:c>
      <x:c r="D666" t="str">
        <x:v>I_ActualizarKilometraje</x:v>
      </x:c>
      <x:c r="E666" t="str">
        <x:v>presentación/navegación</x:v>
      </x:c>
      <x:c r="F666" t="n">
        <x:v>1</x:v>
      </x:c>
      <x:c r="G666" t="str">
        <x:v>RF14</x:v>
      </x:c>
      <x:c r="H666" t="str">
        <x:v>RF014-EF1!F13</x:v>
      </x:c>
    </x:row>
    <x:row r="667">
      <x:c r="A667" t="str">
        <x:v>mostrarFormularioKmModoCorreccion</x:v>
      </x:c>
      <x:c r="B667" t="str">
        <x:v>kmPrevio</x:v>
      </x:c>
      <x:c r="C667" t="str">
        <x:v>C_ControlKilometraje</x:v>
      </x:c>
      <x:c r="D667" t="str">
        <x:v>I_ActualizarKilometraje</x:v>
      </x:c>
      <x:c r="E667" t="str">
        <x:v>presentación/navegación</x:v>
      </x:c>
      <x:c r="F667" t="n">
        <x:v>1</x:v>
      </x:c>
      <x:c r="G667" t="str">
        <x:v>RF16</x:v>
      </x:c>
      <x:c r="H667" t="str">
        <x:v>RF016-EF1!F13</x:v>
      </x:c>
    </x:row>
    <x:row r="668">
      <x:c r="A668" t="str">
        <x:v>mostrarKilometrajeVigente</x:v>
      </x:c>
      <x:c r="B668" t="str">
        <x:v>kmActual</x:v>
      </x:c>
      <x:c r="C668" t="str">
        <x:v>C_ControlKilometraje</x:v>
      </x:c>
      <x:c r="D668" t="str">
        <x:v>I_ActualizarKilometraje</x:v>
      </x:c>
      <x:c r="E668" t="str">
        <x:v>presentación/navegación</x:v>
      </x:c>
      <x:c r="F668" t="n">
        <x:v>1</x:v>
      </x:c>
      <x:c r="G668" t="str">
        <x:v>RF14</x:v>
      </x:c>
      <x:c r="H668" t="str">
        <x:v>RF014-EF1!F57</x:v>
      </x:c>
    </x:row>
    <x:row r="669">
      <x:c r="A669" t="str">
        <x:v>mostrarVistaPrevia</x:v>
      </x:c>
      <x:c r="B669" t="str">
        <x:v>ACTUALIZACION,kmPrevio,kmNuevo</x:v>
      </x:c>
      <x:c r="C669" t="str">
        <x:v>C_ControlKilometraje</x:v>
      </x:c>
      <x:c r="D669" t="str">
        <x:v>I_VistaPreviaKilometraje</x:v>
      </x:c>
      <x:c r="E669" t="str">
        <x:v>presentación/navegación</x:v>
      </x:c>
      <x:c r="F669" t="n">
        <x:v>1</x:v>
      </x:c>
      <x:c r="G669" t="str">
        <x:v>RF14</x:v>
      </x:c>
      <x:c r="H669" t="str">
        <x:v>RF014-EF1!F19</x:v>
      </x:c>
    </x:row>
    <x:row r="670">
      <x:c r="A670" t="str">
        <x:v>mostrarVistaPrevia</x:v>
      </x:c>
      <x:c r="B670" t="str">
        <x:v>CORRECCION,kmPrevio,kmNuevo</x:v>
      </x:c>
      <x:c r="C670" t="str">
        <x:v>C_ControlKilometraje</x:v>
      </x:c>
      <x:c r="D670" t="str">
        <x:v>I_VistaPreviaKilometraje</x:v>
      </x:c>
      <x:c r="E670" t="str">
        <x:v>presentación/navegación</x:v>
      </x:c>
      <x:c r="F670" t="n">
        <x:v>1</x:v>
      </x:c>
      <x:c r="G670" t="str">
        <x:v>RF16</x:v>
      </x:c>
      <x:c r="H670" t="str">
        <x:v>RF016-EF1!F22</x:v>
      </x:c>
    </x:row>
    <x:row r="671">
      <x:c r="A671" t="str">
        <x:v>retornarDatosLicenciasAutorizadas</x:v>
      </x:c>
      <x:c r="B671" t="str">
        <x:v>datosLicencias</x:v>
      </x:c>
      <x:c r="C671" t="str">
        <x:v>C_ControlLicencia</x:v>
      </x:c>
      <x:c r="D671" t="str">
        <x:v>C_ControlAlerta</x:v>
      </x:c>
      <x:c r="E671" t="str">
        <x:v>retorno</x:v>
      </x:c>
      <x:c r="F671" t="n">
        <x:v>1</x:v>
      </x:c>
      <x:c r="G671" t="str">
        <x:v>RF23</x:v>
      </x:c>
      <x:c r="H671" t="str">
        <x:v>RF23!F100</x:v>
      </x:c>
    </x:row>
    <x:row r="672">
      <x:c r="A672" t="str">
        <x:v>retornarElegibilidadLicencias</x:v>
      </x:c>
      <x:c r="B672" t="str">
        <x:v>datosLicenciasValidadas</x:v>
      </x:c>
      <x:c r="C672" t="str">
        <x:v>C_ControlLicencia</x:v>
      </x:c>
      <x:c r="D672" t="str">
        <x:v>C_ControlAlerta</x:v>
      </x:c>
      <x:c r="E672" t="str">
        <x:v>retorno</x:v>
      </x:c>
      <x:c r="F672" t="n">
        <x:v>1</x:v>
      </x:c>
      <x:c r="G672" t="str">
        <x:v>RF23</x:v>
      </x:c>
      <x:c r="H672" t="str">
        <x:v>RF23!F63</x:v>
      </x:c>
    </x:row>
    <x:row r="673">
      <x:c r="A673" t="str">
        <x:v>solicitarRegistroAlertaLicencia</x:v>
      </x:c>
      <x:c r="B673" t="str">
        <x:v>idLicencia,fechaRevalidacion</x:v>
      </x:c>
      <x:c r="C673" t="str">
        <x:v>C_ControlLicencia</x:v>
      </x:c>
      <x:c r="D673" t="str">
        <x:v>C_ControlAlerta</x:v>
      </x:c>
      <x:c r="E673" t="str">
        <x:v>presentación/navegación</x:v>
      </x:c>
      <x:c r="F673" t="n">
        <x:v>1</x:v>
      </x:c>
      <x:c r="G673" t="str">
        <x:v>RF51</x:v>
      </x:c>
      <x:c r="H673" t="str">
        <x:v>RF051-EF1!F52</x:v>
      </x:c>
    </x:row>
    <x:row r="674">
      <x:c r="A674" t="str">
        <x:v>compararDigitoVerificador</x:v>
      </x:c>
      <x:c r="B674" t="str">
        <x:v>digito,codigoVerificacion</x:v>
      </x:c>
      <x:c r="C674" t="str">
        <x:v>C_ControlLicencia</x:v>
      </x:c>
      <x:c r="D674" t="str">
        <x:v>C_ControlLicencia</x:v>
      </x:c>
      <x:c r="E674" t="str">
        <x:v>otra</x:v>
      </x:c>
      <x:c r="F674" t="n">
        <x:v>1</x:v>
      </x:c>
      <x:c r="G674" t="str">
        <x:v>RF51</x:v>
      </x:c>
      <x:c r="H674" t="str">
        <x:v>RF051-EF1!F35</x:v>
      </x:c>
    </x:row>
    <x:row r="675">
      <x:c r="A675" t="str">
        <x:v>confirmarTransaccionRegistroLicencia</x:v>
      </x:c>
      <x:c r="B675" t="str"/>
      <x:c r="C675" t="str">
        <x:v>C_ControlLicencia</x:v>
      </x:c>
      <x:c r="D675" t="str">
        <x:v>C_ControlLicencia</x:v>
      </x:c>
      <x:c r="E675" t="str">
        <x:v>otra</x:v>
      </x:c>
      <x:c r="F675" t="n">
        <x:v>1</x:v>
      </x:c>
      <x:c r="G675" t="str">
        <x:v>RF51</x:v>
      </x:c>
      <x:c r="H675" t="str">
        <x:v>RF051-EF1!F59</x:v>
      </x:c>
    </x:row>
    <x:row r="676">
      <x:c r="A676" t="str">
        <x:v>consultarAPIJsonDNI</x:v>
      </x:c>
      <x:c r="B676" t="str">
        <x:v>dni</x:v>
      </x:c>
      <x:c r="C676" t="str">
        <x:v>C_ControlLicencia</x:v>
      </x:c>
      <x:c r="D676" t="str">
        <x:v>C_ControlLicencia</x:v>
      </x:c>
      <x:c r="E676" t="str">
        <x:v>consulta</x:v>
      </x:c>
      <x:c r="F676" t="n">
        <x:v>1</x:v>
      </x:c>
      <x:c r="G676" t="str">
        <x:v>RF51</x:v>
      </x:c>
      <x:c r="H676" t="str">
        <x:v>RF051-EF1!F27</x:v>
      </x:c>
    </x:row>
    <x:row r="677">
      <x:c r="A677" t="str">
        <x:v>consultarAPIJsonLicencia</x:v>
      </x:c>
      <x:c r="B677" t="str">
        <x:v>dni</x:v>
      </x:c>
      <x:c r="C677" t="str">
        <x:v>C_ControlLicencia</x:v>
      </x:c>
      <x:c r="D677" t="str">
        <x:v>C_ControlLicencia</x:v>
      </x:c>
      <x:c r="E677" t="str">
        <x:v>consulta</x:v>
      </x:c>
      <x:c r="F677" t="n">
        <x:v>1</x:v>
      </x:c>
      <x:c r="G677" t="str">
        <x:v>RF51</x:v>
      </x:c>
      <x:c r="H677" t="str">
        <x:v>RF051-EF1!F36</x:v>
      </x:c>
    </x:row>
    <x:row r="678">
      <x:c r="A678" t="str">
        <x:v>iniciarTransaccionRegistroLicencia</x:v>
      </x:c>
      <x:c r="B678" t="str"/>
      <x:c r="C678" t="str">
        <x:v>C_ControlLicencia</x:v>
      </x:c>
      <x:c r="D678" t="str">
        <x:v>C_ControlLicencia</x:v>
      </x:c>
      <x:c r="E678" t="str">
        <x:v>otra</x:v>
      </x:c>
      <x:c r="F678" t="n">
        <x:v>1</x:v>
      </x:c>
      <x:c r="G678" t="str">
        <x:v>RF51</x:v>
      </x:c>
      <x:c r="H678" t="str">
        <x:v>RF051-EF1!F46</x:v>
      </x:c>
    </x:row>
    <x:row r="679">
      <x:c r="A679" t="str">
        <x:v>normalizarDatosLicenciaParaPersistencia</x:v>
      </x:c>
      <x:c r="B679" t="str">
        <x:v>datosLicencia</x:v>
      </x:c>
      <x:c r="C679" t="str">
        <x:v>C_ControlLicencia</x:v>
      </x:c>
      <x:c r="D679" t="str">
        <x:v>C_ControlLicencia</x:v>
      </x:c>
      <x:c r="E679" t="str">
        <x:v>otra</x:v>
      </x:c>
      <x:c r="F679" t="n">
        <x:v>1</x:v>
      </x:c>
      <x:c r="G679" t="str">
        <x:v>RF51</x:v>
      </x:c>
      <x:c r="H679" t="str">
        <x:v>RF051-EF1!F38</x:v>
      </x:c>
    </x:row>
    <x:row r="680">
      <x:c r="A680" t="str">
        <x:v>prepararConsultaDisponibilidadLicencia</x:v>
      </x:c>
      <x:c r="B680" t="str">
        <x:v>idUsuario</x:v>
      </x:c>
      <x:c r="C680" t="str">
        <x:v>C_ControlLicencia</x:v>
      </x:c>
      <x:c r="D680" t="str">
        <x:v>C_ControlLicencia</x:v>
      </x:c>
      <x:c r="E680" t="str">
        <x:v>otra</x:v>
      </x:c>
      <x:c r="F680" t="n">
        <x:v>1</x:v>
      </x:c>
      <x:c r="G680" t="str">
        <x:v>RF51</x:v>
      </x:c>
      <x:c r="H680" t="str">
        <x:v>RF051-EF1!F17</x:v>
      </x:c>
    </x:row>
    <x:row r="681">
      <x:c r="A681" t="str">
        <x:v>prepararDetalleLicenciaSoloLectura</x:v>
      </x:c>
      <x:c r="B681" t="str"/>
      <x:c r="C681" t="str">
        <x:v>C_ControlLicencia</x:v>
      </x:c>
      <x:c r="D681" t="str">
        <x:v>C_ControlLicencia</x:v>
      </x:c>
      <x:c r="E681" t="str">
        <x:v>otra</x:v>
      </x:c>
      <x:c r="F681" t="n">
        <x:v>1</x:v>
      </x:c>
      <x:c r="G681" t="str">
        <x:v>RF52</x:v>
      </x:c>
      <x:c r="H681" t="str">
        <x:v>RF052-EF1!F23</x:v>
      </x:c>
    </x:row>
    <x:row r="682">
      <x:c r="A682" t="str">
        <x:v>validarConsentimientoYLimites</x:v>
      </x:c>
      <x:c r="B682" t="str">
        <x:v>dni,aceptacion,versionAviso</x:v>
      </x:c>
      <x:c r="C682" t="str">
        <x:v>C_ControlLicencia</x:v>
      </x:c>
      <x:c r="D682" t="str">
        <x:v>C_ControlLicencia</x:v>
      </x:c>
      <x:c r="E682" t="str">
        <x:v>validación</x:v>
      </x:c>
      <x:c r="F682" t="n">
        <x:v>1</x:v>
      </x:c>
      <x:c r="G682" t="str">
        <x:v>RF51</x:v>
      </x:c>
      <x:c r="H682" t="str">
        <x:v>RF051-EF1!F26</x:v>
      </x:c>
    </x:row>
    <x:row r="683">
      <x:c r="A683" t="str">
        <x:v>validarDatosLicencia</x:v>
      </x:c>
      <x:c r="B683" t="str">
        <x:v>datosLicencia</x:v>
      </x:c>
      <x:c r="C683" t="str">
        <x:v>C_ControlLicencia</x:v>
      </x:c>
      <x:c r="D683" t="str">
        <x:v>C_ControlLicencia</x:v>
      </x:c>
      <x:c r="E683" t="str">
        <x:v>validación</x:v>
      </x:c>
      <x:c r="F683" t="n">
        <x:v>1</x:v>
      </x:c>
      <x:c r="G683" t="str">
        <x:v>RF51</x:v>
      </x:c>
      <x:c r="H683" t="str">
        <x:v>RF051-EF1!F37</x:v>
      </x:c>
    </x:row>
    <x:row r="684">
      <x:c r="A684" t="str">
        <x:v>validarDatosYEstadoParaSeguimiento</x:v>
      </x:c>
      <x:c r="B684" t="str">
        <x:v>estadoAdministrativo,fechaRevalidacion,fechaActual</x:v>
      </x:c>
      <x:c r="C684" t="str">
        <x:v>C_ControlLicencia</x:v>
      </x:c>
      <x:c r="D684" t="str">
        <x:v>C_ControlLicencia</x:v>
      </x:c>
      <x:c r="E684" t="str">
        <x:v>validación</x:v>
      </x:c>
      <x:c r="F684" t="n">
        <x:v>1</x:v>
      </x:c>
      <x:c r="G684" t="str">
        <x:v>RF51</x:v>
      </x:c>
      <x:c r="H684" t="str">
        <x:v>RF051-EF1!F45</x:v>
      </x:c>
    </x:row>
    <x:row r="685">
      <x:c r="A685" t="str">
        <x:v>validarFormatoDNI</x:v>
      </x:c>
      <x:c r="B685" t="str">
        <x:v>dni</x:v>
      </x:c>
      <x:c r="C685" t="str">
        <x:v>C_ControlLicencia</x:v>
      </x:c>
      <x:c r="D685" t="str">
        <x:v>C_ControlLicencia</x:v>
      </x:c>
      <x:c r="E685" t="str">
        <x:v>validación</x:v>
      </x:c>
      <x:c r="F685" t="n">
        <x:v>1</x:v>
      </x:c>
      <x:c r="G685" t="str">
        <x:v>RF51</x:v>
      </x:c>
      <x:c r="H685" t="str">
        <x:v>RF051-EF1!F25</x:v>
      </x:c>
    </x:row>
    <x:row r="686">
      <x:c r="A686" t="str">
        <x:v>validarFormatoDigito</x:v>
      </x:c>
      <x:c r="B686" t="str">
        <x:v>digito</x:v>
      </x:c>
      <x:c r="C686" t="str">
        <x:v>C_ControlLicencia</x:v>
      </x:c>
      <x:c r="D686" t="str">
        <x:v>C_ControlLicencia</x:v>
      </x:c>
      <x:c r="E686" t="str">
        <x:v>validación</x:v>
      </x:c>
      <x:c r="F686" t="n">
        <x:v>1</x:v>
      </x:c>
      <x:c r="G686" t="str">
        <x:v>RF51</x:v>
      </x:c>
      <x:c r="H686" t="str">
        <x:v>RF051-EF1!F34</x:v>
      </x:c>
    </x:row>
    <x:row r="687">
      <x:c r="A687" t="str">
        <x:v>validarRegistroDefinitivo</x:v>
      </x:c>
      <x:c r="B687" t="str">
        <x:v>idUsuario,dni,consentimiento,versionAviso</x:v>
      </x:c>
      <x:c r="C687" t="str">
        <x:v>C_ControlLicencia</x:v>
      </x:c>
      <x:c r="D687" t="str">
        <x:v>C_ControlLicencia</x:v>
      </x:c>
      <x:c r="E687" t="str">
        <x:v>validación</x:v>
      </x:c>
      <x:c r="F687" t="n">
        <x:v>1</x:v>
      </x:c>
      <x:c r="G687" t="str">
        <x:v>RF51</x:v>
      </x:c>
      <x:c r="H687" t="str">
        <x:v>RF051-EF1!F44</x:v>
      </x:c>
    </x:row>
    <x:row r="688">
      <x:c r="A688" t="str">
        <x:v>validarRespuestaDNI</x:v>
      </x:c>
      <x:c r="B688" t="str">
        <x:v>datosDNI</x:v>
      </x:c>
      <x:c r="C688" t="str">
        <x:v>C_ControlLicencia</x:v>
      </x:c>
      <x:c r="D688" t="str">
        <x:v>C_ControlLicencia</x:v>
      </x:c>
      <x:c r="E688" t="str">
        <x:v>validación</x:v>
      </x:c>
      <x:c r="F688" t="n">
        <x:v>1</x:v>
      </x:c>
      <x:c r="G688" t="str">
        <x:v>RF51</x:v>
      </x:c>
      <x:c r="H688" t="str">
        <x:v>RF051-EF1!F28</x:v>
      </x:c>
    </x:row>
    <x:row r="689">
      <x:c r="A689" t="str">
        <x:v>validarConsultaLicenciaConservada</x:v>
      </x:c>
      <x:c r="B689" t="str">
        <x:v>idUsuario</x:v>
      </x:c>
      <x:c r="C689" t="str">
        <x:v>C_ControlLicencia</x:v>
      </x:c>
      <x:c r="D689" t="str">
        <x:v>C_ControlSuscripcion</x:v>
      </x:c>
      <x:c r="E689" t="str">
        <x:v>validación</x:v>
      </x:c>
      <x:c r="F689" t="n">
        <x:v>1</x:v>
      </x:c>
      <x:c r="G689" t="str">
        <x:v>RF52</x:v>
      </x:c>
      <x:c r="H689" t="str">
        <x:v>RF052-EF1!F11</x:v>
      </x:c>
    </x:row>
    <x:row r="690">
      <x:c r="A690" t="str">
        <x:v>validarPlanActivo</x:v>
      </x:c>
      <x:c r="B690" t="str">
        <x:v>idUsuario</x:v>
      </x:c>
      <x:c r="C690" t="str">
        <x:v>C_ControlLicencia</x:v>
      </x:c>
      <x:c r="D690" t="str">
        <x:v>C_ControlSuscripcion</x:v>
      </x:c>
      <x:c r="E690" t="str">
        <x:v>validación</x:v>
      </x:c>
      <x:c r="F690" t="n">
        <x:v>1</x:v>
      </x:c>
      <x:c r="G690" t="str">
        <x:v>RF51</x:v>
      </x:c>
      <x:c r="H690" t="str">
        <x:v>RF051-EF1!F11</x:v>
      </x:c>
    </x:row>
    <x:row r="691">
      <x:c r="A691" t="str">
        <x:v>consultarSeguimientoLicenciaActivo</x:v>
      </x:c>
      <x:c r="B691" t="str">
        <x:v>idLicencia</x:v>
      </x:c>
      <x:c r="C691" t="str">
        <x:v>C_ControlLicencia</x:v>
      </x:c>
      <x:c r="D691" t="str">
        <x:v>E_Alerta</x:v>
      </x:c>
      <x:c r="E691" t="str">
        <x:v>consulta</x:v>
      </x:c>
      <x:c r="F691" t="n">
        <x:v>1</x:v>
      </x:c>
      <x:c r="G691" t="str">
        <x:v>RF52</x:v>
      </x:c>
      <x:c r="H691" t="str">
        <x:v>RF052-EF1!F21</x:v>
      </x:c>
    </x:row>
    <x:row r="692">
      <x:c r="A692" t="str">
        <x:v>consultarConductorPorUsuario</x:v>
      </x:c>
      <x:c r="B692" t="str">
        <x:v>idUsuario</x:v>
      </x:c>
      <x:c r="C692" t="str">
        <x:v>C_ControlLicencia</x:v>
      </x:c>
      <x:c r="D692" t="str">
        <x:v>E_Conductor</x:v>
      </x:c>
      <x:c r="E692" t="str">
        <x:v>consulta</x:v>
      </x:c>
      <x:c r="F692" t="n">
        <x:v>2</x:v>
      </x:c>
      <x:c r="G692" t="str">
        <x:v>RF51, RF52</x:v>
      </x:c>
      <x:c r="H692" t="str">
        <x:v>RF051-EF1!F15</x:v>
      </x:c>
    </x:row>
    <x:row r="693">
      <x:c r="A693" t="str">
        <x:v>crearOAsociarConductor</x:v>
      </x:c>
      <x:c r="B693" t="str">
        <x:v>idUsuario,dni,fechaConsentimiento,versionConsentimiento</x:v>
      </x:c>
      <x:c r="C693" t="str">
        <x:v>C_ControlLicencia</x:v>
      </x:c>
      <x:c r="D693" t="str">
        <x:v>E_Conductor</x:v>
      </x:c>
      <x:c r="E693" t="str">
        <x:v>otra</x:v>
      </x:c>
      <x:c r="F693" t="n">
        <x:v>1</x:v>
      </x:c>
      <x:c r="G693" t="str">
        <x:v>RF51</x:v>
      </x:c>
      <x:c r="H693" t="str">
        <x:v>RF051-EF1!F47</x:v>
      </x:c>
    </x:row>
    <x:row r="694">
      <x:c r="A694" t="str">
        <x:v>consultarLicenciaActualPorConductor</x:v>
      </x:c>
      <x:c r="B694" t="str">
        <x:v>idConductor</x:v>
      </x:c>
      <x:c r="C694" t="str">
        <x:v>C_ControlLicencia</x:v>
      </x:c>
      <x:c r="D694" t="str">
        <x:v>E_Licencia</x:v>
      </x:c>
      <x:c r="E694" t="str">
        <x:v>consulta</x:v>
      </x:c>
      <x:c r="F694" t="n">
        <x:v>1</x:v>
      </x:c>
      <x:c r="G694" t="str">
        <x:v>RF52</x:v>
      </x:c>
      <x:c r="H694" t="str">
        <x:v>RF052-EF1!F18</x:v>
      </x:c>
    </x:row>
    <x:row r="695">
      <x:c r="A695" t="str">
        <x:v>consultarLicenciaActualPorUsuario</x:v>
      </x:c>
      <x:c r="B695" t="str">
        <x:v>idUsuario</x:v>
      </x:c>
      <x:c r="C695" t="str">
        <x:v>C_ControlLicencia</x:v>
      </x:c>
      <x:c r="D695" t="str">
        <x:v>E_Licencia</x:v>
      </x:c>
      <x:c r="E695" t="str">
        <x:v>consulta</x:v>
      </x:c>
      <x:c r="F695" t="n">
        <x:v>1</x:v>
      </x:c>
      <x:c r="G695" t="str">
        <x:v>RF51</x:v>
      </x:c>
      <x:c r="H695" t="str">
        <x:v>RF051-EF1!F18</x:v>
      </x:c>
    </x:row>
    <x:row r="696">
      <x:c r="A696" t="str">
        <x:v>consultarLicenciasConTitularidadPorUsuario</x:v>
      </x:c>
      <x:c r="B696" t="str">
        <x:v>idUsuarioAutenticado,listaIdLicencia</x:v>
      </x:c>
      <x:c r="C696" t="str">
        <x:v>C_ControlLicencia</x:v>
      </x:c>
      <x:c r="D696" t="str">
        <x:v>E_Licencia</x:v>
      </x:c>
      <x:c r="E696" t="str">
        <x:v>consulta</x:v>
      </x:c>
      <x:c r="F696" t="n">
        <x:v>1</x:v>
      </x:c>
      <x:c r="G696" t="str">
        <x:v>RF23</x:v>
      </x:c>
      <x:c r="H696" t="str">
        <x:v>RF23!F98</x:v>
      </x:c>
    </x:row>
    <x:row r="697">
      <x:c r="A697" t="str">
        <x:v>consultarLicenciasConTitularidadYEstado</x:v>
      </x:c>
      <x:c r="B697" t="str">
        <x:v>listaIdLicencia,listaIdUsuario</x:v>
      </x:c>
      <x:c r="C697" t="str">
        <x:v>C_ControlLicencia</x:v>
      </x:c>
      <x:c r="D697" t="str">
        <x:v>E_Licencia</x:v>
      </x:c>
      <x:c r="E697" t="str">
        <x:v>consulta</x:v>
      </x:c>
      <x:c r="F697" t="n">
        <x:v>1</x:v>
      </x:c>
      <x:c r="G697" t="str">
        <x:v>RF23</x:v>
      </x:c>
      <x:c r="H697" t="str">
        <x:v>RF23!F61</x:v>
      </x:c>
    </x:row>
    <x:row r="698">
      <x:c r="A698" t="str">
        <x:v>registrarLicencia</x:v>
      </x:c>
      <x:c r="B698" t="str">
        <x:v>idConductor,datosLicenciaPersistibles</x:v>
      </x:c>
      <x:c r="C698" t="str">
        <x:v>C_ControlLicencia</x:v>
      </x:c>
      <x:c r="D698" t="str">
        <x:v>E_Licencia</x:v>
      </x:c>
      <x:c r="E698" t="str">
        <x:v>escritura</x:v>
      </x:c>
      <x:c r="F698" t="n">
        <x:v>1</x:v>
      </x:c>
      <x:c r="G698" t="str">
        <x:v>RF51</x:v>
      </x:c>
      <x:c r="H698" t="str">
        <x:v>RF051-EF1!F49</x:v>
      </x:c>
    </x:row>
    <x:row r="699">
      <x:c r="A699" t="str">
        <x:v>mostrarRegistroLicenciaExitoso</x:v>
      </x:c>
      <x:c r="B699" t="str"/>
      <x:c r="C699" t="str">
        <x:v>C_ControlLicencia</x:v>
      </x:c>
      <x:c r="D699" t="str">
        <x:v>I_ConfirmacionOperacion</x:v>
      </x:c>
      <x:c r="E699" t="str">
        <x:v>presentación/navegación</x:v>
      </x:c>
      <x:c r="F699" t="n">
        <x:v>1</x:v>
      </x:c>
      <x:c r="G699" t="str">
        <x:v>RF51</x:v>
      </x:c>
      <x:c r="H699" t="str">
        <x:v>RF051-EF1!F60</x:v>
      </x:c>
    </x:row>
    <x:row r="700">
      <x:c r="A700" t="str">
        <x:v>mostrarDatosLicenciaConsultada</x:v>
      </x:c>
      <x:c r="B700" t="str">
        <x:v>datosLicenciaNormalizados</x:v>
      </x:c>
      <x:c r="C700" t="str">
        <x:v>C_ControlLicencia</x:v>
      </x:c>
      <x:c r="D700" t="str">
        <x:v>I_ConfirmarLicencia</x:v>
      </x:c>
      <x:c r="E700" t="str">
        <x:v>presentación/navegación</x:v>
      </x:c>
      <x:c r="F700" t="n">
        <x:v>1</x:v>
      </x:c>
      <x:c r="G700" t="str">
        <x:v>RF51</x:v>
      </x:c>
      <x:c r="H700" t="str">
        <x:v>RF051-EF1!F39</x:v>
      </x:c>
    </x:row>
    <x:row r="701">
      <x:c r="A701" t="str">
        <x:v>mostrarDetalleLicenciaSoloLectura</x:v>
      </x:c>
      <x:c r="B701" t="str">
        <x:v>datosLicencia,datosAlerta</x:v>
      </x:c>
      <x:c r="C701" t="str">
        <x:v>C_ControlLicencia</x:v>
      </x:c>
      <x:c r="D701" t="str">
        <x:v>I_DetalleLicencia</x:v>
      </x:c>
      <x:c r="E701" t="str">
        <x:v>presentación/navegación</x:v>
      </x:c>
      <x:c r="F701" t="n">
        <x:v>1</x:v>
      </x:c>
      <x:c r="G701" t="str">
        <x:v>RF52</x:v>
      </x:c>
      <x:c r="H701" t="str">
        <x:v>RF052-EF1!F25</x:v>
      </x:c>
    </x:row>
    <x:row r="702">
      <x:c r="A702" t="str">
        <x:v>mostrarFormularioDNIYPrivacidad</x:v>
      </x:c>
      <x:c r="B702" t="str"/>
      <x:c r="C702" t="str">
        <x:v>C_ControlLicencia</x:v>
      </x:c>
      <x:c r="D702" t="str">
        <x:v>I_RegistrarLicencia</x:v>
      </x:c>
      <x:c r="E702" t="str">
        <x:v>presentación/navegación</x:v>
      </x:c>
      <x:c r="F702" t="n">
        <x:v>1</x:v>
      </x:c>
      <x:c r="G702" t="str">
        <x:v>RF51</x:v>
      </x:c>
      <x:c r="H702" t="str">
        <x:v>RF051-EF1!F20</x:v>
      </x:c>
    </x:row>
    <x:row r="703">
      <x:c r="A703" t="str">
        <x:v>mostrarFormularioVerificacionDigito</x:v>
      </x:c>
      <x:c r="B703" t="str"/>
      <x:c r="C703" t="str">
        <x:v>C_ControlLicencia</x:v>
      </x:c>
      <x:c r="D703" t="str">
        <x:v>I_VerificarDigitoDNI</x:v>
      </x:c>
      <x:c r="E703" t="str">
        <x:v>presentación/navegación</x:v>
      </x:c>
      <x:c r="F703" t="n">
        <x:v>1</x:v>
      </x:c>
      <x:c r="G703" t="str">
        <x:v>RF51</x:v>
      </x:c>
      <x:c r="H703" t="str">
        <x:v>RF051-EF1!F29</x:v>
      </x:c>
    </x:row>
    <x:row r="704">
      <x:c r="A704" t="str">
        <x:v>retornarVehiculosActivosYPrincipal</x:v>
      </x:c>
      <x:c r="B704" t="str">
        <x:v>lista_vehiculos,vehiculo_principal</x:v>
      </x:c>
      <x:c r="C704" t="str">
        <x:v>C_ControlListadoVehiculos</x:v>
      </x:c>
      <x:c r="D704" t="str">
        <x:v>C_ControlAlerta</x:v>
      </x:c>
      <x:c r="E704" t="str">
        <x:v>retorno</x:v>
      </x:c>
      <x:c r="F704" t="n">
        <x:v>1</x:v>
      </x:c>
      <x:c r="G704" t="str">
        <x:v>RF22</x:v>
      </x:c>
      <x:c r="H704" t="str">
        <x:v>RF22!F10</x:v>
      </x:c>
    </x:row>
    <x:row r="705">
      <x:c r="A705" t="str">
        <x:v>retornarVehiculosUsuario</x:v>
      </x:c>
      <x:c r="B705" t="str">
        <x:v>listaOrdenada</x:v>
      </x:c>
      <x:c r="C705" t="str">
        <x:v>C_ControlListadoVehiculos</x:v>
      </x:c>
      <x:c r="D705" t="str">
        <x:v>C_ControlAlerta</x:v>
      </x:c>
      <x:c r="E705" t="str">
        <x:v>retorno</x:v>
      </x:c>
      <x:c r="F705" t="n">
        <x:v>1</x:v>
      </x:c>
      <x:c r="G705" t="str">
        <x:v>RF23</x:v>
      </x:c>
      <x:c r="H705" t="str">
        <x:v>RF23!F14</x:v>
      </x:c>
    </x:row>
    <x:row r="706">
      <x:c r="A706" t="str">
        <x:v>solicitarImagenesPrincipales</x:v>
      </x:c>
      <x:c r="B706" t="str">
        <x:v>idsVehiculos</x:v>
      </x:c>
      <x:c r="C706" t="str">
        <x:v>C_ControlListadoVehiculos</x:v>
      </x:c>
      <x:c r="D706" t="str">
        <x:v>C_ControlImagenVehiculo</x:v>
      </x:c>
      <x:c r="E706" t="str">
        <x:v>presentación/navegación</x:v>
      </x:c>
      <x:c r="F706" t="n">
        <x:v>3</x:v>
      </x:c>
      <x:c r="G706" t="str">
        <x:v>RF09, RF12, RF13</x:v>
      </x:c>
      <x:c r="H706" t="str">
        <x:v>RF009-EF1!F12</x:v>
      </x:c>
    </x:row>
    <x:row r="707">
      <x:c r="A707" t="str">
        <x:v>solicitarImagenesPrincipales</x:v>
      </x:c>
      <x:c r="B707" t="str">
        <x:v>idsVehiculosFiltrados</x:v>
      </x:c>
      <x:c r="C707" t="str">
        <x:v>C_ControlListadoVehiculos</x:v>
      </x:c>
      <x:c r="D707" t="str">
        <x:v>C_ControlImagenVehiculo</x:v>
      </x:c>
      <x:c r="E707" t="str">
        <x:v>presentación/navegación</x:v>
      </x:c>
      <x:c r="F707" t="n">
        <x:v>1</x:v>
      </x:c>
      <x:c r="G707" t="str">
        <x:v>RF09</x:v>
      </x:c>
      <x:c r="H707" t="str">
        <x:v>RF009-EF1!F38</x:v>
      </x:c>
    </x:row>
    <x:row r="708">
      <x:c r="A708" t="str">
        <x:v>solicitarUltimosKilometrajes</x:v>
      </x:c>
      <x:c r="B708" t="str">
        <x:v>idsVehiculos</x:v>
      </x:c>
      <x:c r="C708" t="str">
        <x:v>C_ControlListadoVehiculos</x:v>
      </x:c>
      <x:c r="D708" t="str">
        <x:v>C_ControlKilometraje</x:v>
      </x:c>
      <x:c r="E708" t="str">
        <x:v>presentación/navegación</x:v>
      </x:c>
      <x:c r="F708" t="n">
        <x:v>3</x:v>
      </x:c>
      <x:c r="G708" t="str">
        <x:v>RF09, RF12, RF13</x:v>
      </x:c>
      <x:c r="H708" t="str">
        <x:v>RF009-EF1!F14</x:v>
      </x:c>
    </x:row>
    <x:row r="709">
      <x:c r="A709" t="str">
        <x:v>solicitarUltimosKilometrajes</x:v>
      </x:c>
      <x:c r="B709" t="str">
        <x:v>idsVehiculosFiltrados</x:v>
      </x:c>
      <x:c r="C709" t="str">
        <x:v>C_ControlListadoVehiculos</x:v>
      </x:c>
      <x:c r="D709" t="str">
        <x:v>C_ControlKilometraje</x:v>
      </x:c>
      <x:c r="E709" t="str">
        <x:v>presentación/navegación</x:v>
      </x:c>
      <x:c r="F709" t="n">
        <x:v>1</x:v>
      </x:c>
      <x:c r="G709" t="str">
        <x:v>RF09</x:v>
      </x:c>
      <x:c r="H709" t="str">
        <x:v>RF009-EF1!F40</x:v>
      </x:c>
    </x:row>
    <x:row r="710">
      <x:c r="A710" t="str">
        <x:v>calcularResumenEstados</x:v>
      </x:c>
      <x:c r="B710" t="str">
        <x:v>listaVehiculos</x:v>
      </x:c>
      <x:c r="C710" t="str">
        <x:v>C_ControlListadoVehiculos</x:v>
      </x:c>
      <x:c r="D710" t="str">
        <x:v>C_ControlListadoVehiculos</x:v>
      </x:c>
      <x:c r="E710" t="str">
        <x:v>otra</x:v>
      </x:c>
      <x:c r="F710" t="n">
        <x:v>2</x:v>
      </x:c>
      <x:c r="G710" t="str">
        <x:v>RF09, RF13</x:v>
      </x:c>
      <x:c r="H710" t="str">
        <x:v>RF009-EF1!F28</x:v>
      </x:c>
    </x:row>
    <x:row r="711">
      <x:c r="A711" t="str">
        <x:v>establecerFiltroInicial</x:v>
      </x:c>
      <x:c r="B711" t="str">
        <x:v>TODOS</x:v>
      </x:c>
      <x:c r="C711" t="str">
        <x:v>C_ControlListadoVehiculos</x:v>
      </x:c>
      <x:c r="D711" t="str">
        <x:v>C_ControlListadoVehiculos</x:v>
      </x:c>
      <x:c r="E711" t="str">
        <x:v>otra</x:v>
      </x:c>
      <x:c r="F711" t="n">
        <x:v>3</x:v>
      </x:c>
      <x:c r="G711" t="str">
        <x:v>RF09, RF12, RF13</x:v>
      </x:c>
      <x:c r="H711" t="str">
        <x:v>RF009-EF1!F29</x:v>
      </x:c>
    </x:row>
    <x:row r="712">
      <x:c r="A712" t="str">
        <x:v>integrarDatosListado</x:v>
      </x:c>
      <x:c r="B712" t="str">
        <x:v>listaVehiculos,mapaImagenes,mapaKilometrajes,mapaSOAT,mapaTIVE</x:v>
      </x:c>
      <x:c r="C712" t="str">
        <x:v>C_ControlListadoVehiculos</x:v>
      </x:c>
      <x:c r="D712" t="str">
        <x:v>C_ControlListadoVehiculos</x:v>
      </x:c>
      <x:c r="E712" t="str">
        <x:v>otra</x:v>
      </x:c>
      <x:c r="F712" t="n">
        <x:v>3</x:v>
      </x:c>
      <x:c r="G712" t="str">
        <x:v>RF09, RF13</x:v>
      </x:c>
      <x:c r="H712" t="str">
        <x:v>RF009-EF1!F26</x:v>
      </x:c>
    </x:row>
    <x:row r="713">
      <x:c r="A713" t="str">
        <x:v>integrarYOrdenarListadoActualizado</x:v>
      </x:c>
      <x:c r="B713" t="str">
        <x:v>listaVehiculos,mapaImagenes,mapaKilometrajes,mapaSOAT,mapaTIVE</x:v>
      </x:c>
      <x:c r="C713" t="str">
        <x:v>C_ControlListadoVehiculos</x:v>
      </x:c>
      <x:c r="D713" t="str">
        <x:v>C_ControlListadoVehiculos</x:v>
      </x:c>
      <x:c r="E713" t="str">
        <x:v>otra</x:v>
      </x:c>
      <x:c r="F713" t="n">
        <x:v>1</x:v>
      </x:c>
      <x:c r="G713" t="str">
        <x:v>RF12</x:v>
      </x:c>
      <x:c r="H713" t="str">
        <x:v>RF012-EF1!F71</x:v>
      </x:c>
    </x:row>
    <x:row r="714">
      <x:c r="A714" t="str">
        <x:v>ordenarVehiculosPrincipalPrimero</x:v>
      </x:c>
      <x:c r="B714" t="str">
        <x:v>listaVehiculos</x:v>
      </x:c>
      <x:c r="C714" t="str">
        <x:v>C_ControlListadoVehiculos</x:v>
      </x:c>
      <x:c r="D714" t="str">
        <x:v>C_ControlListadoVehiculos</x:v>
      </x:c>
      <x:c r="E714" t="str">
        <x:v>otra</x:v>
      </x:c>
      <x:c r="F714" t="n">
        <x:v>4</x:v>
      </x:c>
      <x:c r="G714" t="str">
        <x:v>RF09, RF13, RF23</x:v>
      </x:c>
      <x:c r="H714" t="str">
        <x:v>RF009-EF1!F27</x:v>
      </x:c>
    </x:row>
    <x:row r="715">
      <x:c r="A715" t="str">
        <x:v>validarCriteriosConsulta</x:v>
      </x:c>
      <x:c r="B715" t="str">
        <x:v>textoBusqueda,estadoFiltro</x:v>
      </x:c>
      <x:c r="C715" t="str">
        <x:v>C_ControlListadoVehiculos</x:v>
      </x:c>
      <x:c r="D715" t="str">
        <x:v>C_ControlListadoVehiculos</x:v>
      </x:c>
      <x:c r="E715" t="str">
        <x:v>validación</x:v>
      </x:c>
      <x:c r="F715" t="n">
        <x:v>1</x:v>
      </x:c>
      <x:c r="G715" t="str">
        <x:v>RF09</x:v>
      </x:c>
      <x:c r="H715" t="str">
        <x:v>RF009-EF1!F35</x:v>
      </x:c>
    </x:row>
    <x:row r="716">
      <x:c r="A716" t="str">
        <x:v>solicitarEstadosSOAT</x:v>
      </x:c>
      <x:c r="B716" t="str">
        <x:v>idsVehiculos</x:v>
      </x:c>
      <x:c r="C716" t="str">
        <x:v>C_ControlListadoVehiculos</x:v>
      </x:c>
      <x:c r="D716" t="str">
        <x:v>C_ControlSOAT</x:v>
      </x:c>
      <x:c r="E716" t="str">
        <x:v>presentación/navegación</x:v>
      </x:c>
      <x:c r="F716" t="n">
        <x:v>3</x:v>
      </x:c>
      <x:c r="G716" t="str">
        <x:v>RF09, RF12, RF13</x:v>
      </x:c>
      <x:c r="H716" t="str">
        <x:v>RF009-EF1!F18</x:v>
      </x:c>
    </x:row>
    <x:row r="717">
      <x:c r="A717" t="str">
        <x:v>solicitarEstadosSOAT</x:v>
      </x:c>
      <x:c r="B717" t="str">
        <x:v>idsVehiculosFiltrados</x:v>
      </x:c>
      <x:c r="C717" t="str">
        <x:v>C_ControlListadoVehiculos</x:v>
      </x:c>
      <x:c r="D717" t="str">
        <x:v>C_ControlSOAT</x:v>
      </x:c>
      <x:c r="E717" t="str">
        <x:v>presentación/navegación</x:v>
      </x:c>
      <x:c r="F717" t="n">
        <x:v>1</x:v>
      </x:c>
      <x:c r="G717" t="str">
        <x:v>RF09</x:v>
      </x:c>
      <x:c r="H717" t="str">
        <x:v>RF009-EF1!F44</x:v>
      </x:c>
    </x:row>
    <x:row r="718">
      <x:c r="A718" t="str">
        <x:v>solicitarEstadosTIVE</x:v>
      </x:c>
      <x:c r="B718" t="str">
        <x:v>idsVehiculos</x:v>
      </x:c>
      <x:c r="C718" t="str">
        <x:v>C_ControlListadoVehiculos</x:v>
      </x:c>
      <x:c r="D718" t="str">
        <x:v>C_ControlTIVE</x:v>
      </x:c>
      <x:c r="E718" t="str">
        <x:v>presentación/navegación</x:v>
      </x:c>
      <x:c r="F718" t="n">
        <x:v>3</x:v>
      </x:c>
      <x:c r="G718" t="str">
        <x:v>RF09, RF12, RF13</x:v>
      </x:c>
      <x:c r="H718" t="str">
        <x:v>RF009-EF1!F22</x:v>
      </x:c>
    </x:row>
    <x:row r="719">
      <x:c r="A719" t="str">
        <x:v>solicitarEstadosTIVE</x:v>
      </x:c>
      <x:c r="B719" t="str">
        <x:v>idsVehiculosFiltrados</x:v>
      </x:c>
      <x:c r="C719" t="str">
        <x:v>C_ControlListadoVehiculos</x:v>
      </x:c>
      <x:c r="D719" t="str">
        <x:v>C_ControlTIVE</x:v>
      </x:c>
      <x:c r="E719" t="str">
        <x:v>presentación/navegación</x:v>
      </x:c>
      <x:c r="F719" t="n">
        <x:v>1</x:v>
      </x:c>
      <x:c r="G719" t="str">
        <x:v>RF09</x:v>
      </x:c>
      <x:c r="H719" t="str">
        <x:v>RF009-EF1!F48</x:v>
      </x:c>
    </x:row>
    <x:row r="720">
      <x:c r="A720" t="str">
        <x:v>consultarVehiculosActivosYPrincipal</x:v>
      </x:c>
      <x:c r="B720" t="str">
        <x:v>id_usuario</x:v>
      </x:c>
      <x:c r="C720" t="str">
        <x:v>C_ControlListadoVehiculos</x:v>
      </x:c>
      <x:c r="D720" t="str">
        <x:v>E_Vehiculo</x:v>
      </x:c>
      <x:c r="E720" t="str">
        <x:v>consulta</x:v>
      </x:c>
      <x:c r="F720" t="n">
        <x:v>1</x:v>
      </x:c>
      <x:c r="G720" t="str">
        <x:v>RF22</x:v>
      </x:c>
      <x:c r="H720" t="str">
        <x:v>RF22!F8</x:v>
      </x:c>
    </x:row>
    <x:row r="721">
      <x:c r="A721" t="str">
        <x:v>consultarVehiculosPorCriterio</x:v>
      </x:c>
      <x:c r="B721" t="str">
        <x:v>idUsuario,textoBusqueda,estadoFiltro</x:v>
      </x:c>
      <x:c r="C721" t="str">
        <x:v>C_ControlListadoVehiculos</x:v>
      </x:c>
      <x:c r="D721" t="str">
        <x:v>E_Vehiculo</x:v>
      </x:c>
      <x:c r="E721" t="str">
        <x:v>consulta</x:v>
      </x:c>
      <x:c r="F721" t="n">
        <x:v>1</x:v>
      </x:c>
      <x:c r="G721" t="str">
        <x:v>RF09</x:v>
      </x:c>
      <x:c r="H721" t="str">
        <x:v>RF009-EF1!F36</x:v>
      </x:c>
    </x:row>
    <x:row r="722">
      <x:c r="A722" t="str">
        <x:v>consultarVehiculosPorUsuario</x:v>
      </x:c>
      <x:c r="B722" t="str">
        <x:v>idUsuario</x:v>
      </x:c>
      <x:c r="C722" t="str">
        <x:v>C_ControlListadoVehiculos</x:v>
      </x:c>
      <x:c r="D722" t="str">
        <x:v>E_Vehiculo</x:v>
      </x:c>
      <x:c r="E722" t="str">
        <x:v>consulta</x:v>
      </x:c>
      <x:c r="F722" t="n">
        <x:v>4</x:v>
      </x:c>
      <x:c r="G722" t="str">
        <x:v>RF09, RF12, RF13, RF23</x:v>
      </x:c>
      <x:c r="H722" t="str">
        <x:v>RF009-EF1!F10</x:v>
      </x:c>
    </x:row>
    <x:row r="723">
      <x:c r="A723" t="str">
        <x:v>mostrarListadoVehiculos</x:v>
      </x:c>
      <x:c r="B723" t="str">
        <x:v>listaOrdenada,resumenEstados,TODOS</x:v>
      </x:c>
      <x:c r="C723" t="str">
        <x:v>C_ControlListadoVehiculos</x:v>
      </x:c>
      <x:c r="D723" t="str">
        <x:v>I_Autos</x:v>
      </x:c>
      <x:c r="E723" t="str">
        <x:v>presentación/navegación</x:v>
      </x:c>
      <x:c r="F723" t="n">
        <x:v>1</x:v>
      </x:c>
      <x:c r="G723" t="str">
        <x:v>RF09</x:v>
      </x:c>
      <x:c r="H723" t="str">
        <x:v>RF009-EF1!F30</x:v>
      </x:c>
    </x:row>
    <x:row r="724">
      <x:c r="A724" t="str">
        <x:v>mostrarListadoVehiculosActualizado</x:v>
      </x:c>
      <x:c r="B724" t="str">
        <x:v>listaOrdenada,resumenEstados,TODOS</x:v>
      </x:c>
      <x:c r="C724" t="str">
        <x:v>C_ControlListadoVehiculos</x:v>
      </x:c>
      <x:c r="D724" t="str">
        <x:v>I_Autos</x:v>
      </x:c>
      <x:c r="E724" t="str">
        <x:v>presentación/navegación</x:v>
      </x:c>
      <x:c r="F724" t="n">
        <x:v>2</x:v>
      </x:c>
      <x:c r="G724" t="str">
        <x:v>RF12, RF13</x:v>
      </x:c>
      <x:c r="H724" t="str">
        <x:v>RF012-EF1!F73</x:v>
      </x:c>
    </x:row>
    <x:row r="725">
      <x:c r="A725" t="str">
        <x:v>mostrarVehiculosFiltrados</x:v>
      </x:c>
      <x:c r="B725" t="str">
        <x:v>listaOrdenada,textoBusqueda,estadoFiltro,resumenEstados</x:v>
      </x:c>
      <x:c r="C725" t="str">
        <x:v>C_ControlListadoVehiculos</x:v>
      </x:c>
      <x:c r="D725" t="str">
        <x:v>I_Autos</x:v>
      </x:c>
      <x:c r="E725" t="str">
        <x:v>presentación/navegación</x:v>
      </x:c>
      <x:c r="F725" t="n">
        <x:v>1</x:v>
      </x:c>
      <x:c r="G725" t="str">
        <x:v>RF09</x:v>
      </x:c>
      <x:c r="H725" t="str">
        <x:v>RF009-EF1!F55</x:v>
      </x:c>
    </x:row>
    <x:row r="726">
      <x:c r="A726" t="str">
        <x:v>iniciarAtencionAlertaTransaccional</x:v>
      </x:c>
      <x:c r="B726" t="str">
        <x:v>id_usuario,id_alerta,id_vehiculo</x:v>
      </x:c>
      <x:c r="C726" t="str">
        <x:v>C_ControlMantenimiento</x:v>
      </x:c>
      <x:c r="D726" t="str">
        <x:v>C_ControlAlerta</x:v>
      </x:c>
      <x:c r="E726" t="str">
        <x:v>otra</x:v>
      </x:c>
      <x:c r="F726" t="n">
        <x:v>1</x:v>
      </x:c>
      <x:c r="G726" t="str">
        <x:v>RF24</x:v>
      </x:c>
      <x:c r="H726" t="str">
        <x:v>RF24!F67</x:v>
      </x:c>
    </x:row>
    <x:row r="727">
      <x:c r="A727" t="str">
        <x:v>reconciliarDependenciasDeMantenimientoAnulado</x:v>
      </x:c>
      <x:c r="B727" t="str">
        <x:v>id_usuario,id_mantenimiento,id_vehiculo,resultado_km</x:v>
      </x:c>
      <x:c r="C727" t="str">
        <x:v>C_ControlMantenimiento</x:v>
      </x:c>
      <x:c r="D727" t="str">
        <x:v>C_ControlAlerta</x:v>
      </x:c>
      <x:c r="E727" t="str">
        <x:v>otra</x:v>
      </x:c>
      <x:c r="F727" t="n">
        <x:v>1</x:v>
      </x:c>
      <x:c r="G727" t="str">
        <x:v>RF21</x:v>
      </x:c>
      <x:c r="H727" t="str">
        <x:v>RF21!F36</x:v>
      </x:c>
    </x:row>
    <x:row r="728">
      <x:c r="A728" t="str">
        <x:v>retornarAntecedentesSegunTipo</x:v>
      </x:c>
      <x:c r="B728" t="str">
        <x:v>lista_servicios_otro_o_vacia,referencia_ultimo_tipo_o_NULL</x:v>
      </x:c>
      <x:c r="C728" t="str">
        <x:v>C_ControlMantenimiento</x:v>
      </x:c>
      <x:c r="D728" t="str">
        <x:v>C_ControlAlerta</x:v>
      </x:c>
      <x:c r="E728" t="str">
        <x:v>retorno</x:v>
      </x:c>
      <x:c r="F728" t="n">
        <x:v>1</x:v>
      </x:c>
      <x:c r="G728" t="str">
        <x:v>RF22</x:v>
      </x:c>
      <x:c r="H728" t="str">
        <x:v>RF22!F34</x:v>
      </x:c>
    </x:row>
    <x:row r="729">
      <x:c r="A729" t="str">
        <x:v>retornarMantenimientoRegistrado</x:v>
      </x:c>
      <x:c r="B729" t="str">
        <x:v>id_mantenimiento,datos_mantenimiento</x:v>
      </x:c>
      <x:c r="C729" t="str">
        <x:v>C_ControlMantenimiento</x:v>
      </x:c>
      <x:c r="D729" t="str">
        <x:v>C_ControlAlerta</x:v>
      </x:c>
      <x:c r="E729" t="str">
        <x:v>retorno</x:v>
      </x:c>
      <x:c r="F729" t="n">
        <x:v>1</x:v>
      </x:c>
      <x:c r="G729" t="str">
        <x:v>RF24</x:v>
      </x:c>
      <x:c r="H729" t="str">
        <x:v>RF24!F83</x:v>
      </x:c>
    </x:row>
    <x:row r="730">
      <x:c r="A730" t="str">
        <x:v>retornarReferenciaHistorialRevalidada</x:v>
      </x:c>
      <x:c r="B730" t="str">
        <x:v>id_mantenimiento_o_NULL,fecha_servicio_o_NULL,km_servicio_o_NULL</x:v>
      </x:c>
      <x:c r="C730" t="str">
        <x:v>C_ControlMantenimiento</x:v>
      </x:c>
      <x:c r="D730" t="str">
        <x:v>C_ControlAlerta</x:v>
      </x:c>
      <x:c r="E730" t="str">
        <x:v>retorno</x:v>
      </x:c>
      <x:c r="F730" t="n">
        <x:v>1</x:v>
      </x:c>
      <x:c r="G730" t="str">
        <x:v>RF22</x:v>
      </x:c>
      <x:c r="H730" t="str">
        <x:v>RF22!F84</x:v>
      </x:c>
    </x:row>
    <x:row r="731">
      <x:c r="A731" t="str">
        <x:v>retornarUltimoRealizadoServicioOtroOpcional</x:v>
      </x:c>
      <x:c r="B731" t="str">
        <x:v>id_mantenimiento_o_NULL,fecha_servicio_o_NULL,km_servicio_o_NULL</x:v>
      </x:c>
      <x:c r="C731" t="str">
        <x:v>C_ControlMantenimiento</x:v>
      </x:c>
      <x:c r="D731" t="str">
        <x:v>C_ControlAlerta</x:v>
      </x:c>
      <x:c r="E731" t="str">
        <x:v>retorno</x:v>
      </x:c>
      <x:c r="F731" t="n">
        <x:v>1</x:v>
      </x:c>
      <x:c r="G731" t="str">
        <x:v>RF22</x:v>
      </x:c>
      <x:c r="H731" t="str">
        <x:v>RF22!F54</x:v>
      </x:c>
    </x:row>
    <x:row r="732">
      <x:c r="A732" t="str">
        <x:v>solicitarHistorialActualizado</x:v>
      </x:c>
      <x:c r="B732" t="str">
        <x:v>id_usuario,id_vehiculo</x:v>
      </x:c>
      <x:c r="C732" t="str">
        <x:v>C_ControlMantenimiento</x:v>
      </x:c>
      <x:c r="D732" t="str">
        <x:v>C_ControlHistorial</x:v>
      </x:c>
      <x:c r="E732" t="str">
        <x:v>presentación/navegación</x:v>
      </x:c>
      <x:c r="F732" t="n">
        <x:v>1</x:v>
      </x:c>
      <x:c r="G732" t="str">
        <x:v>RF21</x:v>
      </x:c>
      <x:c r="H732" t="str">
        <x:v>RF21!F41</x:v>
      </x:c>
    </x:row>
    <x:row r="733">
      <x:c r="A733" t="str">
        <x:v>reconciliarKilometrajeVigenteSiCorresponde</x:v>
      </x:c>
      <x:c r="B733" t="str">
        <x:v>id_usuario,id_vehiculo,resultado_lectura</x:v>
      </x:c>
      <x:c r="C733" t="str">
        <x:v>C_ControlMantenimiento</x:v>
      </x:c>
      <x:c r="D733" t="str">
        <x:v>C_ControlKilometraje</x:v>
      </x:c>
      <x:c r="E733" t="str">
        <x:v>otra</x:v>
      </x:c>
      <x:c r="F733" t="n">
        <x:v>1</x:v>
      </x:c>
      <x:c r="G733" t="str">
        <x:v>RF21</x:v>
      </x:c>
      <x:c r="H733" t="str">
        <x:v>RF21!F34</x:v>
      </x:c>
    </x:row>
    <x:row r="734">
      <x:c r="A734" t="str">
        <x:v>solicitarContextoKilometrajeParaFechaServicio</x:v>
      </x:c>
      <x:c r="B734" t="str">
        <x:v>id_vehiculo,fecha_mantenimiento</x:v>
      </x:c>
      <x:c r="C734" t="str">
        <x:v>C_ControlMantenimiento</x:v>
      </x:c>
      <x:c r="D734" t="str">
        <x:v>C_ControlKilometraje</x:v>
      </x:c>
      <x:c r="E734" t="str">
        <x:v>presentación/navegación</x:v>
      </x:c>
      <x:c r="F734" t="n">
        <x:v>1</x:v>
      </x:c>
      <x:c r="G734" t="str">
        <x:v>RF17</x:v>
      </x:c>
      <x:c r="H734" t="str">
        <x:v>RF17!F76</x:v>
      </x:c>
    </x:row>
    <x:row r="735">
      <x:c r="A735" t="str">
        <x:v>solicitarContextoKmParaFechaServicio</x:v>
      </x:c>
      <x:c r="B735" t="str">
        <x:v>id_vehiculo,fecha_mantenimiento</x:v>
      </x:c>
      <x:c r="C735" t="str">
        <x:v>C_ControlMantenimiento</x:v>
      </x:c>
      <x:c r="D735" t="str">
        <x:v>C_ControlKilometraje</x:v>
      </x:c>
      <x:c r="E735" t="str">
        <x:v>presentación/navegación</x:v>
      </x:c>
      <x:c r="F735" t="n">
        <x:v>1</x:v>
      </x:c>
      <x:c r="G735" t="str">
        <x:v>RF24</x:v>
      </x:c>
      <x:c r="H735" t="str">
        <x:v>RF24!F76</x:v>
      </x:c>
    </x:row>
    <x:row r="736">
      <x:c r="A736" t="str">
        <x:v>solicitarLecturaReferenciaParaServicio</x:v>
      </x:c>
      <x:c r="B736" t="str">
        <x:v>id_vehiculo</x:v>
      </x:c>
      <x:c r="C736" t="str">
        <x:v>C_ControlMantenimiento</x:v>
      </x:c>
      <x:c r="D736" t="str">
        <x:v>C_ControlKilometraje</x:v>
      </x:c>
      <x:c r="E736" t="str">
        <x:v>presentación/navegación</x:v>
      </x:c>
      <x:c r="F736" t="n">
        <x:v>1</x:v>
      </x:c>
      <x:c r="G736" t="str">
        <x:v>RF24</x:v>
      </x:c>
      <x:c r="H736" t="str">
        <x:v>RF24!F44</x:v>
      </x:c>
    </x:row>
    <x:row r="737">
      <x:c r="A737" t="str">
        <x:v>solicitarTratamientoLecturaAsociadaSiExiste</x:v>
      </x:c>
      <x:c r="B737" t="str">
        <x:v>id_mantenimiento,id_vehiculo,id_kilometraje_o_nulo,origen_km</x:v>
      </x:c>
      <x:c r="C737" t="str">
        <x:v>C_ControlMantenimiento</x:v>
      </x:c>
      <x:c r="D737" t="str">
        <x:v>C_ControlKilometraje</x:v>
      </x:c>
      <x:c r="E737" t="str">
        <x:v>presentación/navegación</x:v>
      </x:c>
      <x:c r="F737" t="n">
        <x:v>1</x:v>
      </x:c>
      <x:c r="G737" t="str">
        <x:v>RF21</x:v>
      </x:c>
      <x:c r="H737" t="str">
        <x:v>RF21!F26</x:v>
      </x:c>
    </x:row>
    <x:row r="738">
      <x:c r="A738" t="str">
        <x:v>solicitarUltimoKilometraje</x:v>
      </x:c>
      <x:c r="B738" t="str">
        <x:v>id_vehiculo</x:v>
      </x:c>
      <x:c r="C738" t="str">
        <x:v>C_ControlMantenimiento</x:v>
      </x:c>
      <x:c r="D738" t="str">
        <x:v>C_ControlKilometraje</x:v>
      </x:c>
      <x:c r="E738" t="str">
        <x:v>presentación/navegación</x:v>
      </x:c>
      <x:c r="F738" t="n">
        <x:v>1</x:v>
      </x:c>
      <x:c r="G738" t="str">
        <x:v>RF17</x:v>
      </x:c>
      <x:c r="H738" t="str">
        <x:v>RF17!F30</x:v>
      </x:c>
    </x:row>
    <x:row r="739">
      <x:c r="A739" t="str">
        <x:v>confirmarAnulacionCoordinada</x:v>
      </x:c>
      <x:c r="B739" t="str">
        <x:v>id_mantenimiento,resultado_lectura,resultado_km,resultado_alertas</x:v>
      </x:c>
      <x:c r="C739" t="str">
        <x:v>C_ControlMantenimiento</x:v>
      </x:c>
      <x:c r="D739" t="str">
        <x:v>C_ControlMantenimiento</x:v>
      </x:c>
      <x:c r="E739" t="str">
        <x:v>otra</x:v>
      </x:c>
      <x:c r="F739" t="n">
        <x:v>1</x:v>
      </x:c>
      <x:c r="G739" t="str">
        <x:v>RF21</x:v>
      </x:c>
      <x:c r="H739" t="str">
        <x:v>RF21!F39</x:v>
      </x:c>
    </x:row>
    <x:row r="740">
      <x:c r="A740" t="str">
        <x:v>confirmarRegistroAtomicoMantenimiento</x:v>
      </x:c>
      <x:c r="B740" t="str">
        <x:v>id_mantenimiento</x:v>
      </x:c>
      <x:c r="C740" t="str">
        <x:v>C_ControlMantenimiento</x:v>
      </x:c>
      <x:c r="D740" t="str">
        <x:v>C_ControlMantenimiento</x:v>
      </x:c>
      <x:c r="E740" t="str">
        <x:v>otra</x:v>
      </x:c>
      <x:c r="F740" t="n">
        <x:v>1</x:v>
      </x:c>
      <x:c r="G740" t="str">
        <x:v>RF17</x:v>
      </x:c>
      <x:c r="H740" t="str">
        <x:v>RF17!F83</x:v>
      </x:c>
    </x:row>
    <x:row r="741">
      <x:c r="A741" t="str">
        <x:v>continuarRegistroSinAlerta</x:v>
      </x:c>
      <x:c r="B741" t="str"/>
      <x:c r="C741" t="str">
        <x:v>C_ControlMantenimiento</x:v>
      </x:c>
      <x:c r="D741" t="str">
        <x:v>C_ControlMantenimiento</x:v>
      </x:c>
      <x:c r="E741" t="str">
        <x:v>otra</x:v>
      </x:c>
      <x:c r="F741" t="n">
        <x:v>1</x:v>
      </x:c>
      <x:c r="G741" t="str">
        <x:v>RF17</x:v>
      </x:c>
      <x:c r="H741" t="str">
        <x:v>RF17!F73</x:v>
      </x:c>
    </x:row>
    <x:row r="742">
      <x:c r="A742" t="str">
        <x:v>determinarCamposCondicionales</x:v>
      </x:c>
      <x:c r="B742" t="str">
        <x:v>id_tipo,tipo_aceite_registrado</x:v>
      </x:c>
      <x:c r="C742" t="str">
        <x:v>C_ControlMantenimiento</x:v>
      </x:c>
      <x:c r="D742" t="str">
        <x:v>C_ControlMantenimiento</x:v>
      </x:c>
      <x:c r="E742" t="str">
        <x:v>otra</x:v>
      </x:c>
      <x:c r="F742" t="n">
        <x:v>1</x:v>
      </x:c>
      <x:c r="G742" t="str">
        <x:v>RF17</x:v>
      </x:c>
      <x:c r="H742" t="str">
        <x:v>RF17!F44</x:v>
      </x:c>
    </x:row>
    <x:row r="743">
      <x:c r="A743" t="str">
        <x:v>iniciarAnulacionCoordinada</x:v>
      </x:c>
      <x:c r="B743" t="str">
        <x:v>id_mantenimiento,id_kilometraje_o_nulo,origen_km</x:v>
      </x:c>
      <x:c r="C743" t="str">
        <x:v>C_ControlMantenimiento</x:v>
      </x:c>
      <x:c r="D743" t="str">
        <x:v>C_ControlMantenimiento</x:v>
      </x:c>
      <x:c r="E743" t="str">
        <x:v>otra</x:v>
      </x:c>
      <x:c r="F743" t="n">
        <x:v>1</x:v>
      </x:c>
      <x:c r="G743" t="str">
        <x:v>RF21</x:v>
      </x:c>
      <x:c r="H743" t="str">
        <x:v>RF21!F25</x:v>
      </x:c>
    </x:row>
    <x:row r="744">
      <x:c r="A744" t="str">
        <x:v>iniciarRegistroAtomicoMantenimiento</x:v>
      </x:c>
      <x:c r="B744" t="str"/>
      <x:c r="C744" t="str">
        <x:v>C_ControlMantenimiento</x:v>
      </x:c>
      <x:c r="D744" t="str">
        <x:v>C_ControlMantenimiento</x:v>
      </x:c>
      <x:c r="E744" t="str">
        <x:v>otra</x:v>
      </x:c>
      <x:c r="F744" t="n">
        <x:v>1</x:v>
      </x:c>
      <x:c r="G744" t="str">
        <x:v>RF17</x:v>
      </x:c>
      <x:c r="H744" t="str">
        <x:v>RF17!F75</x:v>
      </x:c>
    </x:row>
    <x:row r="745">
      <x:c r="A745" t="str">
        <x:v>prepararCamposRF17SegunTipo</x:v>
      </x:c>
      <x:c r="B745" t="str">
        <x:v>id_tipo,tipo_aceite_registrado,servicio_otro_alerta_o_NULL</x:v>
      </x:c>
      <x:c r="C745" t="str">
        <x:v>C_ControlMantenimiento</x:v>
      </x:c>
      <x:c r="D745" t="str">
        <x:v>C_ControlMantenimiento</x:v>
      </x:c>
      <x:c r="E745" t="str">
        <x:v>otra</x:v>
      </x:c>
      <x:c r="F745" t="n">
        <x:v>1</x:v>
      </x:c>
      <x:c r="G745" t="str">
        <x:v>RF24</x:v>
      </x:c>
      <x:c r="H745" t="str">
        <x:v>RF24!F48</x:v>
      </x:c>
    </x:row>
    <x:row r="746">
      <x:c r="A746" t="str">
        <x:v>validarAnulacionCoordinadaListaParaConfirmar</x:v>
      </x:c>
      <x:c r="B746" t="str">
        <x:v>id_mantenimiento,resultado_lectura,resultado_km,resultado_alertas</x:v>
      </x:c>
      <x:c r="C746" t="str">
        <x:v>C_ControlMantenimiento</x:v>
      </x:c>
      <x:c r="D746" t="str">
        <x:v>C_ControlMantenimiento</x:v>
      </x:c>
      <x:c r="E746" t="str">
        <x:v>validación</x:v>
      </x:c>
      <x:c r="F746" t="n">
        <x:v>1</x:v>
      </x:c>
      <x:c r="G746" t="str">
        <x:v>RF21</x:v>
      </x:c>
      <x:c r="H746" t="str">
        <x:v>RF21!F38</x:v>
      </x:c>
    </x:row>
    <x:row r="747">
      <x:c r="A747" t="str">
        <x:v>validarCostoInformado</x:v>
      </x:c>
      <x:c r="B747" t="str">
        <x:v>costo</x:v>
      </x:c>
      <x:c r="C747" t="str">
        <x:v>C_ControlMantenimiento</x:v>
      </x:c>
      <x:c r="D747" t="str">
        <x:v>C_ControlMantenimiento</x:v>
      </x:c>
      <x:c r="E747" t="str">
        <x:v>validación</x:v>
      </x:c>
      <x:c r="F747" t="n">
        <x:v>1</x:v>
      </x:c>
      <x:c r="G747" t="str">
        <x:v>RF20</x:v>
      </x:c>
      <x:c r="H747" t="str">
        <x:v>RF20!F29</x:v>
      </x:c>
    </x:row>
    <x:row r="748">
      <x:c r="A748" t="str">
        <x:v>validarEstadoAnulable</x:v>
      </x:c>
      <x:c r="B748" t="str">
        <x:v>datos_mantenimiento.estado</x:v>
      </x:c>
      <x:c r="C748" t="str">
        <x:v>C_ControlMantenimiento</x:v>
      </x:c>
      <x:c r="D748" t="str">
        <x:v>C_ControlMantenimiento</x:v>
      </x:c>
      <x:c r="E748" t="str">
        <x:v>validación</x:v>
      </x:c>
      <x:c r="F748" t="n">
        <x:v>1</x:v>
      </x:c>
      <x:c r="G748" t="str">
        <x:v>RF21</x:v>
      </x:c>
      <x:c r="H748" t="str">
        <x:v>RF21!F9</x:v>
      </x:c>
    </x:row>
    <x:row r="749">
      <x:c r="A749" t="str">
        <x:v>validarEstadoEditable</x:v>
      </x:c>
      <x:c r="B749" t="str">
        <x:v>datos_mantenimiento.estado</x:v>
      </x:c>
      <x:c r="C749" t="str">
        <x:v>C_ControlMantenimiento</x:v>
      </x:c>
      <x:c r="D749" t="str">
        <x:v>C_ControlMantenimiento</x:v>
      </x:c>
      <x:c r="E749" t="str">
        <x:v>validación</x:v>
      </x:c>
      <x:c r="F749" t="n">
        <x:v>1</x:v>
      </x:c>
      <x:c r="G749" t="str">
        <x:v>RF20</x:v>
      </x:c>
      <x:c r="H749" t="str">
        <x:v>RF20!F9</x:v>
      </x:c>
    </x:row>
    <x:row r="750">
      <x:c r="A750" t="str">
        <x:v>validarSoloCamposEditables</x:v>
      </x:c>
      <x:c r="B750" t="str">
        <x:v>id_taller_nuevo,costo,observaciones</x:v>
      </x:c>
      <x:c r="C750" t="str">
        <x:v>C_ControlMantenimiento</x:v>
      </x:c>
      <x:c r="D750" t="str">
        <x:v>C_ControlMantenimiento</x:v>
      </x:c>
      <x:c r="E750" t="str">
        <x:v>validación</x:v>
      </x:c>
      <x:c r="F750" t="n">
        <x:v>1</x:v>
      </x:c>
      <x:c r="G750" t="str">
        <x:v>RF20</x:v>
      </x:c>
      <x:c r="H750" t="str">
        <x:v>RF20!F28</x:v>
      </x:c>
    </x:row>
    <x:row r="751">
      <x:c r="A751" t="str">
        <x:v>verificarAnulacionLogicaPreparada</x:v>
      </x:c>
      <x:c r="B751" t="str">
        <x:v>id_mantenimiento,resultado_lectura</x:v>
      </x:c>
      <x:c r="C751" t="str">
        <x:v>C_ControlMantenimiento</x:v>
      </x:c>
      <x:c r="D751" t="str">
        <x:v>C_ControlMantenimiento</x:v>
      </x:c>
      <x:c r="E751" t="str">
        <x:v>validación</x:v>
      </x:c>
      <x:c r="F751" t="n">
        <x:v>1</x:v>
      </x:c>
      <x:c r="G751" t="str">
        <x:v>RF21</x:v>
      </x:c>
      <x:c r="H751" t="str">
        <x:v>RF21!F32</x:v>
      </x:c>
    </x:row>
    <x:row r="752">
      <x:c r="A752" t="str">
        <x:v>verificarYFijarKilometrajeServicioCorrespondiente</x:v>
      </x:c>
      <x:c r="B752" t="str"/>
      <x:c r="C752" t="str">
        <x:v>C_ControlMantenimiento</x:v>
      </x:c>
      <x:c r="D752" t="str">
        <x:v>C_ControlMantenimiento</x:v>
      </x:c>
      <x:c r="E752" t="str">
        <x:v>validación</x:v>
      </x:c>
      <x:c r="F752" t="n">
        <x:v>1</x:v>
      </x:c>
      <x:c r="G752" t="str">
        <x:v>RF17</x:v>
      </x:c>
      <x:c r="H752" t="str">
        <x:v>RF17!F80</x:v>
      </x:c>
    </x:row>
    <x:row r="753">
      <x:c r="A753" t="str">
        <x:v>verificarYFijarKilometrajeServicioSnapshot</x:v>
      </x:c>
      <x:c r="B753" t="str">
        <x:v>fecha_mantenimiento,referencia_km,lecturas_pertinentes</x:v>
      </x:c>
      <x:c r="C753" t="str">
        <x:v>C_ControlMantenimiento</x:v>
      </x:c>
      <x:c r="D753" t="str">
        <x:v>C_ControlMantenimiento</x:v>
      </x:c>
      <x:c r="E753" t="str">
        <x:v>validación</x:v>
      </x:c>
      <x:c r="F753" t="n">
        <x:v>1</x:v>
      </x:c>
      <x:c r="G753" t="str">
        <x:v>RF24</x:v>
      </x:c>
      <x:c r="H753" t="str">
        <x:v>RF24!F80</x:v>
      </x:c>
    </x:row>
    <x:row r="754">
      <x:c r="A754" t="str">
        <x:v>solicitarRepuestosMantenimientoSoloLectura</x:v>
      </x:c>
      <x:c r="B754" t="str">
        <x:v>id_mantenimiento</x:v>
      </x:c>
      <x:c r="C754" t="str">
        <x:v>C_ControlMantenimiento</x:v>
      </x:c>
      <x:c r="D754" t="str">
        <x:v>C_ControlRepuesto</x:v>
      </x:c>
      <x:c r="E754" t="str">
        <x:v>presentación/navegación</x:v>
      </x:c>
      <x:c r="F754" t="n">
        <x:v>1</x:v>
      </x:c>
      <x:c r="G754" t="str">
        <x:v>RF20</x:v>
      </x:c>
      <x:c r="H754" t="str">
        <x:v>RF20!F15</x:v>
      </x:c>
    </x:row>
    <x:row r="755">
      <x:c r="A755" t="str">
        <x:v>solicitarTalleresActivosOrdenados</x:v>
      </x:c>
      <x:c r="B755" t="str">
        <x:v>id_usuario</x:v>
      </x:c>
      <x:c r="C755" t="str">
        <x:v>C_ControlMantenimiento</x:v>
      </x:c>
      <x:c r="D755" t="str">
        <x:v>C_ControlTaller</x:v>
      </x:c>
      <x:c r="E755" t="str">
        <x:v>presentación/navegación</x:v>
      </x:c>
      <x:c r="F755" t="n">
        <x:v>2</x:v>
      </x:c>
      <x:c r="G755" t="str">
        <x:v>RF17, RF24</x:v>
      </x:c>
      <x:c r="H755" t="str">
        <x:v>RF17!F34</x:v>
      </x:c>
    </x:row>
    <x:row r="756">
      <x:c r="A756" t="str">
        <x:v>solicitarTalleresParaEdicion</x:v>
      </x:c>
      <x:c r="B756" t="str">
        <x:v>id_usuario,datos_mantenimiento.id_taller</x:v>
      </x:c>
      <x:c r="C756" t="str">
        <x:v>C_ControlMantenimiento</x:v>
      </x:c>
      <x:c r="D756" t="str">
        <x:v>C_ControlTaller</x:v>
      </x:c>
      <x:c r="E756" t="str">
        <x:v>presentación/navegación</x:v>
      </x:c>
      <x:c r="F756" t="n">
        <x:v>1</x:v>
      </x:c>
      <x:c r="G756" t="str">
        <x:v>RF20</x:v>
      </x:c>
      <x:c r="H756" t="str">
        <x:v>RF20!F19</x:v>
      </x:c>
    </x:row>
    <x:row r="757">
      <x:c r="A757" t="str">
        <x:v>validarNuevoTallerSeleccionado</x:v>
      </x:c>
      <x:c r="B757" t="str">
        <x:v>id_usuario,id_taller_original,id_taller_nuevo</x:v>
      </x:c>
      <x:c r="C757" t="str">
        <x:v>C_ControlMantenimiento</x:v>
      </x:c>
      <x:c r="D757" t="str">
        <x:v>C_ControlTaller</x:v>
      </x:c>
      <x:c r="E757" t="str">
        <x:v>validación</x:v>
      </x:c>
      <x:c r="F757" t="n">
        <x:v>1</x:v>
      </x:c>
      <x:c r="G757" t="str">
        <x:v>RF20</x:v>
      </x:c>
      <x:c r="H757" t="str">
        <x:v>RF20!F30</x:v>
      </x:c>
    </x:row>
    <x:row r="758">
      <x:c r="A758" t="str">
        <x:v>validarTallerSeleccionadoSiCorresponde</x:v>
      </x:c>
      <x:c r="B758" t="str">
        <x:v>id_usuario,id_taller</x:v>
      </x:c>
      <x:c r="C758" t="str">
        <x:v>C_ControlMantenimiento</x:v>
      </x:c>
      <x:c r="D758" t="str">
        <x:v>C_ControlTaller</x:v>
      </x:c>
      <x:c r="E758" t="str">
        <x:v>validación</x:v>
      </x:c>
      <x:c r="F758" t="n">
        <x:v>2</x:v>
      </x:c>
      <x:c r="G758" t="str">
        <x:v>RF17, RF24</x:v>
      </x:c>
      <x:c r="H758" t="str">
        <x:v>RF17!F64</x:v>
      </x:c>
    </x:row>
    <x:row r="759">
      <x:c r="A759" t="str">
        <x:v>solicitarTiposMantenimientoActivos</x:v>
      </x:c>
      <x:c r="B759" t="str"/>
      <x:c r="C759" t="str">
        <x:v>C_ControlMantenimiento</x:v>
      </x:c>
      <x:c r="D759" t="str">
        <x:v>C_ControlTipoMantenimiento</x:v>
      </x:c>
      <x:c r="E759" t="str">
        <x:v>presentación/navegación</x:v>
      </x:c>
      <x:c r="F759" t="n">
        <x:v>1</x:v>
      </x:c>
      <x:c r="G759" t="str">
        <x:v>RF17</x:v>
      </x:c>
      <x:c r="H759" t="str">
        <x:v>RF17!F25</x:v>
      </x:c>
    </x:row>
    <x:row r="760">
      <x:c r="A760" t="str">
        <x:v>revalidarVehiculoActivoUsuario</x:v>
      </x:c>
      <x:c r="B760" t="str">
        <x:v>id_usuario,id_vehiculo</x:v>
      </x:c>
      <x:c r="C760" t="str">
        <x:v>C_ControlMantenimiento</x:v>
      </x:c>
      <x:c r="D760" t="str">
        <x:v>C_ControlVehiculo</x:v>
      </x:c>
      <x:c r="E760" t="str">
        <x:v>validación</x:v>
      </x:c>
      <x:c r="F760" t="n">
        <x:v>5</x:v>
      </x:c>
      <x:c r="G760" t="str">
        <x:v>RF17, RF20, RF21, RF24</x:v>
      </x:c>
      <x:c r="H760" t="str">
        <x:v>RF17!F60</x:v>
      </x:c>
    </x:row>
    <x:row r="761">
      <x:c r="A761" t="str">
        <x:v>validarVehiculoActivoUsuario</x:v>
      </x:c>
      <x:c r="B761" t="str">
        <x:v>id_usuario,datos_mantenimiento.id_vehiculo</x:v>
      </x:c>
      <x:c r="C761" t="str">
        <x:v>C_ControlMantenimiento</x:v>
      </x:c>
      <x:c r="D761" t="str">
        <x:v>C_ControlVehiculo</x:v>
      </x:c>
      <x:c r="E761" t="str">
        <x:v>validación</x:v>
      </x:c>
      <x:c r="F761" t="n">
        <x:v>2</x:v>
      </x:c>
      <x:c r="G761" t="str">
        <x:v>RF20, RF21</x:v>
      </x:c>
      <x:c r="H761" t="str">
        <x:v>RF20!F10</x:v>
      </x:c>
    </x:row>
    <x:row r="762">
      <x:c r="A762" t="str">
        <x:v>validarVehiculoSeleccionado</x:v>
      </x:c>
      <x:c r="B762" t="str">
        <x:v>id_usuario,id_vehiculo</x:v>
      </x:c>
      <x:c r="C762" t="str">
        <x:v>C_ControlMantenimiento</x:v>
      </x:c>
      <x:c r="D762" t="str">
        <x:v>C_ControlVehiculo</x:v>
      </x:c>
      <x:c r="E762" t="str">
        <x:v>validación</x:v>
      </x:c>
      <x:c r="F762" t="n">
        <x:v>1</x:v>
      </x:c>
      <x:c r="G762" t="str">
        <x:v>RF17</x:v>
      </x:c>
      <x:c r="H762" t="str">
        <x:v>RF17!F21</x:v>
      </x:c>
    </x:row>
    <x:row r="763">
      <x:c r="A763" t="str">
        <x:v>validarDatosRegistro</x:v>
      </x:c>
      <x:c r="B763" t="str">
        <x:v>datos_mantenimiento,lista_tipos_registrables,km_servicio_validado,fecha_lectura_o_contexto</x:v>
      </x:c>
      <x:c r="C763" t="str">
        <x:v>C_ControlMantenimiento</x:v>
      </x:c>
      <x:c r="D763" t="str">
        <x:v>C_ValidacionMantenimiento</x:v>
      </x:c>
      <x:c r="E763" t="str">
        <x:v>validación</x:v>
      </x:c>
      <x:c r="F763" t="n">
        <x:v>1</x:v>
      </x:c>
      <x:c r="G763" t="str">
        <x:v>RF17</x:v>
      </x:c>
      <x:c r="H763" t="str">
        <x:v>RF17!F51</x:v>
      </x:c>
    </x:row>
    <x:row r="764">
      <x:c r="A764" t="str">
        <x:v>validarDatosRegistroDesdeAlerta</x:v>
      </x:c>
      <x:c r="B764" t="str">
        <x:v>datos_mantenimiento,contexto_alerta,referencia_km_servicio</x:v>
      </x:c>
      <x:c r="C764" t="str">
        <x:v>C_ControlMantenimiento</x:v>
      </x:c>
      <x:c r="D764" t="str">
        <x:v>C_ValidacionMantenimiento</x:v>
      </x:c>
      <x:c r="E764" t="str">
        <x:v>validación</x:v>
      </x:c>
      <x:c r="F764" t="n">
        <x:v>1</x:v>
      </x:c>
      <x:c r="G764" t="str">
        <x:v>RF24</x:v>
      </x:c>
      <x:c r="H764" t="str">
        <x:v>RF24!F55</x:v>
      </x:c>
    </x:row>
    <x:row r="765">
      <x:c r="A765" t="str">
        <x:v>actualizarDatosComplementariosSiRealizado</x:v>
      </x:c>
      <x:c r="B765" t="str">
        <x:v>id_mantenimiento,id_taller_nuevo,costo,observaciones</x:v>
      </x:c>
      <x:c r="C765" t="str">
        <x:v>C_ControlMantenimiento</x:v>
      </x:c>
      <x:c r="D765" t="str">
        <x:v>E_Mantenimiento</x:v>
      </x:c>
      <x:c r="E765" t="str">
        <x:v>escritura</x:v>
      </x:c>
      <x:c r="F765" t="n">
        <x:v>1</x:v>
      </x:c>
      <x:c r="G765" t="str">
        <x:v>RF20</x:v>
      </x:c>
      <x:c r="H765" t="str">
        <x:v>RF20!F39</x:v>
      </x:c>
    </x:row>
    <x:row r="766">
      <x:c r="A766" t="str">
        <x:v>actualizarEstadoSiRealizado</x:v>
      </x:c>
      <x:c r="B766" t="str">
        <x:v>id_mantenimiento,REALIZADO,ANULADO</x:v>
      </x:c>
      <x:c r="C766" t="str">
        <x:v>C_ControlMantenimiento</x:v>
      </x:c>
      <x:c r="D766" t="str">
        <x:v>E_Mantenimiento</x:v>
      </x:c>
      <x:c r="E766" t="str">
        <x:v>escritura</x:v>
      </x:c>
      <x:c r="F766" t="n">
        <x:v>1</x:v>
      </x:c>
      <x:c r="G766" t="str">
        <x:v>RF21</x:v>
      </x:c>
      <x:c r="H766" t="str">
        <x:v>RF21!F30</x:v>
      </x:c>
    </x:row>
    <x:row r="767">
      <x:c r="A767" t="str">
        <x:v>consultarAntecedentesRealizadosSegunTipo</x:v>
      </x:c>
      <x:c r="B767" t="str">
        <x:v>id_usuario,id_vehiculo,id_tipo_mantenimiento</x:v>
      </x:c>
      <x:c r="C767" t="str">
        <x:v>C_ControlMantenimiento</x:v>
      </x:c>
      <x:c r="D767" t="str">
        <x:v>E_Mantenimiento</x:v>
      </x:c>
      <x:c r="E767" t="str">
        <x:v>consulta</x:v>
      </x:c>
      <x:c r="F767" t="n">
        <x:v>1</x:v>
      </x:c>
      <x:c r="G767" t="str">
        <x:v>RF22</x:v>
      </x:c>
      <x:c r="H767" t="str">
        <x:v>RF22!F32</x:v>
      </x:c>
    </x:row>
    <x:row r="768">
      <x:c r="A768" t="str">
        <x:v>consultarMantenimientoAnulableUsuario</x:v>
      </x:c>
      <x:c r="B768" t="str">
        <x:v>id_usuario,id_mantenimiento</x:v>
      </x:c>
      <x:c r="C768" t="str">
        <x:v>C_ControlMantenimiento</x:v>
      </x:c>
      <x:c r="D768" t="str">
        <x:v>E_Mantenimiento</x:v>
      </x:c>
      <x:c r="E768" t="str">
        <x:v>consulta</x:v>
      </x:c>
      <x:c r="F768" t="n">
        <x:v>1</x:v>
      </x:c>
      <x:c r="G768" t="str">
        <x:v>RF21</x:v>
      </x:c>
      <x:c r="H768" t="str">
        <x:v>RF21!F7</x:v>
      </x:c>
    </x:row>
    <x:row r="769">
      <x:c r="A769" t="str">
        <x:v>consultarMantenimientoEditableUsuario</x:v>
      </x:c>
      <x:c r="B769" t="str">
        <x:v>id_usuario,id_mantenimiento</x:v>
      </x:c>
      <x:c r="C769" t="str">
        <x:v>C_ControlMantenimiento</x:v>
      </x:c>
      <x:c r="D769" t="str">
        <x:v>E_Mantenimiento</x:v>
      </x:c>
      <x:c r="E769" t="str">
        <x:v>consulta</x:v>
      </x:c>
      <x:c r="F769" t="n">
        <x:v>1</x:v>
      </x:c>
      <x:c r="G769" t="str">
        <x:v>RF20</x:v>
      </x:c>
      <x:c r="H769" t="str">
        <x:v>RF20!F7</x:v>
      </x:c>
    </x:row>
    <x:row r="770">
      <x:c r="A770" t="str">
        <x:v>consultarUltimoRealizadoSegunTipoYServicio</x:v>
      </x:c>
      <x:c r="B770" t="str">
        <x:v>id_usuario,id_vehiculo,id_tipo_mantenimiento,servicio_otro_o_NULL,seleccion_sugerencia</x:v>
      </x:c>
      <x:c r="C770" t="str">
        <x:v>C_ControlMantenimiento</x:v>
      </x:c>
      <x:c r="D770" t="str">
        <x:v>E_Mantenimiento</x:v>
      </x:c>
      <x:c r="E770" t="str">
        <x:v>consulta</x:v>
      </x:c>
      <x:c r="F770" t="n">
        <x:v>1</x:v>
      </x:c>
      <x:c r="G770" t="str">
        <x:v>RF22</x:v>
      </x:c>
      <x:c r="H770" t="str">
        <x:v>RF22!F82</x:v>
      </x:c>
    </x:row>
    <x:row r="771">
      <x:c r="A771" t="str">
        <x:v>consultarUltimoRealizadoServicioOtro</x:v>
      </x:c>
      <x:c r="B771" t="str">
        <x:v>id_usuario,id_vehiculo,nombre_elegido_normalizado</x:v>
      </x:c>
      <x:c r="C771" t="str">
        <x:v>C_ControlMantenimiento</x:v>
      </x:c>
      <x:c r="D771" t="str">
        <x:v>E_Mantenimiento</x:v>
      </x:c>
      <x:c r="E771" t="str">
        <x:v>consulta</x:v>
      </x:c>
      <x:c r="F771" t="n">
        <x:v>1</x:v>
      </x:c>
      <x:c r="G771" t="str">
        <x:v>RF22</x:v>
      </x:c>
      <x:c r="H771" t="str">
        <x:v>RF22!F52</x:v>
      </x:c>
    </x:row>
    <x:row r="772">
      <x:c r="A772" t="str">
        <x:v>guardarMantenimiento</x:v>
      </x:c>
      <x:c r="B772" t="str">
        <x:v>datos_mantenimiento,id_kilometraje_o_nulo,kilometraje_servicio,origen_km,id_taller,REALIZADO</x:v>
      </x:c>
      <x:c r="C772" t="str">
        <x:v>C_ControlMantenimiento</x:v>
      </x:c>
      <x:c r="D772" t="str">
        <x:v>E_Mantenimiento</x:v>
      </x:c>
      <x:c r="E772" t="str">
        <x:v>otra</x:v>
      </x:c>
      <x:c r="F772" t="n">
        <x:v>2</x:v>
      </x:c>
      <x:c r="G772" t="str">
        <x:v>RF17, RF24</x:v>
      </x:c>
      <x:c r="H772" t="str">
        <x:v>RF17!F81</x:v>
      </x:c>
    </x:row>
    <x:row r="773">
      <x:c r="A773" t="str">
        <x:v>mostrarConfirmacionAnulacion</x:v>
      </x:c>
      <x:c r="B773" t="str">
        <x:v>datos_mantenimiento</x:v>
      </x:c>
      <x:c r="C773" t="str">
        <x:v>C_ControlMantenimiento</x:v>
      </x:c>
      <x:c r="D773" t="str">
        <x:v>I_AnulacionMantenimiento</x:v>
      </x:c>
      <x:c r="E773" t="str">
        <x:v>presentación/navegación</x:v>
      </x:c>
      <x:c r="F773" t="n">
        <x:v>1</x:v>
      </x:c>
      <x:c r="G773" t="str">
        <x:v>RF21</x:v>
      </x:c>
      <x:c r="H773" t="str">
        <x:v>RF21!F15</x:v>
      </x:c>
    </x:row>
    <x:row r="774">
      <x:c r="A774" t="str">
        <x:v>mostrarOperacionExitosa</x:v>
      </x:c>
      <x:c r="B774" t="str">
        <x:v>'Mantenimiento actualizado correctamente'</x:v>
      </x:c>
      <x:c r="C774" t="str">
        <x:v>C_ControlMantenimiento</x:v>
      </x:c>
      <x:c r="D774" t="str">
        <x:v>I_ConfirmacionOperacion</x:v>
      </x:c>
      <x:c r="E774" t="str">
        <x:v>presentación/navegación</x:v>
      </x:c>
      <x:c r="F774" t="n">
        <x:v>1</x:v>
      </x:c>
      <x:c r="G774" t="str">
        <x:v>RF20</x:v>
      </x:c>
      <x:c r="H774" t="str">
        <x:v>RF20!F42</x:v>
      </x:c>
    </x:row>
    <x:row r="775">
      <x:c r="A775" t="str">
        <x:v>mostrarRegistroMantenimientoExitoso</x:v>
      </x:c>
      <x:c r="B775" t="str">
        <x:v>datos_mantenimiento</x:v>
      </x:c>
      <x:c r="C775" t="str">
        <x:v>C_ControlMantenimiento</x:v>
      </x:c>
      <x:c r="D775" t="str">
        <x:v>I_ConfirmacionRegistroMantenimiento</x:v>
      </x:c>
      <x:c r="E775" t="str">
        <x:v>presentación/navegación</x:v>
      </x:c>
      <x:c r="F775" t="n">
        <x:v>1</x:v>
      </x:c>
      <x:c r="G775" t="str">
        <x:v>RF17</x:v>
      </x:c>
      <x:c r="H775" t="str">
        <x:v>RF17!F85</x:v>
      </x:c>
    </x:row>
    <x:row r="776">
      <x:c r="A776" t="str">
        <x:v>mostrarFormularioEdicion</x:v>
      </x:c>
      <x:c r="B776" t="str">
        <x:v>datos_mantenimiento,datos_vehiculo,lista_talleres,lista_repuestos_detalle</x:v>
      </x:c>
      <x:c r="C776" t="str">
        <x:v>C_ControlMantenimiento</x:v>
      </x:c>
      <x:c r="D776" t="str">
        <x:v>I_EditarMantenimiento</x:v>
      </x:c>
      <x:c r="E776" t="str">
        <x:v>presentación/navegación</x:v>
      </x:c>
      <x:c r="F776" t="n">
        <x:v>1</x:v>
      </x:c>
      <x:c r="G776" t="str">
        <x:v>RF20</x:v>
      </x:c>
      <x:c r="H776" t="str">
        <x:v>RF20!F23</x:v>
      </x:c>
    </x:row>
    <x:row r="777">
      <x:c r="A777" t="str">
        <x:v>mostrarCamposCondicionales</x:v>
      </x:c>
      <x:c r="B777" t="str">
        <x:v>datos_campos</x:v>
      </x:c>
      <x:c r="C777" t="str">
        <x:v>C_ControlMantenimiento</x:v>
      </x:c>
      <x:c r="D777" t="str">
        <x:v>I_RegistroMantenimiento</x:v>
      </x:c>
      <x:c r="E777" t="str">
        <x:v>presentación/navegación</x:v>
      </x:c>
      <x:c r="F777" t="n">
        <x:v>1</x:v>
      </x:c>
      <x:c r="G777" t="str">
        <x:v>RF17</x:v>
      </x:c>
      <x:c r="H777" t="str">
        <x:v>RF17!F45</x:v>
      </x:c>
    </x:row>
    <x:row r="778">
      <x:c r="A778" t="str">
        <x:v>mostrarDecisionConversionAlerta</x:v>
      </x:c>
      <x:c r="B778" t="str"/>
      <x:c r="C778" t="str">
        <x:v>C_ControlMantenimiento</x:v>
      </x:c>
      <x:c r="D778" t="str">
        <x:v>I_RegistroMantenimiento</x:v>
      </x:c>
      <x:c r="E778" t="str">
        <x:v>presentación/navegación</x:v>
      </x:c>
      <x:c r="F778" t="n">
        <x:v>1</x:v>
      </x:c>
      <x:c r="G778" t="str">
        <x:v>RF17</x:v>
      </x:c>
      <x:c r="H778" t="str">
        <x:v>RF17!F69</x:v>
      </x:c>
    </x:row>
    <x:row r="779">
      <x:c r="A779" t="str">
        <x:v>mostrarFormularioDesdeAlerta</x:v>
      </x:c>
      <x:c r="B779" t="str">
        <x:v>id_alerta,datos_vehiculo,tipo_mantenimiento,servicio_otro_alerta_o_NULL,km_referencia,fecha_lectura,lista_talleres,campos_RF17,DESDE_ALERTA</x:v>
      </x:c>
      <x:c r="C779" t="str">
        <x:v>C_ControlMantenimiento</x:v>
      </x:c>
      <x:c r="D779" t="str">
        <x:v>I_RegistroMantenimiento</x:v>
      </x:c>
      <x:c r="E779" t="str">
        <x:v>presentación/navegación</x:v>
      </x:c>
      <x:c r="F779" t="n">
        <x:v>1</x:v>
      </x:c>
      <x:c r="G779" t="str">
        <x:v>RF24</x:v>
      </x:c>
      <x:c r="H779" t="str">
        <x:v>RF24!F49</x:v>
      </x:c>
    </x:row>
    <x:row r="780">
      <x:c r="A780" t="str">
        <x:v>mostrarFormularioRegistro</x:v>
      </x:c>
      <x:c r="B780" t="str">
        <x:v>datos_vehiculo,lista_tipos_activos,kilometraje_servicio,fecha_lectura,lista_talleres,tipo_aceite_registrado</x:v>
      </x:c>
      <x:c r="C780" t="str">
        <x:v>C_ControlMantenimiento</x:v>
      </x:c>
      <x:c r="D780" t="str">
        <x:v>I_RegistroMantenimiento</x:v>
      </x:c>
      <x:c r="E780" t="str">
        <x:v>presentación/navegación</x:v>
      </x:c>
      <x:c r="F780" t="n">
        <x:v>1</x:v>
      </x:c>
      <x:c r="G780" t="str">
        <x:v>RF17</x:v>
      </x:c>
      <x:c r="H780" t="str">
        <x:v>RF17!F39</x:v>
      </x:c>
    </x:row>
    <x:row r="781">
      <x:c r="A781" t="str">
        <x:v>retornarActualizacionNotificacion</x:v>
      </x:c>
      <x:c r="B781" t="str">
        <x:v>datos_notificacion</x:v>
      </x:c>
      <x:c r="C781" t="str">
        <x:v>C_ControlNotificacion</x:v>
      </x:c>
      <x:c r="D781" t="str">
        <x:v>C_ControlAlerta</x:v>
      </x:c>
      <x:c r="E781" t="str">
        <x:v>retorno</x:v>
      </x:c>
      <x:c r="F781" t="n">
        <x:v>1</x:v>
      </x:c>
      <x:c r="G781" t="str">
        <x:v>RF24</x:v>
      </x:c>
      <x:c r="H781" t="str">
        <x:v>RF24!F92</x:v>
      </x:c>
    </x:row>
    <x:row r="782">
      <x:c r="A782" t="str">
        <x:v>retornarAtencionNotificacion</x:v>
      </x:c>
      <x:c r="B782" t="str">
        <x:v>datosNotificacion</x:v>
      </x:c>
      <x:c r="C782" t="str">
        <x:v>C_ControlNotificacion</x:v>
      </x:c>
      <x:c r="D782" t="str">
        <x:v>C_ControlAlerta</x:v>
      </x:c>
      <x:c r="E782" t="str">
        <x:v>retorno</x:v>
      </x:c>
      <x:c r="F782" t="n">
        <x:v>1</x:v>
      </x:c>
      <x:c r="G782" t="str">
        <x:v>RF32</x:v>
      </x:c>
      <x:c r="H782" t="str">
        <x:v>RF032-EF1!F73</x:v>
      </x:c>
    </x:row>
    <x:row r="783">
      <x:c r="A783" t="str">
        <x:v>retornarSincronizacionAutomatica</x:v>
      </x:c>
      <x:c r="B783" t="str">
        <x:v>resultadoNotificaciones</x:v>
      </x:c>
      <x:c r="C783" t="str">
        <x:v>C_ControlNotificacion</x:v>
      </x:c>
      <x:c r="D783" t="str">
        <x:v>C_ControlAlerta</x:v>
      </x:c>
      <x:c r="E783" t="str">
        <x:v>retorno</x:v>
      </x:c>
      <x:c r="F783" t="n">
        <x:v>1</x:v>
      </x:c>
      <x:c r="G783" t="str">
        <x:v>RF23</x:v>
      </x:c>
      <x:c r="H783" t="str">
        <x:v>RF23!F81</x:v>
      </x:c>
    </x:row>
    <x:row r="784">
      <x:c r="A784" t="str">
        <x:v>retornarSincronizacionEnvios</x:v>
      </x:c>
      <x:c r="B784" t="str"/>
      <x:c r="C784" t="str">
        <x:v>C_ControlNotificacion</x:v>
      </x:c>
      <x:c r="D784" t="str">
        <x:v>C_ControlAlerta</x:v>
      </x:c>
      <x:c r="E784" t="str">
        <x:v>retorno</x:v>
      </x:c>
      <x:c r="F784" t="n">
        <x:v>1</x:v>
      </x:c>
      <x:c r="G784" t="str">
        <x:v>RF12</x:v>
      </x:c>
      <x:c r="H784" t="str">
        <x:v>RF012-EF1!F46</x:v>
      </x:c>
    </x:row>
    <x:row r="785">
      <x:c r="A785" t="str">
        <x:v>retornarSincronizacionNotificacion</x:v>
      </x:c>
      <x:c r="B785" t="str">
        <x:v>datosNotificacion</x:v>
      </x:c>
      <x:c r="C785" t="str">
        <x:v>C_ControlNotificacion</x:v>
      </x:c>
      <x:c r="D785" t="str">
        <x:v>C_ControlAlerta</x:v>
      </x:c>
      <x:c r="E785" t="str">
        <x:v>retorno</x:v>
      </x:c>
      <x:c r="F785" t="n">
        <x:v>3</x:v>
      </x:c>
      <x:c r="G785" t="str">
        <x:v>RF31, RF32, RF33</x:v>
      </x:c>
      <x:c r="H785" t="str">
        <x:v>RF031-EF1!F49</x:v>
      </x:c>
    </x:row>
    <x:row r="786">
      <x:c r="A786" t="str">
        <x:v>retornarSincronizacionNotificacion</x:v>
      </x:c>
      <x:c r="B786" t="str">
        <x:v>datosNotificacionNueva</x:v>
      </x:c>
      <x:c r="C786" t="str">
        <x:v>C_ControlNotificacion</x:v>
      </x:c>
      <x:c r="D786" t="str">
        <x:v>C_ControlAlerta</x:v>
      </x:c>
      <x:c r="E786" t="str">
        <x:v>retorno</x:v>
      </x:c>
      <x:c r="F786" t="n">
        <x:v>1</x:v>
      </x:c>
      <x:c r="G786" t="str">
        <x:v>RF32</x:v>
      </x:c>
      <x:c r="H786" t="str">
        <x:v>RF032-EF1!F81</x:v>
      </x:c>
    </x:row>
    <x:row r="787">
      <x:c r="A787" t="str">
        <x:v>retornarSincronizacionNotificacion</x:v>
      </x:c>
      <x:c r="B787" t="str">
        <x:v>datos_notificacion</x:v>
      </x:c>
      <x:c r="C787" t="str">
        <x:v>C_ControlNotificacion</x:v>
      </x:c>
      <x:c r="D787" t="str">
        <x:v>C_ControlAlerta</x:v>
      </x:c>
      <x:c r="E787" t="str">
        <x:v>retorno</x:v>
      </x:c>
      <x:c r="F787" t="n">
        <x:v>1</x:v>
      </x:c>
      <x:c r="G787" t="str">
        <x:v>RF24</x:v>
      </x:c>
      <x:c r="H787" t="str">
        <x:v>RF24!F28</x:v>
      </x:c>
    </x:row>
    <x:row r="788">
      <x:c r="A788" t="str">
        <x:v>retornarSincronizacionNotificacion</x:v>
      </x:c>
      <x:c r="B788" t="str">
        <x:v>resultado_notificacion</x:v>
      </x:c>
      <x:c r="C788" t="str">
        <x:v>C_ControlNotificacion</x:v>
      </x:c>
      <x:c r="D788" t="str">
        <x:v>C_ControlAlerta</x:v>
      </x:c>
      <x:c r="E788" t="str">
        <x:v>retorno</x:v>
      </x:c>
      <x:c r="F788" t="n">
        <x:v>1</x:v>
      </x:c>
      <x:c r="G788" t="str">
        <x:v>RF22</x:v>
      </x:c>
      <x:c r="H788" t="str">
        <x:v>RF22!F101</x:v>
      </x:c>
    </x:row>
    <x:row r="789">
      <x:c r="A789" t="str">
        <x:v>retornarSincronizacionNotificaciones</x:v>
      </x:c>
      <x:c r="B789" t="str">
        <x:v>resultadoNotificaciones</x:v>
      </x:c>
      <x:c r="C789" t="str">
        <x:v>C_ControlNotificacion</x:v>
      </x:c>
      <x:c r="D789" t="str">
        <x:v>C_ControlAlerta</x:v>
      </x:c>
      <x:c r="E789" t="str">
        <x:v>retorno</x:v>
      </x:c>
      <x:c r="F789" t="n">
        <x:v>2</x:v>
      </x:c>
      <x:c r="G789" t="str">
        <x:v>RF23, RF50</x:v>
      </x:c>
      <x:c r="H789" t="str">
        <x:v>RF23!F41</x:v>
      </x:c>
    </x:row>
    <x:row r="790">
      <x:c r="A790" t="str">
        <x:v>retornarSuspensionNotificacionSOAT</x:v>
      </x:c>
      <x:c r="B790" t="str"/>
      <x:c r="C790" t="str">
        <x:v>C_ControlNotificacion</x:v>
      </x:c>
      <x:c r="D790" t="str">
        <x:v>C_ControlAlerta</x:v>
      </x:c>
      <x:c r="E790" t="str">
        <x:v>retorno</x:v>
      </x:c>
      <x:c r="F790" t="n">
        <x:v>1</x:v>
      </x:c>
      <x:c r="G790" t="str">
        <x:v>RF33</x:v>
      </x:c>
      <x:c r="H790" t="str">
        <x:v>RF033-EF1!F58</x:v>
      </x:c>
    </x:row>
    <x:row r="791">
      <x:c r="A791" t="str">
        <x:v>solicitarDetalleDestinoMantenimiento</x:v>
      </x:c>
      <x:c r="B791" t="str">
        <x:v>idUsuario,idAlerta</x:v>
      </x:c>
      <x:c r="C791" t="str">
        <x:v>C_ControlNotificacion</x:v>
      </x:c>
      <x:c r="D791" t="str">
        <x:v>C_ControlAlerta</x:v>
      </x:c>
      <x:c r="E791" t="str">
        <x:v>presentación/navegación</x:v>
      </x:c>
      <x:c r="F791" t="n">
        <x:v>1</x:v>
      </x:c>
      <x:c r="G791" t="str">
        <x:v>RF47</x:v>
      </x:c>
      <x:c r="H791" t="str">
        <x:v>RF047-EF1!F27</x:v>
      </x:c>
    </x:row>
    <x:row r="792">
      <x:c r="A792" t="str">
        <x:v>solicitarEstadoOrigenSiExiste</x:v>
      </x:c>
      <x:c r="B792" t="str">
        <x:v>notificacion.idAlerta</x:v>
      </x:c>
      <x:c r="C792" t="str">
        <x:v>C_ControlNotificacion</x:v>
      </x:c>
      <x:c r="D792" t="str">
        <x:v>C_ControlAlerta</x:v>
      </x:c>
      <x:c r="E792" t="str">
        <x:v>presentación/navegación</x:v>
      </x:c>
      <x:c r="F792" t="n">
        <x:v>1</x:v>
      </x:c>
      <x:c r="G792" t="str">
        <x:v>RF47</x:v>
      </x:c>
      <x:c r="H792" t="str">
        <x:v>RF047-EF1!F10</x:v>
      </x:c>
    </x:row>
    <x:row r="793">
      <x:c r="A793" t="str">
        <x:v>solicitarEstadosOrigen</x:v>
      </x:c>
      <x:c r="B793" t="str">
        <x:v>listaIdAlertaNoNulos</x:v>
      </x:c>
      <x:c r="C793" t="str">
        <x:v>C_ControlNotificacion</x:v>
      </x:c>
      <x:c r="D793" t="str">
        <x:v>C_ControlAlerta</x:v>
      </x:c>
      <x:c r="E793" t="str">
        <x:v>presentación/navegación</x:v>
      </x:c>
      <x:c r="F793" t="n">
        <x:v>2</x:v>
      </x:c>
      <x:c r="G793" t="str">
        <x:v>RF46</x:v>
      </x:c>
      <x:c r="H793" t="str">
        <x:v>RF046-EF1!F10</x:v>
      </x:c>
    </x:row>
    <x:row r="794">
      <x:c r="A794" t="str">
        <x:v>retornarTotalPendientes</x:v>
      </x:c>
      <x:c r="B794" t="str">
        <x:v>total</x:v>
      </x:c>
      <x:c r="C794" t="str">
        <x:v>C_ControlNotificacion</x:v>
      </x:c>
      <x:c r="D794" t="str">
        <x:v>C_ControlInicio</x:v>
      </x:c>
      <x:c r="E794" t="str">
        <x:v>retorno</x:v>
      </x:c>
      <x:c r="F794" t="n">
        <x:v>1</x:v>
      </x:c>
      <x:c r="G794" t="str">
        <x:v>RF50</x:v>
      </x:c>
      <x:c r="H794" t="str">
        <x:v>RF050-EF1!F50</x:v>
      </x:c>
    </x:row>
    <x:row r="795">
      <x:c r="A795" t="str">
        <x:v>retornarAvisoKmGestionado</x:v>
      </x:c>
      <x:c r="B795" t="str"/>
      <x:c r="C795" t="str">
        <x:v>C_ControlNotificacion</x:v>
      </x:c>
      <x:c r="D795" t="str">
        <x:v>C_ControlKilometraje</x:v>
      </x:c>
      <x:c r="E795" t="str">
        <x:v>retorno</x:v>
      </x:c>
      <x:c r="F795" t="n">
        <x:v>1</x:v>
      </x:c>
      <x:c r="G795" t="str">
        <x:v>RF14</x:v>
      </x:c>
      <x:c r="H795" t="str">
        <x:v>RF014-EF1!F49</x:v>
      </x:c>
    </x:row>
    <x:row r="796">
      <x:c r="A796" t="str">
        <x:v>solicitarContextoActualizacion</x:v>
      </x:c>
      <x:c r="B796" t="str">
        <x:v>idUsuario,idVehiculo</x:v>
      </x:c>
      <x:c r="C796" t="str">
        <x:v>C_ControlNotificacion</x:v>
      </x:c>
      <x:c r="D796" t="str">
        <x:v>C_ControlKilometraje</x:v>
      </x:c>
      <x:c r="E796" t="str">
        <x:v>presentación/navegación</x:v>
      </x:c>
      <x:c r="F796" t="n">
        <x:v>1</x:v>
      </x:c>
      <x:c r="G796" t="str">
        <x:v>RF47</x:v>
      </x:c>
      <x:c r="H796" t="str">
        <x:v>RF047-EF1!F19</x:v>
      </x:c>
    </x:row>
    <x:row r="797">
      <x:c r="A797" t="str">
        <x:v>conciliarVigenciaNotificaciones</x:v>
      </x:c>
      <x:c r="B797" t="str">
        <x:v>listaNotificaciones,listaAlertas</x:v>
      </x:c>
      <x:c r="C797" t="str">
        <x:v>C_ControlNotificacion</x:v>
      </x:c>
      <x:c r="D797" t="str">
        <x:v>C_ControlNotificacion</x:v>
      </x:c>
      <x:c r="E797" t="str">
        <x:v>otra</x:v>
      </x:c>
      <x:c r="F797" t="n">
        <x:v>1</x:v>
      </x:c>
      <x:c r="G797" t="str">
        <x:v>RF46</x:v>
      </x:c>
      <x:c r="H797" t="str">
        <x:v>RF046-EF1!F14</x:v>
      </x:c>
    </x:row>
    <x:row r="798">
      <x:c r="A798" t="str">
        <x:v>determinarDestino</x:v>
      </x:c>
      <x:c r="B798" t="str">
        <x:v>KILOMETRAJE,CICLO_KM</x:v>
      </x:c>
      <x:c r="C798" t="str">
        <x:v>C_ControlNotificacion</x:v>
      </x:c>
      <x:c r="D798" t="str">
        <x:v>C_ControlNotificacion</x:v>
      </x:c>
      <x:c r="E798" t="str">
        <x:v>otra</x:v>
      </x:c>
      <x:c r="F798" t="n">
        <x:v>1</x:v>
      </x:c>
      <x:c r="G798" t="str">
        <x:v>RF47</x:v>
      </x:c>
      <x:c r="H798" t="str">
        <x:v>RF047-EF1!F18</x:v>
      </x:c>
    </x:row>
    <x:row r="799">
      <x:c r="A799" t="str">
        <x:v>determinarDestino</x:v>
      </x:c>
      <x:c r="B799" t="str">
        <x:v>MANTENIMIENTO,ALERTA</x:v>
      </x:c>
      <x:c r="C799" t="str">
        <x:v>C_ControlNotificacion</x:v>
      </x:c>
      <x:c r="D799" t="str">
        <x:v>C_ControlNotificacion</x:v>
      </x:c>
      <x:c r="E799" t="str">
        <x:v>otra</x:v>
      </x:c>
      <x:c r="F799" t="n">
        <x:v>1</x:v>
      </x:c>
      <x:c r="G799" t="str">
        <x:v>RF47</x:v>
      </x:c>
      <x:c r="H799" t="str">
        <x:v>RF047-EF1!F26</x:v>
      </x:c>
    </x:row>
    <x:row r="800">
      <x:c r="A800" t="str">
        <x:v>determinarDestino</x:v>
      </x:c>
      <x:c r="B800" t="str">
        <x:v>SOAT,ALERTA</x:v>
      </x:c>
      <x:c r="C800" t="str">
        <x:v>C_ControlNotificacion</x:v>
      </x:c>
      <x:c r="D800" t="str">
        <x:v>C_ControlNotificacion</x:v>
      </x:c>
      <x:c r="E800" t="str">
        <x:v>otra</x:v>
      </x:c>
      <x:c r="F800" t="n">
        <x:v>1</x:v>
      </x:c>
      <x:c r="G800" t="str">
        <x:v>RF47</x:v>
      </x:c>
      <x:c r="H800" t="str">
        <x:v>RF047-EF1!F34</x:v>
      </x:c>
    </x:row>
    <x:row r="801">
      <x:c r="A801" t="str">
        <x:v>determinarEnviosExternosElegibles</x:v>
      </x:c>
      <x:c r="B801" t="str">
        <x:v>idsReemitibles,preferencias,permisoDispositivo</x:v>
      </x:c>
      <x:c r="C801" t="str">
        <x:v>C_ControlNotificacion</x:v>
      </x:c>
      <x:c r="D801" t="str">
        <x:v>C_ControlNotificacion</x:v>
      </x:c>
      <x:c r="E801" t="str">
        <x:v>otra</x:v>
      </x:c>
      <x:c r="F801" t="n">
        <x:v>1</x:v>
      </x:c>
      <x:c r="G801" t="str">
        <x:v>RF46</x:v>
      </x:c>
      <x:c r="H801" t="str">
        <x:v>RF046-EF1!F59</x:v>
      </x:c>
    </x:row>
    <x:row r="802">
      <x:c r="A802" t="str">
        <x:v>determinarReemitiblesYNoVigentes</x:v>
      </x:c>
      <x:c r="B802" t="str">
        <x:v>listaCandidatos,listaAlertas,estadosVehiculo,estadosGlobalesKm,estadosCicloKm</x:v>
      </x:c>
      <x:c r="C802" t="str">
        <x:v>C_ControlNotificacion</x:v>
      </x:c>
      <x:c r="D802" t="str">
        <x:v>C_ControlNotificacion</x:v>
      </x:c>
      <x:c r="E802" t="str">
        <x:v>otra</x:v>
      </x:c>
      <x:c r="F802" t="n">
        <x:v>1</x:v>
      </x:c>
      <x:c r="G802" t="str">
        <x:v>RF46</x:v>
      </x:c>
      <x:c r="H802" t="str">
        <x:v>RF046-EF1!F51</x:v>
      </x:c>
    </x:row>
    <x:row r="803">
      <x:c r="A803" t="str">
        <x:v>determinarVigenciaNotificacionesVehiculo</x:v>
      </x:c>
      <x:c r="B803" t="str">
        <x:v>estadoNuevo,resultadoAlertas</x:v>
      </x:c>
      <x:c r="C803" t="str">
        <x:v>C_ControlNotificacion</x:v>
      </x:c>
      <x:c r="D803" t="str">
        <x:v>C_ControlNotificacion</x:v>
      </x:c>
      <x:c r="E803" t="str">
        <x:v>otra</x:v>
      </x:c>
      <x:c r="F803" t="n">
        <x:v>1</x:v>
      </x:c>
      <x:c r="G803" t="str">
        <x:v>RF12</x:v>
      </x:c>
      <x:c r="H803" t="str">
        <x:v>RF012-EF1!F43</x:v>
      </x:c>
    </x:row>
    <x:row r="804">
      <x:c r="A804" t="str">
        <x:v>evaluarReemisionPendientes24h</x:v>
      </x:c>
      <x:c r="B804" t="str">
        <x:v>fechaActual</x:v>
      </x:c>
      <x:c r="C804" t="str">
        <x:v>C_ControlNotificacion</x:v>
      </x:c>
      <x:c r="D804" t="str">
        <x:v>C_ControlNotificacion</x:v>
      </x:c>
      <x:c r="E804" t="str">
        <x:v>otra</x:v>
      </x:c>
      <x:c r="F804" t="n">
        <x:v>1</x:v>
      </x:c>
      <x:c r="G804" t="str">
        <x:v>RF46</x:v>
      </x:c>
      <x:c r="H804" t="str">
        <x:v>RF046-EF1!F31</x:v>
      </x:c>
    </x:row>
    <x:row r="805">
      <x:c r="A805" t="str">
        <x:v>ordenarPorUltimaEmisionDesc</x:v>
      </x:c>
      <x:c r="B805" t="str">
        <x:v>listaFiltrada</x:v>
      </x:c>
      <x:c r="C805" t="str">
        <x:v>C_ControlNotificacion</x:v>
      </x:c>
      <x:c r="D805" t="str">
        <x:v>C_ControlNotificacion</x:v>
      </x:c>
      <x:c r="E805" t="str">
        <x:v>otra</x:v>
      </x:c>
      <x:c r="F805" t="n">
        <x:v>2</x:v>
      </x:c>
      <x:c r="G805" t="str">
        <x:v>RF49</x:v>
      </x:c>
      <x:c r="H805" t="str">
        <x:v>RF049-EF1!F9</x:v>
      </x:c>
    </x:row>
    <x:row r="806">
      <x:c r="A806" t="str">
        <x:v>ordenarYContarPendientes</x:v>
      </x:c>
      <x:c r="B806" t="str">
        <x:v>pendientes,historial</x:v>
      </x:c>
      <x:c r="C806" t="str">
        <x:v>C_ControlNotificacion</x:v>
      </x:c>
      <x:c r="D806" t="str">
        <x:v>C_ControlNotificacion</x:v>
      </x:c>
      <x:c r="E806" t="str">
        <x:v>otra</x:v>
      </x:c>
      <x:c r="F806" t="n">
        <x:v>1</x:v>
      </x:c>
      <x:c r="G806" t="str">
        <x:v>RF46</x:v>
      </x:c>
      <x:c r="H806" t="str">
        <x:v>RF046-EF1!F20</x:v>
      </x:c>
    </x:row>
    <x:row r="807">
      <x:c r="A807" t="str">
        <x:v>separarPorOrigen</x:v>
      </x:c>
      <x:c r="B807" t="str">
        <x:v>listaCandidatos</x:v>
      </x:c>
      <x:c r="C807" t="str">
        <x:v>C_ControlNotificacion</x:v>
      </x:c>
      <x:c r="D807" t="str">
        <x:v>C_ControlNotificacion</x:v>
      </x:c>
      <x:c r="E807" t="str">
        <x:v>otra</x:v>
      </x:c>
      <x:c r="F807" t="n">
        <x:v>1</x:v>
      </x:c>
      <x:c r="G807" t="str">
        <x:v>RF46</x:v>
      </x:c>
      <x:c r="H807" t="str">
        <x:v>RF046-EF1!F34</x:v>
      </x:c>
    </x:row>
    <x:row r="808">
      <x:c r="A808" t="str">
        <x:v>validarBloqueoNotificacionesPorEstadoCuenta</x:v>
      </x:c>
      <x:c r="B808" t="str">
        <x:v>idUsuario</x:v>
      </x:c>
      <x:c r="C808" t="str">
        <x:v>C_ControlNotificacion</x:v>
      </x:c>
      <x:c r="D808" t="str">
        <x:v>C_ControlNotificacion</x:v>
      </x:c>
      <x:c r="E808" t="str">
        <x:v>validación</x:v>
      </x:c>
      <x:c r="F808" t="n">
        <x:v>1</x:v>
      </x:c>
      <x:c r="G808" t="str">
        <x:v>RF07</x:v>
      </x:c>
      <x:c r="H808" t="str">
        <x:v>RF007-E1!F68</x:v>
      </x:c>
    </x:row>
    <x:row r="809">
      <x:c r="A809" t="str">
        <x:v>validarDestinoVigente</x:v>
      </x:c>
      <x:c r="B809" t="str">
        <x:v>notificacion,datosAlerta?</x:v>
      </x:c>
      <x:c r="C809" t="str">
        <x:v>C_ControlNotificacion</x:v>
      </x:c>
      <x:c r="D809" t="str">
        <x:v>C_ControlNotificacion</x:v>
      </x:c>
      <x:c r="E809" t="str">
        <x:v>validación</x:v>
      </x:c>
      <x:c r="F809" t="n">
        <x:v>1</x:v>
      </x:c>
      <x:c r="G809" t="str">
        <x:v>RF47</x:v>
      </x:c>
      <x:c r="H809" t="str">
        <x:v>RF047-EF1!F14</x:v>
      </x:c>
    </x:row>
    <x:row r="810">
      <x:c r="A810" t="str">
        <x:v>validarNotificacionPendiente</x:v>
      </x:c>
      <x:c r="B810" t="str">
        <x:v>notificacion</x:v>
      </x:c>
      <x:c r="C810" t="str">
        <x:v>C_ControlNotificacion</x:v>
      </x:c>
      <x:c r="D810" t="str">
        <x:v>C_ControlNotificacion</x:v>
      </x:c>
      <x:c r="E810" t="str">
        <x:v>validación</x:v>
      </x:c>
      <x:c r="F810" t="n">
        <x:v>1</x:v>
      </x:c>
      <x:c r="G810" t="str">
        <x:v>RF47</x:v>
      </x:c>
      <x:c r="H810" t="str">
        <x:v>RF047-EF1!F9</x:v>
      </x:c>
    </x:row>
    <x:row r="811">
      <x:c r="A811" t="str">
        <x:v>validarPreferenciasExternas</x:v>
      </x:c>
      <x:c r="B811" t="str">
        <x:v>preferencias</x:v>
      </x:c>
      <x:c r="C811" t="str">
        <x:v>C_ControlNotificacion</x:v>
      </x:c>
      <x:c r="D811" t="str">
        <x:v>C_ControlNotificacion</x:v>
      </x:c>
      <x:c r="E811" t="str">
        <x:v>validación</x:v>
      </x:c>
      <x:c r="F811" t="n">
        <x:v>1</x:v>
      </x:c>
      <x:c r="G811" t="str">
        <x:v>RF48</x:v>
      </x:c>
      <x:c r="H811" t="str">
        <x:v>RF048-EF1!F21</x:v>
      </x:c>
    </x:row>
    <x:row r="812">
      <x:c r="A812" t="str">
        <x:v>solicitarDetalleSOATDesdeNotificacion</x:v>
      </x:c>
      <x:c r="B812" t="str">
        <x:v>idUsuario,idVehiculo</x:v>
      </x:c>
      <x:c r="C812" t="str">
        <x:v>C_ControlNotificacion</x:v>
      </x:c>
      <x:c r="D812" t="str">
        <x:v>C_ControlSOAT</x:v>
      </x:c>
      <x:c r="E812" t="str">
        <x:v>presentación/navegación</x:v>
      </x:c>
      <x:c r="F812" t="n">
        <x:v>1</x:v>
      </x:c>
      <x:c r="G812" t="str">
        <x:v>RF47</x:v>
      </x:c>
      <x:c r="H812" t="str">
        <x:v>RF047-EF1!F35</x:v>
      </x:c>
    </x:row>
    <x:row r="813">
      <x:c r="A813" t="str">
        <x:v>solicitarEstadosVehiculos</x:v>
      </x:c>
      <x:c r="B813" t="str">
        <x:v>listaIdVehiculo</x:v>
      </x:c>
      <x:c r="C813" t="str">
        <x:v>C_ControlNotificacion</x:v>
      </x:c>
      <x:c r="D813" t="str">
        <x:v>C_ControlVehiculo</x:v>
      </x:c>
      <x:c r="E813" t="str">
        <x:v>presentación/navegación</x:v>
      </x:c>
      <x:c r="F813" t="n">
        <x:v>1</x:v>
      </x:c>
      <x:c r="G813" t="str">
        <x:v>RF46</x:v>
      </x:c>
      <x:c r="H813" t="str">
        <x:v>RF046-EF1!F40</x:v>
      </x:c>
    </x:row>
    <x:row r="814">
      <x:c r="A814" t="str">
        <x:v>retornarFiltroNotificacionesAplicado</x:v>
      </x:c>
      <x:c r="B814" t="str"/>
      <x:c r="C814" t="str">
        <x:v>C_ControlNotificacion</x:v>
      </x:c>
      <x:c r="D814" t="str">
        <x:v>C_EliminarCuenta</x:v>
      </x:c>
      <x:c r="E814" t="str">
        <x:v>retorno</x:v>
      </x:c>
      <x:c r="F814" t="n">
        <x:v>1</x:v>
      </x:c>
      <x:c r="G814" t="str">
        <x:v>RF07</x:v>
      </x:c>
      <x:c r="H814" t="str">
        <x:v>RF007-E1!F69</x:v>
      </x:c>
    </x:row>
    <x:row r="815">
      <x:c r="A815" t="str">
        <x:v>retornarActivacionPrimerAvisoKm</x:v>
      </x:c>
      <x:c r="B815" t="str"/>
      <x:c r="C815" t="str">
        <x:v>C_ControlNotificacion</x:v>
      </x:c>
      <x:c r="D815" t="str">
        <x:v>C_RecordatorioKm</x:v>
      </x:c>
      <x:c r="E815" t="str">
        <x:v>retorno</x:v>
      </x:c>
      <x:c r="F815" t="n">
        <x:v>1</x:v>
      </x:c>
      <x:c r="G815" t="str">
        <x:v>RF44</x:v>
      </x:c>
      <x:c r="H815" t="str">
        <x:v>RF044-EF1!F66</x:v>
      </x:c>
    </x:row>
    <x:row r="816">
      <x:c r="A816" t="str">
        <x:v>solicitarEstadosCiclosKm</x:v>
      </x:c>
      <x:c r="B816" t="str">
        <x:v>listaCandidatosKm</x:v>
      </x:c>
      <x:c r="C816" t="str">
        <x:v>C_ControlNotificacion</x:v>
      </x:c>
      <x:c r="D816" t="str">
        <x:v>C_RecordatorioKm</x:v>
      </x:c>
      <x:c r="E816" t="str">
        <x:v>presentación/navegación</x:v>
      </x:c>
      <x:c r="F816" t="n">
        <x:v>1</x:v>
      </x:c>
      <x:c r="G816" t="str">
        <x:v>RF46</x:v>
      </x:c>
      <x:c r="H816" t="str">
        <x:v>RF046-EF1!F44</x:v>
      </x:c>
    </x:row>
    <x:row r="817">
      <x:c r="A817" t="str">
        <x:v>actualizarEstadoGestionSegunAlerta</x:v>
      </x:c>
      <x:c r="B817" t="str">
        <x:v>idAlertaAnterior,estadoFinal</x:v>
      </x:c>
      <x:c r="C817" t="str">
        <x:v>C_ControlNotificacion</x:v>
      </x:c>
      <x:c r="D817" t="str">
        <x:v>E_Notificacion</x:v>
      </x:c>
      <x:c r="E817" t="str">
        <x:v>escritura</x:v>
      </x:c>
      <x:c r="F817" t="n">
        <x:v>1</x:v>
      </x:c>
      <x:c r="G817" t="str">
        <x:v>RF32</x:v>
      </x:c>
      <x:c r="H817" t="str">
        <x:v>RF032-EF1!F71</x:v>
      </x:c>
    </x:row>
    <x:row r="818">
      <x:c r="A818" t="str">
        <x:v>actualizarEstadoGestionSiActiva</x:v>
      </x:c>
      <x:c r="B818" t="str">
        <x:v>id_alerta,ATENDIDA</x:v>
      </x:c>
      <x:c r="C818" t="str">
        <x:v>C_ControlNotificacion</x:v>
      </x:c>
      <x:c r="D818" t="str">
        <x:v>E_Notificacion</x:v>
      </x:c>
      <x:c r="E818" t="str">
        <x:v>escritura</x:v>
      </x:c>
      <x:c r="F818" t="n">
        <x:v>1</x:v>
      </x:c>
      <x:c r="G818" t="str">
        <x:v>RF24</x:v>
      </x:c>
      <x:c r="H818" t="str">
        <x:v>RF24!F90</x:v>
      </x:c>
    </x:row>
    <x:row r="819">
      <x:c r="A819" t="str">
        <x:v>actualizarMismaNotificacionReemitida</x:v>
      </x:c>
      <x:c r="B819" t="str">
        <x:v>idsReemitibles,fechaActual,leida=0,proximaEmision=fechaActual+24h</x:v>
      </x:c>
      <x:c r="C819" t="str">
        <x:v>C_ControlNotificacion</x:v>
      </x:c>
      <x:c r="D819" t="str">
        <x:v>E_Notificacion</x:v>
      </x:c>
      <x:c r="E819" t="str">
        <x:v>escritura</x:v>
      </x:c>
      <x:c r="F819" t="n">
        <x:v>1</x:v>
      </x:c>
      <x:c r="G819" t="str">
        <x:v>RF46</x:v>
      </x:c>
      <x:c r="H819" t="str">
        <x:v>RF046-EF1!F52</x:v>
      </x:c>
    </x:row>
    <x:row r="820">
      <x:c r="A820" t="str">
        <x:v>aplicarConciliacionVigenciaSiCorresponde</x:v>
      </x:c>
      <x:c r="B820" t="str">
        <x:v>listaNotificaciones,listaAlertas</x:v>
      </x:c>
      <x:c r="C820" t="str">
        <x:v>C_ControlNotificacion</x:v>
      </x:c>
      <x:c r="D820" t="str">
        <x:v>E_Notificacion</x:v>
      </x:c>
      <x:c r="E820" t="str">
        <x:v>otra</x:v>
      </x:c>
      <x:c r="F820" t="n">
        <x:v>1</x:v>
      </x:c>
      <x:c r="G820" t="str">
        <x:v>RF46</x:v>
      </x:c>
      <x:c r="H820" t="str">
        <x:v>RF046-EF1!F15</x:v>
      </x:c>
    </x:row>
    <x:row r="821">
      <x:c r="A821" t="str">
        <x:v>aplicarVigenciaNotificacionesVehiculo</x:v>
      </x:c>
      <x:c r="B821" t="str">
        <x:v>idVehiculo,estadoNuevo,resultadoAlertas</x:v>
      </x:c>
      <x:c r="C821" t="str">
        <x:v>C_ControlNotificacion</x:v>
      </x:c>
      <x:c r="D821" t="str">
        <x:v>E_Notificacion</x:v>
      </x:c>
      <x:c r="E821" t="str">
        <x:v>otra</x:v>
      </x:c>
      <x:c r="F821" t="n">
        <x:v>1</x:v>
      </x:c>
      <x:c r="G821" t="str">
        <x:v>RF12</x:v>
      </x:c>
      <x:c r="H821" t="str">
        <x:v>RF012-EF1!F44</x:v>
      </x:c>
    </x:row>
    <x:row r="822">
      <x:c r="A822" t="str">
        <x:v>cerrarAvisoKmPendienteConTrazabilidad</x:v>
      </x:c>
      <x:c r="B822" t="str">
        <x:v>idVehiculo</x:v>
      </x:c>
      <x:c r="C822" t="str">
        <x:v>C_ControlNotificacion</x:v>
      </x:c>
      <x:c r="D822" t="str">
        <x:v>E_Notificacion</x:v>
      </x:c>
      <x:c r="E822" t="str">
        <x:v>otra</x:v>
      </x:c>
      <x:c r="F822" t="n">
        <x:v>1</x:v>
      </x:c>
      <x:c r="G822" t="str">
        <x:v>RF14</x:v>
      </x:c>
      <x:c r="H822" t="str">
        <x:v>RF014-EF1!F47</x:v>
      </x:c>
    </x:row>
    <x:row r="823">
      <x:c r="A823" t="str">
        <x:v>cerrarNoVigentes</x:v>
      </x:c>
      <x:c r="B823" t="str">
        <x:v>idsNoVigentes,motivoCierre</x:v>
      </x:c>
      <x:c r="C823" t="str">
        <x:v>C_ControlNotificacion</x:v>
      </x:c>
      <x:c r="D823" t="str">
        <x:v>E_Notificacion</x:v>
      </x:c>
      <x:c r="E823" t="str">
        <x:v>otra</x:v>
      </x:c>
      <x:c r="F823" t="n">
        <x:v>1</x:v>
      </x:c>
      <x:c r="G823" t="str">
        <x:v>RF46</x:v>
      </x:c>
      <x:c r="H823" t="str">
        <x:v>RF046-EF1!F54</x:v>
      </x:c>
    </x:row>
    <x:row r="824">
      <x:c r="A824" t="str">
        <x:v>cerrarNotificacionActivaSOAT</x:v>
      </x:c>
      <x:c r="B824" t="str">
        <x:v>idSOAT,RECORDATORIO_DESACTIVADO</x:v>
      </x:c>
      <x:c r="C824" t="str">
        <x:v>C_ControlNotificacion</x:v>
      </x:c>
      <x:c r="D824" t="str">
        <x:v>E_Notificacion</x:v>
      </x:c>
      <x:c r="E824" t="str">
        <x:v>otra</x:v>
      </x:c>
      <x:c r="F824" t="n">
        <x:v>1</x:v>
      </x:c>
      <x:c r="G824" t="str">
        <x:v>RF33</x:v>
      </x:c>
      <x:c r="H824" t="str">
        <x:v>RF033-EF1!F56</x:v>
      </x:c>
    </x:row>
    <x:row r="825">
      <x:c r="A825" t="str">
        <x:v>consultarBandejaSincronizada</x:v>
      </x:c>
      <x:c r="B825" t="str">
        <x:v>idUsuario</x:v>
      </x:c>
      <x:c r="C825" t="str">
        <x:v>C_ControlNotificacion</x:v>
      </x:c>
      <x:c r="D825" t="str">
        <x:v>E_Notificacion</x:v>
      </x:c>
      <x:c r="E825" t="str">
        <x:v>consulta</x:v>
      </x:c>
      <x:c r="F825" t="n">
        <x:v>1</x:v>
      </x:c>
      <x:c r="G825" t="str">
        <x:v>RF46</x:v>
      </x:c>
      <x:c r="H825" t="str">
        <x:v>RF046-EF1!F18</x:v>
      </x:c>
    </x:row>
    <x:row r="826">
      <x:c r="A826" t="str">
        <x:v>consultarNotificacionUsuario</x:v>
      </x:c>
      <x:c r="B826" t="str">
        <x:v>idUsuario,idNotificacion</x:v>
      </x:c>
      <x:c r="C826" t="str">
        <x:v>C_ControlNotificacion</x:v>
      </x:c>
      <x:c r="D826" t="str">
        <x:v>E_Notificacion</x:v>
      </x:c>
      <x:c r="E826" t="str">
        <x:v>consulta</x:v>
      </x:c>
      <x:c r="F826" t="n">
        <x:v>1</x:v>
      </x:c>
      <x:c r="G826" t="str">
        <x:v>RF47</x:v>
      </x:c>
      <x:c r="H826" t="str">
        <x:v>RF047-EF1!F7</x:v>
      </x:c>
    </x:row>
    <x:row r="827">
      <x:c r="A827" t="str">
        <x:v>consultarNotificacionesPorCategoriaYPestana</x:v>
      </x:c>
      <x:c r="B827" t="str">
        <x:v>idUsuario,categoria,pestanaActual</x:v>
      </x:c>
      <x:c r="C827" t="str">
        <x:v>C_ControlNotificacion</x:v>
      </x:c>
      <x:c r="D827" t="str">
        <x:v>E_Notificacion</x:v>
      </x:c>
      <x:c r="E827" t="str">
        <x:v>consulta</x:v>
      </x:c>
      <x:c r="F827" t="n">
        <x:v>1</x:v>
      </x:c>
      <x:c r="G827" t="str">
        <x:v>RF49</x:v>
      </x:c>
      <x:c r="H827" t="str">
        <x:v>RF049-EF1!F7</x:v>
      </x:c>
    </x:row>
    <x:row r="828">
      <x:c r="A828" t="str">
        <x:v>consultarNotificacionesPorCategoriaYPestana</x:v>
      </x:c>
      <x:c r="B828" t="str">
        <x:v>idUsuario,categoria,pestanaDestino</x:v>
      </x:c>
      <x:c r="C828" t="str">
        <x:v>C_ControlNotificacion</x:v>
      </x:c>
      <x:c r="D828" t="str">
        <x:v>E_Notificacion</x:v>
      </x:c>
      <x:c r="E828" t="str">
        <x:v>consulta</x:v>
      </x:c>
      <x:c r="F828" t="n">
        <x:v>1</x:v>
      </x:c>
      <x:c r="G828" t="str">
        <x:v>RF49</x:v>
      </x:c>
      <x:c r="H828" t="str">
        <x:v>RF049-EF1!F15</x:v>
      </x:c>
    </x:row>
    <x:row r="829">
      <x:c r="A829" t="str">
        <x:v>consultarNotificacionesPorPestana</x:v>
      </x:c>
      <x:c r="B829" t="str">
        <x:v>idUsuario,pestanaDestino</x:v>
      </x:c>
      <x:c r="C829" t="str">
        <x:v>C_ControlNotificacion</x:v>
      </x:c>
      <x:c r="D829" t="str">
        <x:v>E_Notificacion</x:v>
      </x:c>
      <x:c r="E829" t="str">
        <x:v>consulta</x:v>
      </x:c>
      <x:c r="F829" t="n">
        <x:v>1</x:v>
      </x:c>
      <x:c r="G829" t="str">
        <x:v>RF46</x:v>
      </x:c>
      <x:c r="H829" t="str">
        <x:v>RF046-EF1!F26</x:v>
      </x:c>
    </x:row>
    <x:row r="830">
      <x:c r="A830" t="str">
        <x:v>consultarNotificacionesPorUsuario</x:v>
      </x:c>
      <x:c r="B830" t="str">
        <x:v>idUsuario</x:v>
      </x:c>
      <x:c r="C830" t="str">
        <x:v>C_ControlNotificacion</x:v>
      </x:c>
      <x:c r="D830" t="str">
        <x:v>E_Notificacion</x:v>
      </x:c>
      <x:c r="E830" t="str">
        <x:v>consulta</x:v>
      </x:c>
      <x:c r="F830" t="n">
        <x:v>1</x:v>
      </x:c>
      <x:c r="G830" t="str">
        <x:v>RF46</x:v>
      </x:c>
      <x:c r="H830" t="str">
        <x:v>RF046-EF1!F7</x:v>
      </x:c>
    </x:row>
    <x:row r="831">
      <x:c r="A831" t="str">
        <x:v>consultarPendientesConProximaEmisionCumplida</x:v>
      </x:c>
      <x:c r="B831" t="str">
        <x:v>fechaActual</x:v>
      </x:c>
      <x:c r="C831" t="str">
        <x:v>C_ControlNotificacion</x:v>
      </x:c>
      <x:c r="D831" t="str">
        <x:v>E_Notificacion</x:v>
      </x:c>
      <x:c r="E831" t="str">
        <x:v>consulta</x:v>
      </x:c>
      <x:c r="F831" t="n">
        <x:v>1</x:v>
      </x:c>
      <x:c r="G831" t="str">
        <x:v>RF46</x:v>
      </x:c>
      <x:c r="H831" t="str">
        <x:v>RF046-EF1!F32</x:v>
      </x:c>
    </x:row>
    <x:row r="832">
      <x:c r="A832" t="str">
        <x:v>contarPendientesUsuario</x:v>
      </x:c>
      <x:c r="B832" t="str">
        <x:v>idUsuario</x:v>
      </x:c>
      <x:c r="C832" t="str">
        <x:v>C_ControlNotificacion</x:v>
      </x:c>
      <x:c r="D832" t="str">
        <x:v>E_Notificacion</x:v>
      </x:c>
      <x:c r="E832" t="str">
        <x:v>otra</x:v>
      </x:c>
      <x:c r="F832" t="n">
        <x:v>1</x:v>
      </x:c>
      <x:c r="G832" t="str">
        <x:v>RF50</x:v>
      </x:c>
      <x:c r="H832" t="str">
        <x:v>RF050-EF1!F48</x:v>
      </x:c>
    </x:row>
    <x:row r="833">
      <x:c r="A833" t="str">
        <x:v>crearMantenerOCerrarSegunEstadoAlerta</x:v>
      </x:c>
      <x:c r="B833" t="str">
        <x:v>idUsuario,idVehiculo,datosAlerta.idAlerta,SOAT,datosAlerta.estado,fechaActual</x:v>
      </x:c>
      <x:c r="C833" t="str">
        <x:v>C_ControlNotificacion</x:v>
      </x:c>
      <x:c r="D833" t="str">
        <x:v>E_Notificacion</x:v>
      </x:c>
      <x:c r="E833" t="str">
        <x:v>otra</x:v>
      </x:c>
      <x:c r="F833" t="n">
        <x:v>1</x:v>
      </x:c>
      <x:c r="G833" t="str">
        <x:v>RF32</x:v>
      </x:c>
      <x:c r="H833" t="str">
        <x:v>RF032-EF1!F49</x:v>
      </x:c>
    </x:row>
    <x:row r="834">
      <x:c r="A834" t="str">
        <x:v>crearMantenerOCerrarSegunEstadoAlertaPorLote</x:v>
      </x:c>
      <x:c r="B834" t="str">
        <x:v>listaAlertasActualizada,fechaActual,idsAlertasLicenciaNoElegibles</x:v>
      </x:c>
      <x:c r="C834" t="str">
        <x:v>C_ControlNotificacion</x:v>
      </x:c>
      <x:c r="D834" t="str">
        <x:v>E_Notificacion</x:v>
      </x:c>
      <x:c r="E834" t="str">
        <x:v>otra</x:v>
      </x:c>
      <x:c r="F834" t="n">
        <x:v>1</x:v>
      </x:c>
      <x:c r="G834" t="str">
        <x:v>RF23</x:v>
      </x:c>
      <x:c r="H834" t="str">
        <x:v>RF23!F79</x:v>
      </x:c>
    </x:row>
    <x:row r="835">
      <x:c r="A835" t="str">
        <x:v>crearOActualizarNotificacionSegunEstadoAlerta</x:v>
      </x:c>
      <x:c r="B835" t="str">
        <x:v>idUsuario,idVehiculo,datosAlerta.idAlerta,SOAT,datosAlerta.estado,fechaActual</x:v>
      </x:c>
      <x:c r="C835" t="str">
        <x:v>C_ControlNotificacion</x:v>
      </x:c>
      <x:c r="D835" t="str">
        <x:v>E_Notificacion</x:v>
      </x:c>
      <x:c r="E835" t="str">
        <x:v>otra</x:v>
      </x:c>
      <x:c r="F835" t="n">
        <x:v>2</x:v>
      </x:c>
      <x:c r="G835" t="str">
        <x:v>RF31, RF33</x:v>
      </x:c>
      <x:c r="H835" t="str">
        <x:v>RF031-EF1!F47</x:v>
      </x:c>
    </x:row>
    <x:row r="836">
      <x:c r="A836" t="str">
        <x:v>crearOActualizarNotificacionSegunEstadoAlerta</x:v>
      </x:c>
      <x:c r="B836" t="str">
        <x:v>idUsuario,idVehiculo,datosAlertaNueva.idAlerta,SOAT,datosAlertaNueva.estado,fechaActual</x:v>
      </x:c>
      <x:c r="C836" t="str">
        <x:v>C_ControlNotificacion</x:v>
      </x:c>
      <x:c r="D836" t="str">
        <x:v>E_Notificacion</x:v>
      </x:c>
      <x:c r="E836" t="str">
        <x:v>otra</x:v>
      </x:c>
      <x:c r="F836" t="n">
        <x:v>1</x:v>
      </x:c>
      <x:c r="G836" t="str">
        <x:v>RF32</x:v>
      </x:c>
      <x:c r="H836" t="str">
        <x:v>RF032-EF1!F79</x:v>
      </x:c>
    </x:row>
    <x:row r="837">
      <x:c r="A837" t="str">
        <x:v>crearOActualizarNotificacionSegunEstadoAlerta</x:v>
      </x:c>
      <x:c r="B837" t="str">
        <x:v>id_usuario,id_vehiculo,id_alerta,MANTENIMIENTO,estado_inicial,fecha_actual</x:v>
      </x:c>
      <x:c r="C837" t="str">
        <x:v>C_ControlNotificacion</x:v>
      </x:c>
      <x:c r="D837" t="str">
        <x:v>E_Notificacion</x:v>
      </x:c>
      <x:c r="E837" t="str">
        <x:v>otra</x:v>
      </x:c>
      <x:c r="F837" t="n">
        <x:v>1</x:v>
      </x:c>
      <x:c r="G837" t="str">
        <x:v>RF22</x:v>
      </x:c>
      <x:c r="H837" t="str">
        <x:v>RF22!F99</x:v>
      </x:c>
    </x:row>
    <x:row r="838">
      <x:c r="A838" t="str">
        <x:v>crearOReactivarNotificacionKmUnica</x:v>
      </x:c>
      <x:c r="B838" t="str">
        <x:v>ciclosNotificables,fechaActual,leida=0,proximaEmision=fechaActual+24h</x:v>
      </x:c>
      <x:c r="C838" t="str">
        <x:v>C_ControlNotificacion</x:v>
      </x:c>
      <x:c r="D838" t="str">
        <x:v>E_Notificacion</x:v>
      </x:c>
      <x:c r="E838" t="str">
        <x:v>otra</x:v>
      </x:c>
      <x:c r="F838" t="n">
        <x:v>1</x:v>
      </x:c>
      <x:c r="G838" t="str">
        <x:v>RF44</x:v>
      </x:c>
      <x:c r="H838" t="str">
        <x:v>RF044-EF1!F64</x:v>
      </x:c>
    </x:row>
    <x:row r="839">
      <x:c r="A839" t="str">
        <x:v>marcarLeidaSinAtender</x:v>
      </x:c>
      <x:c r="B839" t="str">
        <x:v>idNotificacion,leida=1</x:v>
      </x:c>
      <x:c r="C839" t="str">
        <x:v>C_ControlNotificacion</x:v>
      </x:c>
      <x:c r="D839" t="str">
        <x:v>E_Notificacion</x:v>
      </x:c>
      <x:c r="E839" t="str">
        <x:v>escritura</x:v>
      </x:c>
      <x:c r="F839" t="n">
        <x:v>1</x:v>
      </x:c>
      <x:c r="G839" t="str">
        <x:v>RF47</x:v>
      </x:c>
      <x:c r="H839" t="str">
        <x:v>RF047-EF1!F15</x:v>
      </x:c>
    </x:row>
    <x:row r="840">
      <x:c r="A840" t="str">
        <x:v>sincronizarGestionSegunEstadoAlerta</x:v>
      </x:c>
      <x:c r="B840" t="str">
        <x:v>listaAlertasActualizada,transicionesAplicadas</x:v>
      </x:c>
      <x:c r="C840" t="str">
        <x:v>C_ControlNotificacion</x:v>
      </x:c>
      <x:c r="D840" t="str">
        <x:v>E_Notificacion</x:v>
      </x:c>
      <x:c r="E840" t="str">
        <x:v>otra</x:v>
      </x:c>
      <x:c r="F840" t="n">
        <x:v>1</x:v>
      </x:c>
      <x:c r="G840" t="str">
        <x:v>RF23</x:v>
      </x:c>
      <x:c r="H840" t="str">
        <x:v>RF23!F39</x:v>
      </x:c>
    </x:row>
    <x:row r="841">
      <x:c r="A841" t="str">
        <x:v>sincronizarGestionSegunEstadoAlertaIndividual</x:v>
      </x:c>
      <x:c r="B841" t="str">
        <x:v>id_alerta,detalle_actualizado.estado</x:v>
      </x:c>
      <x:c r="C841" t="str">
        <x:v>C_ControlNotificacion</x:v>
      </x:c>
      <x:c r="D841" t="str">
        <x:v>E_Notificacion</x:v>
      </x:c>
      <x:c r="E841" t="str">
        <x:v>otra</x:v>
      </x:c>
      <x:c r="F841" t="n">
        <x:v>1</x:v>
      </x:c>
      <x:c r="G841" t="str">
        <x:v>RF24</x:v>
      </x:c>
      <x:c r="H841" t="str">
        <x:v>RF24!F26</x:v>
      </x:c>
    </x:row>
    <x:row r="842">
      <x:c r="A842" t="str">
        <x:v>sincronizarGestionSegunEstadosAlerta</x:v>
      </x:c>
      <x:c r="B842" t="str">
        <x:v>listaAlertasVigentes,idsAlertasAnuladas</x:v>
      </x:c>
      <x:c r="C842" t="str">
        <x:v>C_ControlNotificacion</x:v>
      </x:c>
      <x:c r="D842" t="str">
        <x:v>E_Notificacion</x:v>
      </x:c>
      <x:c r="E842" t="str">
        <x:v>otra</x:v>
      </x:c>
      <x:c r="F842" t="n">
        <x:v>1</x:v>
      </x:c>
      <x:c r="G842" t="str">
        <x:v>RF50</x:v>
      </x:c>
      <x:c r="H842" t="str">
        <x:v>RF050-EF1!F37</x:v>
      </x:c>
    </x:row>
    <x:row r="843">
      <x:c r="A843" t="str">
        <x:v>actualizarPreferenciasEnvio</x:v>
      </x:c>
      <x:c r="B843" t="str">
        <x:v>idUsuario,preferencias,permisoDispositivo</x:v>
      </x:c>
      <x:c r="C843" t="str">
        <x:v>C_ControlNotificacion</x:v>
      </x:c>
      <x:c r="D843" t="str">
        <x:v>E_PreferenciaNotificacion</x:v>
      </x:c>
      <x:c r="E843" t="str">
        <x:v>escritura</x:v>
      </x:c>
      <x:c r="F843" t="n">
        <x:v>1</x:v>
      </x:c>
      <x:c r="G843" t="str">
        <x:v>RF48</x:v>
      </x:c>
      <x:c r="H843" t="str">
        <x:v>RF048-EF1!F25</x:v>
      </x:c>
    </x:row>
    <x:row r="844">
      <x:c r="A844" t="str">
        <x:v>consultarPreferenciasEnvioExternoUsuarios</x:v>
      </x:c>
      <x:c r="B844" t="str">
        <x:v>idsUsuario,categoriasPushConfigurables</x:v>
      </x:c>
      <x:c r="C844" t="str">
        <x:v>C_ControlNotificacion</x:v>
      </x:c>
      <x:c r="D844" t="str">
        <x:v>E_PreferenciaNotificacion</x:v>
      </x:c>
      <x:c r="E844" t="str">
        <x:v>consulta</x:v>
      </x:c>
      <x:c r="F844" t="n">
        <x:v>1</x:v>
      </x:c>
      <x:c r="G844" t="str">
        <x:v>RF46</x:v>
      </x:c>
      <x:c r="H844" t="str">
        <x:v>RF046-EF1!F57</x:v>
      </x:c>
    </x:row>
    <x:row r="845">
      <x:c r="A845" t="str">
        <x:v>consultarPreferenciasEnvioUsuario</x:v>
      </x:c>
      <x:c r="B845" t="str">
        <x:v>idUsuario</x:v>
      </x:c>
      <x:c r="C845" t="str">
        <x:v>C_ControlNotificacion</x:v>
      </x:c>
      <x:c r="D845" t="str">
        <x:v>E_PreferenciaNotificacion</x:v>
      </x:c>
      <x:c r="E845" t="str">
        <x:v>consulta</x:v>
      </x:c>
      <x:c r="F845" t="n">
        <x:v>1</x:v>
      </x:c>
      <x:c r="G845" t="str">
        <x:v>RF48</x:v>
      </x:c>
      <x:c r="H845" t="str">
        <x:v>RF048-EF1!F14</x:v>
      </x:c>
    </x:row>
    <x:row r="846">
      <x:c r="A846" t="str">
        <x:v>abrirRF14</x:v>
      </x:c>
      <x:c r="B846" t="str">
        <x:v>idVehiculo,ultimoKilometraje,fechaLectura,idNotificacion</x:v>
      </x:c>
      <x:c r="C846" t="str">
        <x:v>C_ControlNotificacion</x:v>
      </x:c>
      <x:c r="D846" t="str">
        <x:v>I_ActualizarKilometraje</x:v>
      </x:c>
      <x:c r="E846" t="str">
        <x:v>presentación/navegación</x:v>
      </x:c>
      <x:c r="F846" t="n">
        <x:v>1</x:v>
      </x:c>
      <x:c r="G846" t="str">
        <x:v>RF47</x:v>
      </x:c>
      <x:c r="H846" t="str">
        <x:v>RF047-EF1!F23</x:v>
      </x:c>
    </x:row>
    <x:row r="847">
      <x:c r="A847" t="str">
        <x:v>actualizarListaFiltrada</x:v>
      </x:c>
      <x:c r="B847" t="str">
        <x:v>listaFiltrada,categoria,pestanaActual</x:v>
      </x:c>
      <x:c r="C847" t="str">
        <x:v>C_ControlNotificacion</x:v>
      </x:c>
      <x:c r="D847" t="str">
        <x:v>I_CentroNotificaciones</x:v>
      </x:c>
      <x:c r="E847" t="str">
        <x:v>escritura</x:v>
      </x:c>
      <x:c r="F847" t="n">
        <x:v>1</x:v>
      </x:c>
      <x:c r="G847" t="str">
        <x:v>RF49</x:v>
      </x:c>
      <x:c r="H847" t="str">
        <x:v>RF049-EF1!F10</x:v>
      </x:c>
    </x:row>
    <x:row r="848">
      <x:c r="A848" t="str">
        <x:v>actualizarPestana</x:v>
      </x:c>
      <x:c r="B848" t="str">
        <x:v>lista,pestanaDestino</x:v>
      </x:c>
      <x:c r="C848" t="str">
        <x:v>C_ControlNotificacion</x:v>
      </x:c>
      <x:c r="D848" t="str">
        <x:v>I_CentroNotificaciones</x:v>
      </x:c>
      <x:c r="E848" t="str">
        <x:v>escritura</x:v>
      </x:c>
      <x:c r="F848" t="n">
        <x:v>1</x:v>
      </x:c>
      <x:c r="G848" t="str">
        <x:v>RF46</x:v>
      </x:c>
      <x:c r="H848" t="str">
        <x:v>RF046-EF1!F28</x:v>
      </x:c>
    </x:row>
    <x:row r="849">
      <x:c r="A849" t="str">
        <x:v>actualizarPestanaManteniendoFiltro</x:v>
      </x:c>
      <x:c r="B849" t="str">
        <x:v>listaFiltrada,categoria,pestanaDestino</x:v>
      </x:c>
      <x:c r="C849" t="str">
        <x:v>C_ControlNotificacion</x:v>
      </x:c>
      <x:c r="D849" t="str">
        <x:v>I_CentroNotificaciones</x:v>
      </x:c>
      <x:c r="E849" t="str">
        <x:v>escritura</x:v>
      </x:c>
      <x:c r="F849" t="n">
        <x:v>1</x:v>
      </x:c>
      <x:c r="G849" t="str">
        <x:v>RF49</x:v>
      </x:c>
      <x:c r="H849" t="str">
        <x:v>RF049-EF1!F18</x:v>
      </x:c>
    </x:row>
    <x:row r="850">
      <x:c r="A850" t="str">
        <x:v>mostrarCentroNotificaciones</x:v>
      </x:c>
      <x:c r="B850" t="str">
        <x:v>pendientes,historial,contadorGlobal,categoria=TODAS</x:v>
      </x:c>
      <x:c r="C850" t="str">
        <x:v>C_ControlNotificacion</x:v>
      </x:c>
      <x:c r="D850" t="str">
        <x:v>I_CentroNotificaciones</x:v>
      </x:c>
      <x:c r="E850" t="str">
        <x:v>presentación/navegación</x:v>
      </x:c>
      <x:c r="F850" t="n">
        <x:v>1</x:v>
      </x:c>
      <x:c r="G850" t="str">
        <x:v>RF46</x:v>
      </x:c>
      <x:c r="H850" t="str">
        <x:v>RF046-EF1!F21</x:v>
      </x:c>
    </x:row>
    <x:row r="851">
      <x:c r="A851" t="str">
        <x:v>mostrarPreferenciasExternas</x:v>
      </x:c>
      <x:c r="B851" t="str">
        <x:v>preferencias</x:v>
      </x:c>
      <x:c r="C851" t="str">
        <x:v>C_ControlNotificacion</x:v>
      </x:c>
      <x:c r="D851" t="str">
        <x:v>I_ConfigNotificaciones</x:v>
      </x:c>
      <x:c r="E851" t="str">
        <x:v>presentación/navegación</x:v>
      </x:c>
      <x:c r="F851" t="n">
        <x:v>1</x:v>
      </x:c>
      <x:c r="G851" t="str">
        <x:v>RF48</x:v>
      </x:c>
      <x:c r="H851" t="str">
        <x:v>RF048-EF1!F16</x:v>
      </x:c>
    </x:row>
    <x:row r="852">
      <x:c r="A852" t="str">
        <x:v>mostrarPreferenciasGuardadas</x:v>
      </x:c>
      <x:c r="B852" t="str">
        <x:v>preferencias</x:v>
      </x:c>
      <x:c r="C852" t="str">
        <x:v>C_ControlNotificacion</x:v>
      </x:c>
      <x:c r="D852" t="str">
        <x:v>I_ConfigNotificaciones</x:v>
      </x:c>
      <x:c r="E852" t="str">
        <x:v>presentación/navegación</x:v>
      </x:c>
      <x:c r="F852" t="n">
        <x:v>1</x:v>
      </x:c>
      <x:c r="G852" t="str">
        <x:v>RF48</x:v>
      </x:c>
      <x:c r="H852" t="str">
        <x:v>RF048-EF1!F28</x:v>
      </x:c>
    </x:row>
    <x:row r="853">
      <x:c r="A853" t="str">
        <x:v>abrirRF24</x:v>
      </x:c>
      <x:c r="B853" t="str">
        <x:v>datosAlerta,idNotificacion</x:v>
      </x:c>
      <x:c r="C853" t="str">
        <x:v>C_ControlNotificacion</x:v>
      </x:c>
      <x:c r="D853" t="str">
        <x:v>I_DetalleAlerta</x:v>
      </x:c>
      <x:c r="E853" t="str">
        <x:v>presentación/navegación</x:v>
      </x:c>
      <x:c r="F853" t="n">
        <x:v>1</x:v>
      </x:c>
      <x:c r="G853" t="str">
        <x:v>RF47</x:v>
      </x:c>
      <x:c r="H853" t="str">
        <x:v>RF047-EF1!F31</x:v>
      </x:c>
    </x:row>
    <x:row r="854">
      <x:c r="A854" t="str">
        <x:v>abrirDetalleSOAT</x:v>
      </x:c>
      <x:c r="B854" t="str">
        <x:v>soatActual,idNotificacion</x:v>
      </x:c>
      <x:c r="C854" t="str">
        <x:v>C_ControlNotificacion</x:v>
      </x:c>
      <x:c r="D854" t="str">
        <x:v>I_DetalleSOAT</x:v>
      </x:c>
      <x:c r="E854" t="str">
        <x:v>presentación/navegación</x:v>
      </x:c>
      <x:c r="F854" t="n">
        <x:v>1</x:v>
      </x:c>
      <x:c r="G854" t="str">
        <x:v>RF47</x:v>
      </x:c>
      <x:c r="H854" t="str">
        <x:v>RF047-EF1!F39</x:v>
      </x:c>
    </x:row>
    <x:row r="855">
      <x:c r="A855" t="str">
        <x:v>enviarPushExterno</x:v>
      </x:c>
      <x:c r="B855" t="str">
        <x:v>notificacionesElegibles</x:v>
      </x:c>
      <x:c r="C855" t="str">
        <x:v>C_ControlNotificacion</x:v>
      </x:c>
      <x:c r="D855" t="str">
        <x:v>I_NotificacionDispositivo</x:v>
      </x:c>
      <x:c r="E855" t="str">
        <x:v>otra</x:v>
      </x:c>
      <x:c r="F855" t="n">
        <x:v>1</x:v>
      </x:c>
      <x:c r="G855" t="str">
        <x:v>RF46</x:v>
      </x:c>
      <x:c r="H855" t="str">
        <x:v>RF046-EF1!F60</x:v>
      </x:c>
    </x:row>
    <x:row r="856">
      <x:c r="A856" t="str">
        <x:v>consultarOSolicitarPermisoNotificacionesExternas</x:v>
      </x:c>
      <x:c r="B856" t="str"/>
      <x:c r="C856" t="str">
        <x:v>C_ControlNotificacion</x:v>
      </x:c>
      <x:c r="D856" t="str">
        <x:v>ServicioPermisosDispositivo</x:v>
      </x:c>
      <x:c r="E856" t="str">
        <x:v>consulta</x:v>
      </x:c>
      <x:c r="F856" t="n">
        <x:v>1</x:v>
      </x:c>
      <x:c r="G856" t="str">
        <x:v>RF48</x:v>
      </x:c>
      <x:c r="H856" t="str">
        <x:v>RF048-EF1!F23</x:v>
      </x:c>
    </x:row>
    <x:row r="857">
      <x:c r="A857" t="str">
        <x:v>validarTitularidadYDuplicidadToken</x:v>
      </x:c>
      <x:c r="B857" t="str">
        <x:v>datosVerificados</x:v>
      </x:c>
      <x:c r="C857" t="str">
        <x:v>C_ControlPago</x:v>
      </x:c>
      <x:c r="D857" t="str">
        <x:v>C_ControlPago</x:v>
      </x:c>
      <x:c r="E857" t="str">
        <x:v>validación</x:v>
      </x:c>
      <x:c r="F857" t="n">
        <x:v>1</x:v>
      </x:c>
      <x:c r="G857" t="str">
        <x:v>RF29</x:v>
      </x:c>
      <x:c r="H857" t="str">
        <x:v>RF029-E1!F42</x:v>
      </x:c>
    </x:row>
    <x:row r="858">
      <x:c r="A858" t="str">
        <x:v>notificarCompraVerificada</x:v>
      </x:c>
      <x:c r="B858" t="str">
        <x:v>idUsuario,idPago,vigencia</x:v>
      </x:c>
      <x:c r="C858" t="str">
        <x:v>C_ControlPago</x:v>
      </x:c>
      <x:c r="D858" t="str">
        <x:v>C_ControlSuscripcion</x:v>
      </x:c>
      <x:c r="E858" t="str">
        <x:v>otra</x:v>
      </x:c>
      <x:c r="F858" t="n">
        <x:v>1</x:v>
      </x:c>
      <x:c r="G858" t="str">
        <x:v>RF29</x:v>
      </x:c>
      <x:c r="H858" t="str">
        <x:v>RF029-E1!F45</x:v>
      </x:c>
    </x:row>
    <x:row r="859">
      <x:c r="A859" t="str">
        <x:v>retornarUltimoPago</x:v>
      </x:c>
      <x:c r="B859" t="str">
        <x:v>datosPago</x:v>
      </x:c>
      <x:c r="C859" t="str">
        <x:v>C_ControlPago</x:v>
      </x:c>
      <x:c r="D859" t="str">
        <x:v>C_ControlSuscripcion</x:v>
      </x:c>
      <x:c r="E859" t="str">
        <x:v>retorno</x:v>
      </x:c>
      <x:c r="F859" t="n">
        <x:v>1</x:v>
      </x:c>
      <x:c r="G859" t="str">
        <x:v>RF30</x:v>
      </x:c>
      <x:c r="H859" t="str">
        <x:v>RF030-E1!F19</x:v>
      </x:c>
    </x:row>
    <x:row r="860">
      <x:c r="A860" t="str">
        <x:v>consultarUltimoPago</x:v>
      </x:c>
      <x:c r="B860" t="str">
        <x:v>idUsuario</x:v>
      </x:c>
      <x:c r="C860" t="str">
        <x:v>C_ControlPago</x:v>
      </x:c>
      <x:c r="D860" t="str">
        <x:v>E_Pago</x:v>
      </x:c>
      <x:c r="E860" t="str">
        <x:v>consulta</x:v>
      </x:c>
      <x:c r="F860" t="n">
        <x:v>1</x:v>
      </x:c>
      <x:c r="G860" t="str">
        <x:v>RF30</x:v>
      </x:c>
      <x:c r="H860" t="str">
        <x:v>RF030-E1!F17</x:v>
      </x:c>
    </x:row>
    <x:row r="861">
      <x:c r="A861" t="str">
        <x:v>registrarPagoVerificado</x:v>
      </x:c>
      <x:c r="B861" t="str">
        <x:v>idUsuario,PREMIUM,token,monto,estado=VERIFICADO</x:v>
      </x:c>
      <x:c r="C861" t="str">
        <x:v>C_ControlPago</x:v>
      </x:c>
      <x:c r="D861" t="str">
        <x:v>E_Pago</x:v>
      </x:c>
      <x:c r="E861" t="str">
        <x:v>escritura</x:v>
      </x:c>
      <x:c r="F861" t="n">
        <x:v>1</x:v>
      </x:c>
      <x:c r="G861" t="str">
        <x:v>RF29</x:v>
      </x:c>
      <x:c r="H861" t="str">
        <x:v>RF029-E1!F43</x:v>
      </x:c>
    </x:row>
    <x:row r="862">
      <x:c r="A862" t="str">
        <x:v>mostrarContratacionPremiumExitosa</x:v>
      </x:c>
      <x:c r="B862" t="str">
        <x:v>datosSuscripcion,datosPago</x:v>
      </x:c>
      <x:c r="C862" t="str">
        <x:v>C_ControlPago</x:v>
      </x:c>
      <x:c r="D862" t="str">
        <x:v>I_ConfirmacionOperacion</x:v>
      </x:c>
      <x:c r="E862" t="str">
        <x:v>presentación/navegación</x:v>
      </x:c>
      <x:c r="F862" t="n">
        <x:v>1</x:v>
      </x:c>
      <x:c r="G862" t="str">
        <x:v>RF29</x:v>
      </x:c>
      <x:c r="H862" t="str">
        <x:v>RF029-E1!F51</x:v>
      </x:c>
    </x:row>
    <x:row r="863">
      <x:c r="A863" t="str">
        <x:v>lanzarFlujoCompra</x:v>
      </x:c>
      <x:c r="B863" t="str">
        <x:v>idProductoGooglePlay</x:v>
      </x:c>
      <x:c r="C863" t="str">
        <x:v>C_ControlPago</x:v>
      </x:c>
      <x:c r="D863" t="str">
        <x:v>ServicioGooglePlayBilling</x:v>
      </x:c>
      <x:c r="E863" t="str">
        <x:v>otra</x:v>
      </x:c>
      <x:c r="F863" t="n">
        <x:v>1</x:v>
      </x:c>
      <x:c r="G863" t="str">
        <x:v>RF29</x:v>
      </x:c>
      <x:c r="H863" t="str">
        <x:v>RF029-E1!F38</x:v>
      </x:c>
    </x:row>
    <x:row r="864">
      <x:c r="A864" t="str">
        <x:v>verificarCompraServidor</x:v>
      </x:c>
      <x:c r="B864" t="str">
        <x:v>purchaseToken,idProducto,cuentaGooglePlay</x:v>
      </x:c>
      <x:c r="C864" t="str">
        <x:v>C_ControlPago</x:v>
      </x:c>
      <x:c r="D864" t="str">
        <x:v>ServicioGooglePlayDeveloperAPI</x:v>
      </x:c>
      <x:c r="E864" t="str">
        <x:v>validación</x:v>
      </x:c>
      <x:c r="F864" t="n">
        <x:v>1</x:v>
      </x:c>
      <x:c r="G864" t="str">
        <x:v>RF29</x:v>
      </x:c>
      <x:c r="H864" t="str">
        <x:v>RF029-E1!F40</x:v>
      </x:c>
    </x:row>
    <x:row r="865">
      <x:c r="A865" t="str">
        <x:v>registrarImagenInicial</x:v>
      </x:c>
      <x:c r="B865" t="str">
        <x:v>idVehiculo,imagen</x:v>
      </x:c>
      <x:c r="C865" t="str">
        <x:v>C_ControlRegistroVehiculo</x:v>
      </x:c>
      <x:c r="D865" t="str">
        <x:v>C_ControlImagenVehiculo</x:v>
      </x:c>
      <x:c r="E865" t="str">
        <x:v>escritura</x:v>
      </x:c>
      <x:c r="F865" t="n">
        <x:v>1</x:v>
      </x:c>
      <x:c r="G865" t="str">
        <x:v>RF08</x:v>
      </x:c>
      <x:c r="H865" t="str">
        <x:v>RF008-EF1!F41</x:v>
      </x:c>
    </x:row>
    <x:row r="866">
      <x:c r="A866" t="str">
        <x:v>registrarKilometrajeInicial</x:v>
      </x:c>
      <x:c r="B866" t="str">
        <x:v>idVehiculo,kilometrajeInicial</x:v>
      </x:c>
      <x:c r="C866" t="str">
        <x:v>C_ControlRegistroVehiculo</x:v>
      </x:c>
      <x:c r="D866" t="str">
        <x:v>C_ControlKilometraje</x:v>
      </x:c>
      <x:c r="E866" t="str">
        <x:v>escritura</x:v>
      </x:c>
      <x:c r="F866" t="n">
        <x:v>1</x:v>
      </x:c>
      <x:c r="G866" t="str">
        <x:v>RF08</x:v>
      </x:c>
      <x:c r="H866" t="str">
        <x:v>RF008-EF1!F47</x:v>
      </x:c>
    </x:row>
    <x:row r="867">
      <x:c r="A867" t="str">
        <x:v>compararResultadosValidacion</x:v>
      </x:c>
      <x:c r="B867" t="str"/>
      <x:c r="C867" t="str">
        <x:v>C_ControlRegistroVehiculo</x:v>
      </x:c>
      <x:c r="D867" t="str">
        <x:v>C_ControlRegistroVehiculo</x:v>
      </x:c>
      <x:c r="E867" t="str">
        <x:v>otra</x:v>
      </x:c>
      <x:c r="F867" t="n">
        <x:v>1</x:v>
      </x:c>
      <x:c r="G867" t="str">
        <x:v>RF08</x:v>
      </x:c>
      <x:c r="H867" t="str">
        <x:v>RF008-EF1!F37</x:v>
      </x:c>
    </x:row>
    <x:row r="868">
      <x:c r="A868" t="str">
        <x:v>determinarAsignacionPrincipal</x:v>
      </x:c>
      <x:c r="B868" t="str">
        <x:v>cantidad</x:v>
      </x:c>
      <x:c r="C868" t="str">
        <x:v>C_ControlRegistroVehiculo</x:v>
      </x:c>
      <x:c r="D868" t="str">
        <x:v>C_ControlRegistroVehiculo</x:v>
      </x:c>
      <x:c r="E868" t="str">
        <x:v>otra</x:v>
      </x:c>
      <x:c r="F868" t="n">
        <x:v>1</x:v>
      </x:c>
      <x:c r="G868" t="str">
        <x:v>RF08</x:v>
      </x:c>
      <x:c r="H868" t="str">
        <x:v>RF008-EF1!F43</x:v>
      </x:c>
    </x:row>
    <x:row r="869">
      <x:c r="A869" t="str">
        <x:v>evaluarPermisoRegistro</x:v>
      </x:c>
      <x:c r="B869" t="str">
        <x:v>tipoPlan,cantidadRegistrados</x:v>
      </x:c>
      <x:c r="C869" t="str">
        <x:v>C_ControlRegistroVehiculo</x:v>
      </x:c>
      <x:c r="D869" t="str">
        <x:v>C_ControlRegistroVehiculo</x:v>
      </x:c>
      <x:c r="E869" t="str">
        <x:v>otra</x:v>
      </x:c>
      <x:c r="F869" t="n">
        <x:v>1</x:v>
      </x:c>
      <x:c r="G869" t="str">
        <x:v>RF08</x:v>
      </x:c>
      <x:c r="H869" t="str">
        <x:v>RF008-EF1!F17</x:v>
      </x:c>
    </x:row>
    <x:row r="870">
      <x:c r="A870" t="str">
        <x:v>validarPlanActivo</x:v>
      </x:c>
      <x:c r="B870" t="str">
        <x:v>idUsuario</x:v>
      </x:c>
      <x:c r="C870" t="str">
        <x:v>C_ControlRegistroVehiculo</x:v>
      </x:c>
      <x:c r="D870" t="str">
        <x:v>C_ControlSuscripcion</x:v>
      </x:c>
      <x:c r="E870" t="str">
        <x:v>validación</x:v>
      </x:c>
      <x:c r="F870" t="n">
        <x:v>1</x:v>
      </x:c>
      <x:c r="G870" t="str">
        <x:v>RF08</x:v>
      </x:c>
      <x:c r="H870" t="str">
        <x:v>RF008-EF1!F11</x:v>
      </x:c>
    </x:row>
    <x:row r="871">
      <x:c r="A871" t="str">
        <x:v>inicializarRecordatorioKilometraje</x:v>
      </x:c>
      <x:c r="B871" t="str">
        <x:v>idUsuario,idVehiculo,fechaGuardado,frecuencia=INTERDIARIO</x:v>
      </x:c>
      <x:c r="C871" t="str">
        <x:v>C_ControlRegistroVehiculo</x:v>
      </x:c>
      <x:c r="D871" t="str">
        <x:v>C_RecordatorioKm</x:v>
      </x:c>
      <x:c r="E871" t="str">
        <x:v>otra</x:v>
      </x:c>
      <x:c r="F871" t="n">
        <x:v>1</x:v>
      </x:c>
      <x:c r="G871" t="str">
        <x:v>RF08</x:v>
      </x:c>
      <x:c r="H871" t="str">
        <x:v>RF008-EF1!F51</x:v>
      </x:c>
    </x:row>
    <x:row r="872">
      <x:c r="A872" t="str">
        <x:v>validarImagenOpcional</x:v>
      </x:c>
      <x:c r="B872" t="str">
        <x:v>imagen</x:v>
      </x:c>
      <x:c r="C872" t="str">
        <x:v>C_ControlRegistroVehiculo</x:v>
      </x:c>
      <x:c r="D872" t="str">
        <x:v>C_ValidacionImagenVehiculo</x:v>
      </x:c>
      <x:c r="E872" t="str">
        <x:v>validación</x:v>
      </x:c>
      <x:c r="F872" t="n">
        <x:v>1</x:v>
      </x:c>
      <x:c r="G872" t="str">
        <x:v>RF08</x:v>
      </x:c>
      <x:c r="H872" t="str">
        <x:v>RF008-EF1!F31</x:v>
      </x:c>
    </x:row>
    <x:row r="873">
      <x:c r="A873" t="str">
        <x:v>validarDatosVehiculo</x:v>
      </x:c>
      <x:c r="B873" t="str">
        <x:v>datosVehiculo</x:v>
      </x:c>
      <x:c r="C873" t="str">
        <x:v>C_ControlRegistroVehiculo</x:v>
      </x:c>
      <x:c r="D873" t="str">
        <x:v>C_ValidacionVehiculo</x:v>
      </x:c>
      <x:c r="E873" t="str">
        <x:v>validación</x:v>
      </x:c>
      <x:c r="F873" t="n">
        <x:v>1</x:v>
      </x:c>
      <x:c r="G873" t="str">
        <x:v>RF08</x:v>
      </x:c>
      <x:c r="H873" t="str">
        <x:v>RF008-EF1!F23</x:v>
      </x:c>
    </x:row>
    <x:row r="874">
      <x:c r="A874" t="str">
        <x:v>actualizarEstadoPrincipalSiCorresponde</x:v>
      </x:c>
      <x:c r="B874" t="str">
        <x:v>idVehiculo,esPrincipal</x:v>
      </x:c>
      <x:c r="C874" t="str">
        <x:v>C_ControlRegistroVehiculo</x:v>
      </x:c>
      <x:c r="D874" t="str">
        <x:v>E_Vehiculo</x:v>
      </x:c>
      <x:c r="E874" t="str">
        <x:v>escritura</x:v>
      </x:c>
      <x:c r="F874" t="n">
        <x:v>1</x:v>
      </x:c>
      <x:c r="G874" t="str">
        <x:v>RF08</x:v>
      </x:c>
      <x:c r="H874" t="str">
        <x:v>RF008-EF1!F44</x:v>
      </x:c>
    </x:row>
    <x:row r="875">
      <x:c r="A875" t="str">
        <x:v>consultarCantidadVehiculosRegistrados</x:v>
      </x:c>
      <x:c r="B875" t="str">
        <x:v>idUsuario</x:v>
      </x:c>
      <x:c r="C875" t="str">
        <x:v>C_ControlRegistroVehiculo</x:v>
      </x:c>
      <x:c r="D875" t="str">
        <x:v>E_Vehiculo</x:v>
      </x:c>
      <x:c r="E875" t="str">
        <x:v>consulta</x:v>
      </x:c>
      <x:c r="F875" t="n">
        <x:v>1</x:v>
      </x:c>
      <x:c r="G875" t="str">
        <x:v>RF08</x:v>
      </x:c>
      <x:c r="H875" t="str">
        <x:v>RF008-EF1!F15</x:v>
      </x:c>
    </x:row>
    <x:row r="876">
      <x:c r="A876" t="str">
        <x:v>consultarPlacaExistente</x:v>
      </x:c>
      <x:c r="B876" t="str">
        <x:v>placa</x:v>
      </x:c>
      <x:c r="C876" t="str">
        <x:v>C_ControlRegistroVehiculo</x:v>
      </x:c>
      <x:c r="D876" t="str">
        <x:v>E_Vehiculo</x:v>
      </x:c>
      <x:c r="E876" t="str">
        <x:v>consulta</x:v>
      </x:c>
      <x:c r="F876" t="n">
        <x:v>1</x:v>
      </x:c>
      <x:c r="G876" t="str">
        <x:v>RF08</x:v>
      </x:c>
      <x:c r="H876" t="str">
        <x:v>RF008-EF1!F33</x:v>
      </x:c>
    </x:row>
    <x:row r="877">
      <x:c r="A877" t="str">
        <x:v>consultarVINExistenteSiInformado</x:v>
      </x:c>
      <x:c r="B877" t="str">
        <x:v>numeroVin</x:v>
      </x:c>
      <x:c r="C877" t="str">
        <x:v>C_ControlRegistroVehiculo</x:v>
      </x:c>
      <x:c r="D877" t="str">
        <x:v>E_Vehiculo</x:v>
      </x:c>
      <x:c r="E877" t="str">
        <x:v>consulta</x:v>
      </x:c>
      <x:c r="F877" t="n">
        <x:v>1</x:v>
      </x:c>
      <x:c r="G877" t="str">
        <x:v>RF08</x:v>
      </x:c>
      <x:c r="H877" t="str">
        <x:v>RF008-EF1!F35</x:v>
      </x:c>
    </x:row>
    <x:row r="878">
      <x:c r="A878" t="str">
        <x:v>guardarVehiculo</x:v>
      </x:c>
      <x:c r="B878" t="str">
        <x:v>datosVehiculo,estado</x:v>
      </x:c>
      <x:c r="C878" t="str">
        <x:v>C_ControlRegistroVehiculo</x:v>
      </x:c>
      <x:c r="D878" t="str">
        <x:v>E_Vehiculo</x:v>
      </x:c>
      <x:c r="E878" t="str">
        <x:v>otra</x:v>
      </x:c>
      <x:c r="F878" t="n">
        <x:v>1</x:v>
      </x:c>
      <x:c r="G878" t="str">
        <x:v>RF08</x:v>
      </x:c>
      <x:c r="H878" t="str">
        <x:v>RF008-EF1!F39</x:v>
      </x:c>
    </x:row>
    <x:row r="879">
      <x:c r="A879" t="str">
        <x:v>mostrarResultadoRegistroExitoso</x:v>
      </x:c>
      <x:c r="B879" t="str">
        <x:v>mensaje</x:v>
      </x:c>
      <x:c r="C879" t="str">
        <x:v>C_ControlRegistroVehiculo</x:v>
      </x:c>
      <x:c r="D879" t="str">
        <x:v>I_ConfirmacionOperacion</x:v>
      </x:c>
      <x:c r="E879" t="str">
        <x:v>presentación/navegación</x:v>
      </x:c>
      <x:c r="F879" t="n">
        <x:v>1</x:v>
      </x:c>
      <x:c r="G879" t="str">
        <x:v>RF08</x:v>
      </x:c>
      <x:c r="H879" t="str">
        <x:v>RF008-EF1!F56</x:v>
      </x:c>
    </x:row>
    <x:row r="880">
      <x:c r="A880" t="str">
        <x:v>mostrarFormularioRegistro</x:v>
      </x:c>
      <x:c r="B880" t="str"/>
      <x:c r="C880" t="str">
        <x:v>C_ControlRegistroVehiculo</x:v>
      </x:c>
      <x:c r="D880" t="str">
        <x:v>I_RegistroVehiculo</x:v>
      </x:c>
      <x:c r="E880" t="str">
        <x:v>presentación/navegación</x:v>
      </x:c>
      <x:c r="F880" t="n">
        <x:v>1</x:v>
      </x:c>
      <x:c r="G880" t="str">
        <x:v>RF08</x:v>
      </x:c>
      <x:c r="H880" t="str">
        <x:v>RF008-EF1!F18</x:v>
      </x:c>
    </x:row>
    <x:row r="881">
      <x:c r="A881" t="str">
        <x:v>retornarRepuestosMantenimiento</x:v>
      </x:c>
      <x:c r="B881" t="str">
        <x:v>lista_repuestos_detalle</x:v>
      </x:c>
      <x:c r="C881" t="str">
        <x:v>C_ControlRepuesto</x:v>
      </x:c>
      <x:c r="D881" t="str">
        <x:v>C_ControlHistorial</x:v>
      </x:c>
      <x:c r="E881" t="str">
        <x:v>retorno</x:v>
      </x:c>
      <x:c r="F881" t="n">
        <x:v>1</x:v>
      </x:c>
      <x:c r="G881" t="str">
        <x:v>RF19</x:v>
      </x:c>
      <x:c r="H881" t="str">
        <x:v>RF19!F26</x:v>
      </x:c>
    </x:row>
    <x:row r="882">
      <x:c r="A882" t="str">
        <x:v>retornarRepuestosParaExportacion</x:v>
      </x:c>
      <x:c r="B882" t="str">
        <x:v>repuestos_por_mantenimiento</x:v>
      </x:c>
      <x:c r="C882" t="str">
        <x:v>C_ControlRepuesto</x:v>
      </x:c>
      <x:c r="D882" t="str">
        <x:v>C_ControlHistorial</x:v>
      </x:c>
      <x:c r="E882" t="str">
        <x:v>retorno</x:v>
      </x:c>
      <x:c r="F882" t="n">
        <x:v>1</x:v>
      </x:c>
      <x:c r="G882" t="str">
        <x:v>RF27</x:v>
      </x:c>
      <x:c r="H882" t="str">
        <x:v>RF27!F50</x:v>
      </x:c>
    </x:row>
    <x:row r="883">
      <x:c r="A883" t="str">
        <x:v>retornarRepuestosSoloLectura</x:v>
      </x:c>
      <x:c r="B883" t="str">
        <x:v>lista_repuestos_detalle</x:v>
      </x:c>
      <x:c r="C883" t="str">
        <x:v>C_ControlRepuesto</x:v>
      </x:c>
      <x:c r="D883" t="str">
        <x:v>C_ControlMantenimiento</x:v>
      </x:c>
      <x:c r="E883" t="str">
        <x:v>retorno</x:v>
      </x:c>
      <x:c r="F883" t="n">
        <x:v>1</x:v>
      </x:c>
      <x:c r="G883" t="str">
        <x:v>RF20</x:v>
      </x:c>
      <x:c r="H883" t="str">
        <x:v>RF20!F18</x:v>
      </x:c>
    </x:row>
    <x:row r="884">
      <x:c r="A884" t="str">
        <x:v>consultarRelacionesPorMantenimientos</x:v>
      </x:c>
      <x:c r="B884" t="str">
        <x:v>lista_id_mantenimiento</x:v>
      </x:c>
      <x:c r="C884" t="str">
        <x:v>C_ControlRepuesto</x:v>
      </x:c>
      <x:c r="D884" t="str">
        <x:v>E_MantenimientoRepuesto</x:v>
      </x:c>
      <x:c r="E884" t="str">
        <x:v>consulta</x:v>
      </x:c>
      <x:c r="F884" t="n">
        <x:v>1</x:v>
      </x:c>
      <x:c r="G884" t="str">
        <x:v>RF27</x:v>
      </x:c>
      <x:c r="H884" t="str">
        <x:v>RF27!F46</x:v>
      </x:c>
    </x:row>
    <x:row r="885">
      <x:c r="A885" t="str">
        <x:v>consultarRelacionesRepuestos</x:v>
      </x:c>
      <x:c r="B885" t="str">
        <x:v>id_mantenimiento</x:v>
      </x:c>
      <x:c r="C885" t="str">
        <x:v>C_ControlRepuesto</x:v>
      </x:c>
      <x:c r="D885" t="str">
        <x:v>E_MantenimientoRepuesto</x:v>
      </x:c>
      <x:c r="E885" t="str">
        <x:v>consulta</x:v>
      </x:c>
      <x:c r="F885" t="n">
        <x:v>1</x:v>
      </x:c>
      <x:c r="G885" t="str">
        <x:v>RF19</x:v>
      </x:c>
      <x:c r="H885" t="str">
        <x:v>RF19!F22</x:v>
      </x:c>
    </x:row>
    <x:row r="886">
      <x:c r="A886" t="str">
        <x:v>consultarRepuestosUtilizadosConDetalle</x:v>
      </x:c>
      <x:c r="B886" t="str">
        <x:v>id_mantenimiento</x:v>
      </x:c>
      <x:c r="C886" t="str">
        <x:v>C_ControlRepuesto</x:v>
      </x:c>
      <x:c r="D886" t="str">
        <x:v>E_MantenimientoRepuesto</x:v>
      </x:c>
      <x:c r="E886" t="str">
        <x:v>consulta</x:v>
      </x:c>
      <x:c r="F886" t="n">
        <x:v>1</x:v>
      </x:c>
      <x:c r="G886" t="str">
        <x:v>RF20</x:v>
      </x:c>
      <x:c r="H886" t="str">
        <x:v>RF20!F16</x:v>
      </x:c>
    </x:row>
    <x:row r="887">
      <x:c r="A887" t="str">
        <x:v>consultarRepuestosPorIds</x:v>
      </x:c>
      <x:c r="B887" t="str">
        <x:v>lista_id_repuesto</x:v>
      </x:c>
      <x:c r="C887" t="str">
        <x:v>C_ControlRepuesto</x:v>
      </x:c>
      <x:c r="D887" t="str">
        <x:v>E_Repuesto</x:v>
      </x:c>
      <x:c r="E887" t="str">
        <x:v>consulta</x:v>
      </x:c>
      <x:c r="F887" t="n">
        <x:v>2</x:v>
      </x:c>
      <x:c r="G887" t="str">
        <x:v>RF19, RF27</x:v>
      </x:c>
      <x:c r="H887" t="str">
        <x:v>RF19!F24</x:v>
      </x:c>
    </x:row>
    <x:row r="888">
      <x:c r="A888" t="str">
        <x:v>procesarAccionRecordatorioSOAT</x:v>
      </x:c>
      <x:c r="B888" t="str">
        <x:v>idUsuario,idVehiculo,idSOAT,fechaVencimiento,accion</x:v>
      </x:c>
      <x:c r="C888" t="str">
        <x:v>C_ControlSOAT</x:v>
      </x:c>
      <x:c r="D888" t="str">
        <x:v>C_ControlAlerta</x:v>
      </x:c>
      <x:c r="E888" t="str">
        <x:v>otra</x:v>
      </x:c>
      <x:c r="F888" t="n">
        <x:v>1</x:v>
      </x:c>
      <x:c r="G888" t="str">
        <x:v>RF33</x:v>
      </x:c>
      <x:c r="H888" t="str">
        <x:v>RF033-EF1!F38</x:v>
      </x:c>
    </x:row>
    <x:row r="889">
      <x:c r="A889" t="str">
        <x:v>procesarActivacionRecordatorioSOAT</x:v>
      </x:c>
      <x:c r="B889" t="str">
        <x:v>idUsuario,idVehiculo,idSOAT,fechaVencimiento</x:v>
      </x:c>
      <x:c r="C889" t="str">
        <x:v>C_ControlSOAT</x:v>
      </x:c>
      <x:c r="D889" t="str">
        <x:v>C_ControlAlerta</x:v>
      </x:c>
      <x:c r="E889" t="str">
        <x:v>otra</x:v>
      </x:c>
      <x:c r="F889" t="n">
        <x:v>1</x:v>
      </x:c>
      <x:c r="G889" t="str">
        <x:v>RF31</x:v>
      </x:c>
      <x:c r="H889" t="str">
        <x:v>RF031-EF1!F40</x:v>
      </x:c>
    </x:row>
    <x:row r="890">
      <x:c r="A890" t="str">
        <x:v>procesarRenovacionSOAT</x:v>
      </x:c>
      <x:c r="B890" t="str">
        <x:v>idSOATAnterior,idSOATNuevo,idVehiculo,recordatorioActivo</x:v>
      </x:c>
      <x:c r="C890" t="str">
        <x:v>C_ControlSOAT</x:v>
      </x:c>
      <x:c r="D890" t="str">
        <x:v>C_ControlAlerta</x:v>
      </x:c>
      <x:c r="E890" t="str">
        <x:v>otra</x:v>
      </x:c>
      <x:c r="F890" t="n">
        <x:v>1</x:v>
      </x:c>
      <x:c r="G890" t="str">
        <x:v>RF32</x:v>
      </x:c>
      <x:c r="H890" t="str">
        <x:v>RF032-EF1!F65</x:v>
      </x:c>
    </x:row>
    <x:row r="891">
      <x:c r="A891" t="str">
        <x:v>sincronizarSeguimientoSOATTrasEdicion</x:v>
      </x:c>
      <x:c r="B891" t="str">
        <x:v>idUsuario,idVehiculo,idSOAT,soatActualizado.fechaVencimiento,recordatorioActivo</x:v>
      </x:c>
      <x:c r="C891" t="str">
        <x:v>C_ControlSOAT</x:v>
      </x:c>
      <x:c r="D891" t="str">
        <x:v>C_ControlAlerta</x:v>
      </x:c>
      <x:c r="E891" t="str">
        <x:v>otra</x:v>
      </x:c>
      <x:c r="F891" t="n">
        <x:v>1</x:v>
      </x:c>
      <x:c r="G891" t="str">
        <x:v>RF32</x:v>
      </x:c>
      <x:c r="H891" t="str">
        <x:v>RF032-EF1!F43</x:v>
      </x:c>
    </x:row>
    <x:row r="892">
      <x:c r="A892" t="str">
        <x:v>solicitarEstadoRecordatorioSOAT</x:v>
      </x:c>
      <x:c r="B892" t="str">
        <x:v>idSOAT</x:v>
      </x:c>
      <x:c r="C892" t="str">
        <x:v>C_ControlSOAT</x:v>
      </x:c>
      <x:c r="D892" t="str">
        <x:v>C_ControlAlerta</x:v>
      </x:c>
      <x:c r="E892" t="str">
        <x:v>presentación/navegación</x:v>
      </x:c>
      <x:c r="F892" t="n">
        <x:v>1</x:v>
      </x:c>
      <x:c r="G892" t="str">
        <x:v>RF33</x:v>
      </x:c>
      <x:c r="H892" t="str">
        <x:v>RF033-EF1!F29</x:v>
      </x:c>
    </x:row>
    <x:row r="893">
      <x:c r="A893" t="str">
        <x:v>retornarInformacionSOAT</x:v>
      </x:c>
      <x:c r="B893" t="str">
        <x:v>datosSOAT,estadoSOAT</x:v>
      </x:c>
      <x:c r="C893" t="str">
        <x:v>C_ControlSOAT</x:v>
      </x:c>
      <x:c r="D893" t="str">
        <x:v>C_ControlDetalleVehiculo</x:v>
      </x:c>
      <x:c r="E893" t="str">
        <x:v>retorno</x:v>
      </x:c>
      <x:c r="F893" t="n">
        <x:v>1</x:v>
      </x:c>
      <x:c r="G893" t="str">
        <x:v>RF10</x:v>
      </x:c>
      <x:c r="H893" t="str">
        <x:v>RF010-EF1!F19</x:v>
      </x:c>
    </x:row>
    <x:row r="894">
      <x:c r="A894" t="str">
        <x:v>retornarEstadosSOAT</x:v>
      </x:c>
      <x:c r="B894" t="str">
        <x:v>mapaSOAT</x:v>
      </x:c>
      <x:c r="C894" t="str">
        <x:v>C_ControlSOAT</x:v>
      </x:c>
      <x:c r="D894" t="str">
        <x:v>C_ControlListadoVehiculos</x:v>
      </x:c>
      <x:c r="E894" t="str">
        <x:v>retorno</x:v>
      </x:c>
      <x:c r="F894" t="n">
        <x:v>4</x:v>
      </x:c>
      <x:c r="G894" t="str">
        <x:v>RF09, RF12, RF13</x:v>
      </x:c>
      <x:c r="H894" t="str">
        <x:v>RF009-EF1!F21</x:v>
      </x:c>
    </x:row>
    <x:row r="895">
      <x:c r="A895" t="str">
        <x:v>retornarDetalleSOAT</x:v>
      </x:c>
      <x:c r="B895" t="str">
        <x:v>soatActual</x:v>
      </x:c>
      <x:c r="C895" t="str">
        <x:v>C_ControlSOAT</x:v>
      </x:c>
      <x:c r="D895" t="str">
        <x:v>C_ControlNotificacion</x:v>
      </x:c>
      <x:c r="E895" t="str">
        <x:v>retorno</x:v>
      </x:c>
      <x:c r="F895" t="n">
        <x:v>1</x:v>
      </x:c>
      <x:c r="G895" t="str">
        <x:v>RF47</x:v>
      </x:c>
      <x:c r="H895" t="str">
        <x:v>RF047-EF1!F38</x:v>
      </x:c>
    </x:row>
    <x:row r="896">
      <x:c r="A896" t="str">
        <x:v>validarCamposObligatorios</x:v>
      </x:c>
      <x:c r="B896" t="str">
        <x:v>datosSOAT</x:v>
      </x:c>
      <x:c r="C896" t="str">
        <x:v>C_ControlSOAT</x:v>
      </x:c>
      <x:c r="D896" t="str">
        <x:v>C_ControlSOAT</x:v>
      </x:c>
      <x:c r="E896" t="str">
        <x:v>validación</x:v>
      </x:c>
      <x:c r="F896" t="n">
        <x:v>1</x:v>
      </x:c>
      <x:c r="G896" t="str">
        <x:v>RF31</x:v>
      </x:c>
      <x:c r="H896" t="str">
        <x:v>RF031-EF1!F30</x:v>
      </x:c>
    </x:row>
    <x:row r="897">
      <x:c r="A897" t="str">
        <x:v>validarDatosOpcionalesSOAT</x:v>
      </x:c>
      <x:c r="B897" t="str">
        <x:v>importePrima?,fechaEmision?,nombreContratante?</x:v>
      </x:c>
      <x:c r="C897" t="str">
        <x:v>C_ControlSOAT</x:v>
      </x:c>
      <x:c r="D897" t="str">
        <x:v>C_ControlSOAT</x:v>
      </x:c>
      <x:c r="E897" t="str">
        <x:v>validación</x:v>
      </x:c>
      <x:c r="F897" t="n">
        <x:v>2</x:v>
      </x:c>
      <x:c r="G897" t="str">
        <x:v>RF31, RF32</x:v>
      </x:c>
      <x:c r="H897" t="str">
        <x:v>RF031-EF1!F32</x:v>
      </x:c>
    </x:row>
    <x:row r="898">
      <x:c r="A898" t="str">
        <x:v>validarDatosVigenciaEditada</x:v>
      </x:c>
      <x:c r="B898" t="str">
        <x:v>aseguradora,numeroPoliza,fechaInicio,fechaVencimiento</x:v>
      </x:c>
      <x:c r="C898" t="str">
        <x:v>C_ControlSOAT</x:v>
      </x:c>
      <x:c r="D898" t="str">
        <x:v>C_ControlSOAT</x:v>
      </x:c>
      <x:c r="E898" t="str">
        <x:v>validación</x:v>
      </x:c>
      <x:c r="F898" t="n">
        <x:v>1</x:v>
      </x:c>
      <x:c r="G898" t="str">
        <x:v>RF32</x:v>
      </x:c>
      <x:c r="H898" t="str">
        <x:v>RF032-EF1!F39</x:v>
      </x:c>
    </x:row>
    <x:row r="899">
      <x:c r="A899" t="str">
        <x:v>validarFechasSOAT</x:v>
      </x:c>
      <x:c r="B899" t="str">
        <x:v>fechaInicio,fechaVencimiento</x:v>
      </x:c>
      <x:c r="C899" t="str">
        <x:v>C_ControlSOAT</x:v>
      </x:c>
      <x:c r="D899" t="str">
        <x:v>C_ControlSOAT</x:v>
      </x:c>
      <x:c r="E899" t="str">
        <x:v>validación</x:v>
      </x:c>
      <x:c r="F899" t="n">
        <x:v>1</x:v>
      </x:c>
      <x:c r="G899" t="str">
        <x:v>RF31</x:v>
      </x:c>
      <x:c r="H899" t="str">
        <x:v>RF031-EF1!F31</x:v>
      </x:c>
    </x:row>
    <x:row r="900">
      <x:c r="A900" t="str">
        <x:v>validarRenovacionSOAT</x:v>
      </x:c>
      <x:c r="B900" t="str">
        <x:v>datosRenovacion,soatActual,fechaRegistro</x:v>
      </x:c>
      <x:c r="C900" t="str">
        <x:v>C_ControlSOAT</x:v>
      </x:c>
      <x:c r="D900" t="str">
        <x:v>C_ControlSOAT</x:v>
      </x:c>
      <x:c r="E900" t="str">
        <x:v>validación</x:v>
      </x:c>
      <x:c r="F900" t="n">
        <x:v>1</x:v>
      </x:c>
      <x:c r="G900" t="str">
        <x:v>RF32</x:v>
      </x:c>
      <x:c r="H900" t="str">
        <x:v>RF032-EF1!F62</x:v>
      </x:c>
    </x:row>
    <x:row r="901">
      <x:c r="A901" t="str">
        <x:v>solicitarVehiculoPropioActivo</x:v>
      </x:c>
      <x:c r="B901" t="str">
        <x:v>idUsuario,idVehiculo</x:v>
      </x:c>
      <x:c r="C901" t="str">
        <x:v>C_ControlSOAT</x:v>
      </x:c>
      <x:c r="D901" t="str">
        <x:v>C_ControlVehiculo</x:v>
      </x:c>
      <x:c r="E901" t="str">
        <x:v>presentación/navegación</x:v>
      </x:c>
      <x:c r="F901" t="n">
        <x:v>1</x:v>
      </x:c>
      <x:c r="G901" t="str">
        <x:v>RF33</x:v>
      </x:c>
      <x:c r="H901" t="str">
        <x:v>RF033-EF1!F17</x:v>
      </x:c>
    </x:row>
    <x:row r="902">
      <x:c r="A902" t="str">
        <x:v>validarVehiculoSOATUsuario</x:v>
      </x:c>
      <x:c r="B902" t="str">
        <x:v>idUsuario,idVehiculo,requiereActivo=true</x:v>
      </x:c>
      <x:c r="C902" t="str">
        <x:v>C_ControlSOAT</x:v>
      </x:c>
      <x:c r="D902" t="str">
        <x:v>C_ControlVehiculo</x:v>
      </x:c>
      <x:c r="E902" t="str">
        <x:v>validación</x:v>
      </x:c>
      <x:c r="F902" t="n">
        <x:v>2</x:v>
      </x:c>
      <x:c r="G902" t="str">
        <x:v>RF31, RF32</x:v>
      </x:c>
      <x:c r="H902" t="str">
        <x:v>RF031-EF1!F17</x:v>
      </x:c>
    </x:row>
    <x:row r="903">
      <x:c r="A903" t="str">
        <x:v>actualizarRecordatorioActivo</x:v>
      </x:c>
      <x:c r="B903" t="str">
        <x:v>idSOAT,false</x:v>
      </x:c>
      <x:c r="C903" t="str">
        <x:v>C_ControlSOAT</x:v>
      </x:c>
      <x:c r="D903" t="str">
        <x:v>E_SOAT</x:v>
      </x:c>
      <x:c r="E903" t="str">
        <x:v>escritura</x:v>
      </x:c>
      <x:c r="F903" t="n">
        <x:v>1</x:v>
      </x:c>
      <x:c r="G903" t="str">
        <x:v>RF33</x:v>
      </x:c>
      <x:c r="H903" t="str">
        <x:v>RF033-EF1!F60</x:v>
      </x:c>
    </x:row>
    <x:row r="904">
      <x:c r="A904" t="str">
        <x:v>actualizarRecordatorioActivo</x:v>
      </x:c>
      <x:c r="B904" t="str">
        <x:v>idSOAT,true</x:v>
      </x:c>
      <x:c r="C904" t="str">
        <x:v>C_ControlSOAT</x:v>
      </x:c>
      <x:c r="D904" t="str">
        <x:v>E_SOAT</x:v>
      </x:c>
      <x:c r="E904" t="str">
        <x:v>escritura</x:v>
      </x:c>
      <x:c r="F904" t="n">
        <x:v>2</x:v>
      </x:c>
      <x:c r="G904" t="str">
        <x:v>RF31, RF33</x:v>
      </x:c>
      <x:c r="H904" t="str">
        <x:v>RF031-EF1!F52</x:v>
      </x:c>
    </x:row>
    <x:row r="905">
      <x:c r="A905" t="str">
        <x:v>actualizarVigenciaActualSinRenovar</x:v>
      </x:c>
      <x:c r="B905" t="str">
        <x:v>idSOAT,aseguradora,numeroPoliza,fechaInicio,fechaVencimiento,importePrima?,fechaEmision?,nombreContratante?</x:v>
      </x:c>
      <x:c r="C905" t="str">
        <x:v>C_ControlSOAT</x:v>
      </x:c>
      <x:c r="D905" t="str">
        <x:v>E_SOAT</x:v>
      </x:c>
      <x:c r="E905" t="str">
        <x:v>escritura</x:v>
      </x:c>
      <x:c r="F905" t="n">
        <x:v>1</x:v>
      </x:c>
      <x:c r="G905" t="str">
        <x:v>RF32</x:v>
      </x:c>
      <x:c r="H905" t="str">
        <x:v>RF032-EF1!F41</x:v>
      </x:c>
    </x:row>
    <x:row r="906">
      <x:c r="A906" t="str">
        <x:v>consultarEstadosSOATPorVehiculos</x:v>
      </x:c>
      <x:c r="B906" t="str">
        <x:v>idsVehiculos</x:v>
      </x:c>
      <x:c r="C906" t="str">
        <x:v>C_ControlSOAT</x:v>
      </x:c>
      <x:c r="D906" t="str">
        <x:v>E_SOAT</x:v>
      </x:c>
      <x:c r="E906" t="str">
        <x:v>consulta</x:v>
      </x:c>
      <x:c r="F906" t="n">
        <x:v>3</x:v>
      </x:c>
      <x:c r="G906" t="str">
        <x:v>RF09, RF12, RF13</x:v>
      </x:c>
      <x:c r="H906" t="str">
        <x:v>RF009-EF1!F19</x:v>
      </x:c>
    </x:row>
    <x:row r="907">
      <x:c r="A907" t="str">
        <x:v>consultarEstadosSOATPorVehiculos</x:v>
      </x:c>
      <x:c r="B907" t="str">
        <x:v>idsVehiculosFiltrados</x:v>
      </x:c>
      <x:c r="C907" t="str">
        <x:v>C_ControlSOAT</x:v>
      </x:c>
      <x:c r="D907" t="str">
        <x:v>E_SOAT</x:v>
      </x:c>
      <x:c r="E907" t="str">
        <x:v>consulta</x:v>
      </x:c>
      <x:c r="F907" t="n">
        <x:v>1</x:v>
      </x:c>
      <x:c r="G907" t="str">
        <x:v>RF09</x:v>
      </x:c>
      <x:c r="H907" t="str">
        <x:v>RF009-EF1!F45</x:v>
      </x:c>
    </x:row>
    <x:row r="908">
      <x:c r="A908" t="str">
        <x:v>consultarSOATActual</x:v>
      </x:c>
      <x:c r="B908" t="str">
        <x:v>idVehiculo</x:v>
      </x:c>
      <x:c r="C908" t="str">
        <x:v>C_ControlSOAT</x:v>
      </x:c>
      <x:c r="D908" t="str">
        <x:v>E_SOAT</x:v>
      </x:c>
      <x:c r="E908" t="str">
        <x:v>consulta</x:v>
      </x:c>
      <x:c r="F908" t="n">
        <x:v>2</x:v>
      </x:c>
      <x:c r="G908" t="str">
        <x:v>RF32, RF47</x:v>
      </x:c>
      <x:c r="H908" t="str">
        <x:v>RF032-EF1!F21</x:v>
      </x:c>
    </x:row>
    <x:row r="909">
      <x:c r="A909" t="str">
        <x:v>consultarSOATPorVehiculo</x:v>
      </x:c>
      <x:c r="B909" t="str">
        <x:v>idVehiculo</x:v>
      </x:c>
      <x:c r="C909" t="str">
        <x:v>C_ControlSOAT</x:v>
      </x:c>
      <x:c r="D909" t="str">
        <x:v>E_SOAT</x:v>
      </x:c>
      <x:c r="E909" t="str">
        <x:v>consulta</x:v>
      </x:c>
      <x:c r="F909" t="n">
        <x:v>1</x:v>
      </x:c>
      <x:c r="G909" t="str">
        <x:v>RF10</x:v>
      </x:c>
      <x:c r="H909" t="str">
        <x:v>RF010-EF1!F17</x:v>
      </x:c>
    </x:row>
    <x:row r="910">
      <x:c r="A910" t="str">
        <x:v>consultarSOATVigente</x:v>
      </x:c>
      <x:c r="B910" t="str">
        <x:v>idVehiculo</x:v>
      </x:c>
      <x:c r="C910" t="str">
        <x:v>C_ControlSOAT</x:v>
      </x:c>
      <x:c r="D910" t="str">
        <x:v>E_SOAT</x:v>
      </x:c>
      <x:c r="E910" t="str">
        <x:v>consulta</x:v>
      </x:c>
      <x:c r="F910" t="n">
        <x:v>2</x:v>
      </x:c>
      <x:c r="G910" t="str">
        <x:v>RF31, RF33</x:v>
      </x:c>
      <x:c r="H910" t="str">
        <x:v>RF031-EF1!F21</x:v>
      </x:c>
    </x:row>
    <x:row r="911">
      <x:c r="A911" t="str">
        <x:v>guardarSOAT</x:v>
      </x:c>
      <x:c r="B911" t="str">
        <x:v>idVehiculo,datosSOAT,recordatorioActivo=false</x:v>
      </x:c>
      <x:c r="C911" t="str">
        <x:v>C_ControlSOAT</x:v>
      </x:c>
      <x:c r="D911" t="str">
        <x:v>E_SOAT</x:v>
      </x:c>
      <x:c r="E911" t="str">
        <x:v>otra</x:v>
      </x:c>
      <x:c r="F911" t="n">
        <x:v>1</x:v>
      </x:c>
      <x:c r="G911" t="str">
        <x:v>RF31</x:v>
      </x:c>
      <x:c r="H911" t="str">
        <x:v>RF031-EF1!F33</x:v>
      </x:c>
    </x:row>
    <x:row r="912">
      <x:c r="A912" t="str">
        <x:v>registrarNuevaVigenciaVinculada</x:v>
      </x:c>
      <x:c r="B912" t="str">
        <x:v>idVehiculo,idSOATAnterior,datosRenovacion,recordatorioActivo</x:v>
      </x:c>
      <x:c r="C912" t="str">
        <x:v>C_ControlSOAT</x:v>
      </x:c>
      <x:c r="D912" t="str">
        <x:v>E_SOAT</x:v>
      </x:c>
      <x:c r="E912" t="str">
        <x:v>escritura</x:v>
      </x:c>
      <x:c r="F912" t="n">
        <x:v>1</x:v>
      </x:c>
      <x:c r="G912" t="str">
        <x:v>RF32</x:v>
      </x:c>
      <x:c r="H912" t="str">
        <x:v>RF032-EF1!F63</x:v>
      </x:c>
    </x:row>
    <x:row r="913">
      <x:c r="A913" t="str">
        <x:v>mostrarConfiguracionActualizada</x:v>
      </x:c>
      <x:c r="B913" t="str">
        <x:v>recordatorioActivo</x:v>
      </x:c>
      <x:c r="C913" t="str">
        <x:v>C_ControlSOAT</x:v>
      </x:c>
      <x:c r="D913" t="str">
        <x:v>I_AlertasSOAT</x:v>
      </x:c>
      <x:c r="E913" t="str">
        <x:v>presentación/navegación</x:v>
      </x:c>
      <x:c r="F913" t="n">
        <x:v>1</x:v>
      </x:c>
      <x:c r="G913" t="str">
        <x:v>RF33</x:v>
      </x:c>
      <x:c r="H913" t="str">
        <x:v>RF033-EF1!F63</x:v>
      </x:c>
    </x:row>
    <x:row r="914">
      <x:c r="A914" t="str">
        <x:v>mostrarConfiguracionRecordatorio</x:v>
      </x:c>
      <x:c r="B914" t="str">
        <x:v>recordatorioActivo,datosAlerta</x:v>
      </x:c>
      <x:c r="C914" t="str">
        <x:v>C_ControlSOAT</x:v>
      </x:c>
      <x:c r="D914" t="str">
        <x:v>I_AlertasSOAT</x:v>
      </x:c>
      <x:c r="E914" t="str">
        <x:v>presentación/navegación</x:v>
      </x:c>
      <x:c r="F914" t="n">
        <x:v>1</x:v>
      </x:c>
      <x:c r="G914" t="str">
        <x:v>RF33</x:v>
      </x:c>
      <x:c r="H914" t="str">
        <x:v>RF033-EF1!F33</x:v>
      </x:c>
    </x:row>
    <x:row r="915">
      <x:c r="A915" t="str">
        <x:v>mostrarOpcionActivarRecordatorio</x:v>
      </x:c>
      <x:c r="B915" t="str">
        <x:v>anticipacion=30_dias</x:v>
      </x:c>
      <x:c r="C915" t="str">
        <x:v>C_ControlSOAT</x:v>
      </x:c>
      <x:c r="D915" t="str">
        <x:v>I_AlertasSOAT</x:v>
      </x:c>
      <x:c r="E915" t="str">
        <x:v>presentación/navegación</x:v>
      </x:c>
      <x:c r="F915" t="n">
        <x:v>1</x:v>
      </x:c>
      <x:c r="G915" t="str">
        <x:v>RF31</x:v>
      </x:c>
      <x:c r="H915" t="str">
        <x:v>RF031-EF1!F36</x:v>
      </x:c>
    </x:row>
    <x:row r="916">
      <x:c r="A916" t="str">
        <x:v>mostrarRegistroSOATExitoso</x:v>
      </x:c>
      <x:c r="B916" t="str">
        <x:v>datosSOAT,recordatorio=ACTIVO</x:v>
      </x:c>
      <x:c r="C916" t="str">
        <x:v>C_ControlSOAT</x:v>
      </x:c>
      <x:c r="D916" t="str">
        <x:v>I_ConfirmacionOperacion</x:v>
      </x:c>
      <x:c r="E916" t="str">
        <x:v>presentación/navegación</x:v>
      </x:c>
      <x:c r="F916" t="n">
        <x:v>1</x:v>
      </x:c>
      <x:c r="G916" t="str">
        <x:v>RF31</x:v>
      </x:c>
      <x:c r="H916" t="str">
        <x:v>RF031-EF1!F54</x:v>
      </x:c>
    </x:row>
    <x:row r="917">
      <x:c r="A917" t="str">
        <x:v>mostrarRenovacionSOATExitosa</x:v>
      </x:c>
      <x:c r="B917" t="str">
        <x:v>soatNuevo</x:v>
      </x:c>
      <x:c r="C917" t="str">
        <x:v>C_ControlSOAT</x:v>
      </x:c>
      <x:c r="D917" t="str">
        <x:v>I_ConfirmacionOperacion</x:v>
      </x:c>
      <x:c r="E917" t="str">
        <x:v>presentación/navegación</x:v>
      </x:c>
      <x:c r="F917" t="n">
        <x:v>1</x:v>
      </x:c>
      <x:c r="G917" t="str">
        <x:v>RF32</x:v>
      </x:c>
      <x:c r="H917" t="str">
        <x:v>RF032-EF1!F84</x:v>
      </x:c>
    </x:row>
    <x:row r="918">
      <x:c r="A918" t="str">
        <x:v>mostrarDetalleSOAT</x:v>
      </x:c>
      <x:c r="B918" t="str">
        <x:v>soatActual</x:v>
      </x:c>
      <x:c r="C918" t="str">
        <x:v>C_ControlSOAT</x:v>
      </x:c>
      <x:c r="D918" t="str">
        <x:v>I_DetalleSOAT</x:v>
      </x:c>
      <x:c r="E918" t="str">
        <x:v>presentación/navegación</x:v>
      </x:c>
      <x:c r="F918" t="n">
        <x:v>2</x:v>
      </x:c>
      <x:c r="G918" t="str">
        <x:v>RF32, RF33</x:v>
      </x:c>
      <x:c r="H918" t="str">
        <x:v>RF032-EF1!F23</x:v>
      </x:c>
    </x:row>
    <x:row r="919">
      <x:c r="A919" t="str">
        <x:v>mostrarDetalleSOATActualizado</x:v>
      </x:c>
      <x:c r="B919" t="str">
        <x:v>soatActualizado</x:v>
      </x:c>
      <x:c r="C919" t="str">
        <x:v>C_ControlSOAT</x:v>
      </x:c>
      <x:c r="D919" t="str">
        <x:v>I_DetalleSOAT</x:v>
      </x:c>
      <x:c r="E919" t="str">
        <x:v>presentación/navegación</x:v>
      </x:c>
      <x:c r="F919" t="n">
        <x:v>1</x:v>
      </x:c>
      <x:c r="G919" t="str">
        <x:v>RF32</x:v>
      </x:c>
      <x:c r="H919" t="str">
        <x:v>RF032-EF1!F53</x:v>
      </x:c>
    </x:row>
    <x:row r="920">
      <x:c r="A920" t="str">
        <x:v>mostrarFormularioEdicionVigenciaActual</x:v>
      </x:c>
      <x:c r="B920" t="str">
        <x:v>soatActual</x:v>
      </x:c>
      <x:c r="C920" t="str">
        <x:v>C_ControlSOAT</x:v>
      </x:c>
      <x:c r="D920" t="str">
        <x:v>I_SOAT</x:v>
      </x:c>
      <x:c r="E920" t="str">
        <x:v>presentación/navegación</x:v>
      </x:c>
      <x:c r="F920" t="n">
        <x:v>1</x:v>
      </x:c>
      <x:c r="G920" t="str">
        <x:v>RF32</x:v>
      </x:c>
      <x:c r="H920" t="str">
        <x:v>RF032-EF1!F33</x:v>
      </x:c>
    </x:row>
    <x:row r="921">
      <x:c r="A921" t="str">
        <x:v>mostrarFormularioRegistroSOAT</x:v>
      </x:c>
      <x:c r="B921" t="str"/>
      <x:c r="C921" t="str">
        <x:v>C_ControlSOAT</x:v>
      </x:c>
      <x:c r="D921" t="str">
        <x:v>I_SOAT</x:v>
      </x:c>
      <x:c r="E921" t="str">
        <x:v>presentación/navegación</x:v>
      </x:c>
      <x:c r="F921" t="n">
        <x:v>1</x:v>
      </x:c>
      <x:c r="G921" t="str">
        <x:v>RF31</x:v>
      </x:c>
      <x:c r="H921" t="str">
        <x:v>RF031-EF1!F23</x:v>
      </x:c>
    </x:row>
    <x:row r="922">
      <x:c r="A922" t="str">
        <x:v>mostrarFormularioRenovacion</x:v>
      </x:c>
      <x:c r="B922" t="str">
        <x:v>soatActual</x:v>
      </x:c>
      <x:c r="C922" t="str">
        <x:v>C_ControlSOAT</x:v>
      </x:c>
      <x:c r="D922" t="str">
        <x:v>I_SOAT</x:v>
      </x:c>
      <x:c r="E922" t="str">
        <x:v>presentación/navegación</x:v>
      </x:c>
      <x:c r="F922" t="n">
        <x:v>1</x:v>
      </x:c>
      <x:c r="G922" t="str">
        <x:v>RF32</x:v>
      </x:c>
      <x:c r="H922" t="str">
        <x:v>RF032-EF1!F56</x:v>
      </x:c>
    </x:row>
    <x:row r="923">
      <x:c r="A923" t="str">
        <x:v>mostrarOpcionesActualizar</x:v>
      </x:c>
      <x:c r="B923" t="str">
        <x:v>EDITAR,RENOVAR</x:v>
      </x:c>
      <x:c r="C923" t="str">
        <x:v>C_ControlSOAT</x:v>
      </x:c>
      <x:c r="D923" t="str">
        <x:v>I_SOAT</x:v>
      </x:c>
      <x:c r="E923" t="str">
        <x:v>presentación/navegación</x:v>
      </x:c>
      <x:c r="F923" t="n">
        <x:v>1</x:v>
      </x:c>
      <x:c r="G923" t="str">
        <x:v>RF32</x:v>
      </x:c>
      <x:c r="H923" t="str">
        <x:v>RF032-EF1!F28</x:v>
      </x:c>
    </x:row>
    <x:row r="924">
      <x:c r="A924" t="str">
        <x:v>retornarPermisoConsultaAlertasLicenciaConservadas</x:v>
      </x:c>
      <x:c r="B924" t="str">
        <x:v>true</x:v>
      </x:c>
      <x:c r="C924" t="str">
        <x:v>C_ControlSuscripcion</x:v>
      </x:c>
      <x:c r="D924" t="str">
        <x:v>C_ControlAlerta</x:v>
      </x:c>
      <x:c r="E924" t="str">
        <x:v>retorno</x:v>
      </x:c>
      <x:c r="F924" t="n">
        <x:v>1</x:v>
      </x:c>
      <x:c r="G924" t="str">
        <x:v>RF23</x:v>
      </x:c>
      <x:c r="H924" t="str">
        <x:v>RF23!F94</x:v>
      </x:c>
    </x:row>
    <x:row r="925">
      <x:c r="A925" t="str">
        <x:v>retornarPermisoPlanActivacion</x:v>
      </x:c>
      <x:c r="B925" t="str">
        <x:v>tipoPlan</x:v>
      </x:c>
      <x:c r="C925" t="str">
        <x:v>C_ControlSuscripcion</x:v>
      </x:c>
      <x:c r="D925" t="str">
        <x:v>C_ControlEstadoVehiculo</x:v>
      </x:c>
      <x:c r="E925" t="str">
        <x:v>retorno</x:v>
      </x:c>
      <x:c r="F925" t="n">
        <x:v>1</x:v>
      </x:c>
      <x:c r="G925" t="str">
        <x:v>RF12</x:v>
      </x:c>
      <x:c r="H925" t="str">
        <x:v>RF012-EF1!F16</x:v>
      </x:c>
    </x:row>
    <x:row r="926">
      <x:c r="A926" t="str">
        <x:v>retornarPermisoConsultaLicenciaConservada</x:v>
      </x:c>
      <x:c r="B926" t="str">
        <x:v>true</x:v>
      </x:c>
      <x:c r="C926" t="str">
        <x:v>C_ControlSuscripcion</x:v>
      </x:c>
      <x:c r="D926" t="str">
        <x:v>C_ControlLicencia</x:v>
      </x:c>
      <x:c r="E926" t="str">
        <x:v>retorno</x:v>
      </x:c>
      <x:c r="F926" t="n">
        <x:v>1</x:v>
      </x:c>
      <x:c r="G926" t="str">
        <x:v>RF52</x:v>
      </x:c>
      <x:c r="H926" t="str">
        <x:v>RF052-EF1!F14</x:v>
      </x:c>
    </x:row>
    <x:row r="927">
      <x:c r="A927" t="str">
        <x:v>retornarPermisoRegistroLicencia</x:v>
      </x:c>
      <x:c r="B927" t="str">
        <x:v>true</x:v>
      </x:c>
      <x:c r="C927" t="str">
        <x:v>C_ControlSuscripcion</x:v>
      </x:c>
      <x:c r="D927" t="str">
        <x:v>C_ControlLicencia</x:v>
      </x:c>
      <x:c r="E927" t="str">
        <x:v>retorno</x:v>
      </x:c>
      <x:c r="F927" t="n">
        <x:v>1</x:v>
      </x:c>
      <x:c r="G927" t="str">
        <x:v>RF51</x:v>
      </x:c>
      <x:c r="H927" t="str">
        <x:v>RF051-EF1!F14</x:v>
      </x:c>
    </x:row>
    <x:row r="928">
      <x:c r="A928" t="str">
        <x:v>retornarActivacionConfirmada</x:v>
      </x:c>
      <x:c r="B928" t="str">
        <x:v>datosSuscripcion</x:v>
      </x:c>
      <x:c r="C928" t="str">
        <x:v>C_ControlSuscripcion</x:v>
      </x:c>
      <x:c r="D928" t="str">
        <x:v>C_ControlPago</x:v>
      </x:c>
      <x:c r="E928" t="str">
        <x:v>retorno</x:v>
      </x:c>
      <x:c r="F928" t="n">
        <x:v>1</x:v>
      </x:c>
      <x:c r="G928" t="str">
        <x:v>RF29</x:v>
      </x:c>
      <x:c r="H928" t="str">
        <x:v>RF029-E1!F49</x:v>
      </x:c>
    </x:row>
    <x:row r="929">
      <x:c r="A929" t="str">
        <x:v>solicitarUltimoPago</x:v>
      </x:c>
      <x:c r="B929" t="str">
        <x:v>idUsuario</x:v>
      </x:c>
      <x:c r="C929" t="str">
        <x:v>C_ControlSuscripcion</x:v>
      </x:c>
      <x:c r="D929" t="str">
        <x:v>C_ControlPago</x:v>
      </x:c>
      <x:c r="E929" t="str">
        <x:v>presentación/navegación</x:v>
      </x:c>
      <x:c r="F929" t="n">
        <x:v>1</x:v>
      </x:c>
      <x:c r="G929" t="str">
        <x:v>RF30</x:v>
      </x:c>
      <x:c r="H929" t="str">
        <x:v>RF030-E1!F16</x:v>
      </x:c>
    </x:row>
    <x:row r="930">
      <x:c r="A930" t="str">
        <x:v>retornarPermisoPlanRegistro</x:v>
      </x:c>
      <x:c r="B930" t="str">
        <x:v>tipoPlan</x:v>
      </x:c>
      <x:c r="C930" t="str">
        <x:v>C_ControlSuscripcion</x:v>
      </x:c>
      <x:c r="D930" t="str">
        <x:v>C_ControlRegistroVehiculo</x:v>
      </x:c>
      <x:c r="E930" t="str">
        <x:v>retorno</x:v>
      </x:c>
      <x:c r="F930" t="n">
        <x:v>1</x:v>
      </x:c>
      <x:c r="G930" t="str">
        <x:v>RF08</x:v>
      </x:c>
      <x:c r="H930" t="str">
        <x:v>RF008-EF1!F14</x:v>
      </x:c>
    </x:row>
    <x:row r="931">
      <x:c r="A931" t="str">
        <x:v>compararProveedorConMyCar</x:v>
      </x:c>
      <x:c r="B931" t="str">
        <x:v>datosVerificados,datos</x:v>
      </x:c>
      <x:c r="C931" t="str">
        <x:v>C_ControlSuscripcion</x:v>
      </x:c>
      <x:c r="D931" t="str">
        <x:v>C_ControlSuscripcion</x:v>
      </x:c>
      <x:c r="E931" t="str">
        <x:v>otra</x:v>
      </x:c>
      <x:c r="F931" t="n">
        <x:v>1</x:v>
      </x:c>
      <x:c r="G931" t="str">
        <x:v>RF60</x:v>
      </x:c>
      <x:c r="H931" t="str">
        <x:v>RF060_EXITOSO!F32</x:v>
      </x:c>
    </x:row>
    <x:row r="932">
      <x:c r="A932" t="str">
        <x:v>determinarPlanEfectivo</x:v>
      </x:c>
      <x:c r="B932" t="str">
        <x:v>datosSuscripcion,fechaActual</x:v>
      </x:c>
      <x:c r="C932" t="str">
        <x:v>C_ControlSuscripcion</x:v>
      </x:c>
      <x:c r="D932" t="str">
        <x:v>C_ControlSuscripcion</x:v>
      </x:c>
      <x:c r="E932" t="str">
        <x:v>otra</x:v>
      </x:c>
      <x:c r="F932" t="n">
        <x:v>1</x:v>
      </x:c>
      <x:c r="G932" t="str">
        <x:v>RF30</x:v>
      </x:c>
      <x:c r="H932" t="str">
        <x:v>RF030-E1!F20</x:v>
      </x:c>
    </x:row>
    <x:row r="933">
      <x:c r="A933" t="str">
        <x:v>prepararComparativaPlanes</x:v>
      </x:c>
      <x:c r="B933" t="str">
        <x:v>listaPlanes,planActual</x:v>
      </x:c>
      <x:c r="C933" t="str">
        <x:v>C_ControlSuscripcion</x:v>
      </x:c>
      <x:c r="D933" t="str">
        <x:v>C_ControlSuscripcion</x:v>
      </x:c>
      <x:c r="E933" t="str">
        <x:v>otra</x:v>
      </x:c>
      <x:c r="F933" t="n">
        <x:v>2</x:v>
      </x:c>
      <x:c r="G933" t="str">
        <x:v>RF28, RF29</x:v>
      </x:c>
      <x:c r="H933" t="str">
        <x:v>RF028-E1!F22</x:v>
      </x:c>
    </x:row>
    <x:row r="934">
      <x:c r="A934" t="str">
        <x:v>validarContratacionPermitida</x:v>
      </x:c>
      <x:c r="B934" t="str">
        <x:v>datosSuscripcion,datosPlan</x:v>
      </x:c>
      <x:c r="C934" t="str">
        <x:v>C_ControlSuscripcion</x:v>
      </x:c>
      <x:c r="D934" t="str">
        <x:v>C_ControlSuscripcion</x:v>
      </x:c>
      <x:c r="E934" t="str">
        <x:v>validación</x:v>
      </x:c>
      <x:c r="F934" t="n">
        <x:v>1</x:v>
      </x:c>
      <x:c r="G934" t="str">
        <x:v>RF29</x:v>
      </x:c>
      <x:c r="H934" t="str">
        <x:v>RF029-E1!F32</x:v>
      </x:c>
    </x:row>
    <x:row r="935">
      <x:c r="A935" t="str">
        <x:v>retornarPlanInicialAsignado</x:v>
      </x:c>
      <x:c r="B935" t="str">
        <x:v>datosSuscripcion</x:v>
      </x:c>
      <x:c r="C935" t="str">
        <x:v>C_ControlSuscripcion</x:v>
      </x:c>
      <x:c r="D935" t="str">
        <x:v>C_RegistroUsuario</x:v>
      </x:c>
      <x:c r="E935" t="str">
        <x:v>retorno</x:v>
      </x:c>
      <x:c r="F935" t="n">
        <x:v>1</x:v>
      </x:c>
      <x:c r="G935" t="str">
        <x:v>RF01</x:v>
      </x:c>
      <x:c r="H935" t="str">
        <x:v>RF001-E1!F41</x:v>
      </x:c>
    </x:row>
    <x:row r="936">
      <x:c r="A936" t="str">
        <x:v>retornarPermisoExportacion</x:v>
      </x:c>
      <x:c r="B936" t="str">
        <x:v>PREMIUM,permitido</x:v>
      </x:c>
      <x:c r="C936" t="str">
        <x:v>C_ControlSuscripcion</x:v>
      </x:c>
      <x:c r="D936" t="str">
        <x:v>C_ReporteHistorial</x:v>
      </x:c>
      <x:c r="E936" t="str">
        <x:v>retorno</x:v>
      </x:c>
      <x:c r="F936" t="n">
        <x:v>1</x:v>
      </x:c>
      <x:c r="G936" t="str">
        <x:v>RF27</x:v>
      </x:c>
      <x:c r="H936" t="str">
        <x:v>RF27!F10</x:v>
      </x:c>
    </x:row>
    <x:row r="937">
      <x:c r="A937" t="str">
        <x:v>retornarPermisoGeneracionPDF</x:v>
      </x:c>
      <x:c r="B937" t="str">
        <x:v>PREMIUM,permitido</x:v>
      </x:c>
      <x:c r="C937" t="str">
        <x:v>C_ControlSuscripcion</x:v>
      </x:c>
      <x:c r="D937" t="str">
        <x:v>C_ReporteHistorial</x:v>
      </x:c>
      <x:c r="E937" t="str">
        <x:v>retorno</x:v>
      </x:c>
      <x:c r="F937" t="n">
        <x:v>1</x:v>
      </x:c>
      <x:c r="G937" t="str">
        <x:v>RF27</x:v>
      </x:c>
      <x:c r="H937" t="str">
        <x:v>RF27!F29</x:v>
      </x:c>
    </x:row>
    <x:row r="938">
      <x:c r="A938" t="str">
        <x:v>activarPremiumConDerechoVerificado</x:v>
      </x:c>
      <x:c r="B938" t="str">
        <x:v>idUsuario,idPago,vigencia</x:v>
      </x:c>
      <x:c r="C938" t="str">
        <x:v>C_ControlSuscripcion</x:v>
      </x:c>
      <x:c r="D938" t="str">
        <x:v>E_Suscripcion</x:v>
      </x:c>
      <x:c r="E938" t="str">
        <x:v>otra</x:v>
      </x:c>
      <x:c r="F938" t="n">
        <x:v>1</x:v>
      </x:c>
      <x:c r="G938" t="str">
        <x:v>RF29</x:v>
      </x:c>
      <x:c r="H938" t="str">
        <x:v>RF029-E1!F47</x:v>
      </x:c>
    </x:row>
    <x:row r="939">
      <x:c r="A939" t="str">
        <x:v>consultarConfiguracionPlanesVigentes</x:v>
      </x:c>
      <x:c r="B939" t="str"/>
      <x:c r="C939" t="str">
        <x:v>C_ControlSuscripcion</x:v>
      </x:c>
      <x:c r="D939" t="str">
        <x:v>E_Suscripcion</x:v>
      </x:c>
      <x:c r="E939" t="str">
        <x:v>consulta</x:v>
      </x:c>
      <x:c r="F939" t="n">
        <x:v>2</x:v>
      </x:c>
      <x:c r="G939" t="str">
        <x:v>RF28, RF29</x:v>
      </x:c>
      <x:c r="H939" t="str">
        <x:v>RF028-E1!F18</x:v>
      </x:c>
    </x:row>
    <x:row r="940">
      <x:c r="A940" t="str">
        <x:v>consultarPlanActivo</x:v>
      </x:c>
      <x:c r="B940" t="str">
        <x:v>idUsuario</x:v>
      </x:c>
      <x:c r="C940" t="str">
        <x:v>C_ControlSuscripcion</x:v>
      </x:c>
      <x:c r="D940" t="str">
        <x:v>E_Suscripcion</x:v>
      </x:c>
      <x:c r="E940" t="str">
        <x:v>consulta</x:v>
      </x:c>
      <x:c r="F940" t="n">
        <x:v>3</x:v>
      </x:c>
      <x:c r="G940" t="str">
        <x:v>RF28, RF29, RF51</x:v>
      </x:c>
      <x:c r="H940" t="str">
        <x:v>RF028-E1!F20</x:v>
      </x:c>
    </x:row>
    <x:row r="941">
      <x:c r="A941" t="str">
        <x:v>consultarPlanEfectivo</x:v>
      </x:c>
      <x:c r="B941" t="str">
        <x:v>idUsuario,fechaActual</x:v>
      </x:c>
      <x:c r="C941" t="str">
        <x:v>C_ControlSuscripcion</x:v>
      </x:c>
      <x:c r="D941" t="str">
        <x:v>E_Suscripcion</x:v>
      </x:c>
      <x:c r="E941" t="str">
        <x:v>consulta</x:v>
      </x:c>
      <x:c r="F941" t="n">
        <x:v>2</x:v>
      </x:c>
      <x:c r="G941" t="str">
        <x:v>RF08, RF12</x:v>
      </x:c>
      <x:c r="H941" t="str">
        <x:v>RF008-EF1!F12</x:v>
      </x:c>
    </x:row>
    <x:row r="942">
      <x:c r="A942" t="str">
        <x:v>consultarPlanEfectivoActual</x:v>
      </x:c>
      <x:c r="B942" t="str">
        <x:v>idUsuario</x:v>
      </x:c>
      <x:c r="C942" t="str">
        <x:v>C_ControlSuscripcion</x:v>
      </x:c>
      <x:c r="D942" t="str">
        <x:v>E_Suscripcion</x:v>
      </x:c>
      <x:c r="E942" t="str">
        <x:v>consulta</x:v>
      </x:c>
      <x:c r="F942" t="n">
        <x:v>1</x:v>
      </x:c>
      <x:c r="G942" t="str">
        <x:v>RF60</x:v>
      </x:c>
      <x:c r="H942" t="str">
        <x:v>RF060_EXITOSO!F30</x:v>
      </x:c>
    </x:row>
    <x:row r="943">
      <x:c r="A943" t="str">
        <x:v>consultarPlanEfectivoYEstadoCuenta</x:v>
      </x:c>
      <x:c r="B943" t="str">
        <x:v>idUsuario</x:v>
      </x:c>
      <x:c r="C943" t="str">
        <x:v>C_ControlSuscripcion</x:v>
      </x:c>
      <x:c r="D943" t="str">
        <x:v>E_Suscripcion</x:v>
      </x:c>
      <x:c r="E943" t="str">
        <x:v>consulta</x:v>
      </x:c>
      <x:c r="F943" t="n">
        <x:v>1</x:v>
      </x:c>
      <x:c r="G943" t="str">
        <x:v>RF52</x:v>
      </x:c>
      <x:c r="H943" t="str">
        <x:v>RF052-EF1!F12</x:v>
      </x:c>
    </x:row>
    <x:row r="944">
      <x:c r="A944" t="str">
        <x:v>consultarPlanEfectivoYEstadoCuenta</x:v>
      </x:c>
      <x:c r="B944" t="str">
        <x:v>idUsuarioAutenticado</x:v>
      </x:c>
      <x:c r="C944" t="str">
        <x:v>C_ControlSuscripcion</x:v>
      </x:c>
      <x:c r="D944" t="str">
        <x:v>E_Suscripcion</x:v>
      </x:c>
      <x:c r="E944" t="str">
        <x:v>consulta</x:v>
      </x:c>
      <x:c r="F944" t="n">
        <x:v>1</x:v>
      </x:c>
      <x:c r="G944" t="str">
        <x:v>RF23</x:v>
      </x:c>
      <x:c r="H944" t="str">
        <x:v>RF23!F92</x:v>
      </x:c>
    </x:row>
    <x:row r="945">
      <x:c r="A945" t="str">
        <x:v>consultarPlanVigente</x:v>
      </x:c>
      <x:c r="B945" t="str">
        <x:v>PREMIUM</x:v>
      </x:c>
      <x:c r="C945" t="str">
        <x:v>C_ControlSuscripcion</x:v>
      </x:c>
      <x:c r="D945" t="str">
        <x:v>E_Suscripcion</x:v>
      </x:c>
      <x:c r="E945" t="str">
        <x:v>consulta</x:v>
      </x:c>
      <x:c r="F945" t="n">
        <x:v>1</x:v>
      </x:c>
      <x:c r="G945" t="str">
        <x:v>RF29</x:v>
      </x:c>
      <x:c r="H945" t="str">
        <x:v>RF029-E1!F28</x:v>
      </x:c>
    </x:row>
    <x:row r="946">
      <x:c r="A946" t="str">
        <x:v>consultarSuscripcion</x:v>
      </x:c>
      <x:c r="B946" t="str">
        <x:v>idUsuario</x:v>
      </x:c>
      <x:c r="C946" t="str">
        <x:v>C_ControlSuscripcion</x:v>
      </x:c>
      <x:c r="D946" t="str">
        <x:v>E_Suscripcion</x:v>
      </x:c>
      <x:c r="E946" t="str">
        <x:v>consulta</x:v>
      </x:c>
      <x:c r="F946" t="n">
        <x:v>1</x:v>
      </x:c>
      <x:c r="G946" t="str">
        <x:v>RF30</x:v>
      </x:c>
      <x:c r="H946" t="str">
        <x:v>RF030-E1!F14</x:v>
      </x:c>
    </x:row>
    <x:row r="947">
      <x:c r="A947" t="str">
        <x:v>consultarSuscripcionActiva</x:v>
      </x:c>
      <x:c r="B947" t="str">
        <x:v>id_usuario</x:v>
      </x:c>
      <x:c r="C947" t="str">
        <x:v>C_ControlSuscripcion</x:v>
      </x:c>
      <x:c r="D947" t="str">
        <x:v>E_Suscripcion</x:v>
      </x:c>
      <x:c r="E947" t="str">
        <x:v>consulta</x:v>
      </x:c>
      <x:c r="F947" t="n">
        <x:v>2</x:v>
      </x:c>
      <x:c r="G947" t="str">
        <x:v>RF27</x:v>
      </x:c>
      <x:c r="H947" t="str">
        <x:v>RF27!F8</x:v>
      </x:c>
    </x:row>
    <x:row r="948">
      <x:c r="A948" t="str">
        <x:v>consultarSuscripcionActual</x:v>
      </x:c>
      <x:c r="B948" t="str">
        <x:v>idUsuario</x:v>
      </x:c>
      <x:c r="C948" t="str">
        <x:v>C_ControlSuscripcion</x:v>
      </x:c>
      <x:c r="D948" t="str">
        <x:v>E_Suscripcion</x:v>
      </x:c>
      <x:c r="E948" t="str">
        <x:v>consulta</x:v>
      </x:c>
      <x:c r="F948" t="n">
        <x:v>1</x:v>
      </x:c>
      <x:c r="G948" t="str">
        <x:v>RF29</x:v>
      </x:c>
      <x:c r="H948" t="str">
        <x:v>RF029-E1!F30</x:v>
      </x:c>
    </x:row>
    <x:row r="949">
      <x:c r="A949" t="str">
        <x:v>crearSuscripcionInicial</x:v>
      </x:c>
      <x:c r="B949" t="str">
        <x:v>idUsuario,FREE,ACTIVA,fechaInicio</x:v>
      </x:c>
      <x:c r="C949" t="str">
        <x:v>C_ControlSuscripcion</x:v>
      </x:c>
      <x:c r="D949" t="str">
        <x:v>E_Suscripcion</x:v>
      </x:c>
      <x:c r="E949" t="str">
        <x:v>otra</x:v>
      </x:c>
      <x:c r="F949" t="n">
        <x:v>1</x:v>
      </x:c>
      <x:c r="G949" t="str">
        <x:v>RF01</x:v>
      </x:c>
      <x:c r="H949" t="str">
        <x:v>RF001-E1!F39</x:v>
      </x:c>
    </x:row>
    <x:row r="950">
      <x:c r="A950" t="str">
        <x:v>mostrarEstadoSuscripcion</x:v>
      </x:c>
      <x:c r="B950" t="str">
        <x:v>planEfectivo,estado,fechaInicio,fechaRenovacionOVencimiento,datosPago</x:v>
      </x:c>
      <x:c r="C950" t="str">
        <x:v>C_ControlSuscripcion</x:v>
      </x:c>
      <x:c r="D950" t="str">
        <x:v>I_EstadoSuscripcion</x:v>
      </x:c>
      <x:c r="E950" t="str">
        <x:v>presentación/navegación</x:v>
      </x:c>
      <x:c r="F950" t="n">
        <x:v>1</x:v>
      </x:c>
      <x:c r="G950" t="str">
        <x:v>RF30</x:v>
      </x:c>
      <x:c r="H950" t="str">
        <x:v>RF030-E1!F21</x:v>
      </x:c>
    </x:row>
    <x:row r="951">
      <x:c r="A951" t="str">
        <x:v>mostrarComparativaPlanes</x:v>
      </x:c>
      <x:c r="B951" t="str">
        <x:v>listaPlanes,planActual</x:v>
      </x:c>
      <x:c r="C951" t="str">
        <x:v>C_ControlSuscripcion</x:v>
      </x:c>
      <x:c r="D951" t="str">
        <x:v>I_Planes</x:v>
      </x:c>
      <x:c r="E951" t="str">
        <x:v>presentación/navegación</x:v>
      </x:c>
      <x:c r="F951" t="n">
        <x:v>2</x:v>
      </x:c>
      <x:c r="G951" t="str">
        <x:v>RF28, RF29</x:v>
      </x:c>
      <x:c r="H951" t="str">
        <x:v>RF028-E1!F23</x:v>
      </x:c>
    </x:row>
    <x:row r="952">
      <x:c r="A952" t="str">
        <x:v>mostrarVerificacionCoincidente</x:v>
      </x:c>
      <x:c r="B952" t="str"/>
      <x:c r="C952" t="str">
        <x:v>C_ControlSuscripcion</x:v>
      </x:c>
      <x:c r="D952" t="str">
        <x:v>I_ResultadoVerificacion</x:v>
      </x:c>
      <x:c r="E952" t="str">
        <x:v>presentación/navegación</x:v>
      </x:c>
      <x:c r="F952" t="n">
        <x:v>1</x:v>
      </x:c>
      <x:c r="G952" t="str">
        <x:v>RF60</x:v>
      </x:c>
      <x:c r="H952" t="str">
        <x:v>RF060_EXITOSO!F33</x:v>
      </x:c>
    </x:row>
    <x:row r="953">
      <x:c r="A953" t="str">
        <x:v>mostrarResumenContratacion</x:v>
      </x:c>
      <x:c r="B953" t="str">
        <x:v>datosPlan</x:v>
      </x:c>
      <x:c r="C953" t="str">
        <x:v>C_ControlSuscripcion</x:v>
      </x:c>
      <x:c r="D953" t="str">
        <x:v>I_Suscripcion</x:v>
      </x:c>
      <x:c r="E953" t="str">
        <x:v>presentación/navegación</x:v>
      </x:c>
      <x:c r="F953" t="n">
        <x:v>1</x:v>
      </x:c>
      <x:c r="G953" t="str">
        <x:v>RF29</x:v>
      </x:c>
      <x:c r="H953" t="str">
        <x:v>RF029-E1!F33</x:v>
      </x:c>
    </x:row>
    <x:row r="954">
      <x:c r="A954" t="str">
        <x:v>consultarEstadoSuscripcion</x:v>
      </x:c>
      <x:c r="B954" t="str">
        <x:v>purchaseTokenServidor</x:v>
      </x:c>
      <x:c r="C954" t="str">
        <x:v>C_ControlSuscripcion</x:v>
      </x:c>
      <x:c r="D954" t="str">
        <x:v>ServicioGooglePlay</x:v>
      </x:c>
      <x:c r="E954" t="str">
        <x:v>consulta</x:v>
      </x:c>
      <x:c r="F954" t="n">
        <x:v>1</x:v>
      </x:c>
      <x:c r="G954" t="str">
        <x:v>RF60</x:v>
      </x:c>
      <x:c r="H954" t="str">
        <x:v>RF060_EXITOSO!F28</x:v>
      </x:c>
    </x:row>
    <x:row r="955">
      <x:c r="A955" t="str">
        <x:v>consultarUltimoPagoRegistrado</x:v>
      </x:c>
      <x:c r="B955" t="str">
        <x:v>idUsuario</x:v>
      </x:c>
      <x:c r="C955" t="str">
        <x:v>C_ControlSuscripcionAdmin</x:v>
      </x:c>
      <x:c r="D955" t="str">
        <x:v>E_Pago</x:v>
      </x:c>
      <x:c r="E955" t="str">
        <x:v>consulta</x:v>
      </x:c>
      <x:c r="F955" t="n">
        <x:v>1</x:v>
      </x:c>
      <x:c r="G955" t="str">
        <x:v>RF60</x:v>
      </x:c>
      <x:c r="H955" t="str">
        <x:v>RF060_EXITOSO!F20</x:v>
      </x:c>
    </x:row>
    <x:row r="956">
      <x:c r="A956" t="str">
        <x:v>consultarHistorialPlanes</x:v>
      </x:c>
      <x:c r="B956" t="str">
        <x:v>idUsuario</x:v>
      </x:c>
      <x:c r="C956" t="str">
        <x:v>C_ControlSuscripcionAdmin</x:v>
      </x:c>
      <x:c r="D956" t="str">
        <x:v>E_Suscripcion</x:v>
      </x:c>
      <x:c r="E956" t="str">
        <x:v>consulta</x:v>
      </x:c>
      <x:c r="F956" t="n">
        <x:v>1</x:v>
      </x:c>
      <x:c r="G956" t="str">
        <x:v>RF60</x:v>
      </x:c>
      <x:c r="H956" t="str">
        <x:v>RF060_EXITOSO!F40</x:v>
      </x:c>
    </x:row>
    <x:row r="957">
      <x:c r="A957" t="str">
        <x:v>consultarPlanVigencia</x:v>
      </x:c>
      <x:c r="B957" t="str">
        <x:v>idUsuario</x:v>
      </x:c>
      <x:c r="C957" t="str">
        <x:v>C_ControlSuscripcionAdmin</x:v>
      </x:c>
      <x:c r="D957" t="str">
        <x:v>E_Suscripcion</x:v>
      </x:c>
      <x:c r="E957" t="str">
        <x:v>consulta</x:v>
      </x:c>
      <x:c r="F957" t="n">
        <x:v>1</x:v>
      </x:c>
      <x:c r="G957" t="str">
        <x:v>RF60</x:v>
      </x:c>
      <x:c r="H957" t="str">
        <x:v>RF060_EXITOSO!F18</x:v>
      </x:c>
    </x:row>
    <x:row r="958">
      <x:c r="A958" t="str">
        <x:v>consultarSuscripcionesFiltradas</x:v>
      </x:c>
      <x:c r="B958" t="str">
        <x:v>criterio,tipoPlan</x:v>
      </x:c>
      <x:c r="C958" t="str">
        <x:v>C_ControlSuscripcionAdmin</x:v>
      </x:c>
      <x:c r="D958" t="str">
        <x:v>E_Suscripcion</x:v>
      </x:c>
      <x:c r="E958" t="str">
        <x:v>consulta</x:v>
      </x:c>
      <x:c r="F958" t="n">
        <x:v>1</x:v>
      </x:c>
      <x:c r="G958" t="str">
        <x:v>RF60</x:v>
      </x:c>
      <x:c r="H958" t="str">
        <x:v>RF060_EXITOSO!F12</x:v>
      </x:c>
    </x:row>
    <x:row r="959">
      <x:c r="A959" t="str">
        <x:v>listarPlanesEfectivos</x:v>
      </x:c>
      <x:c r="B959" t="str">
        <x:v>pagina</x:v>
      </x:c>
      <x:c r="C959" t="str">
        <x:v>C_ControlSuscripcionAdmin</x:v>
      </x:c>
      <x:c r="D959" t="str">
        <x:v>E_Suscripcion</x:v>
      </x:c>
      <x:c r="E959" t="str">
        <x:v>otra</x:v>
      </x:c>
      <x:c r="F959" t="n">
        <x:v>1</x:v>
      </x:c>
      <x:c r="G959" t="str">
        <x:v>RF60</x:v>
      </x:c>
      <x:c r="H959" t="str">
        <x:v>RF060_EXITOSO!F7</x:v>
      </x:c>
    </x:row>
    <x:row r="960">
      <x:c r="A960" t="str">
        <x:v>contarVehiculosPorEstado</x:v>
      </x:c>
      <x:c r="B960" t="str">
        <x:v>idUsuario</x:v>
      </x:c>
      <x:c r="C960" t="str">
        <x:v>C_ControlSuscripcionAdmin</x:v>
      </x:c>
      <x:c r="D960" t="str">
        <x:v>E_Vehiculo</x:v>
      </x:c>
      <x:c r="E960" t="str">
        <x:v>otra</x:v>
      </x:c>
      <x:c r="F960" t="n">
        <x:v>1</x:v>
      </x:c>
      <x:c r="G960" t="str">
        <x:v>RF60</x:v>
      </x:c>
      <x:c r="H960" t="str">
        <x:v>RF060_EXITOSO!F22</x:v>
      </x:c>
    </x:row>
    <x:row r="961">
      <x:c r="A961" t="str">
        <x:v>mostrarDetalleActual</x:v>
      </x:c>
      <x:c r="B961" t="str"/>
      <x:c r="C961" t="str">
        <x:v>C_ControlSuscripcionAdmin</x:v>
      </x:c>
      <x:c r="D961" t="str">
        <x:v>I_DetalleSuscripcionAdmin</x:v>
      </x:c>
      <x:c r="E961" t="str">
        <x:v>presentación/navegación</x:v>
      </x:c>
      <x:c r="F961" t="n">
        <x:v>1</x:v>
      </x:c>
      <x:c r="G961" t="str">
        <x:v>RF60</x:v>
      </x:c>
      <x:c r="H961" t="str">
        <x:v>RF060_EXITOSO!F37</x:v>
      </x:c>
    </x:row>
    <x:row r="962">
      <x:c r="A962" t="str">
        <x:v>mostrarDetalleSoloLectura</x:v>
      </x:c>
      <x:c r="B962" t="str">
        <x:v>datos,ultimoPago,conteos</x:v>
      </x:c>
      <x:c r="C962" t="str">
        <x:v>C_ControlSuscripcionAdmin</x:v>
      </x:c>
      <x:c r="D962" t="str">
        <x:v>I_DetalleSuscripcionAdmin</x:v>
      </x:c>
      <x:c r="E962" t="str">
        <x:v>presentación/navegación</x:v>
      </x:c>
      <x:c r="F962" t="n">
        <x:v>1</x:v>
      </x:c>
      <x:c r="G962" t="str">
        <x:v>RF60</x:v>
      </x:c>
      <x:c r="H962" t="str">
        <x:v>RF060_EXITOSO!F24</x:v>
      </x:c>
    </x:row>
    <x:row r="963">
      <x:c r="A963" t="str">
        <x:v>mostrarHistorialPlanes</x:v>
      </x:c>
      <x:c r="B963" t="str">
        <x:v>periodos</x:v>
      </x:c>
      <x:c r="C963" t="str">
        <x:v>C_ControlSuscripcionAdmin</x:v>
      </x:c>
      <x:c r="D963" t="str">
        <x:v>I_HistorialSuscripcion</x:v>
      </x:c>
      <x:c r="E963" t="str">
        <x:v>presentación/navegación</x:v>
      </x:c>
      <x:c r="F963" t="n">
        <x:v>1</x:v>
      </x:c>
      <x:c r="G963" t="str">
        <x:v>RF60</x:v>
      </x:c>
      <x:c r="H963" t="str">
        <x:v>RF060_EXITOSO!F42</x:v>
      </x:c>
    </x:row>
    <x:row r="964">
      <x:c r="A964" t="str">
        <x:v>actualizarResultados</x:v>
      </x:c>
      <x:c r="B964" t="str">
        <x:v>lista</x:v>
      </x:c>
      <x:c r="C964" t="str">
        <x:v>C_ControlSuscripcionAdmin</x:v>
      </x:c>
      <x:c r="D964" t="str">
        <x:v>I_SuscripcionesAdmin</x:v>
      </x:c>
      <x:c r="E964" t="str">
        <x:v>escritura</x:v>
      </x:c>
      <x:c r="F964" t="n">
        <x:v>1</x:v>
      </x:c>
      <x:c r="G964" t="str">
        <x:v>RF60</x:v>
      </x:c>
      <x:c r="H964" t="str">
        <x:v>RF060_EXITOSO!F14</x:v>
      </x:c>
    </x:row>
    <x:row r="965">
      <x:c r="A965" t="str">
        <x:v>mostrarListadoFiltros</x:v>
      </x:c>
      <x:c r="B965" t="str">
        <x:v>lista</x:v>
      </x:c>
      <x:c r="C965" t="str">
        <x:v>C_ControlSuscripcionAdmin</x:v>
      </x:c>
      <x:c r="D965" t="str">
        <x:v>I_SuscripcionesAdmin</x:v>
      </x:c>
      <x:c r="E965" t="str">
        <x:v>presentación/navegación</x:v>
      </x:c>
      <x:c r="F965" t="n">
        <x:v>1</x:v>
      </x:c>
      <x:c r="G965" t="str">
        <x:v>RF60</x:v>
      </x:c>
      <x:c r="H965" t="str">
        <x:v>RF060_EXITOSO!F9</x:v>
      </x:c>
    </x:row>
    <x:row r="966">
      <x:c r="A966" t="str">
        <x:v>retornarInformacionTIVE</x:v>
      </x:c>
      <x:c r="B966" t="str">
        <x:v>estadoTIVE,datosTIVE</x:v>
      </x:c>
      <x:c r="C966" t="str">
        <x:v>C_ControlTIVE</x:v>
      </x:c>
      <x:c r="D966" t="str">
        <x:v>C_ControlDetalleVehiculo</x:v>
      </x:c>
      <x:c r="E966" t="str">
        <x:v>retorno</x:v>
      </x:c>
      <x:c r="F966" t="n">
        <x:v>1</x:v>
      </x:c>
      <x:c r="G966" t="str">
        <x:v>RF10</x:v>
      </x:c>
      <x:c r="H966" t="str">
        <x:v>RF010-EF1!F24</x:v>
      </x:c>
    </x:row>
    <x:row r="967">
      <x:c r="A967" t="str">
        <x:v>solicitarDetalleActualizado</x:v>
      </x:c>
      <x:c r="B967" t="str">
        <x:v>idUsuario,idVehiculo</x:v>
      </x:c>
      <x:c r="C967" t="str">
        <x:v>C_ControlTIVE</x:v>
      </x:c>
      <x:c r="D967" t="str">
        <x:v>C_ControlDetalleVehiculo</x:v>
      </x:c>
      <x:c r="E967" t="str">
        <x:v>presentación/navegación</x:v>
      </x:c>
      <x:c r="F967" t="n">
        <x:v>1</x:v>
      </x:c>
      <x:c r="G967" t="str">
        <x:v>RF54</x:v>
      </x:c>
      <x:c r="H967" t="str">
        <x:v>RF054-EF1!F50</x:v>
      </x:c>
    </x:row>
    <x:row r="968">
      <x:c r="A968" t="str">
        <x:v>registrarImagenTIVE</x:v>
      </x:c>
      <x:c r="B968" t="str">
        <x:v>codigoVerificacion,imagen</x:v>
      </x:c>
      <x:c r="C968" t="str">
        <x:v>C_ControlTIVE</x:v>
      </x:c>
      <x:c r="D968" t="str">
        <x:v>C_ControlImagenTIVE</x:v>
      </x:c>
      <x:c r="E968" t="str">
        <x:v>escritura</x:v>
      </x:c>
      <x:c r="F968" t="n">
        <x:v>1</x:v>
      </x:c>
      <x:c r="G968" t="str">
        <x:v>RF54</x:v>
      </x:c>
      <x:c r="H968" t="str">
        <x:v>RF054-EF1!F41</x:v>
      </x:c>
    </x:row>
    <x:row r="969">
      <x:c r="A969" t="str">
        <x:v>solicitarImagenTIVE</x:v>
      </x:c>
      <x:c r="B969" t="str">
        <x:v>datosTIVE.codigoVerificacion</x:v>
      </x:c>
      <x:c r="C969" t="str">
        <x:v>C_ControlTIVE</x:v>
      </x:c>
      <x:c r="D969" t="str">
        <x:v>C_ControlImagenTIVE</x:v>
      </x:c>
      <x:c r="E969" t="str">
        <x:v>presentación/navegación</x:v>
      </x:c>
      <x:c r="F969" t="n">
        <x:v>1</x:v>
      </x:c>
      <x:c r="G969" t="str">
        <x:v>RF55</x:v>
      </x:c>
      <x:c r="H969" t="str">
        <x:v>RF055-EF1!F15</x:v>
      </x:c>
    </x:row>
    <x:row r="970">
      <x:c r="A970" t="str">
        <x:v>solicitarImagenTIVEActual</x:v>
      </x:c>
      <x:c r="B970" t="str">
        <x:v>codigoVerificacionAnterior</x:v>
      </x:c>
      <x:c r="C970" t="str">
        <x:v>C_ControlTIVE</x:v>
      </x:c>
      <x:c r="D970" t="str">
        <x:v>C_ControlImagenTIVE</x:v>
      </x:c>
      <x:c r="E970" t="str">
        <x:v>presentación/navegación</x:v>
      </x:c>
      <x:c r="F970" t="n">
        <x:v>1</x:v>
      </x:c>
      <x:c r="G970" t="str">
        <x:v>RF56</x:v>
      </x:c>
      <x:c r="H970" t="str">
        <x:v>RF056-EF1!F14</x:v>
      </x:c>
    </x:row>
    <x:row r="971">
      <x:c r="A971" t="str">
        <x:v>solicitarImagenTIVEActual</x:v>
      </x:c>
      <x:c r="B971" t="str">
        <x:v>datosTIVE.codigoVerificacion</x:v>
      </x:c>
      <x:c r="C971" t="str">
        <x:v>C_ControlTIVE</x:v>
      </x:c>
      <x:c r="D971" t="str">
        <x:v>C_ControlImagenTIVE</x:v>
      </x:c>
      <x:c r="E971" t="str">
        <x:v>presentación/navegación</x:v>
      </x:c>
      <x:c r="F971" t="n">
        <x:v>1</x:v>
      </x:c>
      <x:c r="G971" t="str">
        <x:v>RF56</x:v>
      </x:c>
      <x:c r="H971" t="str">
        <x:v>RF056-EF1!F41</x:v>
      </x:c>
    </x:row>
    <x:row r="972">
      <x:c r="A972" t="str">
        <x:v>retornarEstadosTIVE</x:v>
      </x:c>
      <x:c r="B972" t="str">
        <x:v>mapaTIVE</x:v>
      </x:c>
      <x:c r="C972" t="str">
        <x:v>C_ControlTIVE</x:v>
      </x:c>
      <x:c r="D972" t="str">
        <x:v>C_ControlListadoVehiculos</x:v>
      </x:c>
      <x:c r="E972" t="str">
        <x:v>retorno</x:v>
      </x:c>
      <x:c r="F972" t="n">
        <x:v>4</x:v>
      </x:c>
      <x:c r="G972" t="str">
        <x:v>RF09, RF12, RF13</x:v>
      </x:c>
      <x:c r="H972" t="str">
        <x:v>RF009-EF1!F25</x:v>
      </x:c>
    </x:row>
    <x:row r="973">
      <x:c r="A973" t="str">
        <x:v>consolidarYValidarDatosTIVE</x:v>
      </x:c>
      <x:c r="B973" t="str">
        <x:v>datosActuales,datosModificados</x:v>
      </x:c>
      <x:c r="C973" t="str">
        <x:v>C_ControlTIVE</x:v>
      </x:c>
      <x:c r="D973" t="str">
        <x:v>C_ControlTIVE</x:v>
      </x:c>
      <x:c r="E973" t="str">
        <x:v>otra</x:v>
      </x:c>
      <x:c r="F973" t="n">
        <x:v>1</x:v>
      </x:c>
      <x:c r="G973" t="str">
        <x:v>RF56</x:v>
      </x:c>
      <x:c r="H973" t="str">
        <x:v>RF056-EF1!F26</x:v>
      </x:c>
    </x:row>
    <x:row r="974">
      <x:c r="A974" t="str">
        <x:v>prepararAccionesConsultaConImagen</x:v>
      </x:c>
      <x:c r="B974" t="str">
        <x:v>estadoVehiculo,referenciaImagen</x:v>
      </x:c>
      <x:c r="C974" t="str">
        <x:v>C_ControlTIVE</x:v>
      </x:c>
      <x:c r="D974" t="str">
        <x:v>C_ControlTIVE</x:v>
      </x:c>
      <x:c r="E974" t="str">
        <x:v>otra</x:v>
      </x:c>
      <x:c r="F974" t="n">
        <x:v>1</x:v>
      </x:c>
      <x:c r="G974" t="str">
        <x:v>RF55</x:v>
      </x:c>
      <x:c r="H974" t="str">
        <x:v>RF055-EF1!F19</x:v>
      </x:c>
    </x:row>
    <x:row r="975">
      <x:c r="A975" t="str">
        <x:v>prepararActualizacionDatosTIVE</x:v>
      </x:c>
      <x:c r="B975" t="str">
        <x:v>datosActuales,datosModificados</x:v>
      </x:c>
      <x:c r="C975" t="str">
        <x:v>C_ControlTIVE</x:v>
      </x:c>
      <x:c r="D975" t="str">
        <x:v>C_ControlTIVE</x:v>
      </x:c>
      <x:c r="E975" t="str">
        <x:v>otra</x:v>
      </x:c>
      <x:c r="F975" t="n">
        <x:v>1</x:v>
      </x:c>
      <x:c r="G975" t="str">
        <x:v>RF56</x:v>
      </x:c>
      <x:c r="H975" t="str">
        <x:v>RF056-EF1!F30</x:v>
      </x:c>
    </x:row>
    <x:row r="976">
      <x:c r="A976" t="str">
        <x:v>validarCamposObligatoriosTIVE</x:v>
      </x:c>
      <x:c r="B976" t="str">
        <x:v>datosTIVE</x:v>
      </x:c>
      <x:c r="C976" t="str">
        <x:v>C_ControlTIVE</x:v>
      </x:c>
      <x:c r="D976" t="str">
        <x:v>C_ControlTIVE</x:v>
      </x:c>
      <x:c r="E976" t="str">
        <x:v>validación</x:v>
      </x:c>
      <x:c r="F976" t="n">
        <x:v>1</x:v>
      </x:c>
      <x:c r="G976" t="str">
        <x:v>RF54</x:v>
      </x:c>
      <x:c r="H976" t="str">
        <x:v>RF054-EF1!F31</x:v>
      </x:c>
    </x:row>
    <x:row r="977">
      <x:c r="A977" t="str">
        <x:v>validarDatosRegistralesOpcionales</x:v>
      </x:c>
      <x:c r="B977" t="str">
        <x:v>datosRegistrales</x:v>
      </x:c>
      <x:c r="C977" t="str">
        <x:v>C_ControlTIVE</x:v>
      </x:c>
      <x:c r="D977" t="str">
        <x:v>C_ControlTIVE</x:v>
      </x:c>
      <x:c r="E977" t="str">
        <x:v>validación</x:v>
      </x:c>
      <x:c r="F977" t="n">
        <x:v>2</x:v>
      </x:c>
      <x:c r="G977" t="str">
        <x:v>RF54, RF56</x:v>
      </x:c>
      <x:c r="H977" t="str">
        <x:v>RF054-EF1!F33</x:v>
      </x:c>
    </x:row>
    <x:row r="978">
      <x:c r="A978" t="str">
        <x:v>validarFechaTitulo</x:v>
      </x:c>
      <x:c r="B978" t="str">
        <x:v>fechaTitulo,fechaActual</x:v>
      </x:c>
      <x:c r="C978" t="str">
        <x:v>C_ControlTIVE</x:v>
      </x:c>
      <x:c r="D978" t="str">
        <x:v>C_ControlTIVE</x:v>
      </x:c>
      <x:c r="E978" t="str">
        <x:v>validación</x:v>
      </x:c>
      <x:c r="F978" t="n">
        <x:v>1</x:v>
      </x:c>
      <x:c r="G978" t="str">
        <x:v>RF54</x:v>
      </x:c>
      <x:c r="H978" t="str">
        <x:v>RF054-EF1!F32</x:v>
      </x:c>
    </x:row>
    <x:row r="979">
      <x:c r="A979" t="str">
        <x:v>verificarVINParaRegistro</x:v>
      </x:c>
      <x:c r="B979" t="str">
        <x:v>datosVehiculo.numeroVin</x:v>
      </x:c>
      <x:c r="C979" t="str">
        <x:v>C_ControlTIVE</x:v>
      </x:c>
      <x:c r="D979" t="str">
        <x:v>C_ControlTIVE</x:v>
      </x:c>
      <x:c r="E979" t="str">
        <x:v>validación</x:v>
      </x:c>
      <x:c r="F979" t="n">
        <x:v>1</x:v>
      </x:c>
      <x:c r="G979" t="str">
        <x:v>RF54</x:v>
      </x:c>
      <x:c r="H979" t="str">
        <x:v>RF054-EF1!F12</x:v>
      </x:c>
    </x:row>
    <x:row r="980">
      <x:c r="A980" t="str">
        <x:v>solicitarVehiculoPropioActivo</x:v>
      </x:c>
      <x:c r="B980" t="str">
        <x:v>idUsuario,idVehiculo</x:v>
      </x:c>
      <x:c r="C980" t="str">
        <x:v>C_ControlTIVE</x:v>
      </x:c>
      <x:c r="D980" t="str">
        <x:v>C_ControlVehiculo</x:v>
      </x:c>
      <x:c r="E980" t="str">
        <x:v>presentación/navegación</x:v>
      </x:c>
      <x:c r="F980" t="n">
        <x:v>2</x:v>
      </x:c>
      <x:c r="G980" t="str">
        <x:v>RF54, RF56</x:v>
      </x:c>
      <x:c r="H980" t="str">
        <x:v>RF054-EF1!F7</x:v>
      </x:c>
    </x:row>
    <x:row r="981">
      <x:c r="A981" t="str">
        <x:v>solicitarVehiculoPropioConsultable</x:v>
      </x:c>
      <x:c r="B981" t="str">
        <x:v>idUsuario,idVehiculo</x:v>
      </x:c>
      <x:c r="C981" t="str">
        <x:v>C_ControlTIVE</x:v>
      </x:c>
      <x:c r="D981" t="str">
        <x:v>C_ControlVehiculo</x:v>
      </x:c>
      <x:c r="E981" t="str">
        <x:v>presentación/navegación</x:v>
      </x:c>
      <x:c r="F981" t="n">
        <x:v>1</x:v>
      </x:c>
      <x:c r="G981" t="str">
        <x:v>RF55</x:v>
      </x:c>
      <x:c r="H981" t="str">
        <x:v>RF055-EF1!F7</x:v>
      </x:c>
    </x:row>
    <x:row r="982">
      <x:c r="A982" t="str">
        <x:v>validarImagenOpcional</x:v>
      </x:c>
      <x:c r="B982" t="str">
        <x:v>imagen</x:v>
      </x:c>
      <x:c r="C982" t="str">
        <x:v>C_ControlTIVE</x:v>
      </x:c>
      <x:c r="D982" t="str">
        <x:v>C_ValidacionImagenTIVE</x:v>
      </x:c>
      <x:c r="E982" t="str">
        <x:v>validación</x:v>
      </x:c>
      <x:c r="F982" t="n">
        <x:v>1</x:v>
      </x:c>
      <x:c r="G982" t="str">
        <x:v>RF54</x:v>
      </x:c>
      <x:c r="H982" t="str">
        <x:v>RF054-EF1!F34</x:v>
      </x:c>
    </x:row>
    <x:row r="983">
      <x:c r="A983" t="str">
        <x:v>comprobarUnicidadExcluyendoTIVEActual</x:v>
      </x:c>
      <x:c r="B983" t="str">
        <x:v>codigoVerificacion,nroTitulo,codigoAnterior</x:v>
      </x:c>
      <x:c r="C983" t="str">
        <x:v>C_ControlTIVE</x:v>
      </x:c>
      <x:c r="D983" t="str">
        <x:v>E_TIVE</x:v>
      </x:c>
      <x:c r="E983" t="str">
        <x:v>otra</x:v>
      </x:c>
      <x:c r="F983" t="n">
        <x:v>1</x:v>
      </x:c>
      <x:c r="G983" t="str">
        <x:v>RF56</x:v>
      </x:c>
      <x:c r="H983" t="str">
        <x:v>RF056-EF1!F28</x:v>
      </x:c>
    </x:row>
    <x:row r="984">
      <x:c r="A984" t="str">
        <x:v>consultarIdentificadoresTIVE</x:v>
      </x:c>
      <x:c r="B984" t="str">
        <x:v>numeroTitulo,codigoVerificacion</x:v>
      </x:c>
      <x:c r="C984" t="str">
        <x:v>C_ControlTIVE</x:v>
      </x:c>
      <x:c r="D984" t="str">
        <x:v>E_TIVE</x:v>
      </x:c>
      <x:c r="E984" t="str">
        <x:v>consulta</x:v>
      </x:c>
      <x:c r="F984" t="n">
        <x:v>1</x:v>
      </x:c>
      <x:c r="G984" t="str">
        <x:v>RF54</x:v>
      </x:c>
      <x:c r="H984" t="str">
        <x:v>RF054-EF1!F37</x:v>
      </x:c>
    </x:row>
    <x:row r="985">
      <x:c r="A985" t="str">
        <x:v>consultarPresenciaTIVEPorVehiculos</x:v>
      </x:c>
      <x:c r="B985" t="str">
        <x:v>idsVehiculos</x:v>
      </x:c>
      <x:c r="C985" t="str">
        <x:v>C_ControlTIVE</x:v>
      </x:c>
      <x:c r="D985" t="str">
        <x:v>E_TIVE</x:v>
      </x:c>
      <x:c r="E985" t="str">
        <x:v>consulta</x:v>
      </x:c>
      <x:c r="F985" t="n">
        <x:v>3</x:v>
      </x:c>
      <x:c r="G985" t="str">
        <x:v>RF09, RF12, RF13</x:v>
      </x:c>
      <x:c r="H985" t="str">
        <x:v>RF009-EF1!F23</x:v>
      </x:c>
    </x:row>
    <x:row r="986">
      <x:c r="A986" t="str">
        <x:v>consultarPresenciaTIVEPorVehiculos</x:v>
      </x:c>
      <x:c r="B986" t="str">
        <x:v>idsVehiculosFiltrados</x:v>
      </x:c>
      <x:c r="C986" t="str">
        <x:v>C_ControlTIVE</x:v>
      </x:c>
      <x:c r="D986" t="str">
        <x:v>E_TIVE</x:v>
      </x:c>
      <x:c r="E986" t="str">
        <x:v>consulta</x:v>
      </x:c>
      <x:c r="F986" t="n">
        <x:v>1</x:v>
      </x:c>
      <x:c r="G986" t="str">
        <x:v>RF09</x:v>
      </x:c>
      <x:c r="H986" t="str">
        <x:v>RF009-EF1!F49</x:v>
      </x:c>
    </x:row>
    <x:row r="987">
      <x:c r="A987" t="str">
        <x:v>consultarTIVEActualPorVIN</x:v>
      </x:c>
      <x:c r="B987" t="str">
        <x:v>numeroVin</x:v>
      </x:c>
      <x:c r="C987" t="str">
        <x:v>C_ControlTIVE</x:v>
      </x:c>
      <x:c r="D987" t="str">
        <x:v>E_TIVE</x:v>
      </x:c>
      <x:c r="E987" t="str">
        <x:v>consulta</x:v>
      </x:c>
      <x:c r="F987" t="n">
        <x:v>4</x:v>
      </x:c>
      <x:c r="G987" t="str">
        <x:v>RF54, RF55, RF56</x:v>
      </x:c>
      <x:c r="H987" t="str">
        <x:v>RF054-EF1!F13</x:v>
      </x:c>
    </x:row>
    <x:row r="988">
      <x:c r="A988" t="str">
        <x:v>consultarTIVEPorVehiculo</x:v>
      </x:c>
      <x:c r="B988" t="str">
        <x:v>idVehiculo</x:v>
      </x:c>
      <x:c r="C988" t="str">
        <x:v>C_ControlTIVE</x:v>
      </x:c>
      <x:c r="D988" t="str">
        <x:v>E_TIVE</x:v>
      </x:c>
      <x:c r="E988" t="str">
        <x:v>consulta</x:v>
      </x:c>
      <x:c r="F988" t="n">
        <x:v>1</x:v>
      </x:c>
      <x:c r="G988" t="str">
        <x:v>RF10</x:v>
      </x:c>
      <x:c r="H988" t="str">
        <x:v>RF010-EF1!F22</x:v>
      </x:c>
    </x:row>
    <x:row r="989">
      <x:c r="A989" t="str">
        <x:v>guardarEdicionTIVEConHistorial</x:v>
      </x:c>
      <x:c r="B989" t="str">
        <x:v>codigoAnterior,datosConsolidados</x:v>
      </x:c>
      <x:c r="C989" t="str">
        <x:v>C_ControlTIVE</x:v>
      </x:c>
      <x:c r="D989" t="str">
        <x:v>E_TIVE</x:v>
      </x:c>
      <x:c r="E989" t="str">
        <x:v>otra</x:v>
      </x:c>
      <x:c r="F989" t="n">
        <x:v>1</x:v>
      </x:c>
      <x:c r="G989" t="str">
        <x:v>RF56</x:v>
      </x:c>
      <x:c r="H989" t="str">
        <x:v>RF056-EF1!F32</x:v>
      </x:c>
    </x:row>
    <x:row r="990">
      <x:c r="A990" t="str">
        <x:v>registrarTIVE</x:v>
      </x:c>
      <x:c r="B990" t="str">
        <x:v>numeroVin,codigoVerificacion,numeroTitulo,fechaTitulo,datosRegistrales?,estado=REGISTRADA</x:v>
      </x:c>
      <x:c r="C990" t="str">
        <x:v>C_ControlTIVE</x:v>
      </x:c>
      <x:c r="D990" t="str">
        <x:v>E_TIVE</x:v>
      </x:c>
      <x:c r="E990" t="str">
        <x:v>escritura</x:v>
      </x:c>
      <x:c r="F990" t="n">
        <x:v>1</x:v>
      </x:c>
      <x:c r="G990" t="str">
        <x:v>RF54</x:v>
      </x:c>
      <x:c r="H990" t="str">
        <x:v>RF054-EF1!F39</x:v>
      </x:c>
    </x:row>
    <x:row r="991">
      <x:c r="A991" t="str">
        <x:v>mostrarExitoEdicionTIVE</x:v>
      </x:c>
      <x:c r="B991" t="str">
        <x:v>resumenActualizacion</x:v>
      </x:c>
      <x:c r="C991" t="str">
        <x:v>C_ControlTIVE</x:v>
      </x:c>
      <x:c r="D991" t="str">
        <x:v>I_ConfirmacionEdicionTIVE</x:v>
      </x:c>
      <x:c r="E991" t="str">
        <x:v>presentación/navegación</x:v>
      </x:c>
      <x:c r="F991" t="n">
        <x:v>1</x:v>
      </x:c>
      <x:c r="G991" t="str">
        <x:v>RF56</x:v>
      </x:c>
      <x:c r="H991" t="str">
        <x:v>RF056-EF1!F35</x:v>
      </x:c>
    </x:row>
    <x:row r="992">
      <x:c r="A992" t="str">
        <x:v>mostrarConfirmacionRegistroTIVE</x:v>
      </x:c>
      <x:c r="B992" t="str">
        <x:v>datosTIVE</x:v>
      </x:c>
      <x:c r="C992" t="str">
        <x:v>C_ControlTIVE</x:v>
      </x:c>
      <x:c r="D992" t="str">
        <x:v>I_ConfirmacionRegistroTIVE</x:v>
      </x:c>
      <x:c r="E992" t="str">
        <x:v>presentación/navegación</x:v>
      </x:c>
      <x:c r="F992" t="n">
        <x:v>1</x:v>
      </x:c>
      <x:c r="G992" t="str">
        <x:v>RF54</x:v>
      </x:c>
      <x:c r="H992" t="str">
        <x:v>RF054-EF1!F46</x:v>
      </x:c>
    </x:row>
    <x:row r="993">
      <x:c r="A993" t="str">
        <x:v>mostrarInformacionTIVE</x:v>
      </x:c>
      <x:c r="B993" t="str">
        <x:v>datosTIVE,referenciaImagen,accionesConsulta</x:v>
      </x:c>
      <x:c r="C993" t="str">
        <x:v>C_ControlTIVE</x:v>
      </x:c>
      <x:c r="D993" t="str">
        <x:v>I_DetalleTIVE</x:v>
      </x:c>
      <x:c r="E993" t="str">
        <x:v>presentación/navegación</x:v>
      </x:c>
      <x:c r="F993" t="n">
        <x:v>1</x:v>
      </x:c>
      <x:c r="G993" t="str">
        <x:v>RF55</x:v>
      </x:c>
      <x:c r="H993" t="str">
        <x:v>RF055-EF1!F21</x:v>
      </x:c>
    </x:row>
    <x:row r="994">
      <x:c r="A994" t="str">
        <x:v>mostrarInformacionTIVEActualizada</x:v>
      </x:c>
      <x:c r="B994" t="str">
        <x:v>datosTIVE,referenciaImagenActual</x:v>
      </x:c>
      <x:c r="C994" t="str">
        <x:v>C_ControlTIVE</x:v>
      </x:c>
      <x:c r="D994" t="str">
        <x:v>I_DetalleTIVE</x:v>
      </x:c>
      <x:c r="E994" t="str">
        <x:v>presentación/navegación</x:v>
      </x:c>
      <x:c r="F994" t="n">
        <x:v>1</x:v>
      </x:c>
      <x:c r="G994" t="str">
        <x:v>RF56</x:v>
      </x:c>
      <x:c r="H994" t="str">
        <x:v>RF056-EF1!F45</x:v>
      </x:c>
    </x:row>
    <x:row r="995">
      <x:c r="A995" t="str">
        <x:v>mostrarDetalleActualizado</x:v>
      </x:c>
      <x:c r="B995" t="str">
        <x:v>datosDetalle</x:v>
      </x:c>
      <x:c r="C995" t="str">
        <x:v>C_ControlTIVE</x:v>
      </x:c>
      <x:c r="D995" t="str">
        <x:v>I_DetalleVehiculo</x:v>
      </x:c>
      <x:c r="E995" t="str">
        <x:v>presentación/navegación</x:v>
      </x:c>
      <x:c r="F995" t="n">
        <x:v>1</x:v>
      </x:c>
      <x:c r="G995" t="str">
        <x:v>RF54</x:v>
      </x:c>
      <x:c r="H995" t="str">
        <x:v>RF054-EF1!F52</x:v>
      </x:c>
    </x:row>
    <x:row r="996">
      <x:c r="A996" t="str">
        <x:v>mostrarFormularioEdicionTIVE</x:v>
      </x:c>
      <x:c r="B996" t="str">
        <x:v>datosTIVEActual,referenciaImagenActual</x:v>
      </x:c>
      <x:c r="C996" t="str">
        <x:v>C_ControlTIVE</x:v>
      </x:c>
      <x:c r="D996" t="str">
        <x:v>I_EditarTIVE</x:v>
      </x:c>
      <x:c r="E996" t="str">
        <x:v>presentación/navegación</x:v>
      </x:c>
      <x:c r="F996" t="n">
        <x:v>1</x:v>
      </x:c>
      <x:c r="G996" t="str">
        <x:v>RF56</x:v>
      </x:c>
      <x:c r="H996" t="str">
        <x:v>RF056-EF1!F18</x:v>
      </x:c>
    </x:row>
    <x:row r="997">
      <x:c r="A997" t="str">
        <x:v>mostrarFormularioRegistroTIVE</x:v>
      </x:c>
      <x:c r="B997" t="str">
        <x:v>datosVehiculo</x:v>
      </x:c>
      <x:c r="C997" t="str">
        <x:v>C_ControlTIVE</x:v>
      </x:c>
      <x:c r="D997" t="str">
        <x:v>I_RegistrarTIVE</x:v>
      </x:c>
      <x:c r="E997" t="str">
        <x:v>presentación/navegación</x:v>
      </x:c>
      <x:c r="F997" t="n">
        <x:v>1</x:v>
      </x:c>
      <x:c r="G997" t="str">
        <x:v>RF54</x:v>
      </x:c>
      <x:c r="H997" t="str">
        <x:v>RF054-EF1!F15</x:v>
      </x:c>
    </x:row>
    <x:row r="998">
      <x:c r="A998" t="str">
        <x:v>retornarDatosTallerSiCorresponde</x:v>
      </x:c>
      <x:c r="B998" t="str">
        <x:v>datos_taller</x:v>
      </x:c>
      <x:c r="C998" t="str">
        <x:v>C_ControlTaller</x:v>
      </x:c>
      <x:c r="D998" t="str">
        <x:v>C_ControlHistorial</x:v>
      </x:c>
      <x:c r="E998" t="str">
        <x:v>retorno</x:v>
      </x:c>
      <x:c r="F998" t="n">
        <x:v>1</x:v>
      </x:c>
      <x:c r="G998" t="str">
        <x:v>RF19</x:v>
      </x:c>
      <x:c r="H998" t="str">
        <x:v>RF19!F19</x:v>
      </x:c>
    </x:row>
    <x:row r="999">
      <x:c r="A999" t="str">
        <x:v>retornarDatosTalleres</x:v>
      </x:c>
      <x:c r="B999" t="str">
        <x:v>lista_talleres</x:v>
      </x:c>
      <x:c r="C999" t="str">
        <x:v>C_ControlTaller</x:v>
      </x:c>
      <x:c r="D999" t="str">
        <x:v>C_ControlHistorial</x:v>
      </x:c>
      <x:c r="E999" t="str">
        <x:v>retorno</x:v>
      </x:c>
      <x:c r="F999" t="n">
        <x:v>4</x:v>
      </x:c>
      <x:c r="G999" t="str">
        <x:v>RF21, RF25, RF26, RF27</x:v>
      </x:c>
      <x:c r="H999" t="str">
        <x:v>RF21!F47</x:v>
      </x:c>
    </x:row>
    <x:row r="1000">
      <x:c r="A1000" t="str">
        <x:v>retornarNombresTalleresHistorial</x:v>
      </x:c>
      <x:c r="B1000" t="str">
        <x:v>lista_talleres</x:v>
      </x:c>
      <x:c r="C1000" t="str">
        <x:v>C_ControlTaller</x:v>
      </x:c>
      <x:c r="D1000" t="str">
        <x:v>C_ControlHistorial</x:v>
      </x:c>
      <x:c r="E1000" t="str">
        <x:v>retorno</x:v>
      </x:c>
      <x:c r="F1000" t="n">
        <x:v>2</x:v>
      </x:c>
      <x:c r="G1000" t="str">
        <x:v>RF18</x:v>
      </x:c>
      <x:c r="H1000" t="str">
        <x:v>RF18!F26</x:v>
      </x:c>
    </x:row>
    <x:row r="1001">
      <x:c r="A1001" t="str">
        <x:v>retornarTalleresOrdenados</x:v>
      </x:c>
      <x:c r="B1001" t="str">
        <x:v>lista_talleres</x:v>
      </x:c>
      <x:c r="C1001" t="str">
        <x:v>C_ControlTaller</x:v>
      </x:c>
      <x:c r="D1001" t="str">
        <x:v>C_ControlMantenimiento</x:v>
      </x:c>
      <x:c r="E1001" t="str">
        <x:v>retorno</x:v>
      </x:c>
      <x:c r="F1001" t="n">
        <x:v>2</x:v>
      </x:c>
      <x:c r="G1001" t="str">
        <x:v>RF17, RF24</x:v>
      </x:c>
      <x:c r="H1001" t="str">
        <x:v>RF17!F38</x:v>
      </x:c>
    </x:row>
    <x:row r="1002">
      <x:c r="A1002" t="str">
        <x:v>retornarTalleresParaEdicion</x:v>
      </x:c>
      <x:c r="B1002" t="str">
        <x:v>lista_talleres</x:v>
      </x:c>
      <x:c r="C1002" t="str">
        <x:v>C_ControlTaller</x:v>
      </x:c>
      <x:c r="D1002" t="str">
        <x:v>C_ControlMantenimiento</x:v>
      </x:c>
      <x:c r="E1002" t="str">
        <x:v>retorno</x:v>
      </x:c>
      <x:c r="F1002" t="n">
        <x:v>1</x:v>
      </x:c>
      <x:c r="G1002" t="str">
        <x:v>RF20</x:v>
      </x:c>
      <x:c r="H1002" t="str">
        <x:v>RF20!F22</x:v>
      </x:c>
    </x:row>
    <x:row r="1003">
      <x:c r="A1003" t="str">
        <x:v>retornarValidacionNuevoTaller</x:v>
      </x:c>
      <x:c r="B1003" t="str">
        <x:v>resultado_taller</x:v>
      </x:c>
      <x:c r="C1003" t="str">
        <x:v>C_ControlTaller</x:v>
      </x:c>
      <x:c r="D1003" t="str">
        <x:v>C_ControlMantenimiento</x:v>
      </x:c>
      <x:c r="E1003" t="str">
        <x:v>retorno</x:v>
      </x:c>
      <x:c r="F1003" t="n">
        <x:v>1</x:v>
      </x:c>
      <x:c r="G1003" t="str">
        <x:v>RF20</x:v>
      </x:c>
      <x:c r="H1003" t="str">
        <x:v>RF20!F33</x:v>
      </x:c>
    </x:row>
    <x:row r="1004">
      <x:c r="A1004" t="str">
        <x:v>retornarValidacionTaller</x:v>
      </x:c>
      <x:c r="B1004" t="str">
        <x:v>resultado_taller</x:v>
      </x:c>
      <x:c r="C1004" t="str">
        <x:v>C_ControlTaller</x:v>
      </x:c>
      <x:c r="D1004" t="str">
        <x:v>C_ControlMantenimiento</x:v>
      </x:c>
      <x:c r="E1004" t="str">
        <x:v>retorno</x:v>
      </x:c>
      <x:c r="F1004" t="n">
        <x:v>2</x:v>
      </x:c>
      <x:c r="G1004" t="str">
        <x:v>RF17, RF24</x:v>
      </x:c>
      <x:c r="H1004" t="str">
        <x:v>RF17!F67</x:v>
      </x:c>
    </x:row>
    <x:row r="1005">
      <x:c r="A1005" t="str">
        <x:v>ordenarTallerFavoritoPrimero</x:v>
      </x:c>
      <x:c r="B1005" t="str">
        <x:v>lista_talleres</x:v>
      </x:c>
      <x:c r="C1005" t="str">
        <x:v>C_ControlTaller</x:v>
      </x:c>
      <x:c r="D1005" t="str">
        <x:v>C_ControlTaller</x:v>
      </x:c>
      <x:c r="E1005" t="str">
        <x:v>otra</x:v>
      </x:c>
      <x:c r="F1005" t="n">
        <x:v>3</x:v>
      </x:c>
      <x:c r="G1005" t="str">
        <x:v>RF17, RF24, RF25</x:v>
      </x:c>
      <x:c r="H1005" t="str">
        <x:v>RF17!F37</x:v>
      </x:c>
    </x:row>
    <x:row r="1006">
      <x:c r="A1006" t="str">
        <x:v>validarCorreoSiInformado</x:v>
      </x:c>
      <x:c r="B1006" t="str">
        <x:v>correo</x:v>
      </x:c>
      <x:c r="C1006" t="str">
        <x:v>C_ControlTaller</x:v>
      </x:c>
      <x:c r="D1006" t="str">
        <x:v>C_ControlTaller</x:v>
      </x:c>
      <x:c r="E1006" t="str">
        <x:v>validación</x:v>
      </x:c>
      <x:c r="F1006" t="n">
        <x:v>2</x:v>
      </x:c>
      <x:c r="G1006" t="str">
        <x:v>RF34, RF35</x:v>
      </x:c>
      <x:c r="H1006" t="str">
        <x:v>RF034-EF1!F27</x:v>
      </x:c>
    </x:row>
    <x:row r="1007">
      <x:c r="A1007" t="str">
        <x:v>validarNombreObligatorio</x:v>
      </x:c>
      <x:c r="B1007" t="str">
        <x:v>nombre</x:v>
      </x:c>
      <x:c r="C1007" t="str">
        <x:v>C_ControlTaller</x:v>
      </x:c>
      <x:c r="D1007" t="str">
        <x:v>C_ControlTaller</x:v>
      </x:c>
      <x:c r="E1007" t="str">
        <x:v>validación</x:v>
      </x:c>
      <x:c r="F1007" t="n">
        <x:v>2</x:v>
      </x:c>
      <x:c r="G1007" t="str">
        <x:v>RF34, RF35</x:v>
      </x:c>
      <x:c r="H1007" t="str">
        <x:v>RF034-EF1!F25</x:v>
      </x:c>
    </x:row>
    <x:row r="1008">
      <x:c r="A1008" t="str">
        <x:v>validarTallerActivo</x:v>
      </x:c>
      <x:c r="B1008" t="str">
        <x:v>activo</x:v>
      </x:c>
      <x:c r="C1008" t="str">
        <x:v>C_ControlTaller</x:v>
      </x:c>
      <x:c r="D1008" t="str">
        <x:v>C_ControlTaller</x:v>
      </x:c>
      <x:c r="E1008" t="str">
        <x:v>validación</x:v>
      </x:c>
      <x:c r="F1008" t="n">
        <x:v>1</x:v>
      </x:c>
      <x:c r="G1008" t="str">
        <x:v>RF37</x:v>
      </x:c>
      <x:c r="H1008" t="str">
        <x:v>RF037-EF1!F23</x:v>
      </x:c>
    </x:row>
    <x:row r="1009">
      <x:c r="A1009" t="str">
        <x:v>validarTallerPropio</x:v>
      </x:c>
      <x:c r="B1009" t="str">
        <x:v>idUsuarioPropietario,idUsuario</x:v>
      </x:c>
      <x:c r="C1009" t="str">
        <x:v>C_ControlTaller</x:v>
      </x:c>
      <x:c r="D1009" t="str">
        <x:v>C_ControlTaller</x:v>
      </x:c>
      <x:c r="E1009" t="str">
        <x:v>validación</x:v>
      </x:c>
      <x:c r="F1009" t="n">
        <x:v>1</x:v>
      </x:c>
      <x:c r="G1009" t="str">
        <x:v>RF37</x:v>
      </x:c>
      <x:c r="H1009" t="str">
        <x:v>RF037-EF1!F22</x:v>
      </x:c>
    </x:row>
    <x:row r="1010">
      <x:c r="A1010" t="str">
        <x:v>validarTallerPropioActivo</x:v>
      </x:c>
      <x:c r="B1010" t="str">
        <x:v>idUsuarioPropietario,idUsuario,activo</x:v>
      </x:c>
      <x:c r="C1010" t="str">
        <x:v>C_ControlTaller</x:v>
      </x:c>
      <x:c r="D1010" t="str">
        <x:v>C_ControlTaller</x:v>
      </x:c>
      <x:c r="E1010" t="str">
        <x:v>validación</x:v>
      </x:c>
      <x:c r="F1010" t="n">
        <x:v>2</x:v>
      </x:c>
      <x:c r="G1010" t="str">
        <x:v>RF35, RF36</x:v>
      </x:c>
      <x:c r="H1010" t="str">
        <x:v>RF035-EF1!F22</x:v>
      </x:c>
    </x:row>
    <x:row r="1011">
      <x:c r="A1011" t="str">
        <x:v>validarTelefonoSiInformado</x:v>
      </x:c>
      <x:c r="B1011" t="str">
        <x:v>telefono</x:v>
      </x:c>
      <x:c r="C1011" t="str">
        <x:v>C_ControlTaller</x:v>
      </x:c>
      <x:c r="D1011" t="str">
        <x:v>C_ControlTaller</x:v>
      </x:c>
      <x:c r="E1011" t="str">
        <x:v>validación</x:v>
      </x:c>
      <x:c r="F1011" t="n">
        <x:v>2</x:v>
      </x:c>
      <x:c r="G1011" t="str">
        <x:v>RF34, RF35</x:v>
      </x:c>
      <x:c r="H1011" t="str">
        <x:v>RF034-EF1!F26</x:v>
      </x:c>
    </x:row>
    <x:row r="1012">
      <x:c r="A1012" t="str">
        <x:v>actualizarTaller</x:v>
      </x:c>
      <x:c r="B1012" t="str">
        <x:v>idTaller,versionTaller,nombre,telefono,correo,direccion,notas</x:v>
      </x:c>
      <x:c r="C1012" t="str">
        <x:v>C_ControlTaller</x:v>
      </x:c>
      <x:c r="D1012" t="str">
        <x:v>E_Taller</x:v>
      </x:c>
      <x:c r="E1012" t="str">
        <x:v>escritura</x:v>
      </x:c>
      <x:c r="F1012" t="n">
        <x:v>1</x:v>
      </x:c>
      <x:c r="G1012" t="str">
        <x:v>RF35</x:v>
      </x:c>
      <x:c r="H1012" t="str">
        <x:v>RF035-EF1!F34</x:v>
      </x:c>
    </x:row>
    <x:row r="1013">
      <x:c r="A1013" t="str">
        <x:v>cambiarTallerFavoritoAtomico</x:v>
      </x:c>
      <x:c r="B1013" t="str">
        <x:v>idUsuario,idTaller</x:v>
      </x:c>
      <x:c r="C1013" t="str">
        <x:v>C_ControlTaller</x:v>
      </x:c>
      <x:c r="D1013" t="str">
        <x:v>E_Taller</x:v>
      </x:c>
      <x:c r="E1013" t="str">
        <x:v>otra</x:v>
      </x:c>
      <x:c r="F1013" t="n">
        <x:v>1</x:v>
      </x:c>
      <x:c r="G1013" t="str">
        <x:v>RF37</x:v>
      </x:c>
      <x:c r="H1013" t="str">
        <x:v>RF037-EF1!F25</x:v>
      </x:c>
    </x:row>
    <x:row r="1014">
      <x:c r="A1014" t="str">
        <x:v>consultarNuevoTallerValido</x:v>
      </x:c>
      <x:c r="B1014" t="str">
        <x:v>id_usuario,id_taller_nuevo</x:v>
      </x:c>
      <x:c r="C1014" t="str">
        <x:v>C_ControlTaller</x:v>
      </x:c>
      <x:c r="D1014" t="str">
        <x:v>E_Taller</x:v>
      </x:c>
      <x:c r="E1014" t="str">
        <x:v>consulta</x:v>
      </x:c>
      <x:c r="F1014" t="n">
        <x:v>1</x:v>
      </x:c>
      <x:c r="G1014" t="str">
        <x:v>RF20</x:v>
      </x:c>
      <x:c r="H1014" t="str">
        <x:v>RF20!F31</x:v>
      </x:c>
    </x:row>
    <x:row r="1015">
      <x:c r="A1015" t="str">
        <x:v>consultarTaller</x:v>
      </x:c>
      <x:c r="B1015" t="str">
        <x:v>idTaller</x:v>
      </x:c>
      <x:c r="C1015" t="str">
        <x:v>C_ControlTaller</x:v>
      </x:c>
      <x:c r="D1015" t="str">
        <x:v>E_Taller</x:v>
      </x:c>
      <x:c r="E1015" t="str">
        <x:v>consulta</x:v>
      </x:c>
      <x:c r="F1015" t="n">
        <x:v>3</x:v>
      </x:c>
      <x:c r="G1015" t="str">
        <x:v>RF35, RF36, RF37</x:v>
      </x:c>
      <x:c r="H1015" t="str">
        <x:v>RF035-EF1!F20</x:v>
      </x:c>
    </x:row>
    <x:row r="1016">
      <x:c r="A1016" t="str">
        <x:v>consultarTallerActivoUsuarioSiCorresponde</x:v>
      </x:c>
      <x:c r="B1016" t="str">
        <x:v>id_usuario,id_taller</x:v>
      </x:c>
      <x:c r="C1016" t="str">
        <x:v>C_ControlTaller</x:v>
      </x:c>
      <x:c r="D1016" t="str">
        <x:v>E_Taller</x:v>
      </x:c>
      <x:c r="E1016" t="str">
        <x:v>consulta</x:v>
      </x:c>
      <x:c r="F1016" t="n">
        <x:v>2</x:v>
      </x:c>
      <x:c r="G1016" t="str">
        <x:v>RF17, RF24</x:v>
      </x:c>
      <x:c r="H1016" t="str">
        <x:v>RF17!F65</x:v>
      </x:c>
    </x:row>
    <x:row r="1017">
      <x:c r="A1017" t="str">
        <x:v>consultarTallerReferenciado</x:v>
      </x:c>
      <x:c r="B1017" t="str">
        <x:v>datos_mantenimiento.id_taller</x:v>
      </x:c>
      <x:c r="C1017" t="str">
        <x:v>C_ControlTaller</x:v>
      </x:c>
      <x:c r="D1017" t="str">
        <x:v>E_Taller</x:v>
      </x:c>
      <x:c r="E1017" t="str">
        <x:v>consulta</x:v>
      </x:c>
      <x:c r="F1017" t="n">
        <x:v>1</x:v>
      </x:c>
      <x:c r="G1017" t="str">
        <x:v>RF19</x:v>
      </x:c>
      <x:c r="H1017" t="str">
        <x:v>RF19!F17</x:v>
      </x:c>
    </x:row>
    <x:row r="1018">
      <x:c r="A1018" t="str">
        <x:v>consultarTalleres</x:v>
      </x:c>
      <x:c r="B1018" t="str">
        <x:v>lista_id_taller_no_nulos</x:v>
      </x:c>
      <x:c r="C1018" t="str">
        <x:v>C_ControlTaller</x:v>
      </x:c>
      <x:c r="D1018" t="str">
        <x:v>E_Taller</x:v>
      </x:c>
      <x:c r="E1018" t="str">
        <x:v>consulta</x:v>
      </x:c>
      <x:c r="F1018" t="n">
        <x:v>4</x:v>
      </x:c>
      <x:c r="G1018" t="str">
        <x:v>RF21, RF25, RF26, RF27</x:v>
      </x:c>
      <x:c r="H1018" t="str">
        <x:v>RF21!F45</x:v>
      </x:c>
    </x:row>
    <x:row r="1019">
      <x:c r="A1019" t="str">
        <x:v>consultarTalleresActivosPorUsuario</x:v>
      </x:c>
      <x:c r="B1019" t="str">
        <x:v>idUsuario</x:v>
      </x:c>
      <x:c r="C1019" t="str">
        <x:v>C_ControlTaller</x:v>
      </x:c>
      <x:c r="D1019" t="str">
        <x:v>E_Taller</x:v>
      </x:c>
      <x:c r="E1019" t="str">
        <x:v>consulta</x:v>
      </x:c>
      <x:c r="F1019" t="n">
        <x:v>4</x:v>
      </x:c>
      <x:c r="G1019" t="str">
        <x:v>RF34, RF35, RF36, RF37</x:v>
      </x:c>
      <x:c r="H1019" t="str">
        <x:v>RF034-EF1!F11</x:v>
      </x:c>
    </x:row>
    <x:row r="1020">
      <x:c r="A1020" t="str">
        <x:v>consultarTalleresActivosUsuario</x:v>
      </x:c>
      <x:c r="B1020" t="str">
        <x:v>id_usuario</x:v>
      </x:c>
      <x:c r="C1020" t="str">
        <x:v>C_ControlTaller</x:v>
      </x:c>
      <x:c r="D1020" t="str">
        <x:v>E_Taller</x:v>
      </x:c>
      <x:c r="E1020" t="str">
        <x:v>consulta</x:v>
      </x:c>
      <x:c r="F1020" t="n">
        <x:v>3</x:v>
      </x:c>
      <x:c r="G1020" t="str">
        <x:v>RF17, RF24, RF25</x:v>
      </x:c>
      <x:c r="H1020" t="str">
        <x:v>RF17!F35</x:v>
      </x:c>
    </x:row>
    <x:row r="1021">
      <x:c r="A1021" t="str">
        <x:v>consultarTalleresDisponiblesUsuario</x:v>
      </x:c>
      <x:c r="B1021" t="str">
        <x:v>id_usuario,id_taller_actual</x:v>
      </x:c>
      <x:c r="C1021" t="str">
        <x:v>C_ControlTaller</x:v>
      </x:c>
      <x:c r="D1021" t="str">
        <x:v>E_Taller</x:v>
      </x:c>
      <x:c r="E1021" t="str">
        <x:v>consulta</x:v>
      </x:c>
      <x:c r="F1021" t="n">
        <x:v>1</x:v>
      </x:c>
      <x:c r="G1021" t="str">
        <x:v>RF20</x:v>
      </x:c>
      <x:c r="H1021" t="str">
        <x:v>RF20!F20</x:v>
      </x:c>
    </x:row>
    <x:row r="1022">
      <x:c r="A1022" t="str">
        <x:v>consultarTalleresReferenciados</x:v>
      </x:c>
      <x:c r="B1022" t="str">
        <x:v>lista_id_taller_no_nulos</x:v>
      </x:c>
      <x:c r="C1022" t="str">
        <x:v>C_ControlTaller</x:v>
      </x:c>
      <x:c r="D1022" t="str">
        <x:v>E_Taller</x:v>
      </x:c>
      <x:c r="E1022" t="str">
        <x:v>consulta</x:v>
      </x:c>
      <x:c r="F1022" t="n">
        <x:v>2</x:v>
      </x:c>
      <x:c r="G1022" t="str">
        <x:v>RF18</x:v>
      </x:c>
      <x:c r="H1022" t="str">
        <x:v>RF18!F24</x:v>
      </x:c>
    </x:row>
    <x:row r="1023">
      <x:c r="A1023" t="str">
        <x:v>desactivarTallerLogicamente</x:v>
      </x:c>
      <x:c r="B1023" t="str">
        <x:v>idTaller,versionTaller,activo=false,favorito=false</x:v>
      </x:c>
      <x:c r="C1023" t="str">
        <x:v>C_ControlTaller</x:v>
      </x:c>
      <x:c r="D1023" t="str">
        <x:v>E_Taller</x:v>
      </x:c>
      <x:c r="E1023" t="str">
        <x:v>otra</x:v>
      </x:c>
      <x:c r="F1023" t="n">
        <x:v>1</x:v>
      </x:c>
      <x:c r="G1023" t="str">
        <x:v>RF36</x:v>
      </x:c>
      <x:c r="H1023" t="str">
        <x:v>RF036-EF1!F28</x:v>
      </x:c>
    </x:row>
    <x:row r="1024">
      <x:c r="A1024" t="str">
        <x:v>registrarTaller</x:v>
      </x:c>
      <x:c r="B1024" t="str">
        <x:v>idUsuario,nombre,telefono,correo,direccion,notas,ACTIVO,favorito=false</x:v>
      </x:c>
      <x:c r="C1024" t="str">
        <x:v>C_ControlTaller</x:v>
      </x:c>
      <x:c r="D1024" t="str">
        <x:v>E_Taller</x:v>
      </x:c>
      <x:c r="E1024" t="str">
        <x:v>escritura</x:v>
      </x:c>
      <x:c r="F1024" t="n">
        <x:v>1</x:v>
      </x:c>
      <x:c r="G1024" t="str">
        <x:v>RF34</x:v>
      </x:c>
      <x:c r="H1024" t="str">
        <x:v>RF034-EF1!F29</x:v>
      </x:c>
    </x:row>
    <x:row r="1025">
      <x:c r="A1025" t="str">
        <x:v>mostrarConfirmacionEliminacionTaller</x:v>
      </x:c>
      <x:c r="B1025" t="str"/>
      <x:c r="C1025" t="str">
        <x:v>C_ControlTaller</x:v>
      </x:c>
      <x:c r="D1025" t="str">
        <x:v>I_ConfirmacionOperacion</x:v>
      </x:c>
      <x:c r="E1025" t="str">
        <x:v>presentación/navegación</x:v>
      </x:c>
      <x:c r="F1025" t="n">
        <x:v>1</x:v>
      </x:c>
      <x:c r="G1025" t="str">
        <x:v>RF36</x:v>
      </x:c>
      <x:c r="H1025" t="str">
        <x:v>RF036-EF1!F23</x:v>
      </x:c>
    </x:row>
    <x:row r="1026">
      <x:c r="A1026" t="str">
        <x:v>mostrarRegistroTallerExitoso</x:v>
      </x:c>
      <x:c r="B1026" t="str">
        <x:v>datosTaller</x:v>
      </x:c>
      <x:c r="C1026" t="str">
        <x:v>C_ControlTaller</x:v>
      </x:c>
      <x:c r="D1026" t="str">
        <x:v>I_ConfirmacionOperacion</x:v>
      </x:c>
      <x:c r="E1026" t="str">
        <x:v>presentación/navegación</x:v>
      </x:c>
      <x:c r="F1026" t="n">
        <x:v>1</x:v>
      </x:c>
      <x:c r="G1026" t="str">
        <x:v>RF34</x:v>
      </x:c>
      <x:c r="H1026" t="str">
        <x:v>RF034-EF1!F31</x:v>
      </x:c>
    </x:row>
    <x:row r="1027">
      <x:c r="A1027" t="str">
        <x:v>mostrarFormularioEdicion</x:v>
      </x:c>
      <x:c r="B1027" t="str">
        <x:v>taller</x:v>
      </x:c>
      <x:c r="C1027" t="str">
        <x:v>C_ControlTaller</x:v>
      </x:c>
      <x:c r="D1027" t="str">
        <x:v>I_EditarTaller</x:v>
      </x:c>
      <x:c r="E1027" t="str">
        <x:v>presentación/navegación</x:v>
      </x:c>
      <x:c r="F1027" t="n">
        <x:v>1</x:v>
      </x:c>
      <x:c r="G1027" t="str">
        <x:v>RF35</x:v>
      </x:c>
      <x:c r="H1027" t="str">
        <x:v>RF035-EF1!F23</x:v>
      </x:c>
    </x:row>
    <x:row r="1028">
      <x:c r="A1028" t="str">
        <x:v>mostrarSeccionTalleres</x:v>
      </x:c>
      <x:c r="B1028" t="str">
        <x:v>lista_talleres,AGREGAR_TALLER</x:v>
      </x:c>
      <x:c r="C1028" t="str">
        <x:v>C_ControlTaller</x:v>
      </x:c>
      <x:c r="D1028" t="str">
        <x:v>I_HistorialVehiculo</x:v>
      </x:c>
      <x:c r="E1028" t="str">
        <x:v>presentación/navegación</x:v>
      </x:c>
      <x:c r="F1028" t="n">
        <x:v>1</x:v>
      </x:c>
      <x:c r="G1028" t="str">
        <x:v>RF25</x:v>
      </x:c>
      <x:c r="H1028" t="str">
        <x:v>RF25!F49</x:v>
      </x:c>
    </x:row>
    <x:row r="1029">
      <x:c r="A1029" t="str">
        <x:v>mostrarFormularioRegistroTaller</x:v>
      </x:c>
      <x:c r="B1029" t="str"/>
      <x:c r="C1029" t="str">
        <x:v>C_ControlTaller</x:v>
      </x:c>
      <x:c r="D1029" t="str">
        <x:v>I_RegistroTaller</x:v>
      </x:c>
      <x:c r="E1029" t="str">
        <x:v>presentación/navegación</x:v>
      </x:c>
      <x:c r="F1029" t="n">
        <x:v>1</x:v>
      </x:c>
      <x:c r="G1029" t="str">
        <x:v>RF34</x:v>
      </x:c>
      <x:c r="H1029" t="str">
        <x:v>RF034-EF1!F18</x:v>
      </x:c>
    </x:row>
    <x:row r="1030">
      <x:c r="A1030" t="str">
        <x:v>mostrarListaTalleres</x:v>
      </x:c>
      <x:c r="B1030" t="str">
        <x:v>listaTalleres</x:v>
      </x:c>
      <x:c r="C1030" t="str">
        <x:v>C_ControlTaller</x:v>
      </x:c>
      <x:c r="D1030" t="str">
        <x:v>I_Taller</x:v>
      </x:c>
      <x:c r="E1030" t="str">
        <x:v>presentación/navegación</x:v>
      </x:c>
      <x:c r="F1030" t="n">
        <x:v>4</x:v>
      </x:c>
      <x:c r="G1030" t="str">
        <x:v>RF34, RF35, RF36, RF37</x:v>
      </x:c>
      <x:c r="H1030" t="str">
        <x:v>RF034-EF1!F13</x:v>
      </x:c>
    </x:row>
    <x:row r="1031">
      <x:c r="A1031" t="str">
        <x:v>mostrarListaTalleresActualizada</x:v>
      </x:c>
      <x:c r="B1031" t="str">
        <x:v>datosTaller</x:v>
      </x:c>
      <x:c r="C1031" t="str">
        <x:v>C_ControlTaller</x:v>
      </x:c>
      <x:c r="D1031" t="str">
        <x:v>I_Taller</x:v>
      </x:c>
      <x:c r="E1031" t="str">
        <x:v>presentación/navegación</x:v>
      </x:c>
      <x:c r="F1031" t="n">
        <x:v>1</x:v>
      </x:c>
      <x:c r="G1031" t="str">
        <x:v>RF35</x:v>
      </x:c>
      <x:c r="H1031" t="str">
        <x:v>RF035-EF1!F36</x:v>
      </x:c>
    </x:row>
    <x:row r="1032">
      <x:c r="A1032" t="str">
        <x:v>mostrarListaTalleresActualizada</x:v>
      </x:c>
      <x:c r="B1032" t="str">
        <x:v>idTaller</x:v>
      </x:c>
      <x:c r="C1032" t="str">
        <x:v>C_ControlTaller</x:v>
      </x:c>
      <x:c r="D1032" t="str">
        <x:v>I_Taller</x:v>
      </x:c>
      <x:c r="E1032" t="str">
        <x:v>presentación/navegación</x:v>
      </x:c>
      <x:c r="F1032" t="n">
        <x:v>2</x:v>
      </x:c>
      <x:c r="G1032" t="str">
        <x:v>RF36, RF37</x:v>
      </x:c>
      <x:c r="H1032" t="str">
        <x:v>RF036-EF1!F31</x:v>
      </x:c>
    </x:row>
    <x:row r="1033">
      <x:c r="A1033" t="str">
        <x:v>retornarTipoMantenimientoActivoPermitido</x:v>
      </x:c>
      <x:c r="B1033" t="str">
        <x:v>datos_tipo</x:v>
      </x:c>
      <x:c r="C1033" t="str">
        <x:v>C_ControlTipoMantenimiento</x:v>
      </x:c>
      <x:c r="D1033" t="str">
        <x:v>C_ControlAlerta</x:v>
      </x:c>
      <x:c r="E1033" t="str">
        <x:v>retorno</x:v>
      </x:c>
      <x:c r="F1033" t="n">
        <x:v>1</x:v>
      </x:c>
      <x:c r="G1033" t="str">
        <x:v>RF22</x:v>
      </x:c>
      <x:c r="H1033" t="str">
        <x:v>RF22!F28</x:v>
      </x:c>
    </x:row>
    <x:row r="1034">
      <x:c r="A1034" t="str">
        <x:v>retornarTipoPermitidoYActivo</x:v>
      </x:c>
      <x:c r="B1034" t="str">
        <x:v>validado=true,datos_tipo</x:v>
      </x:c>
      <x:c r="C1034" t="str">
        <x:v>C_ControlTipoMantenimiento</x:v>
      </x:c>
      <x:c r="D1034" t="str">
        <x:v>C_ControlAlerta</x:v>
      </x:c>
      <x:c r="E1034" t="str">
        <x:v>retorno</x:v>
      </x:c>
      <x:c r="F1034" t="n">
        <x:v>1</x:v>
      </x:c>
      <x:c r="G1034" t="str">
        <x:v>RF22</x:v>
      </x:c>
      <x:c r="H1034" t="str">
        <x:v>RF22!F80</x:v>
      </x:c>
    </x:row>
    <x:row r="1035">
      <x:c r="A1035" t="str">
        <x:v>retornarTiposMantenimientoActivos</x:v>
      </x:c>
      <x:c r="B1035" t="str">
        <x:v>lista_tipos_registrables</x:v>
      </x:c>
      <x:c r="C1035" t="str">
        <x:v>C_ControlTipoMantenimiento</x:v>
      </x:c>
      <x:c r="D1035" t="str">
        <x:v>C_ControlAlerta</x:v>
      </x:c>
      <x:c r="E1035" t="str">
        <x:v>retorno</x:v>
      </x:c>
      <x:c r="F1035" t="n">
        <x:v>1</x:v>
      </x:c>
      <x:c r="G1035" t="str">
        <x:v>RF22</x:v>
      </x:c>
      <x:c r="H1035" t="str">
        <x:v>RF22!F14</x:v>
      </x:c>
    </x:row>
    <x:row r="1036">
      <x:c r="A1036" t="str">
        <x:v>retornarTiposDisponiblesHistorial</x:v>
      </x:c>
      <x:c r="B1036" t="str">
        <x:v>lista_tipos</x:v>
      </x:c>
      <x:c r="C1036" t="str">
        <x:v>C_ControlTipoMantenimiento</x:v>
      </x:c>
      <x:c r="D1036" t="str">
        <x:v>C_ControlHistorial</x:v>
      </x:c>
      <x:c r="E1036" t="str">
        <x:v>retorno</x:v>
      </x:c>
      <x:c r="F1036" t="n">
        <x:v>1</x:v>
      </x:c>
      <x:c r="G1036" t="str">
        <x:v>RF26</x:v>
      </x:c>
      <x:c r="H1036" t="str">
        <x:v>RF26!F16</x:v>
      </x:c>
    </x:row>
    <x:row r="1037">
      <x:c r="A1037" t="str">
        <x:v>retornarTiposMantenimientoActivos</x:v>
      </x:c>
      <x:c r="B1037" t="str">
        <x:v>lista_tipos</x:v>
      </x:c>
      <x:c r="C1037" t="str">
        <x:v>C_ControlTipoMantenimiento</x:v>
      </x:c>
      <x:c r="D1037" t="str">
        <x:v>C_ControlMantenimiento</x:v>
      </x:c>
      <x:c r="E1037" t="str">
        <x:v>retorno</x:v>
      </x:c>
      <x:c r="F1037" t="n">
        <x:v>1</x:v>
      </x:c>
      <x:c r="G1037" t="str">
        <x:v>RF17</x:v>
      </x:c>
      <x:c r="H1037" t="str">
        <x:v>RF17!F29</x:v>
      </x:c>
    </x:row>
    <x:row r="1038">
      <x:c r="A1038" t="str">
        <x:v>filtrarTiposActivosRegistrables</x:v>
      </x:c>
      <x:c r="B1038" t="str">
        <x:v>lista_tipos</x:v>
      </x:c>
      <x:c r="C1038" t="str">
        <x:v>C_ControlTipoMantenimiento</x:v>
      </x:c>
      <x:c r="D1038" t="str">
        <x:v>C_ControlTipoMantenimiento</x:v>
      </x:c>
      <x:c r="E1038" t="str">
        <x:v>otra</x:v>
      </x:c>
      <x:c r="F1038" t="n">
        <x:v>1</x:v>
      </x:c>
      <x:c r="G1038" t="str">
        <x:v>RF17</x:v>
      </x:c>
      <x:c r="H1038" t="str">
        <x:v>RF17!F28</x:v>
      </x:c>
    </x:row>
    <x:row r="1039">
      <x:c r="A1039" t="str">
        <x:v>retornarTiposDisponiblesExportacion</x:v>
      </x:c>
      <x:c r="B1039" t="str">
        <x:v>lista_tipos</x:v>
      </x:c>
      <x:c r="C1039" t="str">
        <x:v>C_ControlTipoMantenimiento</x:v>
      </x:c>
      <x:c r="D1039" t="str">
        <x:v>C_ReporteHistorial</x:v>
      </x:c>
      <x:c r="E1039" t="str">
        <x:v>retorno</x:v>
      </x:c>
      <x:c r="F1039" t="n">
        <x:v>1</x:v>
      </x:c>
      <x:c r="G1039" t="str">
        <x:v>RF27</x:v>
      </x:c>
      <x:c r="H1039" t="str">
        <x:v>RF27!F19</x:v>
      </x:c>
    </x:row>
    <x:row r="1040">
      <x:c r="A1040" t="str">
        <x:v>retornarTipoActivoPermitido</x:v>
      </x:c>
      <x:c r="B1040" t="str">
        <x:v>datos_tipo,activo=true</x:v>
      </x:c>
      <x:c r="C1040" t="str">
        <x:v>C_ControlTipoMantenimiento</x:v>
      </x:c>
      <x:c r="D1040" t="str">
        <x:v>C_ValidacionMantenimiento</x:v>
      </x:c>
      <x:c r="E1040" t="str">
        <x:v>retorno</x:v>
      </x:c>
      <x:c r="F1040" t="n">
        <x:v>2</x:v>
      </x:c>
      <x:c r="G1040" t="str">
        <x:v>RF17, RF24</x:v>
      </x:c>
      <x:c r="H1040" t="str">
        <x:v>RF17!F57</x:v>
      </x:c>
    </x:row>
    <x:row r="1041">
      <x:c r="A1041" t="str">
        <x:v>consultarTipoMantenimientoActivo</x:v>
      </x:c>
      <x:c r="B1041" t="str">
        <x:v>id_tipo_mantenimiento</x:v>
      </x:c>
      <x:c r="C1041" t="str">
        <x:v>C_ControlTipoMantenimiento</x:v>
      </x:c>
      <x:c r="D1041" t="str">
        <x:v>E_TipoMantenimiento</x:v>
      </x:c>
      <x:c r="E1041" t="str">
        <x:v>consulta</x:v>
      </x:c>
      <x:c r="F1041" t="n">
        <x:v>2</x:v>
      </x:c>
      <x:c r="G1041" t="str">
        <x:v>RF22</x:v>
      </x:c>
      <x:c r="H1041" t="str">
        <x:v>RF22!F26</x:v>
      </x:c>
    </x:row>
    <x:row r="1042">
      <x:c r="A1042" t="str">
        <x:v>consultarTiposActivosEHistoricosPorVehiculo</x:v>
      </x:c>
      <x:c r="B1042" t="str">
        <x:v>id_usuario,id_vehiculo</x:v>
      </x:c>
      <x:c r="C1042" t="str">
        <x:v>C_ControlTipoMantenimiento</x:v>
      </x:c>
      <x:c r="D1042" t="str">
        <x:v>E_TipoMantenimiento</x:v>
      </x:c>
      <x:c r="E1042" t="str">
        <x:v>consulta</x:v>
      </x:c>
      <x:c r="F1042" t="n">
        <x:v>2</x:v>
      </x:c>
      <x:c r="G1042" t="str">
        <x:v>RF26, RF27</x:v>
      </x:c>
      <x:c r="H1042" t="str">
        <x:v>RF26!F14</x:v>
      </x:c>
    </x:row>
    <x:row r="1043">
      <x:c r="A1043" t="str">
        <x:v>consultarTiposMantenimientoActivos</x:v>
      </x:c>
      <x:c r="B1043" t="str"/>
      <x:c r="C1043" t="str">
        <x:v>C_ControlTipoMantenimiento</x:v>
      </x:c>
      <x:c r="D1043" t="str">
        <x:v>E_TipoMantenimiento</x:v>
      </x:c>
      <x:c r="E1043" t="str">
        <x:v>consulta</x:v>
      </x:c>
      <x:c r="F1043" t="n">
        <x:v>2</x:v>
      </x:c>
      <x:c r="G1043" t="str">
        <x:v>RF17, RF22</x:v>
      </x:c>
      <x:c r="H1043" t="str">
        <x:v>RF17!F26</x:v>
      </x:c>
    </x:row>
    <x:row r="1044">
      <x:c r="A1044" t="str">
        <x:v>retornarEstadosCuentas</x:v>
      </x:c>
      <x:c r="B1044" t="str">
        <x:v>estadosCuenta</x:v>
      </x:c>
      <x:c r="C1044" t="str">
        <x:v>C_ControlUsuario</x:v>
      </x:c>
      <x:c r="D1044" t="str">
        <x:v>C_ControlAlerta</x:v>
      </x:c>
      <x:c r="E1044" t="str">
        <x:v>retorno</x:v>
      </x:c>
      <x:c r="F1044" t="n">
        <x:v>1</x:v>
      </x:c>
      <x:c r="G1044" t="str">
        <x:v>RF23</x:v>
      </x:c>
      <x:c r="H1044" t="str">
        <x:v>RF23!F58</x:v>
      </x:c>
    </x:row>
    <x:row r="1045">
      <x:c r="A1045" t="str">
        <x:v>retornarValidacionCuentaActiva</x:v>
      </x:c>
      <x:c r="B1045" t="str">
        <x:v>idUsuarioAutenticado</x:v>
      </x:c>
      <x:c r="C1045" t="str">
        <x:v>C_ControlUsuario</x:v>
      </x:c>
      <x:c r="D1045" t="str">
        <x:v>C_ControlAlerta</x:v>
      </x:c>
      <x:c r="E1045" t="str">
        <x:v>retorno</x:v>
      </x:c>
      <x:c r="F1045" t="n">
        <x:v>1</x:v>
      </x:c>
      <x:c r="G1045" t="str">
        <x:v>RF23</x:v>
      </x:c>
      <x:c r="H1045" t="str">
        <x:v>RF23!F90</x:v>
      </x:c>
    </x:row>
    <x:row r="1046">
      <x:c r="A1046" t="str">
        <x:v>retornarUsuarioValidado</x:v>
      </x:c>
      <x:c r="B1046" t="str">
        <x:v>datosUsuario</x:v>
      </x:c>
      <x:c r="C1046" t="str">
        <x:v>C_ControlUsuario</x:v>
      </x:c>
      <x:c r="D1046" t="str">
        <x:v>C_ControlInicio</x:v>
      </x:c>
      <x:c r="E1046" t="str">
        <x:v>retorno</x:v>
      </x:c>
      <x:c r="F1046" t="n">
        <x:v>1</x:v>
      </x:c>
      <x:c r="G1046" t="str">
        <x:v>RF50</x:v>
      </x:c>
      <x:c r="H1046" t="str">
        <x:v>RF050-EF1!F12</x:v>
      </x:c>
    </x:row>
    <x:row r="1047">
      <x:c r="A1047" t="str">
        <x:v>validarCuentaActiva</x:v>
      </x:c>
      <x:c r="B1047" t="str">
        <x:v>datosUsuario</x:v>
      </x:c>
      <x:c r="C1047" t="str">
        <x:v>C_ControlUsuario</x:v>
      </x:c>
      <x:c r="D1047" t="str">
        <x:v>C_ControlUsuario</x:v>
      </x:c>
      <x:c r="E1047" t="str">
        <x:v>validación</x:v>
      </x:c>
      <x:c r="F1047" t="n">
        <x:v>1</x:v>
      </x:c>
      <x:c r="G1047" t="str">
        <x:v>RF50</x:v>
      </x:c>
      <x:c r="H1047" t="str">
        <x:v>RF050-EF1!F11</x:v>
      </x:c>
    </x:row>
    <x:row r="1048">
      <x:c r="A1048" t="str">
        <x:v>validarSesion</x:v>
      </x:c>
      <x:c r="B1048" t="str">
        <x:v>contextoSesion</x:v>
      </x:c>
      <x:c r="C1048" t="str">
        <x:v>C_ControlUsuario</x:v>
      </x:c>
      <x:c r="D1048" t="str">
        <x:v>C_ControlUsuario</x:v>
      </x:c>
      <x:c r="E1048" t="str">
        <x:v>validación</x:v>
      </x:c>
      <x:c r="F1048" t="n">
        <x:v>1</x:v>
      </x:c>
      <x:c r="G1048" t="str">
        <x:v>RF50</x:v>
      </x:c>
      <x:c r="H1048" t="str">
        <x:v>RF050-EF1!F8</x:v>
      </x:c>
    </x:row>
    <x:row r="1049">
      <x:c r="A1049" t="str">
        <x:v>consultarDatosUsuario</x:v>
      </x:c>
      <x:c r="B1049" t="str">
        <x:v>idUsuario</x:v>
      </x:c>
      <x:c r="C1049" t="str">
        <x:v>C_ControlUsuario</x:v>
      </x:c>
      <x:c r="D1049" t="str">
        <x:v>E_Usuario</x:v>
      </x:c>
      <x:c r="E1049" t="str">
        <x:v>consulta</x:v>
      </x:c>
      <x:c r="F1049" t="n">
        <x:v>1</x:v>
      </x:c>
      <x:c r="G1049" t="str">
        <x:v>RF50</x:v>
      </x:c>
      <x:c r="H1049" t="str">
        <x:v>RF050-EF1!F9</x:v>
      </x:c>
    </x:row>
    <x:row r="1050">
      <x:c r="A1050" t="str">
        <x:v>consultarEstadoCuenta</x:v>
      </x:c>
      <x:c r="B1050" t="str">
        <x:v>idUsuarioAutenticado</x:v>
      </x:c>
      <x:c r="C1050" t="str">
        <x:v>C_ControlUsuario</x:v>
      </x:c>
      <x:c r="D1050" t="str">
        <x:v>E_Usuario</x:v>
      </x:c>
      <x:c r="E1050" t="str">
        <x:v>consulta</x:v>
      </x:c>
      <x:c r="F1050" t="n">
        <x:v>1</x:v>
      </x:c>
      <x:c r="G1050" t="str">
        <x:v>RF23</x:v>
      </x:c>
      <x:c r="H1050" t="str">
        <x:v>RF23!F88</x:v>
      </x:c>
    </x:row>
    <x:row r="1051">
      <x:c r="A1051" t="str">
        <x:v>consultarEstadosCuentas</x:v>
      </x:c>
      <x:c r="B1051" t="str">
        <x:v>listaIdUsuario</x:v>
      </x:c>
      <x:c r="C1051" t="str">
        <x:v>C_ControlUsuario</x:v>
      </x:c>
      <x:c r="D1051" t="str">
        <x:v>E_Usuario</x:v>
      </x:c>
      <x:c r="E1051" t="str">
        <x:v>consulta</x:v>
      </x:c>
      <x:c r="F1051" t="n">
        <x:v>1</x:v>
      </x:c>
      <x:c r="G1051" t="str">
        <x:v>RF23</x:v>
      </x:c>
      <x:c r="H1051" t="str">
        <x:v>RF23!F56</x:v>
      </x:c>
    </x:row>
    <x:row r="1052">
      <x:c r="A1052" t="str">
        <x:v>validarPermiso</x:v>
      </x:c>
      <x:c r="B1052" t="str">
        <x:v>idAdmin,CONSULTAR_USUARIOS</x:v>
      </x:c>
      <x:c r="C1052" t="str">
        <x:v>C_ControlUsuariosAdmin</x:v>
      </x:c>
      <x:c r="D1052" t="str">
        <x:v>C_Autorizacion</x:v>
      </x:c>
      <x:c r="E1052" t="str">
        <x:v>validación</x:v>
      </x:c>
      <x:c r="F1052" t="n">
        <x:v>1</x:v>
      </x:c>
      <x:c r="G1052" t="str">
        <x:v>RF58</x:v>
      </x:c>
      <x:c r="H1052" t="str">
        <x:v>RF058_EXITOSO!F7</x:v>
      </x:c>
    </x:row>
    <x:row r="1053">
      <x:c r="A1053" t="str">
        <x:v>calcularEstadoYPlazo</x:v>
      </x:c>
      <x:c r="B1053" t="str">
        <x:v>datos</x:v>
      </x:c>
      <x:c r="C1053" t="str">
        <x:v>C_ControlUsuariosAdmin</x:v>
      </x:c>
      <x:c r="D1053" t="str">
        <x:v>C_ControlCuenta</x:v>
      </x:c>
      <x:c r="E1053" t="str">
        <x:v>otra</x:v>
      </x:c>
      <x:c r="F1053" t="n">
        <x:v>1</x:v>
      </x:c>
      <x:c r="G1053" t="str">
        <x:v>RF58</x:v>
      </x:c>
      <x:c r="H1053" t="str">
        <x:v>RF058_EXITOSO!F24</x:v>
      </x:c>
    </x:row>
    <x:row r="1054">
      <x:c r="A1054" t="str">
        <x:v>consultarEventosEstado</x:v>
      </x:c>
      <x:c r="B1054" t="str">
        <x:v>idUsuarioObjetivo</x:v>
      </x:c>
      <x:c r="C1054" t="str">
        <x:v>C_ControlUsuariosAdmin</x:v>
      </x:c>
      <x:c r="D1054" t="str">
        <x:v>E_EstadoCuenta</x:v>
      </x:c>
      <x:c r="E1054" t="str">
        <x:v>consulta</x:v>
      </x:c>
      <x:c r="F1054" t="n">
        <x:v>1</x:v>
      </x:c>
      <x:c r="G1054" t="str">
        <x:v>RF58</x:v>
      </x:c>
      <x:c r="H1054" t="str">
        <x:v>RF058_EXITOSO!F31</x:v>
      </x:c>
    </x:row>
    <x:row r="1055">
      <x:c r="A1055" t="str">
        <x:v>buscarUsuarios</x:v>
      </x:c>
      <x:c r="B1055" t="str">
        <x:v>criterio,estado</x:v>
      </x:c>
      <x:c r="C1055" t="str">
        <x:v>C_ControlUsuariosAdmin</x:v>
      </x:c>
      <x:c r="D1055" t="str">
        <x:v>E_Usuario</x:v>
      </x:c>
      <x:c r="E1055" t="str">
        <x:v>consulta</x:v>
      </x:c>
      <x:c r="F1055" t="n">
        <x:v>1</x:v>
      </x:c>
      <x:c r="G1055" t="str">
        <x:v>RF58</x:v>
      </x:c>
      <x:c r="H1055" t="str">
        <x:v>RF058_EXITOSO!F16</x:v>
      </x:c>
    </x:row>
    <x:row r="1056">
      <x:c r="A1056" t="str">
        <x:v>listarUsuarios</x:v>
      </x:c>
      <x:c r="B1056" t="str">
        <x:v>pagina,orden</x:v>
      </x:c>
      <x:c r="C1056" t="str">
        <x:v>C_ControlUsuariosAdmin</x:v>
      </x:c>
      <x:c r="D1056" t="str">
        <x:v>E_Usuario</x:v>
      </x:c>
      <x:c r="E1056" t="str">
        <x:v>otra</x:v>
      </x:c>
      <x:c r="F1056" t="n">
        <x:v>1</x:v>
      </x:c>
      <x:c r="G1056" t="str">
        <x:v>RF58</x:v>
      </x:c>
      <x:c r="H1056" t="str">
        <x:v>RF058_EXITOSO!F9</x:v>
      </x:c>
    </x:row>
    <x:row r="1057">
      <x:c r="A1057" t="str">
        <x:v>obtenerDatosAdministrativos</x:v>
      </x:c>
      <x:c r="B1057" t="str">
        <x:v>idUsuarioObjetivo</x:v>
      </x:c>
      <x:c r="C1057" t="str">
        <x:v>C_ControlUsuariosAdmin</x:v>
      </x:c>
      <x:c r="D1057" t="str">
        <x:v>E_Usuario</x:v>
      </x:c>
      <x:c r="E1057" t="str">
        <x:v>consulta</x:v>
      </x:c>
      <x:c r="F1057" t="n">
        <x:v>1</x:v>
      </x:c>
      <x:c r="G1057" t="str">
        <x:v>RF58</x:v>
      </x:c>
      <x:c r="H1057" t="str">
        <x:v>RF058_EXITOSO!F22</x:v>
      </x:c>
    </x:row>
    <x:row r="1058">
      <x:c r="A1058" t="str">
        <x:v>mostrarDetalleAdministrativo</x:v>
      </x:c>
      <x:c r="B1058" t="str">
        <x:v>datos,estado,diasRestantes</x:v>
      </x:c>
      <x:c r="C1058" t="str">
        <x:v>C_ControlUsuariosAdmin</x:v>
      </x:c>
      <x:c r="D1058" t="str">
        <x:v>I_DetalleUsuarioAdmin</x:v>
      </x:c>
      <x:c r="E1058" t="str">
        <x:v>presentación/navegación</x:v>
      </x:c>
      <x:c r="F1058" t="n">
        <x:v>1</x:v>
      </x:c>
      <x:c r="G1058" t="str">
        <x:v>RF58</x:v>
      </x:c>
      <x:c r="H1058" t="str">
        <x:v>RF058_EXITOSO!F26</x:v>
      </x:c>
    </x:row>
    <x:row r="1059">
      <x:c r="A1059" t="str">
        <x:v>mostrarHistorialEstados</x:v>
      </x:c>
      <x:c r="B1059" t="str">
        <x:v>eventos</x:v>
      </x:c>
      <x:c r="C1059" t="str">
        <x:v>C_ControlUsuariosAdmin</x:v>
      </x:c>
      <x:c r="D1059" t="str">
        <x:v>I_HistorialEstadoCuenta</x:v>
      </x:c>
      <x:c r="E1059" t="str">
        <x:v>presentación/navegación</x:v>
      </x:c>
      <x:c r="F1059" t="n">
        <x:v>1</x:v>
      </x:c>
      <x:c r="G1059" t="str">
        <x:v>RF58</x:v>
      </x:c>
      <x:c r="H1059" t="str">
        <x:v>RF058_EXITOSO!F33</x:v>
      </x:c>
    </x:row>
    <x:row r="1060">
      <x:c r="A1060" t="str">
        <x:v>actualizarResultados</x:v>
      </x:c>
      <x:c r="B1060" t="str">
        <x:v>lista</x:v>
      </x:c>
      <x:c r="C1060" t="str">
        <x:v>C_ControlUsuariosAdmin</x:v>
      </x:c>
      <x:c r="D1060" t="str">
        <x:v>I_UsuariosAdmin</x:v>
      </x:c>
      <x:c r="E1060" t="str">
        <x:v>escritura</x:v>
      </x:c>
      <x:c r="F1060" t="n">
        <x:v>1</x:v>
      </x:c>
      <x:c r="G1060" t="str">
        <x:v>RF58</x:v>
      </x:c>
      <x:c r="H1060" t="str">
        <x:v>RF058_EXITOSO!F18</x:v>
      </x:c>
    </x:row>
    <x:row r="1061">
      <x:c r="A1061" t="str">
        <x:v>mostrarListadoYFiltros</x:v>
      </x:c>
      <x:c r="B1061" t="str">
        <x:v>lista</x:v>
      </x:c>
      <x:c r="C1061" t="str">
        <x:v>C_ControlUsuariosAdmin</x:v>
      </x:c>
      <x:c r="D1061" t="str">
        <x:v>I_UsuariosAdmin</x:v>
      </x:c>
      <x:c r="E1061" t="str">
        <x:v>presentación/navegación</x:v>
      </x:c>
      <x:c r="F1061" t="n">
        <x:v>1</x:v>
      </x:c>
      <x:c r="G1061" t="str">
        <x:v>RF58</x:v>
      </x:c>
      <x:c r="H1061" t="str">
        <x:v>RF058_EXITOSO!F11</x:v>
      </x:c>
    </x:row>
    <x:row r="1062">
      <x:c r="A1062" t="str">
        <x:v>retornarDatosVehiculo</x:v>
      </x:c>
      <x:c r="B1062" t="str">
        <x:v>datos_vehiculo</x:v>
      </x:c>
      <x:c r="C1062" t="str">
        <x:v>C_ControlVehiculo</x:v>
      </x:c>
      <x:c r="D1062" t="str">
        <x:v>C_ControlAlerta</x:v>
      </x:c>
      <x:c r="E1062" t="str">
        <x:v>retorno</x:v>
      </x:c>
      <x:c r="F1062" t="n">
        <x:v>1</x:v>
      </x:c>
      <x:c r="G1062" t="str">
        <x:v>RF24</x:v>
      </x:c>
      <x:c r="H1062" t="str">
        <x:v>RF24!F12</x:v>
      </x:c>
    </x:row>
    <x:row r="1063">
      <x:c r="A1063" t="str">
        <x:v>retornarEstadosVehiculos</x:v>
      </x:c>
      <x:c r="B1063" t="str">
        <x:v>estadosVehiculo</x:v>
      </x:c>
      <x:c r="C1063" t="str">
        <x:v>C_ControlVehiculo</x:v>
      </x:c>
      <x:c r="D1063" t="str">
        <x:v>C_ControlAlerta</x:v>
      </x:c>
      <x:c r="E1063" t="str">
        <x:v>retorno</x:v>
      </x:c>
      <x:c r="F1063" t="n">
        <x:v>1</x:v>
      </x:c>
      <x:c r="G1063" t="str">
        <x:v>RF23</x:v>
      </x:c>
      <x:c r="H1063" t="str">
        <x:v>RF23!F54</x:v>
      </x:c>
    </x:row>
    <x:row r="1064">
      <x:c r="A1064" t="str">
        <x:v>retornarVehiculoActivo</x:v>
      </x:c>
      <x:c r="B1064" t="str">
        <x:v>datos_vehiculo</x:v>
      </x:c>
      <x:c r="C1064" t="str">
        <x:v>C_ControlVehiculo</x:v>
      </x:c>
      <x:c r="D1064" t="str">
        <x:v>C_ControlAlerta</x:v>
      </x:c>
      <x:c r="E1064" t="str">
        <x:v>retorno</x:v>
      </x:c>
      <x:c r="F1064" t="n">
        <x:v>2</x:v>
      </x:c>
      <x:c r="G1064" t="str">
        <x:v>RF22</x:v>
      </x:c>
      <x:c r="H1064" t="str">
        <x:v>RF22!F24</x:v>
      </x:c>
    </x:row>
    <x:row r="1065">
      <x:c r="A1065" t="str">
        <x:v>retornarDatosVehiculo</x:v>
      </x:c>
      <x:c r="B1065" t="str">
        <x:v>datos_vehiculo</x:v>
      </x:c>
      <x:c r="C1065" t="str">
        <x:v>C_ControlVehiculo</x:v>
      </x:c>
      <x:c r="D1065" t="str">
        <x:v>C_ControlHistorial</x:v>
      </x:c>
      <x:c r="E1065" t="str">
        <x:v>retorno</x:v>
      </x:c>
      <x:c r="F1065" t="n">
        <x:v>1</x:v>
      </x:c>
      <x:c r="G1065" t="str">
        <x:v>RF19</x:v>
      </x:c>
      <x:c r="H1065" t="str">
        <x:v>RF19!F14</x:v>
      </x:c>
    </x:row>
    <x:row r="1066">
      <x:c r="A1066" t="str">
        <x:v>retornarVehiculoHistorial</x:v>
      </x:c>
      <x:c r="B1066" t="str">
        <x:v>datos_vehiculo</x:v>
      </x:c>
      <x:c r="C1066" t="str">
        <x:v>C_ControlVehiculo</x:v>
      </x:c>
      <x:c r="D1066" t="str">
        <x:v>C_ControlHistorial</x:v>
      </x:c>
      <x:c r="E1066" t="str">
        <x:v>retorno</x:v>
      </x:c>
      <x:c r="F1066" t="n">
        <x:v>3</x:v>
      </x:c>
      <x:c r="G1066" t="str">
        <x:v>RF25, RF26, RF27</x:v>
      </x:c>
      <x:c r="H1066" t="str">
        <x:v>RF25!F19</x:v>
      </x:c>
    </x:row>
    <x:row r="1067">
      <x:c r="A1067" t="str">
        <x:v>retornarVehiculoValidado</x:v>
      </x:c>
      <x:c r="B1067" t="str">
        <x:v>datosVehiculo</x:v>
      </x:c>
      <x:c r="C1067" t="str">
        <x:v>C_ControlVehiculo</x:v>
      </x:c>
      <x:c r="D1067" t="str">
        <x:v>C_ControlHistorial</x:v>
      </x:c>
      <x:c r="E1067" t="str">
        <x:v>retorno</x:v>
      </x:c>
      <x:c r="F1067" t="n">
        <x:v>1</x:v>
      </x:c>
      <x:c r="G1067" t="str">
        <x:v>RF15</x:v>
      </x:c>
      <x:c r="H1067" t="str">
        <x:v>RF015-EF1!F41</x:v>
      </x:c>
    </x:row>
    <x:row r="1068">
      <x:c r="A1068" t="str">
        <x:v>retornarVehiculosYPrincipal</x:v>
      </x:c>
      <x:c r="B1068" t="str">
        <x:v>listaVehiculos,idPrincipal</x:v>
      </x:c>
      <x:c r="C1068" t="str">
        <x:v>C_ControlVehiculo</x:v>
      </x:c>
      <x:c r="D1068" t="str">
        <x:v>C_ControlInicio</x:v>
      </x:c>
      <x:c r="E1068" t="str">
        <x:v>retorno</x:v>
      </x:c>
      <x:c r="F1068" t="n">
        <x:v>1</x:v>
      </x:c>
      <x:c r="G1068" t="str">
        <x:v>RF50</x:v>
      </x:c>
      <x:c r="H1068" t="str">
        <x:v>RF050-EF1!F19</x:v>
      </x:c>
    </x:row>
    <x:row r="1069">
      <x:c r="A1069" t="str">
        <x:v>retornarVehiculoValidado</x:v>
      </x:c>
      <x:c r="B1069" t="str">
        <x:v>datosVehiculo</x:v>
      </x:c>
      <x:c r="C1069" t="str">
        <x:v>C_ControlVehiculo</x:v>
      </x:c>
      <x:c r="D1069" t="str">
        <x:v>C_ControlKilometraje</x:v>
      </x:c>
      <x:c r="E1069" t="str">
        <x:v>retorno</x:v>
      </x:c>
      <x:c r="F1069" t="n">
        <x:v>4</x:v>
      </x:c>
      <x:c r="G1069" t="str">
        <x:v>RF14, RF16</x:v>
      </x:c>
      <x:c r="H1069" t="str">
        <x:v>RF014-EF1!F10</x:v>
      </x:c>
    </x:row>
    <x:row r="1070">
      <x:c r="A1070" t="str">
        <x:v>retornarVehiculoActivo</x:v>
      </x:c>
      <x:c r="B1070" t="str">
        <x:v>datos_vehiculo</x:v>
      </x:c>
      <x:c r="C1070" t="str">
        <x:v>C_ControlVehiculo</x:v>
      </x:c>
      <x:c r="D1070" t="str">
        <x:v>C_ControlMantenimiento</x:v>
      </x:c>
      <x:c r="E1070" t="str">
        <x:v>retorno</x:v>
      </x:c>
      <x:c r="F1070" t="n">
        <x:v>7</x:v>
      </x:c>
      <x:c r="G1070" t="str">
        <x:v>RF17, RF20, RF21, RF24</x:v>
      </x:c>
      <x:c r="H1070" t="str">
        <x:v>RF17!F63</x:v>
      </x:c>
    </x:row>
    <x:row r="1071">
      <x:c r="A1071" t="str">
        <x:v>retornarVehiculoActivo</x:v>
      </x:c>
      <x:c r="B1071" t="str">
        <x:v>datos_vehiculo,tipo_aceite_registrado</x:v>
      </x:c>
      <x:c r="C1071" t="str">
        <x:v>C_ControlVehiculo</x:v>
      </x:c>
      <x:c r="D1071" t="str">
        <x:v>C_ControlMantenimiento</x:v>
      </x:c>
      <x:c r="E1071" t="str">
        <x:v>retorno</x:v>
      </x:c>
      <x:c r="F1071" t="n">
        <x:v>1</x:v>
      </x:c>
      <x:c r="G1071" t="str">
        <x:v>RF17</x:v>
      </x:c>
      <x:c r="H1071" t="str">
        <x:v>RF17!F24</x:v>
      </x:c>
    </x:row>
    <x:row r="1072">
      <x:c r="A1072" t="str">
        <x:v>retornarEstadosVehiculos</x:v>
      </x:c>
      <x:c r="B1072" t="str">
        <x:v>estadosVehiculo</x:v>
      </x:c>
      <x:c r="C1072" t="str">
        <x:v>C_ControlVehiculo</x:v>
      </x:c>
      <x:c r="D1072" t="str">
        <x:v>C_ControlNotificacion</x:v>
      </x:c>
      <x:c r="E1072" t="str">
        <x:v>retorno</x:v>
      </x:c>
      <x:c r="F1072" t="n">
        <x:v>1</x:v>
      </x:c>
      <x:c r="G1072" t="str">
        <x:v>RF46</x:v>
      </x:c>
      <x:c r="H1072" t="str">
        <x:v>RF046-EF1!F43</x:v>
      </x:c>
    </x:row>
    <x:row r="1073">
      <x:c r="A1073" t="str">
        <x:v>retornarVehiculoSOATValidado</x:v>
      </x:c>
      <x:c r="B1073" t="str">
        <x:v>datosVehiculo,estado=ACTIVO</x:v>
      </x:c>
      <x:c r="C1073" t="str">
        <x:v>C_ControlVehiculo</x:v>
      </x:c>
      <x:c r="D1073" t="str">
        <x:v>C_ControlSOAT</x:v>
      </x:c>
      <x:c r="E1073" t="str">
        <x:v>retorno</x:v>
      </x:c>
      <x:c r="F1073" t="n">
        <x:v>2</x:v>
      </x:c>
      <x:c r="G1073" t="str">
        <x:v>RF31, RF32</x:v>
      </x:c>
      <x:c r="H1073" t="str">
        <x:v>RF031-EF1!F20</x:v>
      </x:c>
    </x:row>
    <x:row r="1074">
      <x:c r="A1074" t="str">
        <x:v>retornarVehiculoValidado</x:v>
      </x:c>
      <x:c r="B1074" t="str">
        <x:v>datosVehiculo</x:v>
      </x:c>
      <x:c r="C1074" t="str">
        <x:v>C_ControlVehiculo</x:v>
      </x:c>
      <x:c r="D1074" t="str">
        <x:v>C_ControlSOAT</x:v>
      </x:c>
      <x:c r="E1074" t="str">
        <x:v>retorno</x:v>
      </x:c>
      <x:c r="F1074" t="n">
        <x:v>1</x:v>
      </x:c>
      <x:c r="G1074" t="str">
        <x:v>RF33</x:v>
      </x:c>
      <x:c r="H1074" t="str">
        <x:v>RF033-EF1!F21</x:v>
      </x:c>
    </x:row>
    <x:row r="1075">
      <x:c r="A1075" t="str">
        <x:v>retornarVehiculoActivo</x:v>
      </x:c>
      <x:c r="B1075" t="str">
        <x:v>numeroVin,estadoVehiculo</x:v>
      </x:c>
      <x:c r="C1075" t="str">
        <x:v>C_ControlVehiculo</x:v>
      </x:c>
      <x:c r="D1075" t="str">
        <x:v>C_ControlTIVE</x:v>
      </x:c>
      <x:c r="E1075" t="str">
        <x:v>retorno</x:v>
      </x:c>
      <x:c r="F1075" t="n">
        <x:v>1</x:v>
      </x:c>
      <x:c r="G1075" t="str">
        <x:v>RF56</x:v>
      </x:c>
      <x:c r="H1075" t="str">
        <x:v>RF056-EF1!F11</x:v>
      </x:c>
    </x:row>
    <x:row r="1076">
      <x:c r="A1076" t="str">
        <x:v>retornarVehiculoConsultable</x:v>
      </x:c>
      <x:c r="B1076" t="str">
        <x:v>numeroVin,estadoVehiculo</x:v>
      </x:c>
      <x:c r="C1076" t="str">
        <x:v>C_ControlVehiculo</x:v>
      </x:c>
      <x:c r="D1076" t="str">
        <x:v>C_ControlTIVE</x:v>
      </x:c>
      <x:c r="E1076" t="str">
        <x:v>retorno</x:v>
      </x:c>
      <x:c r="F1076" t="n">
        <x:v>1</x:v>
      </x:c>
      <x:c r="G1076" t="str">
        <x:v>RF55</x:v>
      </x:c>
      <x:c r="H1076" t="str">
        <x:v>RF055-EF1!F11</x:v>
      </x:c>
    </x:row>
    <x:row r="1077">
      <x:c r="A1077" t="str">
        <x:v>retornarVehiculoValidado</x:v>
      </x:c>
      <x:c r="B1077" t="str">
        <x:v>datosVehiculo</x:v>
      </x:c>
      <x:c r="C1077" t="str">
        <x:v>C_ControlVehiculo</x:v>
      </x:c>
      <x:c r="D1077" t="str">
        <x:v>C_ControlTIVE</x:v>
      </x:c>
      <x:c r="E1077" t="str">
        <x:v>retorno</x:v>
      </x:c>
      <x:c r="F1077" t="n">
        <x:v>1</x:v>
      </x:c>
      <x:c r="G1077" t="str">
        <x:v>RF54</x:v>
      </x:c>
      <x:c r="H1077" t="str">
        <x:v>RF054-EF1!F11</x:v>
      </x:c>
    </x:row>
    <x:row r="1078">
      <x:c r="A1078" t="str">
        <x:v>validarAccesoConsultaVehiculo</x:v>
      </x:c>
      <x:c r="B1078" t="str">
        <x:v>datosVehiculo</x:v>
      </x:c>
      <x:c r="C1078" t="str">
        <x:v>C_ControlVehiculo</x:v>
      </x:c>
      <x:c r="D1078" t="str">
        <x:v>C_ControlVehiculo</x:v>
      </x:c>
      <x:c r="E1078" t="str">
        <x:v>validación</x:v>
      </x:c>
      <x:c r="F1078" t="n">
        <x:v>1</x:v>
      </x:c>
      <x:c r="G1078" t="str">
        <x:v>RF55</x:v>
      </x:c>
      <x:c r="H1078" t="str">
        <x:v>RF055-EF1!F10</x:v>
      </x:c>
    </x:row>
    <x:row r="1079">
      <x:c r="A1079" t="str">
        <x:v>validarEIdentificarPrincipalActivo</x:v>
      </x:c>
      <x:c r="B1079" t="str">
        <x:v>listaVehiculos</x:v>
      </x:c>
      <x:c r="C1079" t="str">
        <x:v>C_ControlVehiculo</x:v>
      </x:c>
      <x:c r="D1079" t="str">
        <x:v>C_ControlVehiculo</x:v>
      </x:c>
      <x:c r="E1079" t="str">
        <x:v>validación</x:v>
      </x:c>
      <x:c r="F1079" t="n">
        <x:v>1</x:v>
      </x:c>
      <x:c r="G1079" t="str">
        <x:v>RF50</x:v>
      </x:c>
      <x:c r="H1079" t="str">
        <x:v>RF050-EF1!F18</x:v>
      </x:c>
    </x:row>
    <x:row r="1080">
      <x:c r="A1080" t="str">
        <x:v>validarExistenciaVehiculosActivos</x:v>
      </x:c>
      <x:c r="B1080" t="str">
        <x:v>listaVehiculos</x:v>
      </x:c>
      <x:c r="C1080" t="str">
        <x:v>C_ControlVehiculo</x:v>
      </x:c>
      <x:c r="D1080" t="str">
        <x:v>C_ControlVehiculo</x:v>
      </x:c>
      <x:c r="E1080" t="str">
        <x:v>validación</x:v>
      </x:c>
      <x:c r="F1080" t="n">
        <x:v>1</x:v>
      </x:c>
      <x:c r="G1080" t="str">
        <x:v>RF50</x:v>
      </x:c>
      <x:c r="H1080" t="str">
        <x:v>RF050-EF1!F17</x:v>
      </x:c>
    </x:row>
    <x:row r="1081">
      <x:c r="A1081" t="str">
        <x:v>validarVehiculoActivo</x:v>
      </x:c>
      <x:c r="B1081" t="str">
        <x:v>datosVehiculo</x:v>
      </x:c>
      <x:c r="C1081" t="str">
        <x:v>C_ControlVehiculo</x:v>
      </x:c>
      <x:c r="D1081" t="str">
        <x:v>C_ControlVehiculo</x:v>
      </x:c>
      <x:c r="E1081" t="str">
        <x:v>validación</x:v>
      </x:c>
      <x:c r="F1081" t="n">
        <x:v>3</x:v>
      </x:c>
      <x:c r="G1081" t="str">
        <x:v>RF33, RF54, RF56</x:v>
      </x:c>
      <x:c r="H1081" t="str">
        <x:v>RF033-EF1!F20</x:v>
      </x:c>
    </x:row>
    <x:row r="1082">
      <x:c r="A1082" t="str">
        <x:v>retornarEstadosVehiculos</x:v>
      </x:c>
      <x:c r="B1082" t="str">
        <x:v>estadosVehiculo</x:v>
      </x:c>
      <x:c r="C1082" t="str">
        <x:v>C_ControlVehiculo</x:v>
      </x:c>
      <x:c r="D1082" t="str">
        <x:v>C_RecordatorioKm</x:v>
      </x:c>
      <x:c r="E1082" t="str">
        <x:v>retorno</x:v>
      </x:c>
      <x:c r="F1082" t="n">
        <x:v>1</x:v>
      </x:c>
      <x:c r="G1082" t="str">
        <x:v>RF44</x:v>
      </x:c>
      <x:c r="H1082" t="str">
        <x:v>RF044-EF1!F61</x:v>
      </x:c>
    </x:row>
    <x:row r="1083">
      <x:c r="A1083" t="str">
        <x:v>retornarVehiculosActivos</x:v>
      </x:c>
      <x:c r="B1083" t="str">
        <x:v>listaVehiculos</x:v>
      </x:c>
      <x:c r="C1083" t="str">
        <x:v>C_ControlVehiculo</x:v>
      </x:c>
      <x:c r="D1083" t="str">
        <x:v>C_RecordatorioKm</x:v>
      </x:c>
      <x:c r="E1083" t="str">
        <x:v>retorno</x:v>
      </x:c>
      <x:c r="F1083" t="n">
        <x:v>1</x:v>
      </x:c>
      <x:c r="G1083" t="str">
        <x:v>RF44</x:v>
      </x:c>
      <x:c r="H1083" t="str">
        <x:v>RF044-EF1!F27</x:v>
      </x:c>
    </x:row>
    <x:row r="1084">
      <x:c r="A1084" t="str">
        <x:v>retornarVehiculoAutorizado</x:v>
      </x:c>
      <x:c r="B1084" t="str">
        <x:v>datos_vehiculo</x:v>
      </x:c>
      <x:c r="C1084" t="str">
        <x:v>C_ControlVehiculo</x:v>
      </x:c>
      <x:c r="D1084" t="str">
        <x:v>C_ReporteHistorial</x:v>
      </x:c>
      <x:c r="E1084" t="str">
        <x:v>retorno</x:v>
      </x:c>
      <x:c r="F1084" t="n">
        <x:v>1</x:v>
      </x:c>
      <x:c r="G1084" t="str">
        <x:v>RF27</x:v>
      </x:c>
      <x:c r="H1084" t="str">
        <x:v>RF27!F14</x:v>
      </x:c>
    </x:row>
    <x:row r="1085">
      <x:c r="A1085" t="str">
        <x:v>consultarEstadosVehiculos</x:v>
      </x:c>
      <x:c r="B1085" t="str">
        <x:v>listaIdVehiculo</x:v>
      </x:c>
      <x:c r="C1085" t="str">
        <x:v>C_ControlVehiculo</x:v>
      </x:c>
      <x:c r="D1085" t="str">
        <x:v>E_Vehiculo</x:v>
      </x:c>
      <x:c r="E1085" t="str">
        <x:v>consulta</x:v>
      </x:c>
      <x:c r="F1085" t="n">
        <x:v>3</x:v>
      </x:c>
      <x:c r="G1085" t="str">
        <x:v>RF23, RF44, RF46</x:v>
      </x:c>
      <x:c r="H1085" t="str">
        <x:v>RF23!F52</x:v>
      </x:c>
    </x:row>
    <x:row r="1086">
      <x:c r="A1086" t="str">
        <x:v>consultarVehiculo</x:v>
      </x:c>
      <x:c r="B1086" t="str">
        <x:v>datos_alerta.id_vehiculo</x:v>
      </x:c>
      <x:c r="C1086" t="str">
        <x:v>C_ControlVehiculo</x:v>
      </x:c>
      <x:c r="D1086" t="str">
        <x:v>E_Vehiculo</x:v>
      </x:c>
      <x:c r="E1086" t="str">
        <x:v>consulta</x:v>
      </x:c>
      <x:c r="F1086" t="n">
        <x:v>1</x:v>
      </x:c>
      <x:c r="G1086" t="str">
        <x:v>RF24</x:v>
      </x:c>
      <x:c r="H1086" t="str">
        <x:v>RF24!F10</x:v>
      </x:c>
    </x:row>
    <x:row r="1087">
      <x:c r="A1087" t="str">
        <x:v>consultarVehiculo</x:v>
      </x:c>
      <x:c r="B1087" t="str">
        <x:v>idVehiculo</x:v>
      </x:c>
      <x:c r="C1087" t="str">
        <x:v>C_ControlVehiculo</x:v>
      </x:c>
      <x:c r="D1087" t="str">
        <x:v>E_Vehiculo</x:v>
      </x:c>
      <x:c r="E1087" t="str">
        <x:v>consulta</x:v>
      </x:c>
      <x:c r="F1087" t="n">
        <x:v>3</x:v>
      </x:c>
      <x:c r="G1087" t="str">
        <x:v>RF31, RF32, RF33</x:v>
      </x:c>
      <x:c r="H1087" t="str">
        <x:v>RF031-EF1!F11</x:v>
      </x:c>
    </x:row>
    <x:row r="1088">
      <x:c r="A1088" t="str">
        <x:v>consultarVehiculoActivoUsuario</x:v>
      </x:c>
      <x:c r="B1088" t="str">
        <x:v>id_usuario,id_vehiculo</x:v>
      </x:c>
      <x:c r="C1088" t="str">
        <x:v>C_ControlVehiculo</x:v>
      </x:c>
      <x:c r="D1088" t="str">
        <x:v>E_Vehiculo</x:v>
      </x:c>
      <x:c r="E1088" t="str">
        <x:v>consulta</x:v>
      </x:c>
      <x:c r="F1088" t="n">
        <x:v>10</x:v>
      </x:c>
      <x:c r="G1088" t="str">
        <x:v>RF17, RF20, RF21, RF22, RF24</x:v>
      </x:c>
      <x:c r="H1088" t="str">
        <x:v>RF17!F22</x:v>
      </x:c>
    </x:row>
    <x:row r="1089">
      <x:c r="A1089" t="str">
        <x:v>consultarVehiculoUsuario</x:v>
      </x:c>
      <x:c r="B1089" t="str">
        <x:v>idUsuario,idVehiculo</x:v>
      </x:c>
      <x:c r="C1089" t="str">
        <x:v>C_ControlVehiculo</x:v>
      </x:c>
      <x:c r="D1089" t="str">
        <x:v>E_Vehiculo</x:v>
      </x:c>
      <x:c r="E1089" t="str">
        <x:v>consulta</x:v>
      </x:c>
      <x:c r="F1089" t="n">
        <x:v>9</x:v>
      </x:c>
      <x:c r="G1089" t="str">
        <x:v>RF14, RF15, RF16, RF31, RF32, RF33, RF54, RF55, RF56</x:v>
      </x:c>
      <x:c r="H1089" t="str">
        <x:v>RF014-EF1!F8</x:v>
      </x:c>
    </x:row>
    <x:row r="1090">
      <x:c r="A1090" t="str">
        <x:v>consultarVehiculoUsuario</x:v>
      </x:c>
      <x:c r="B1090" t="str">
        <x:v>id_usuario,id_vehiculo</x:v>
      </x:c>
      <x:c r="C1090" t="str">
        <x:v>C_ControlVehiculo</x:v>
      </x:c>
      <x:c r="D1090" t="str">
        <x:v>E_Vehiculo</x:v>
      </x:c>
      <x:c r="E1090" t="str">
        <x:v>consulta</x:v>
      </x:c>
      <x:c r="F1090" t="n">
        <x:v>6</x:v>
      </x:c>
      <x:c r="G1090" t="str">
        <x:v>RF18, RF19, RF25, RF26, RF27</x:v>
      </x:c>
      <x:c r="H1090" t="str">
        <x:v>RF18!F14</x:v>
      </x:c>
    </x:row>
    <x:row r="1091">
      <x:c r="A1091" t="str">
        <x:v>consultarVehiculoUsuario</x:v>
      </x:c>
      <x:c r="B1091" t="str">
        <x:v>id_usuario,id_vehiculo_nuevo</x:v>
      </x:c>
      <x:c r="C1091" t="str">
        <x:v>C_ControlVehiculo</x:v>
      </x:c>
      <x:c r="D1091" t="str">
        <x:v>E_Vehiculo</x:v>
      </x:c>
      <x:c r="E1091" t="str">
        <x:v>consulta</x:v>
      </x:c>
      <x:c r="F1091" t="n">
        <x:v>1</x:v>
      </x:c>
      <x:c r="G1091" t="str">
        <x:v>RF18</x:v>
      </x:c>
      <x:c r="H1091" t="str">
        <x:v>RF18!F35</x:v>
      </x:c>
    </x:row>
    <x:row r="1092">
      <x:c r="A1092" t="str">
        <x:v>consultarVehiculosActivosUsuario</x:v>
      </x:c>
      <x:c r="B1092" t="str">
        <x:v>idUsuario</x:v>
      </x:c>
      <x:c r="C1092" t="str">
        <x:v>C_ControlVehiculo</x:v>
      </x:c>
      <x:c r="D1092" t="str">
        <x:v>E_Vehiculo</x:v>
      </x:c>
      <x:c r="E1092" t="str">
        <x:v>consulta</x:v>
      </x:c>
      <x:c r="F1092" t="n">
        <x:v>1</x:v>
      </x:c>
      <x:c r="G1092" t="str">
        <x:v>RF44</x:v>
      </x:c>
      <x:c r="H1092" t="str">
        <x:v>RF044-EF1!F25</x:v>
      </x:c>
    </x:row>
    <x:row r="1093">
      <x:c r="A1093" t="str">
        <x:v>consultarVehiculosActivosYPrincipal</x:v>
      </x:c>
      <x:c r="B1093" t="str">
        <x:v>idUsuario</x:v>
      </x:c>
      <x:c r="C1093" t="str">
        <x:v>C_ControlVehiculo</x:v>
      </x:c>
      <x:c r="D1093" t="str">
        <x:v>E_Vehiculo</x:v>
      </x:c>
      <x:c r="E1093" t="str">
        <x:v>consulta</x:v>
      </x:c>
      <x:c r="F1093" t="n">
        <x:v>1</x:v>
      </x:c>
      <x:c r="G1093" t="str">
        <x:v>RF50</x:v>
      </x:c>
      <x:c r="H1093" t="str">
        <x:v>RF050-EF1!F15</x:v>
      </x:c>
    </x:row>
    <x:row r="1094">
      <x:c r="A1094" t="str">
        <x:v>consultarVehiculosUsuarioYPrincipal</x:v>
      </x:c>
      <x:c r="B1094" t="str">
        <x:v>idUsuario</x:v>
      </x:c>
      <x:c r="C1094" t="str">
        <x:v>C_ControlVehiculo</x:v>
      </x:c>
      <x:c r="D1094" t="str">
        <x:v>E_Vehiculo</x:v>
      </x:c>
      <x:c r="E1094" t="str">
        <x:v>consulta</x:v>
      </x:c>
      <x:c r="F1094" t="n">
        <x:v>1</x:v>
      </x:c>
      <x:c r="G1094" t="str">
        <x:v>RF15</x:v>
      </x:c>
      <x:c r="H1094" t="str">
        <x:v>RF015-EF1!F13</x:v>
      </x:c>
    </x:row>
    <x:row r="1095">
      <x:c r="A1095" t="str">
        <x:v>consultarVehiculosUsuarioYPrincipal</x:v>
      </x:c>
      <x:c r="B1095" t="str">
        <x:v>id_usuario</x:v>
      </x:c>
      <x:c r="C1095" t="str">
        <x:v>C_ControlVehiculo</x:v>
      </x:c>
      <x:c r="D1095" t="str">
        <x:v>E_Vehiculo</x:v>
      </x:c>
      <x:c r="E1095" t="str">
        <x:v>consulta</x:v>
      </x:c>
      <x:c r="F1095" t="n">
        <x:v>3</x:v>
      </x:c>
      <x:c r="G1095" t="str">
        <x:v>RF17, RF18, RF25</x:v>
      </x:c>
      <x:c r="H1095" t="str">
        <x:v>RF17!F9</x:v>
      </x:c>
    </x:row>
    <x:row r="1096">
      <x:c r="A1096" t="str">
        <x:v>mostrarDetalleVehiculo</x:v>
      </x:c>
      <x:c r="B1096" t="str">
        <x:v>datosVehiculo</x:v>
      </x:c>
      <x:c r="C1096" t="str">
        <x:v>C_ControlVehiculo</x:v>
      </x:c>
      <x:c r="D1096" t="str">
        <x:v>I_DetalleVehiculo</x:v>
      </x:c>
      <x:c r="E1096" t="str">
        <x:v>presentación/navegación</x:v>
      </x:c>
      <x:c r="F1096" t="n">
        <x:v>3</x:v>
      </x:c>
      <x:c r="G1096" t="str">
        <x:v>RF31, RF32, RF33</x:v>
      </x:c>
      <x:c r="H1096" t="str">
        <x:v>RF031-EF1!F13</x:v>
      </x:c>
    </x:row>
    <x:row r="1097">
      <x:c r="A1097" t="str">
        <x:v>retornarVehiculosYPrincipal</x:v>
      </x:c>
      <x:c r="B1097" t="str">
        <x:v>listaVehiculos,datosVehiculoPrincipal</x:v>
      </x:c>
      <x:c r="C1097" t="str">
        <x:v>C_ControlVehiculo</x:v>
      </x:c>
      <x:c r="D1097" t="str">
        <x:v>I_HistorialKilometraje</x:v>
      </x:c>
      <x:c r="E1097" t="str">
        <x:v>retorno</x:v>
      </x:c>
      <x:c r="F1097" t="n">
        <x:v>1</x:v>
      </x:c>
      <x:c r="G1097" t="str">
        <x:v>RF15</x:v>
      </x:c>
      <x:c r="H1097" t="str">
        <x:v>RF015-EF1!F15</x:v>
      </x:c>
    </x:row>
    <x:row r="1098">
      <x:c r="A1098" t="str">
        <x:v>retornarResultadoVehiculoSeleccionado</x:v>
      </x:c>
      <x:c r="B1098" t="str">
        <x:v>valido,datos_vehiculo</x:v>
      </x:c>
      <x:c r="C1098" t="str">
        <x:v>C_ControlVehiculo</x:v>
      </x:c>
      <x:c r="D1098" t="str">
        <x:v>I_HistorialVehiculo</x:v>
      </x:c>
      <x:c r="E1098" t="str">
        <x:v>retorno</x:v>
      </x:c>
      <x:c r="F1098" t="n">
        <x:v>1</x:v>
      </x:c>
      <x:c r="G1098" t="str">
        <x:v>RF18</x:v>
      </x:c>
      <x:c r="H1098" t="str">
        <x:v>RF18!F37</x:v>
      </x:c>
    </x:row>
    <x:row r="1099">
      <x:c r="A1099" t="str">
        <x:v>retornarVehiculoValidado</x:v>
      </x:c>
      <x:c r="B1099" t="str">
        <x:v>datos_vehiculo</x:v>
      </x:c>
      <x:c r="C1099" t="str">
        <x:v>C_ControlVehiculo</x:v>
      </x:c>
      <x:c r="D1099" t="str">
        <x:v>I_HistorialVehiculo</x:v>
      </x:c>
      <x:c r="E1099" t="str">
        <x:v>retorno</x:v>
      </x:c>
      <x:c r="F1099" t="n">
        <x:v>1</x:v>
      </x:c>
      <x:c r="G1099" t="str">
        <x:v>RF18</x:v>
      </x:c>
      <x:c r="H1099" t="str">
        <x:v>RF18!F16</x:v>
      </x:c>
    </x:row>
    <x:row r="1100">
      <x:c r="A1100" t="str">
        <x:v>retornarVehiculosYPrincipal</x:v>
      </x:c>
      <x:c r="B1100" t="str">
        <x:v>lista_vehiculos,datos_vehiculo_principal</x:v>
      </x:c>
      <x:c r="C1100" t="str">
        <x:v>C_ControlVehiculo</x:v>
      </x:c>
      <x:c r="D1100" t="str">
        <x:v>I_HistorialVehiculo</x:v>
      </x:c>
      <x:c r="E1100" t="str">
        <x:v>retorno</x:v>
      </x:c>
      <x:c r="F1100" t="n">
        <x:v>1</x:v>
      </x:c>
      <x:c r="G1100" t="str">
        <x:v>RF25</x:v>
      </x:c>
      <x:c r="H1100" t="str">
        <x:v>RF25!F11</x:v>
      </x:c>
    </x:row>
    <x:row r="1101">
      <x:c r="A1101" t="str">
        <x:v>retornarVehiculosYPrincipal</x:v>
      </x:c>
      <x:c r="B1101" t="str">
        <x:v>lista_vehiculos,vehiculo_principal</x:v>
      </x:c>
      <x:c r="C1101" t="str">
        <x:v>C_ControlVehiculo</x:v>
      </x:c>
      <x:c r="D1101" t="str">
        <x:v>I_HistorialVehiculo</x:v>
      </x:c>
      <x:c r="E1101" t="str">
        <x:v>retorno</x:v>
      </x:c>
      <x:c r="F1101" t="n">
        <x:v>2</x:v>
      </x:c>
      <x:c r="G1101" t="str">
        <x:v>RF17, RF18</x:v>
      </x:c>
      <x:c r="H1101" t="str">
        <x:v>RF17!F11</x:v>
      </x:c>
    </x:row>
    <x:row r="1102">
      <x:c r="A1102" t="str">
        <x:v>solicitarListadoActualizado</x:v>
      </x:c>
      <x:c r="B1102" t="str">
        <x:v>idUsuario</x:v>
      </x:c>
      <x:c r="C1102" t="str">
        <x:v>C_ControlVehiculoPrincipal</x:v>
      </x:c>
      <x:c r="D1102" t="str">
        <x:v>C_ControlListadoVehiculos</x:v>
      </x:c>
      <x:c r="E1102" t="str">
        <x:v>presentación/navegación</x:v>
      </x:c>
      <x:c r="F1102" t="n">
        <x:v>1</x:v>
      </x:c>
      <x:c r="G1102" t="str">
        <x:v>RF13</x:v>
      </x:c>
      <x:c r="H1102" t="str">
        <x:v>RF013-EF1!F31</x:v>
      </x:c>
    </x:row>
    <x:row r="1103">
      <x:c r="A1103" t="str">
        <x:v>prepararResumenCambio</x:v>
      </x:c>
      <x:c r="B1103" t="str">
        <x:v>datosVehiculo,datosPrincipalActual</x:v>
      </x:c>
      <x:c r="C1103" t="str">
        <x:v>C_ControlVehiculoPrincipal</x:v>
      </x:c>
      <x:c r="D1103" t="str">
        <x:v>C_ControlVehiculoPrincipal</x:v>
      </x:c>
      <x:c r="E1103" t="str">
        <x:v>otra</x:v>
      </x:c>
      <x:c r="F1103" t="n">
        <x:v>1</x:v>
      </x:c>
      <x:c r="G1103" t="str">
        <x:v>RF13</x:v>
      </x:c>
      <x:c r="H1103" t="str">
        <x:v>RF013-EF1!F13</x:v>
      </x:c>
    </x:row>
    <x:row r="1104">
      <x:c r="A1104" t="str">
        <x:v>revalidarCambioPrincipal</x:v>
      </x:c>
      <x:c r="B1104" t="str">
        <x:v>datosVehiculoActual</x:v>
      </x:c>
      <x:c r="C1104" t="str">
        <x:v>C_ControlVehiculoPrincipal</x:v>
      </x:c>
      <x:c r="D1104" t="str">
        <x:v>C_ControlVehiculoPrincipal</x:v>
      </x:c>
      <x:c r="E1104" t="str">
        <x:v>validación</x:v>
      </x:c>
      <x:c r="F1104" t="n">
        <x:v>1</x:v>
      </x:c>
      <x:c r="G1104" t="str">
        <x:v>RF13</x:v>
      </x:c>
      <x:c r="H1104" t="str">
        <x:v>RF013-EF1!F22</x:v>
      </x:c>
    </x:row>
    <x:row r="1105">
      <x:c r="A1105" t="str">
        <x:v>validarCandidatoPrincipal</x:v>
      </x:c>
      <x:c r="B1105" t="str">
        <x:v>datosVehiculo</x:v>
      </x:c>
      <x:c r="C1105" t="str">
        <x:v>C_ControlVehiculoPrincipal</x:v>
      </x:c>
      <x:c r="D1105" t="str">
        <x:v>C_ControlVehiculoPrincipal</x:v>
      </x:c>
      <x:c r="E1105" t="str">
        <x:v>validación</x:v>
      </x:c>
      <x:c r="F1105" t="n">
        <x:v>1</x:v>
      </x:c>
      <x:c r="G1105" t="str">
        <x:v>RF13</x:v>
      </x:c>
      <x:c r="H1105" t="str">
        <x:v>RF013-EF1!F10</x:v>
      </x:c>
    </x:row>
    <x:row r="1106">
      <x:c r="A1106" t="str">
        <x:v>retornarVehiculoPrincipal</x:v>
      </x:c>
      <x:c r="B1106" t="str">
        <x:v>datosVehiculoPrincipal</x:v>
      </x:c>
      <x:c r="C1106" t="str">
        <x:v>C_ControlVehiculoPrincipal</x:v>
      </x:c>
      <x:c r="D1106" t="str">
        <x:v>C_InicioSesion</x:v>
      </x:c>
      <x:c r="E1106" t="str">
        <x:v>retorno</x:v>
      </x:c>
      <x:c r="F1106" t="n">
        <x:v>1</x:v>
      </x:c>
      <x:c r="G1106" t="str">
        <x:v>RF02</x:v>
      </x:c>
      <x:c r="H1106" t="str">
        <x:v>RF002-E1!F43</x:v>
      </x:c>
    </x:row>
    <x:row r="1107">
      <x:c r="A1107" t="str">
        <x:v>actualizarPrincipalExclusivo</x:v>
      </x:c>
      <x:c r="B1107" t="str">
        <x:v>idUsuario,idVehiculo</x:v>
      </x:c>
      <x:c r="C1107" t="str">
        <x:v>C_ControlVehiculoPrincipal</x:v>
      </x:c>
      <x:c r="D1107" t="str">
        <x:v>E_Vehiculo</x:v>
      </x:c>
      <x:c r="E1107" t="str">
        <x:v>escritura</x:v>
      </x:c>
      <x:c r="F1107" t="n">
        <x:v>1</x:v>
      </x:c>
      <x:c r="G1107" t="str">
        <x:v>RF13</x:v>
      </x:c>
      <x:c r="H1107" t="str">
        <x:v>RF013-EF1!F23</x:v>
      </x:c>
    </x:row>
    <x:row r="1108">
      <x:c r="A1108" t="str">
        <x:v>consultarEstadoActualCandidato</x:v>
      </x:c>
      <x:c r="B1108" t="str">
        <x:v>idUsuario,idVehiculo</x:v>
      </x:c>
      <x:c r="C1108" t="str">
        <x:v>C_ControlVehiculoPrincipal</x:v>
      </x:c>
      <x:c r="D1108" t="str">
        <x:v>E_Vehiculo</x:v>
      </x:c>
      <x:c r="E1108" t="str">
        <x:v>consulta</x:v>
      </x:c>
      <x:c r="F1108" t="n">
        <x:v>1</x:v>
      </x:c>
      <x:c r="G1108" t="str">
        <x:v>RF13</x:v>
      </x:c>
      <x:c r="H1108" t="str">
        <x:v>RF013-EF1!F20</x:v>
      </x:c>
    </x:row>
    <x:row r="1109">
      <x:c r="A1109" t="str">
        <x:v>consultarPrincipalActual</x:v>
      </x:c>
      <x:c r="B1109" t="str">
        <x:v>idUsuario</x:v>
      </x:c>
      <x:c r="C1109" t="str">
        <x:v>C_ControlVehiculoPrincipal</x:v>
      </x:c>
      <x:c r="D1109" t="str">
        <x:v>E_Vehiculo</x:v>
      </x:c>
      <x:c r="E1109" t="str">
        <x:v>consulta</x:v>
      </x:c>
      <x:c r="F1109" t="n">
        <x:v>1</x:v>
      </x:c>
      <x:c r="G1109" t="str">
        <x:v>RF13</x:v>
      </x:c>
      <x:c r="H1109" t="str">
        <x:v>RF013-EF1!F11</x:v>
      </x:c>
    </x:row>
    <x:row r="1110">
      <x:c r="A1110" t="str">
        <x:v>consultarVehiculoPrincipal</x:v>
      </x:c>
      <x:c r="B1110" t="str">
        <x:v>idUsuario</x:v>
      </x:c>
      <x:c r="C1110" t="str">
        <x:v>C_ControlVehiculoPrincipal</x:v>
      </x:c>
      <x:c r="D1110" t="str">
        <x:v>E_Vehiculo</x:v>
      </x:c>
      <x:c r="E1110" t="str">
        <x:v>consulta</x:v>
      </x:c>
      <x:c r="F1110" t="n">
        <x:v>1</x:v>
      </x:c>
      <x:c r="G1110" t="str">
        <x:v>RF02</x:v>
      </x:c>
      <x:c r="H1110" t="str">
        <x:v>RF002-E1!F41</x:v>
      </x:c>
    </x:row>
    <x:row r="1111">
      <x:c r="A1111" t="str">
        <x:v>consultarVehiculoSeleccionado</x:v>
      </x:c>
      <x:c r="B1111" t="str">
        <x:v>idUsuario,idVehiculo</x:v>
      </x:c>
      <x:c r="C1111" t="str">
        <x:v>C_ControlVehiculoPrincipal</x:v>
      </x:c>
      <x:c r="D1111" t="str">
        <x:v>E_Vehiculo</x:v>
      </x:c>
      <x:c r="E1111" t="str">
        <x:v>consulta</x:v>
      </x:c>
      <x:c r="F1111" t="n">
        <x:v>1</x:v>
      </x:c>
      <x:c r="G1111" t="str">
        <x:v>RF13</x:v>
      </x:c>
      <x:c r="H1111" t="str">
        <x:v>RF013-EF1!F8</x:v>
      </x:c>
    </x:row>
    <x:row r="1112">
      <x:c r="A1112" t="str">
        <x:v>mostrarCambioPrincipalExitoso</x:v>
      </x:c>
      <x:c r="B1112" t="str">
        <x:v>datosPrincipalNuevo</x:v>
      </x:c>
      <x:c r="C1112" t="str">
        <x:v>C_ControlVehiculoPrincipal</x:v>
      </x:c>
      <x:c r="D1112" t="str">
        <x:v>I_ConfirmacionOperacion</x:v>
      </x:c>
      <x:c r="E1112" t="str">
        <x:v>presentación/navegación</x:v>
      </x:c>
      <x:c r="F1112" t="n">
        <x:v>1</x:v>
      </x:c>
      <x:c r="G1112" t="str">
        <x:v>RF13</x:v>
      </x:c>
      <x:c r="H1112" t="str">
        <x:v>RF013-EF1!F26</x:v>
      </x:c>
    </x:row>
    <x:row r="1113">
      <x:c r="A1113" t="str">
        <x:v>mostrarConfirmacionPrincipal</x:v>
      </x:c>
      <x:c r="B1113" t="str">
        <x:v>resumenCambio</x:v>
      </x:c>
      <x:c r="C1113" t="str">
        <x:v>C_ControlVehiculoPrincipal</x:v>
      </x:c>
      <x:c r="D1113" t="str">
        <x:v>I_ConfirmacionPrincipal</x:v>
      </x:c>
      <x:c r="E1113" t="str">
        <x:v>presentación/navegación</x:v>
      </x:c>
      <x:c r="F1113" t="n">
        <x:v>1</x:v>
      </x:c>
      <x:c r="G1113" t="str">
        <x:v>RF13</x:v>
      </x:c>
      <x:c r="H1113" t="str">
        <x:v>RF013-EF1!F15</x:v>
      </x:c>
    </x:row>
    <x:row r="1114">
      <x:c r="A1114" t="str">
        <x:v>bloquearSeguimientoOperativoCuenta</x:v>
      </x:c>
      <x:c r="B1114" t="str">
        <x:v>idUsuario</x:v>
      </x:c>
      <x:c r="C1114" t="str">
        <x:v>C_EliminarCuenta</x:v>
      </x:c>
      <x:c r="D1114" t="str">
        <x:v>C_ControlAlerta</x:v>
      </x:c>
      <x:c r="E1114" t="str">
        <x:v>otra</x:v>
      </x:c>
      <x:c r="F1114" t="n">
        <x:v>1</x:v>
      </x:c>
      <x:c r="G1114" t="str">
        <x:v>RF07</x:v>
      </x:c>
      <x:c r="H1114" t="str">
        <x:v>RF007-E1!F64</x:v>
      </x:c>
    </x:row>
    <x:row r="1115">
      <x:c r="A1115" t="str">
        <x:v>bloquearEmisionNotificacionesCuenta</x:v>
      </x:c>
      <x:c r="B1115" t="str">
        <x:v>idUsuario</x:v>
      </x:c>
      <x:c r="C1115" t="str">
        <x:v>C_EliminarCuenta</x:v>
      </x:c>
      <x:c r="D1115" t="str">
        <x:v>C_ControlNotificacion</x:v>
      </x:c>
      <x:c r="E1115" t="str">
        <x:v>otra</x:v>
      </x:c>
      <x:c r="F1115" t="n">
        <x:v>1</x:v>
      </x:c>
      <x:c r="G1115" t="str">
        <x:v>RF07</x:v>
      </x:c>
      <x:c r="H1115" t="str">
        <x:v>RF007-E1!F67</x:v>
      </x:c>
    </x:row>
    <x:row r="1116">
      <x:c r="A1116" t="str">
        <x:v>activarRevocacionYEnvioPosterioresAlCommit</x:v>
      </x:c>
      <x:c r="B1116" t="str"/>
      <x:c r="C1116" t="str">
        <x:v>C_EliminarCuenta</x:v>
      </x:c>
      <x:c r="D1116" t="str">
        <x:v>C_EliminarCuenta</x:v>
      </x:c>
      <x:c r="E1116" t="str">
        <x:v>otra</x:v>
      </x:c>
      <x:c r="F1116" t="n">
        <x:v>1</x:v>
      </x:c>
      <x:c r="G1116" t="str">
        <x:v>RF07</x:v>
      </x:c>
      <x:c r="H1116" t="str">
        <x:v>RF007-E1!F79</x:v>
      </x:c>
    </x:row>
    <x:row r="1117">
      <x:c r="A1117" t="str">
        <x:v>confirmarTransaccionEliminacion</x:v>
      </x:c>
      <x:c r="B1117" t="str"/>
      <x:c r="C1117" t="str">
        <x:v>C_EliminarCuenta</x:v>
      </x:c>
      <x:c r="D1117" t="str">
        <x:v>C_EliminarCuenta</x:v>
      </x:c>
      <x:c r="E1117" t="str">
        <x:v>otra</x:v>
      </x:c>
      <x:c r="F1117" t="n">
        <x:v>1</x:v>
      </x:c>
      <x:c r="G1117" t="str">
        <x:v>RF07</x:v>
      </x:c>
      <x:c r="H1117" t="str">
        <x:v>RF007-E1!F78</x:v>
      </x:c>
    </x:row>
    <x:row r="1118">
      <x:c r="A1118" t="str">
        <x:v>iniciarTransaccionYCalcularPlazo30Dias</x:v>
      </x:c>
      <x:c r="B1118" t="str"/>
      <x:c r="C1118" t="str">
        <x:v>C_EliminarCuenta</x:v>
      </x:c>
      <x:c r="D1118" t="str">
        <x:v>C_EliminarCuenta</x:v>
      </x:c>
      <x:c r="E1118" t="str">
        <x:v>otra</x:v>
      </x:c>
      <x:c r="F1118" t="n">
        <x:v>1</x:v>
      </x:c>
      <x:c r="G1118" t="str">
        <x:v>RF07</x:v>
      </x:c>
      <x:c r="H1118" t="str">
        <x:v>RF007-E1!F55</x:v>
      </x:c>
    </x:row>
    <x:row r="1119">
      <x:c r="A1119" t="str">
        <x:v>limpiarContextoSesion</x:v>
      </x:c>
      <x:c r="B1119" t="str"/>
      <x:c r="C1119" t="str">
        <x:v>C_EliminarCuenta</x:v>
      </x:c>
      <x:c r="D1119" t="str">
        <x:v>C_EliminarCuenta</x:v>
      </x:c>
      <x:c r="E1119" t="str">
        <x:v>otra</x:v>
      </x:c>
      <x:c r="F1119" t="n">
        <x:v>1</x:v>
      </x:c>
      <x:c r="G1119" t="str">
        <x:v>RF07</x:v>
      </x:c>
      <x:c r="H1119" t="str">
        <x:v>RF007-E1!F80</x:v>
      </x:c>
    </x:row>
    <x:row r="1120">
      <x:c r="A1120" t="str">
        <x:v>prepararInvalidacionCredencialesPostCommit</x:v>
      </x:c>
      <x:c r="B1120" t="str">
        <x:v>idUsuario</x:v>
      </x:c>
      <x:c r="C1120" t="str">
        <x:v>C_EliminarCuenta</x:v>
      </x:c>
      <x:c r="D1120" t="str">
        <x:v>C_EliminarCuenta</x:v>
      </x:c>
      <x:c r="E1120" t="str">
        <x:v>otra</x:v>
      </x:c>
      <x:c r="F1120" t="n">
        <x:v>1</x:v>
      </x:c>
      <x:c r="G1120" t="str">
        <x:v>RF07</x:v>
      </x:c>
      <x:c r="H1120" t="str">
        <x:v>RF007-E1!F75</x:v>
      </x:c>
    </x:row>
    <x:row r="1121">
      <x:c r="A1121" t="str">
        <x:v>validarOTPProtegidoConIntentos</x:v>
      </x:c>
      <x:c r="B1121" t="str">
        <x:v>codigoIngresado,datosCodigo</x:v>
      </x:c>
      <x:c r="C1121" t="str">
        <x:v>C_EliminarCuenta</x:v>
      </x:c>
      <x:c r="D1121" t="str">
        <x:v>C_EliminarCuenta</x:v>
      </x:c>
      <x:c r="E1121" t="str">
        <x:v>validación</x:v>
      </x:c>
      <x:c r="F1121" t="n">
        <x:v>1</x:v>
      </x:c>
      <x:c r="G1121" t="str">
        <x:v>RF07</x:v>
      </x:c>
      <x:c r="H1121" t="str">
        <x:v>RF007-E1!F47</x:v>
      </x:c>
    </x:row>
    <x:row r="1122">
      <x:c r="A1122" t="str">
        <x:v>bloquearEmisionKmPorEstadoCuenta</x:v>
      </x:c>
      <x:c r="B1122" t="str">
        <x:v>idUsuario</x:v>
      </x:c>
      <x:c r="C1122" t="str">
        <x:v>C_EliminarCuenta</x:v>
      </x:c>
      <x:c r="D1122" t="str">
        <x:v>C_RecordatorioKm</x:v>
      </x:c>
      <x:c r="E1122" t="str">
        <x:v>otra</x:v>
      </x:c>
      <x:c r="F1122" t="n">
        <x:v>1</x:v>
      </x:c>
      <x:c r="G1122" t="str">
        <x:v>RF07</x:v>
      </x:c>
      <x:c r="H1122" t="str">
        <x:v>RF007-E1!F61</x:v>
      </x:c>
    </x:row>
    <x:row r="1123">
      <x:c r="A1123" t="str">
        <x:v>validarCuentaAntesDeEliminar</x:v>
      </x:c>
      <x:c r="B1123" t="str">
        <x:v>idUsuario</x:v>
      </x:c>
      <x:c r="C1123" t="str">
        <x:v>C_EliminarCuenta</x:v>
      </x:c>
      <x:c r="D1123" t="str">
        <x:v>C_ValidacionCuenta</x:v>
      </x:c>
      <x:c r="E1123" t="str">
        <x:v>validación</x:v>
      </x:c>
      <x:c r="F1123" t="n">
        <x:v>1</x:v>
      </x:c>
      <x:c r="G1123" t="str">
        <x:v>RF07</x:v>
      </x:c>
      <x:c r="H1123" t="str">
        <x:v>RF007-E1!F31</x:v>
      </x:c>
    </x:row>
    <x:row r="1124">
      <x:c r="A1124" t="str">
        <x:v>bloquearCodigoVigenteEliminacion</x:v>
      </x:c>
      <x:c r="B1124" t="str">
        <x:v>idUsuario,finalidad</x:v>
      </x:c>
      <x:c r="C1124" t="str">
        <x:v>C_EliminarCuenta</x:v>
      </x:c>
      <x:c r="D1124" t="str">
        <x:v>E_CodigoRecuperacion</x:v>
      </x:c>
      <x:c r="E1124" t="str">
        <x:v>otra</x:v>
      </x:c>
      <x:c r="F1124" t="n">
        <x:v>1</x:v>
      </x:c>
      <x:c r="G1124" t="str">
        <x:v>RF07</x:v>
      </x:c>
      <x:c r="H1124" t="str">
        <x:v>RF007-E1!F45</x:v>
      </x:c>
    </x:row>
    <x:row r="1125">
      <x:c r="A1125" t="str">
        <x:v>consumirCodigoEliminacionAtomicamente</x:v>
      </x:c>
      <x:c r="B1125" t="str">
        <x:v>idCodigo</x:v>
      </x:c>
      <x:c r="C1125" t="str">
        <x:v>C_EliminarCuenta</x:v>
      </x:c>
      <x:c r="D1125" t="str">
        <x:v>E_CodigoRecuperacion</x:v>
      </x:c>
      <x:c r="E1125" t="str">
        <x:v>escritura</x:v>
      </x:c>
      <x:c r="F1125" t="n">
        <x:v>1</x:v>
      </x:c>
      <x:c r="G1125" t="str">
        <x:v>RF07</x:v>
      </x:c>
      <x:c r="H1125" t="str">
        <x:v>RF007-E1!F48</x:v>
      </x:c>
    </x:row>
    <x:row r="1126">
      <x:c r="A1126" t="str">
        <x:v>crearCodigoTemporalEliminacion</x:v>
      </x:c>
      <x:c r="B1126" t="str">
        <x:v>idUsuario,verificadorProtegido,fechaExpiracionUTC,finalidad</x:v>
      </x:c>
      <x:c r="C1126" t="str">
        <x:v>C_EliminarCuenta</x:v>
      </x:c>
      <x:c r="D1126" t="str">
        <x:v>E_CodigoRecuperacion</x:v>
      </x:c>
      <x:c r="E1126" t="str">
        <x:v>otra</x:v>
      </x:c>
      <x:c r="F1126" t="n">
        <x:v>1</x:v>
      </x:c>
      <x:c r="G1126" t="str">
        <x:v>RF07</x:v>
      </x:c>
      <x:c r="H1126" t="str">
        <x:v>RF007-E1!F37</x:v>
      </x:c>
    </x:row>
    <x:row r="1127">
      <x:c r="A1127" t="str">
        <x:v>registrarCorreoCodigoEliminacion</x:v>
      </x:c>
      <x:c r="B1127" t="str">
        <x:v>idUsuario,correo,contenidoOTP</x:v>
      </x:c>
      <x:c r="C1127" t="str">
        <x:v>C_EliminarCuenta</x:v>
      </x:c>
      <x:c r="D1127" t="str">
        <x:v>E_CorreoPendiente</x:v>
      </x:c>
      <x:c r="E1127" t="str">
        <x:v>escritura</x:v>
      </x:c>
      <x:c r="F1127" t="n">
        <x:v>1</x:v>
      </x:c>
      <x:c r="G1127" t="str">
        <x:v>RF07</x:v>
      </x:c>
      <x:c r="H1127" t="str">
        <x:v>RF007-E1!F39</x:v>
      </x:c>
    </x:row>
    <x:row r="1128">
      <x:c r="A1128" t="str">
        <x:v>registrarCorreoEliminacionProgramada</x:v>
      </x:c>
      <x:c r="B1128" t="str">
        <x:v>idUsuario,fechaLimiteUTC</x:v>
      </x:c>
      <x:c r="C1128" t="str">
        <x:v>C_EliminarCuenta</x:v>
      </x:c>
      <x:c r="D1128" t="str">
        <x:v>E_CorreoPendiente</x:v>
      </x:c>
      <x:c r="E1128" t="str">
        <x:v>escritura</x:v>
      </x:c>
      <x:c r="F1128" t="n">
        <x:v>1</x:v>
      </x:c>
      <x:c r="G1128" t="str">
        <x:v>RF07</x:v>
      </x:c>
      <x:c r="H1128" t="str">
        <x:v>RF007-E1!F76</x:v>
      </x:c>
    </x:row>
    <x:row r="1129">
      <x:c r="A1129" t="str">
        <x:v>consultarSesionesActivas</x:v>
      </x:c>
      <x:c r="B1129" t="str">
        <x:v>idUsuario</x:v>
      </x:c>
      <x:c r="C1129" t="str">
        <x:v>C_EliminarCuenta</x:v>
      </x:c>
      <x:c r="D1129" t="str">
        <x:v>E_Sesion</x:v>
      </x:c>
      <x:c r="E1129" t="str">
        <x:v>consulta</x:v>
      </x:c>
      <x:c r="F1129" t="n">
        <x:v>1</x:v>
      </x:c>
      <x:c r="G1129" t="str">
        <x:v>RF07</x:v>
      </x:c>
      <x:c r="H1129" t="str">
        <x:v>RF007-E1!F70</x:v>
      </x:c>
    </x:row>
    <x:row r="1130">
      <x:c r="A1130" t="str">
        <x:v>finalizarTodasSesiones</x:v>
      </x:c>
      <x:c r="B1130" t="str">
        <x:v>idsSesiones</x:v>
      </x:c>
      <x:c r="C1130" t="str">
        <x:v>C_EliminarCuenta</x:v>
      </x:c>
      <x:c r="D1130" t="str">
        <x:v>E_Sesion</x:v>
      </x:c>
      <x:c r="E1130" t="str">
        <x:v>escritura</x:v>
      </x:c>
      <x:c r="F1130" t="n">
        <x:v>1</x:v>
      </x:c>
      <x:c r="G1130" t="str">
        <x:v>RF07</x:v>
      </x:c>
      <x:c r="H1130" t="str">
        <x:v>RF007-E1!F72</x:v>
      </x:c>
    </x:row>
    <x:row r="1131">
      <x:c r="A1131" t="str">
        <x:v>registrarSolicitudEliminacion</x:v>
      </x:c>
      <x:c r="B1131" t="str">
        <x:v>idUsuario,motivo,fechaSolicitudUTC,fechaLimiteUTC</x:v>
      </x:c>
      <x:c r="C1131" t="str">
        <x:v>C_EliminarCuenta</x:v>
      </x:c>
      <x:c r="D1131" t="str">
        <x:v>E_SolicitudEliminacion</x:v>
      </x:c>
      <x:c r="E1131" t="str">
        <x:v>escritura</x:v>
      </x:c>
      <x:c r="F1131" t="n">
        <x:v>1</x:v>
      </x:c>
      <x:c r="G1131" t="str">
        <x:v>RF07</x:v>
      </x:c>
      <x:c r="H1131" t="str">
        <x:v>RF007-E1!F59</x:v>
      </x:c>
    </x:row>
    <x:row r="1132">
      <x:c r="A1132" t="str">
        <x:v>marcarCuentaPendienteEliminacion</x:v>
      </x:c>
      <x:c r="B1132" t="str">
        <x:v>idUsuario,PENDIENTE_ELIMINACION</x:v>
      </x:c>
      <x:c r="C1132" t="str">
        <x:v>C_EliminarCuenta</x:v>
      </x:c>
      <x:c r="D1132" t="str">
        <x:v>E_Usuario</x:v>
      </x:c>
      <x:c r="E1132" t="str">
        <x:v>escritura</x:v>
      </x:c>
      <x:c r="F1132" t="n">
        <x:v>1</x:v>
      </x:c>
      <x:c r="G1132" t="str">
        <x:v>RF07</x:v>
      </x:c>
      <x:c r="H1132" t="str">
        <x:v>RF007-E1!F56</x:v>
      </x:c>
    </x:row>
    <x:row r="1133">
      <x:c r="A1133" t="str">
        <x:v>mostrarConfirmacionFinalEliminacion</x:v>
      </x:c>
      <x:c r="B1133" t="str"/>
      <x:c r="C1133" t="str">
        <x:v>C_EliminarCuenta</x:v>
      </x:c>
      <x:c r="D1133" t="str">
        <x:v>I_ConfirmacionOperacion</x:v>
      </x:c>
      <x:c r="E1133" t="str">
        <x:v>presentación/navegación</x:v>
      </x:c>
      <x:c r="F1133" t="n">
        <x:v>1</x:v>
      </x:c>
      <x:c r="G1133" t="str">
        <x:v>RF07</x:v>
      </x:c>
      <x:c r="H1133" t="str">
        <x:v>RF007-E1!F51</x:v>
      </x:c>
    </x:row>
    <x:row r="1134">
      <x:c r="A1134" t="str">
        <x:v>mostrarConfirmacionPreviaEliminacion</x:v>
      </x:c>
      <x:c r="B1134" t="str">
        <x:v>30dias</x:v>
      </x:c>
      <x:c r="C1134" t="str">
        <x:v>C_EliminarCuenta</x:v>
      </x:c>
      <x:c r="D1134" t="str">
        <x:v>I_ConfirmacionOperacion</x:v>
      </x:c>
      <x:c r="E1134" t="str">
        <x:v>presentación/navegación</x:v>
      </x:c>
      <x:c r="F1134" t="n">
        <x:v>1</x:v>
      </x:c>
      <x:c r="G1134" t="str">
        <x:v>RF07</x:v>
      </x:c>
      <x:c r="H1134" t="str">
        <x:v>RF007-E1!F27</x:v>
      </x:c>
    </x:row>
    <x:row r="1135">
      <x:c r="A1135" t="str">
        <x:v>mostrarSolicitudEliminacionRegistrada</x:v>
      </x:c>
      <x:c r="B1135" t="str">
        <x:v>fechaLimiteUTC</x:v>
      </x:c>
      <x:c r="C1135" t="str">
        <x:v>C_EliminarCuenta</x:v>
      </x:c>
      <x:c r="D1135" t="str">
        <x:v>I_ConfirmacionOperacion</x:v>
      </x:c>
      <x:c r="E1135" t="str">
        <x:v>presentación/navegación</x:v>
      </x:c>
      <x:c r="F1135" t="n">
        <x:v>1</x:v>
      </x:c>
      <x:c r="G1135" t="str">
        <x:v>RF07</x:v>
      </x:c>
      <x:c r="H1135" t="str">
        <x:v>RF007-E1!F81</x:v>
      </x:c>
    </x:row>
    <x:row r="1136">
      <x:c r="A1136" t="str">
        <x:v>mostrarAvisoLegalYConsecuencias</x:v>
      </x:c>
      <x:c r="B1136" t="str"/>
      <x:c r="C1136" t="str">
        <x:v>C_EliminarCuenta</x:v>
      </x:c>
      <x:c r="D1136" t="str">
        <x:v>I_InformacionEliminacionCuenta</x:v>
      </x:c>
      <x:c r="E1136" t="str">
        <x:v>presentación/navegación</x:v>
      </x:c>
      <x:c r="F1136" t="n">
        <x:v>1</x:v>
      </x:c>
      <x:c r="G1136" t="str">
        <x:v>RF07</x:v>
      </x:c>
      <x:c r="H1136" t="str">
        <x:v>RF007-E1!F17</x:v>
      </x:c>
    </x:row>
    <x:row r="1137">
      <x:c r="A1137" t="str">
        <x:v>mostrarMotivoOpcional</x:v>
      </x:c>
      <x:c r="B1137" t="str"/>
      <x:c r="C1137" t="str">
        <x:v>C_EliminarCuenta</x:v>
      </x:c>
      <x:c r="D1137" t="str">
        <x:v>I_MotivoEliminacionCuenta</x:v>
      </x:c>
      <x:c r="E1137" t="str">
        <x:v>presentación/navegación</x:v>
      </x:c>
      <x:c r="F1137" t="n">
        <x:v>1</x:v>
      </x:c>
      <x:c r="G1137" t="str">
        <x:v>RF07</x:v>
      </x:c>
      <x:c r="H1137" t="str">
        <x:v>RF007-E1!F22</x:v>
      </x:c>
    </x:row>
    <x:row r="1138">
      <x:c r="A1138" t="str">
        <x:v>confirmarOTPEncoladoYMostrarFormulario</x:v>
      </x:c>
      <x:c r="B1138" t="str">
        <x:v>correoEnmascarado</x:v>
      </x:c>
      <x:c r="C1138" t="str">
        <x:v>C_EliminarCuenta</x:v>
      </x:c>
      <x:c r="D1138" t="str">
        <x:v>I_VerificarEliminacionCuenta</x:v>
      </x:c>
      <x:c r="E1138" t="str">
        <x:v>otra</x:v>
      </x:c>
      <x:c r="F1138" t="n">
        <x:v>1</x:v>
      </x:c>
      <x:c r="G1138" t="str">
        <x:v>RF07</x:v>
      </x:c>
      <x:c r="H1138" t="str">
        <x:v>RF007-E1!F41</x:v>
      </x:c>
    </x:row>
    <x:row r="1139">
      <x:c r="A1139" t="str">
        <x:v>enviarCodigoCorreo</x:v>
      </x:c>
      <x:c r="B1139" t="str">
        <x:v>correo,codigo</x:v>
      </x:c>
      <x:c r="C1139" t="str">
        <x:v>C_EnvioCodigoRecuperacion</x:v>
      </x:c>
      <x:c r="D1139" t="str">
        <x:v>C_EnvioCodigoRecuperacion</x:v>
      </x:c>
      <x:c r="E1139" t="str">
        <x:v>otra</x:v>
      </x:c>
      <x:c r="F1139" t="n">
        <x:v>1</x:v>
      </x:c>
      <x:c r="G1139" t="str">
        <x:v>RF03</x:v>
      </x:c>
      <x:c r="H1139" t="str">
        <x:v>RF003-E1!F31</x:v>
      </x:c>
    </x:row>
    <x:row r="1140">
      <x:c r="A1140" t="str">
        <x:v>establecerVigenciaCodigo</x:v>
      </x:c>
      <x:c r="B1140" t="str">
        <x:v>fechaActual</x:v>
      </x:c>
      <x:c r="C1140" t="str">
        <x:v>C_EnvioCodigoRecuperacion</x:v>
      </x:c>
      <x:c r="D1140" t="str">
        <x:v>C_EnvioCodigoRecuperacion</x:v>
      </x:c>
      <x:c r="E1140" t="str">
        <x:v>otra</x:v>
      </x:c>
      <x:c r="F1140" t="n">
        <x:v>1</x:v>
      </x:c>
      <x:c r="G1140" t="str">
        <x:v>RF03</x:v>
      </x:c>
      <x:c r="H1140" t="str">
        <x:v>RF003-E1!F28</x:v>
      </x:c>
    </x:row>
    <x:row r="1141">
      <x:c r="A1141" t="str">
        <x:v>generarCodigoRecuperacion</x:v>
      </x:c>
      <x:c r="B1141" t="str"/>
      <x:c r="C1141" t="str">
        <x:v>C_EnvioCodigoRecuperacion</x:v>
      </x:c>
      <x:c r="D1141" t="str">
        <x:v>C_EnvioCodigoRecuperacion</x:v>
      </x:c>
      <x:c r="E1141" t="str">
        <x:v>otra</x:v>
      </x:c>
      <x:c r="F1141" t="n">
        <x:v>1</x:v>
      </x:c>
      <x:c r="G1141" t="str">
        <x:v>RF03</x:v>
      </x:c>
      <x:c r="H1141" t="str">
        <x:v>RF003-E1!F27</x:v>
      </x:c>
    </x:row>
    <x:row r="1142">
      <x:c r="A1142" t="str">
        <x:v>confirmarEnvioCodigo</x:v>
      </x:c>
      <x:c r="B1142" t="str"/>
      <x:c r="C1142" t="str">
        <x:v>C_EnvioCodigoRecuperacion</x:v>
      </x:c>
      <x:c r="D1142" t="str">
        <x:v>C_RecuperacionCuenta</x:v>
      </x:c>
      <x:c r="E1142" t="str">
        <x:v>otra</x:v>
      </x:c>
      <x:c r="F1142" t="n">
        <x:v>1</x:v>
      </x:c>
      <x:c r="G1142" t="str">
        <x:v>RF03</x:v>
      </x:c>
      <x:c r="H1142" t="str">
        <x:v>RF003-E1!F32</x:v>
      </x:c>
    </x:row>
    <x:row r="1143">
      <x:c r="A1143" t="str">
        <x:v>registrarCodigoRecuperacion</x:v>
      </x:c>
      <x:c r="B1143" t="str">
        <x:v>idUsuario,codigo,fechaExpiracion,ACTIVO</x:v>
      </x:c>
      <x:c r="C1143" t="str">
        <x:v>C_EnvioCodigoRecuperacion</x:v>
      </x:c>
      <x:c r="D1143" t="str">
        <x:v>E_CodigoRecuperacion</x:v>
      </x:c>
      <x:c r="E1143" t="str">
        <x:v>escritura</x:v>
      </x:c>
      <x:c r="F1143" t="n">
        <x:v>1</x:v>
      </x:c>
      <x:c r="G1143" t="str">
        <x:v>RF03</x:v>
      </x:c>
      <x:c r="H1143" t="str">
        <x:v>RF003-E1!F29</x:v>
      </x:c>
    </x:row>
    <x:row r="1144">
      <x:c r="A1144" t="str">
        <x:v>validarFotoPerfilNoRegistrada</x:v>
      </x:c>
      <x:c r="B1144" t="str">
        <x:v>fotoPerfil</x:v>
      </x:c>
      <x:c r="C1144" t="str">
        <x:v>C_FotoPerfil</x:v>
      </x:c>
      <x:c r="D1144" t="str">
        <x:v>C_FotoPerfil</x:v>
      </x:c>
      <x:c r="E1144" t="str">
        <x:v>validación</x:v>
      </x:c>
      <x:c r="F1144" t="n">
        <x:v>1</x:v>
      </x:c>
      <x:c r="G1144" t="str">
        <x:v>RF38</x:v>
      </x:c>
      <x:c r="H1144" t="str">
        <x:v>RF038-E1!F32</x:v>
      </x:c>
    </x:row>
    <x:row r="1145">
      <x:c r="A1145" t="str">
        <x:v>validarFotoPerfilRegistrada</x:v>
      </x:c>
      <x:c r="B1145" t="str">
        <x:v>fotoActual</x:v>
      </x:c>
      <x:c r="C1145" t="str">
        <x:v>C_FotoPerfil</x:v>
      </x:c>
      <x:c r="D1145" t="str">
        <x:v>C_FotoPerfil</x:v>
      </x:c>
      <x:c r="E1145" t="str">
        <x:v>validación</x:v>
      </x:c>
      <x:c r="F1145" t="n">
        <x:v>2</x:v>
      </x:c>
      <x:c r="G1145" t="str">
        <x:v>RF39, RF40</x:v>
      </x:c>
      <x:c r="H1145" t="str">
        <x:v>RF039-E1!F32</x:v>
      </x:c>
    </x:row>
    <x:row r="1146">
      <x:c r="A1146" t="str">
        <x:v>validarImagen</x:v>
      </x:c>
      <x:c r="B1146" t="str">
        <x:v>imagen</x:v>
      </x:c>
      <x:c r="C1146" t="str">
        <x:v>C_FotoPerfil</x:v>
      </x:c>
      <x:c r="D1146" t="str">
        <x:v>C_ValidacionFoto</x:v>
      </x:c>
      <x:c r="E1146" t="str">
        <x:v>validación</x:v>
      </x:c>
      <x:c r="F1146" t="n">
        <x:v>1</x:v>
      </x:c>
      <x:c r="G1146" t="str">
        <x:v>RF38</x:v>
      </x:c>
      <x:c r="H1146" t="str">
        <x:v>RF038-E1!F28</x:v>
      </x:c>
    </x:row>
    <x:row r="1147">
      <x:c r="A1147" t="str">
        <x:v>validarImagen</x:v>
      </x:c>
      <x:c r="B1147" t="str">
        <x:v>nuevaImagen</x:v>
      </x:c>
      <x:c r="C1147" t="str">
        <x:v>C_FotoPerfil</x:v>
      </x:c>
      <x:c r="D1147" t="str">
        <x:v>C_ValidacionFoto</x:v>
      </x:c>
      <x:c r="E1147" t="str">
        <x:v>validación</x:v>
      </x:c>
      <x:c r="F1147" t="n">
        <x:v>1</x:v>
      </x:c>
      <x:c r="G1147" t="str">
        <x:v>RF39</x:v>
      </x:c>
      <x:c r="H1147" t="str">
        <x:v>RF039-E1!F28</x:v>
      </x:c>
    </x:row>
    <x:row r="1148">
      <x:c r="A1148" t="str">
        <x:v>actualizarFotoPerfil</x:v>
      </x:c>
      <x:c r="B1148" t="str">
        <x:v>idUsuario,nuevaImagen</x:v>
      </x:c>
      <x:c r="C1148" t="str">
        <x:v>C_FotoPerfil</x:v>
      </x:c>
      <x:c r="D1148" t="str">
        <x:v>E_Usuario</x:v>
      </x:c>
      <x:c r="E1148" t="str">
        <x:v>escritura</x:v>
      </x:c>
      <x:c r="F1148" t="n">
        <x:v>1</x:v>
      </x:c>
      <x:c r="G1148" t="str">
        <x:v>RF39</x:v>
      </x:c>
      <x:c r="H1148" t="str">
        <x:v>RF039-E1!F34</x:v>
      </x:c>
    </x:row>
    <x:row r="1149">
      <x:c r="A1149" t="str">
        <x:v>consultarFotoPerfil</x:v>
      </x:c>
      <x:c r="B1149" t="str">
        <x:v>idUsuario</x:v>
      </x:c>
      <x:c r="C1149" t="str">
        <x:v>C_FotoPerfil</x:v>
      </x:c>
      <x:c r="D1149" t="str">
        <x:v>E_Usuario</x:v>
      </x:c>
      <x:c r="E1149" t="str">
        <x:v>consulta</x:v>
      </x:c>
      <x:c r="F1149" t="n">
        <x:v>3</x:v>
      </x:c>
      <x:c r="G1149" t="str">
        <x:v>RF38, RF39, RF40</x:v>
      </x:c>
      <x:c r="H1149" t="str">
        <x:v>RF038-E1!F30</x:v>
      </x:c>
    </x:row>
    <x:row r="1150">
      <x:c r="A1150" t="str">
        <x:v>eliminarFotoPerfil</x:v>
      </x:c>
      <x:c r="B1150" t="str">
        <x:v>idUsuario</x:v>
      </x:c>
      <x:c r="C1150" t="str">
        <x:v>C_FotoPerfil</x:v>
      </x:c>
      <x:c r="D1150" t="str">
        <x:v>E_Usuario</x:v>
      </x:c>
      <x:c r="E1150" t="str">
        <x:v>escritura</x:v>
      </x:c>
      <x:c r="F1150" t="n">
        <x:v>1</x:v>
      </x:c>
      <x:c r="G1150" t="str">
        <x:v>RF40</x:v>
      </x:c>
      <x:c r="H1150" t="str">
        <x:v>RF040-E1!F29</x:v>
      </x:c>
    </x:row>
    <x:row r="1151">
      <x:c r="A1151" t="str">
        <x:v>registrarFotoPerfil</x:v>
      </x:c>
      <x:c r="B1151" t="str">
        <x:v>idUsuario,imagen</x:v>
      </x:c>
      <x:c r="C1151" t="str">
        <x:v>C_FotoPerfil</x:v>
      </x:c>
      <x:c r="D1151" t="str">
        <x:v>E_Usuario</x:v>
      </x:c>
      <x:c r="E1151" t="str">
        <x:v>escritura</x:v>
      </x:c>
      <x:c r="F1151" t="n">
        <x:v>1</x:v>
      </x:c>
      <x:c r="G1151" t="str">
        <x:v>RF38</x:v>
      </x:c>
      <x:c r="H1151" t="str">
        <x:v>RF038-E1!F34</x:v>
      </x:c>
    </x:row>
    <x:row r="1152">
      <x:c r="A1152" t="str">
        <x:v>mostrarConfirmacionEliminarFoto</x:v>
      </x:c>
      <x:c r="B1152" t="str"/>
      <x:c r="C1152" t="str">
        <x:v>C_FotoPerfil</x:v>
      </x:c>
      <x:c r="D1152" t="str">
        <x:v>I_ConfirmacionEliminarFoto</x:v>
      </x:c>
      <x:c r="E1152" t="str">
        <x:v>presentación/navegación</x:v>
      </x:c>
      <x:c r="F1152" t="n">
        <x:v>1</x:v>
      </x:c>
      <x:c r="G1152" t="str">
        <x:v>RF40</x:v>
      </x:c>
      <x:c r="H1152" t="str">
        <x:v>RF040-E1!F24</x:v>
      </x:c>
    </x:row>
    <x:row r="1153">
      <x:c r="A1153" t="str">
        <x:v>mostrarFotoActualizada</x:v>
      </x:c>
      <x:c r="B1153" t="str">
        <x:v>nuevaImagen</x:v>
      </x:c>
      <x:c r="C1153" t="str">
        <x:v>C_FotoPerfil</x:v>
      </x:c>
      <x:c r="D1153" t="str">
        <x:v>I_Perfil</x:v>
      </x:c>
      <x:c r="E1153" t="str">
        <x:v>presentación/navegación</x:v>
      </x:c>
      <x:c r="F1153" t="n">
        <x:v>1</x:v>
      </x:c>
      <x:c r="G1153" t="str">
        <x:v>RF39</x:v>
      </x:c>
      <x:c r="H1153" t="str">
        <x:v>RF039-E1!F36</x:v>
      </x:c>
    </x:row>
    <x:row r="1154">
      <x:c r="A1154" t="str">
        <x:v>mostrarFotoEliminada</x:v>
      </x:c>
      <x:c r="B1154" t="str"/>
      <x:c r="C1154" t="str">
        <x:v>C_FotoPerfil</x:v>
      </x:c>
      <x:c r="D1154" t="str">
        <x:v>I_Perfil</x:v>
      </x:c>
      <x:c r="E1154" t="str">
        <x:v>presentación/navegación</x:v>
      </x:c>
      <x:c r="F1154" t="n">
        <x:v>1</x:v>
      </x:c>
      <x:c r="G1154" t="str">
        <x:v>RF40</x:v>
      </x:c>
      <x:c r="H1154" t="str">
        <x:v>RF040-E1!F32</x:v>
      </x:c>
    </x:row>
    <x:row r="1155">
      <x:c r="A1155" t="str">
        <x:v>mostrarFotoRegistrada</x:v>
      </x:c>
      <x:c r="B1155" t="str">
        <x:v>imagen</x:v>
      </x:c>
      <x:c r="C1155" t="str">
        <x:v>C_FotoPerfil</x:v>
      </x:c>
      <x:c r="D1155" t="str">
        <x:v>I_Perfil</x:v>
      </x:c>
      <x:c r="E1155" t="str">
        <x:v>presentación/navegación</x:v>
      </x:c>
      <x:c r="F1155" t="n">
        <x:v>1</x:v>
      </x:c>
      <x:c r="G1155" t="str">
        <x:v>RF38</x:v>
      </x:c>
      <x:c r="H1155" t="str">
        <x:v>RF038-E1!F36</x:v>
      </x:c>
    </x:row>
    <x:row r="1156">
      <x:c r="A1156" t="str">
        <x:v>mostrarMensajeExito</x:v>
      </x:c>
      <x:c r="B1156" t="str">
        <x:v>"Foto actualizada correctamente"</x:v>
      </x:c>
      <x:c r="C1156" t="str">
        <x:v>C_FotoPerfil</x:v>
      </x:c>
      <x:c r="D1156" t="str">
        <x:v>I_ResultadoOperacion</x:v>
      </x:c>
      <x:c r="E1156" t="str">
        <x:v>presentación/navegación</x:v>
      </x:c>
      <x:c r="F1156" t="n">
        <x:v>1</x:v>
      </x:c>
      <x:c r="G1156" t="str">
        <x:v>RF39</x:v>
      </x:c>
      <x:c r="H1156" t="str">
        <x:v>RF039-E1!F38</x:v>
      </x:c>
    </x:row>
    <x:row r="1157">
      <x:c r="A1157" t="str">
        <x:v>mostrarMensajeExito</x:v>
      </x:c>
      <x:c r="B1157" t="str">
        <x:v>"Foto eliminada correctamente"</x:v>
      </x:c>
      <x:c r="C1157" t="str">
        <x:v>C_FotoPerfil</x:v>
      </x:c>
      <x:c r="D1157" t="str">
        <x:v>I_ResultadoOperacion</x:v>
      </x:c>
      <x:c r="E1157" t="str">
        <x:v>presentación/navegación</x:v>
      </x:c>
      <x:c r="F1157" t="n">
        <x:v>1</x:v>
      </x:c>
      <x:c r="G1157" t="str">
        <x:v>RF40</x:v>
      </x:c>
      <x:c r="H1157" t="str">
        <x:v>RF040-E1!F34</x:v>
      </x:c>
    </x:row>
    <x:row r="1158">
      <x:c r="A1158" t="str">
        <x:v>mostrarMensajeExito</x:v>
      </x:c>
      <x:c r="B1158" t="str">
        <x:v>"Foto registrada correctamente"</x:v>
      </x:c>
      <x:c r="C1158" t="str">
        <x:v>C_FotoPerfil</x:v>
      </x:c>
      <x:c r="D1158" t="str">
        <x:v>I_ResultadoOperacion</x:v>
      </x:c>
      <x:c r="E1158" t="str">
        <x:v>presentación/navegación</x:v>
      </x:c>
      <x:c r="F1158" t="n">
        <x:v>1</x:v>
      </x:c>
      <x:c r="G1158" t="str">
        <x:v>RF38</x:v>
      </x:c>
      <x:c r="H1158" t="str">
        <x:v>RF038-E1!F38</x:v>
      </x:c>
    </x:row>
    <x:row r="1159">
      <x:c r="A1159" t="str">
        <x:v>mostrarSelectorImagen</x:v>
      </x:c>
      <x:c r="B1159" t="str"/>
      <x:c r="C1159" t="str">
        <x:v>C_FotoPerfil</x:v>
      </x:c>
      <x:c r="D1159" t="str">
        <x:v>I_SeleccionFoto</x:v>
      </x:c>
      <x:c r="E1159" t="str">
        <x:v>presentación/navegación</x:v>
      </x:c>
      <x:c r="F1159" t="n">
        <x:v>2</x:v>
      </x:c>
      <x:c r="G1159" t="str">
        <x:v>RF38, RF39</x:v>
      </x:c>
      <x:c r="H1159" t="str">
        <x:v>RF038-E1!F21</x:v>
      </x:c>
    </x:row>
    <x:row r="1160">
      <x:c r="A1160" t="str">
        <x:v>validarRolAdministrador</x:v>
      </x:c>
      <x:c r="B1160" t="str">
        <x:v>idUsuario</x:v>
      </x:c>
      <x:c r="C1160" t="str">
        <x:v>C_InicioSesion</x:v>
      </x:c>
      <x:c r="D1160" t="str">
        <x:v>C_Autorizacion</x:v>
      </x:c>
      <x:c r="E1160" t="str">
        <x:v>validación</x:v>
      </x:c>
      <x:c r="F1160" t="n">
        <x:v>1</x:v>
      </x:c>
      <x:c r="G1160" t="str">
        <x:v>RF57</x:v>
      </x:c>
      <x:c r="H1160" t="str">
        <x:v>RF057_EXITOSO!F12</x:v>
      </x:c>
    </x:row>
    <x:row r="1161">
      <x:c r="A1161" t="str">
        <x:v>solicitarVehiculoPrincipal</x:v>
      </x:c>
      <x:c r="B1161" t="str">
        <x:v>idUsuario</x:v>
      </x:c>
      <x:c r="C1161" t="str">
        <x:v>C_InicioSesion</x:v>
      </x:c>
      <x:c r="D1161" t="str">
        <x:v>C_ControlVehiculoPrincipal</x:v>
      </x:c>
      <x:c r="E1161" t="str">
        <x:v>presentación/navegación</x:v>
      </x:c>
      <x:c r="F1161" t="n">
        <x:v>1</x:v>
      </x:c>
      <x:c r="G1161" t="str">
        <x:v>RF02</x:v>
      </x:c>
      <x:c r="H1161" t="str">
        <x:v>RF002-E1!F40</x:v>
      </x:c>
    </x:row>
    <x:row r="1162">
      <x:c r="A1162" t="str">
        <x:v>alternarVisibilidadContrasena</x:v>
      </x:c>
      <x:c r="B1162" t="str">
        <x:v>campo</x:v>
      </x:c>
      <x:c r="C1162" t="str">
        <x:v>C_InicioSesion</x:v>
      </x:c>
      <x:c r="D1162" t="str">
        <x:v>C_InicioSesion</x:v>
      </x:c>
      <x:c r="E1162" t="str">
        <x:v>otra</x:v>
      </x:c>
      <x:c r="F1162" t="n">
        <x:v>1</x:v>
      </x:c>
      <x:c r="G1162" t="str">
        <x:v>RF02</x:v>
      </x:c>
      <x:c r="H1162" t="str">
        <x:v>RF002-E1!F14</x:v>
      </x:c>
    </x:row>
    <x:row r="1163">
      <x:c r="A1163" t="str">
        <x:v>inicializarCampoContrasena</x:v>
      </x:c>
      <x:c r="B1163" t="str">
        <x:v>OCULTA</x:v>
      </x:c>
      <x:c r="C1163" t="str">
        <x:v>C_InicioSesion</x:v>
      </x:c>
      <x:c r="D1163" t="str">
        <x:v>C_InicioSesion</x:v>
      </x:c>
      <x:c r="E1163" t="str">
        <x:v>otra</x:v>
      </x:c>
      <x:c r="F1163" t="n">
        <x:v>2</x:v>
      </x:c>
      <x:c r="G1163" t="str">
        <x:v>RF02, RF03</x:v>
      </x:c>
      <x:c r="H1163" t="str">
        <x:v>RF002-E1!F8</x:v>
      </x:c>
    </x:row>
    <x:row r="1164">
      <x:c r="A1164" t="str">
        <x:v>validarSesionActiva</x:v>
      </x:c>
      <x:c r="B1164" t="str">
        <x:v>datosSesion</x:v>
      </x:c>
      <x:c r="C1164" t="str">
        <x:v>C_InicioSesion</x:v>
      </x:c>
      <x:c r="D1164" t="str">
        <x:v>C_InicioSesion</x:v>
      </x:c>
      <x:c r="E1164" t="str">
        <x:v>validación</x:v>
      </x:c>
      <x:c r="F1164" t="n">
        <x:v>1</x:v>
      </x:c>
      <x:c r="G1164" t="str">
        <x:v>RF02</x:v>
      </x:c>
      <x:c r="H1164" t="str">
        <x:v>RF002-E1!F33</x:v>
      </x:c>
    </x:row>
    <x:row r="1165">
      <x:c r="A1165" t="str">
        <x:v>verificarContrasenaYEstado</x:v>
      </x:c>
      <x:c r="B1165" t="str">
        <x:v>clave,datosUsuario</x:v>
      </x:c>
      <x:c r="C1165" t="str">
        <x:v>C_InicioSesion</x:v>
      </x:c>
      <x:c r="D1165" t="str">
        <x:v>C_InicioSesion</x:v>
      </x:c>
      <x:c r="E1165" t="str">
        <x:v>validación</x:v>
      </x:c>
      <x:c r="F1165" t="n">
        <x:v>1</x:v>
      </x:c>
      <x:c r="G1165" t="str">
        <x:v>RF57</x:v>
      </x:c>
      <x:c r="H1165" t="str">
        <x:v>RF057_EXITOSO!F10</x:v>
      </x:c>
    </x:row>
    <x:row r="1166">
      <x:c r="A1166" t="str">
        <x:v>solicitarDatosPresentacionUsuario</x:v>
      </x:c>
      <x:c r="B1166" t="str">
        <x:v>idUsuario</x:v>
      </x:c>
      <x:c r="C1166" t="str">
        <x:v>C_InicioSesion</x:v>
      </x:c>
      <x:c r="D1166" t="str">
        <x:v>C_PerfilUsuario</x:v>
      </x:c>
      <x:c r="E1166" t="str">
        <x:v>presentación/navegación</x:v>
      </x:c>
      <x:c r="F1166" t="n">
        <x:v>1</x:v>
      </x:c>
      <x:c r="G1166" t="str">
        <x:v>RF02</x:v>
      </x:c>
      <x:c r="H1166" t="str">
        <x:v>RF002-E1!F35</x:v>
      </x:c>
    </x:row>
    <x:row r="1167">
      <x:c r="A1167" t="str">
        <x:v>validarCredenciales</x:v>
      </x:c>
      <x:c r="B1167" t="str">
        <x:v>correo, contraseña</x:v>
      </x:c>
      <x:c r="C1167" t="str">
        <x:v>C_InicioSesion</x:v>
      </x:c>
      <x:c r="D1167" t="str">
        <x:v>C_ValidacionInicioSesion</x:v>
      </x:c>
      <x:c r="E1167" t="str">
        <x:v>validación</x:v>
      </x:c>
      <x:c r="F1167" t="n">
        <x:v>1</x:v>
      </x:c>
      <x:c r="G1167" t="str">
        <x:v>RF02</x:v>
      </x:c>
      <x:c r="H1167" t="str">
        <x:v>RF002-E1!F20</x:v>
      </x:c>
    </x:row>
    <x:row r="1168">
      <x:c r="A1168" t="str">
        <x:v>crearSesionAdministrativa</x:v>
      </x:c>
      <x:c r="B1168" t="str">
        <x:v>idUsuario</x:v>
      </x:c>
      <x:c r="C1168" t="str">
        <x:v>C_InicioSesion</x:v>
      </x:c>
      <x:c r="D1168" t="str">
        <x:v>E_Sesion</x:v>
      </x:c>
      <x:c r="E1168" t="str">
        <x:v>otra</x:v>
      </x:c>
      <x:c r="F1168" t="n">
        <x:v>1</x:v>
      </x:c>
      <x:c r="G1168" t="str">
        <x:v>RF57</x:v>
      </x:c>
      <x:c r="H1168" t="str">
        <x:v>RF057_EXITOSO!F16</x:v>
      </x:c>
    </x:row>
    <x:row r="1169">
      <x:c r="A1169" t="str">
        <x:v>crearSesionUsuario</x:v>
      </x:c>
      <x:c r="B1169" t="str">
        <x:v>idUsuario</x:v>
      </x:c>
      <x:c r="C1169" t="str">
        <x:v>C_InicioSesion</x:v>
      </x:c>
      <x:c r="D1169" t="str">
        <x:v>E_Sesion</x:v>
      </x:c>
      <x:c r="E1169" t="str">
        <x:v>otra</x:v>
      </x:c>
      <x:c r="F1169" t="n">
        <x:v>1</x:v>
      </x:c>
      <x:c r="G1169" t="str">
        <x:v>RF02</x:v>
      </x:c>
      <x:c r="H1169" t="str">
        <x:v>RF002-E1!F31</x:v>
      </x:c>
    </x:row>
    <x:row r="1170">
      <x:c r="A1170" t="str">
        <x:v>buscarUsuarioPorCorreo</x:v>
      </x:c>
      <x:c r="B1170" t="str">
        <x:v>correo</x:v>
      </x:c>
      <x:c r="C1170" t="str">
        <x:v>C_InicioSesion</x:v>
      </x:c>
      <x:c r="D1170" t="str">
        <x:v>E_Usuario</x:v>
      </x:c>
      <x:c r="E1170" t="str">
        <x:v>consulta</x:v>
      </x:c>
      <x:c r="F1170" t="n">
        <x:v>1</x:v>
      </x:c>
      <x:c r="G1170" t="str">
        <x:v>RF57</x:v>
      </x:c>
      <x:c r="H1170" t="str">
        <x:v>RF057_EXITOSO!F8</x:v>
      </x:c>
    </x:row>
    <x:row r="1171">
      <x:c r="A1171" t="str">
        <x:v>mostrarPantallaPrincipal</x:v>
      </x:c>
      <x:c r="B1171" t="str">
        <x:v>nombre,avatarUsuario,datosVehiculoPrincipal</x:v>
      </x:c>
      <x:c r="C1171" t="str">
        <x:v>C_InicioSesion</x:v>
      </x:c>
      <x:c r="D1171" t="str">
        <x:v>I_Inicio</x:v>
      </x:c>
      <x:c r="E1171" t="str">
        <x:v>presentación/navegación</x:v>
      </x:c>
      <x:c r="F1171" t="n">
        <x:v>1</x:v>
      </x:c>
      <x:c r="G1171" t="str">
        <x:v>RF02</x:v>
      </x:c>
      <x:c r="H1171" t="str">
        <x:v>RF002-E1!F44</x:v>
      </x:c>
    </x:row>
    <x:row r="1172">
      <x:c r="A1172" t="str">
        <x:v>actualizarVisibilidadContrasena</x:v>
      </x:c>
      <x:c r="B1172" t="str">
        <x:v>campo,estadoVisual</x:v>
      </x:c>
      <x:c r="C1172" t="str">
        <x:v>C_InicioSesion</x:v>
      </x:c>
      <x:c r="D1172" t="str">
        <x:v>I_InicioSesion</x:v>
      </x:c>
      <x:c r="E1172" t="str">
        <x:v>escritura</x:v>
      </x:c>
      <x:c r="F1172" t="n">
        <x:v>1</x:v>
      </x:c>
      <x:c r="G1172" t="str">
        <x:v>RF02</x:v>
      </x:c>
      <x:c r="H1172" t="str">
        <x:v>RF002-E1!F15</x:v>
      </x:c>
    </x:row>
    <x:row r="1173">
      <x:c r="A1173" t="str">
        <x:v>mostrarFormularioLogin</x:v>
      </x:c>
      <x:c r="B1173" t="str">
        <x:v>OCULTA</x:v>
      </x:c>
      <x:c r="C1173" t="str">
        <x:v>C_InicioSesion</x:v>
      </x:c>
      <x:c r="D1173" t="str">
        <x:v>I_InicioSesion</x:v>
      </x:c>
      <x:c r="E1173" t="str">
        <x:v>presentación/navegación</x:v>
      </x:c>
      <x:c r="F1173" t="n">
        <x:v>2</x:v>
      </x:c>
      <x:c r="G1173" t="str">
        <x:v>RF02, RF03</x:v>
      </x:c>
      <x:c r="H1173" t="str">
        <x:v>RF002-E1!F9</x:v>
      </x:c>
    </x:row>
    <x:row r="1174">
      <x:c r="A1174" t="str">
        <x:v>mostrarPanelAdministrador</x:v>
      </x:c>
      <x:c r="B1174" t="str">
        <x:v>idUsuario</x:v>
      </x:c>
      <x:c r="C1174" t="str">
        <x:v>C_InicioSesion</x:v>
      </x:c>
      <x:c r="D1174" t="str">
        <x:v>I_PanelAdministrador</x:v>
      </x:c>
      <x:c r="E1174" t="str">
        <x:v>presentación/navegación</x:v>
      </x:c>
      <x:c r="F1174" t="n">
        <x:v>1</x:v>
      </x:c>
      <x:c r="G1174" t="str">
        <x:v>RF57</x:v>
      </x:c>
      <x:c r="H1174" t="str">
        <x:v>RF057_EXITOSO!F19</x:v>
      </x:c>
    </x:row>
    <x:row r="1175">
      <x:c r="A1175" t="str">
        <x:v>solicitarDatosPresentacionPerfil</x:v>
      </x:c>
      <x:c r="B1175" t="str">
        <x:v>idUsuario</x:v>
      </x:c>
      <x:c r="C1175" t="str">
        <x:v>C_Navegacion</x:v>
      </x:c>
      <x:c r="D1175" t="str">
        <x:v>C_PerfilUsuario</x:v>
      </x:c>
      <x:c r="E1175" t="str">
        <x:v>presentación/navegación</x:v>
      </x:c>
      <x:c r="F1175" t="n">
        <x:v>9</x:v>
      </x:c>
      <x:c r="G1175" t="str">
        <x:v>RF04, RF05, RF06, RF07, RF28, RF29, RF38, RF39, RF40</x:v>
      </x:c>
      <x:c r="H1175" t="str">
        <x:v>RF004-E1!F7</x:v>
      </x:c>
    </x:row>
    <x:row r="1176">
      <x:c r="A1176" t="str">
        <x:v>iniciarProcesoRecuperacion</x:v>
      </x:c>
      <x:c r="B1176" t="str"/>
      <x:c r="C1176" t="str">
        <x:v>C_Navegacion</x:v>
      </x:c>
      <x:c r="D1176" t="str">
        <x:v>C_RecuperarCuenta</x:v>
      </x:c>
      <x:c r="E1176" t="str">
        <x:v>otra</x:v>
      </x:c>
      <x:c r="F1176" t="n">
        <x:v>1</x:v>
      </x:c>
      <x:c r="G1176" t="str">
        <x:v>RF53</x:v>
      </x:c>
      <x:c r="H1176" t="str">
        <x:v>RF053-EF1!F7</x:v>
      </x:c>
    </x:row>
    <x:row r="1177">
      <x:c r="A1177" t="str">
        <x:v>mostrarVistaAlertas</x:v>
      </x:c>
      <x:c r="B1177" t="str"/>
      <x:c r="C1177" t="str">
        <x:v>C_Navegacion</x:v>
      </x:c>
      <x:c r="D1177" t="str">
        <x:v>I_Alertas</x:v>
      </x:c>
      <x:c r="E1177" t="str">
        <x:v>presentación/navegación</x:v>
      </x:c>
      <x:c r="F1177" t="n">
        <x:v>1</x:v>
      </x:c>
      <x:c r="G1177" t="str">
        <x:v>RF23</x:v>
      </x:c>
      <x:c r="H1177" t="str">
        <x:v>RF23!F7</x:v>
      </x:c>
    </x:row>
    <x:row r="1178">
      <x:c r="A1178" t="str">
        <x:v>mostrarVistaAutos</x:v>
      </x:c>
      <x:c r="B1178" t="str"/>
      <x:c r="C1178" t="str">
        <x:v>C_Navegacion</x:v>
      </x:c>
      <x:c r="D1178" t="str">
        <x:v>I_Autos</x:v>
      </x:c>
      <x:c r="E1178" t="str">
        <x:v>presentación/navegación</x:v>
      </x:c>
      <x:c r="F1178" t="n">
        <x:v>5</x:v>
      </x:c>
      <x:c r="G1178" t="str">
        <x:v>RF08, RF09, RF31, RF32, RF33</x:v>
      </x:c>
      <x:c r="H1178" t="str">
        <x:v>RF008-EF1!F7</x:v>
      </x:c>
    </x:row>
    <x:row r="1179">
      <x:c r="A1179" t="str">
        <x:v>mostrarVistaAutosActualizada</x:v>
      </x:c>
      <x:c r="B1179" t="str"/>
      <x:c r="C1179" t="str">
        <x:v>C_Navegacion</x:v>
      </x:c>
      <x:c r="D1179" t="str">
        <x:v>I_Autos</x:v>
      </x:c>
      <x:c r="E1179" t="str">
        <x:v>presentación/navegación</x:v>
      </x:c>
      <x:c r="F1179" t="n">
        <x:v>1</x:v>
      </x:c>
      <x:c r="G1179" t="str">
        <x:v>RF08</x:v>
      </x:c>
      <x:c r="H1179" t="str">
        <x:v>RF008-EF1!F60</x:v>
      </x:c>
    </x:row>
    <x:row r="1180">
      <x:c r="A1180" t="str">
        <x:v>mostrarVistaNotificacionesExternas</x:v>
      </x:c>
      <x:c r="B1180" t="str"/>
      <x:c r="C1180" t="str">
        <x:v>C_Navegacion</x:v>
      </x:c>
      <x:c r="D1180" t="str">
        <x:v>I_ConfigNotificaciones</x:v>
      </x:c>
      <x:c r="E1180" t="str">
        <x:v>presentación/navegación</x:v>
      </x:c>
      <x:c r="F1180" t="n">
        <x:v>1</x:v>
      </x:c>
      <x:c r="G1180" t="str">
        <x:v>RF48</x:v>
      </x:c>
      <x:c r="H1180" t="str">
        <x:v>RF048-EF1!F11</x:v>
      </x:c>
    </x:row>
    <x:row r="1181">
      <x:c r="A1181" t="str">
        <x:v>mostrarVistaRecordatoriosKm</x:v>
      </x:c>
      <x:c r="B1181" t="str"/>
      <x:c r="C1181" t="str">
        <x:v>C_Navegacion</x:v>
      </x:c>
      <x:c r="D1181" t="str">
        <x:v>I_ConfigurarRecordatorioKm</x:v>
      </x:c>
      <x:c r="E1181" t="str">
        <x:v>presentación/navegación</x:v>
      </x:c>
      <x:c r="F1181" t="n">
        <x:v>1</x:v>
      </x:c>
      <x:c r="G1181" t="str">
        <x:v>RF44</x:v>
      </x:c>
      <x:c r="H1181" t="str">
        <x:v>RF044-EF1!F22</x:v>
      </x:c>
    </x:row>
    <x:row r="1182">
      <x:c r="A1182" t="str">
        <x:v>mostrarVistaHistorial</x:v>
      </x:c>
      <x:c r="B1182" t="str"/>
      <x:c r="C1182" t="str">
        <x:v>C_Navegacion</x:v>
      </x:c>
      <x:c r="D1182" t="str">
        <x:v>I_HistorialVehiculo</x:v>
      </x:c>
      <x:c r="E1182" t="str">
        <x:v>presentación/navegación</x:v>
      </x:c>
      <x:c r="F1182" t="n">
        <x:v>3</x:v>
      </x:c>
      <x:c r="G1182" t="str">
        <x:v>RF15, RF17, RF18</x:v>
      </x:c>
      <x:c r="H1182" t="str">
        <x:v>RF015-EF1!F7</x:v>
      </x:c>
    </x:row>
    <x:row r="1183">
      <x:c r="A1183" t="str">
        <x:v>mostrarVistaHistorialVehiculo</x:v>
      </x:c>
      <x:c r="B1183" t="str"/>
      <x:c r="C1183" t="str">
        <x:v>C_Navegacion</x:v>
      </x:c>
      <x:c r="D1183" t="str">
        <x:v>I_HistorialVehiculo</x:v>
      </x:c>
      <x:c r="E1183" t="str">
        <x:v>presentación/navegación</x:v>
      </x:c>
      <x:c r="F1183" t="n">
        <x:v>5</x:v>
      </x:c>
      <x:c r="G1183" t="str">
        <x:v>RF25, RF34, RF35, RF36, RF37</x:v>
      </x:c>
      <x:c r="H1183" t="str">
        <x:v>RF25!F7</x:v>
      </x:c>
    </x:row>
    <x:row r="1184">
      <x:c r="A1184" t="str">
        <x:v>mostrarVistaInicio</x:v>
      </x:c>
      <x:c r="B1184" t="str"/>
      <x:c r="C1184" t="str">
        <x:v>C_Navegacion</x:v>
      </x:c>
      <x:c r="D1184" t="str">
        <x:v>I_Inicio</x:v>
      </x:c>
      <x:c r="E1184" t="str">
        <x:v>presentación/navegación</x:v>
      </x:c>
      <x:c r="F1184" t="n">
        <x:v>1</x:v>
      </x:c>
      <x:c r="G1184" t="str">
        <x:v>RF08</x:v>
      </x:c>
      <x:c r="H1184" t="str">
        <x:v>RF008-EF1!F67</x:v>
      </x:c>
    </x:row>
    <x:row r="1185">
      <x:c r="A1185" t="str">
        <x:v>mostrarInicioSesion</x:v>
      </x:c>
      <x:c r="B1185" t="str"/>
      <x:c r="C1185" t="str">
        <x:v>C_Navegacion</x:v>
      </x:c>
      <x:c r="D1185" t="str">
        <x:v>I_InicioSesion</x:v>
      </x:c>
      <x:c r="E1185" t="str">
        <x:v>presentación/navegación</x:v>
      </x:c>
      <x:c r="F1185" t="n">
        <x:v>1</x:v>
      </x:c>
      <x:c r="G1185" t="str">
        <x:v>RF53</x:v>
      </x:c>
      <x:c r="H1185" t="str">
        <x:v>RF053-EF1!F60</x:v>
      </x:c>
    </x:row>
    <x:row r="1186">
      <x:c r="A1186" t="str">
        <x:v>mostrarModulos</x:v>
      </x:c>
      <x:c r="B1186" t="str">
        <x:v>USUARIOS,SUSCRIPCIONES,INCIDENCIAS,CATALOGOS</x:v>
      </x:c>
      <x:c r="C1186" t="str">
        <x:v>C_Navegacion</x:v>
      </x:c>
      <x:c r="D1186" t="str">
        <x:v>I_ModulosAdministrativos</x:v>
      </x:c>
      <x:c r="E1186" t="str">
        <x:v>presentación/navegación</x:v>
      </x:c>
      <x:c r="F1186" t="n">
        <x:v>1</x:v>
      </x:c>
      <x:c r="G1186" t="str">
        <x:v>RF57</x:v>
      </x:c>
      <x:c r="H1186" t="str">
        <x:v>RF057_EXITOSO!F23</x:v>
      </x:c>
    </x:row>
    <x:row r="1187">
      <x:c r="A1187" t="str">
        <x:v>mostrarVistaPerfil</x:v>
      </x:c>
      <x:c r="B1187" t="str"/>
      <x:c r="C1187" t="str">
        <x:v>C_Navegacion</x:v>
      </x:c>
      <x:c r="D1187" t="str">
        <x:v>I_Perfil</x:v>
      </x:c>
      <x:c r="E1187" t="str">
        <x:v>presentación/navegación</x:v>
      </x:c>
      <x:c r="F1187" t="n">
        <x:v>5</x:v>
      </x:c>
      <x:c r="G1187" t="str">
        <x:v>RF30, RF44, RF48, RF51, RF52</x:v>
      </x:c>
      <x:c r="H1187" t="str">
        <x:v>RF030-E1!F7</x:v>
      </x:c>
    </x:row>
    <x:row r="1188">
      <x:c r="A1188" t="str">
        <x:v>mostrarVistaPlanes</x:v>
      </x:c>
      <x:c r="B1188" t="str"/>
      <x:c r="C1188" t="str">
        <x:v>C_Navegacion</x:v>
      </x:c>
      <x:c r="D1188" t="str">
        <x:v>I_Planes</x:v>
      </x:c>
      <x:c r="E1188" t="str">
        <x:v>presentación/navegación</x:v>
      </x:c>
      <x:c r="F1188" t="n">
        <x:v>3</x:v>
      </x:c>
      <x:c r="G1188" t="str">
        <x:v>RF28, RF29, RF30</x:v>
      </x:c>
      <x:c r="H1188" t="str">
        <x:v>RF028-E1!F16</x:v>
      </x:c>
    </x:row>
    <x:row r="1189">
      <x:c r="A1189" t="str">
        <x:v>iniciarCambioContrasena</x:v>
      </x:c>
      <x:c r="B1189" t="str"/>
      <x:c r="C1189" t="str">
        <x:v>C_PerfilUsuario</x:v>
      </x:c>
      <x:c r="D1189" t="str">
        <x:v>C_CambioContrasena</x:v>
      </x:c>
      <x:c r="E1189" t="str">
        <x:v>otra</x:v>
      </x:c>
      <x:c r="F1189" t="n">
        <x:v>1</x:v>
      </x:c>
      <x:c r="G1189" t="str">
        <x:v>RF05</x:v>
      </x:c>
      <x:c r="H1189" t="str">
        <x:v>RF005-E1!F16</x:v>
      </x:c>
    </x:row>
    <x:row r="1190">
      <x:c r="A1190" t="str">
        <x:v>iniciarCerrarSesion</x:v>
      </x:c>
      <x:c r="B1190" t="str"/>
      <x:c r="C1190" t="str">
        <x:v>C_PerfilUsuario</x:v>
      </x:c>
      <x:c r="D1190" t="str">
        <x:v>C_CerrarSesion</x:v>
      </x:c>
      <x:c r="E1190" t="str">
        <x:v>otra</x:v>
      </x:c>
      <x:c r="F1190" t="n">
        <x:v>1</x:v>
      </x:c>
      <x:c r="G1190" t="str">
        <x:v>RF06</x:v>
      </x:c>
      <x:c r="H1190" t="str">
        <x:v>RF006-E1!F16</x:v>
      </x:c>
    </x:row>
    <x:row r="1191">
      <x:c r="A1191" t="str">
        <x:v>iniciarSolicitudEliminacion</x:v>
      </x:c>
      <x:c r="B1191" t="str">
        <x:v>idUsuario</x:v>
      </x:c>
      <x:c r="C1191" t="str">
        <x:v>C_PerfilUsuario</x:v>
      </x:c>
      <x:c r="D1191" t="str">
        <x:v>C_EliminarCuenta</x:v>
      </x:c>
      <x:c r="E1191" t="str">
        <x:v>otra</x:v>
      </x:c>
      <x:c r="F1191" t="n">
        <x:v>1</x:v>
      </x:c>
      <x:c r="G1191" t="str">
        <x:v>RF07</x:v>
      </x:c>
      <x:c r="H1191" t="str">
        <x:v>RF007-E1!F16</x:v>
      </x:c>
    </x:row>
    <x:row r="1192">
      <x:c r="A1192" t="str">
        <x:v>retornarDatosPresentacionUsuario</x:v>
      </x:c>
      <x:c r="B1192" t="str">
        <x:v>nombre,avatarUsuario</x:v>
      </x:c>
      <x:c r="C1192" t="str">
        <x:v>C_PerfilUsuario</x:v>
      </x:c>
      <x:c r="D1192" t="str">
        <x:v>C_InicioSesion</x:v>
      </x:c>
      <x:c r="E1192" t="str">
        <x:v>retorno</x:v>
      </x:c>
      <x:c r="F1192" t="n">
        <x:v>1</x:v>
      </x:c>
      <x:c r="G1192" t="str">
        <x:v>RF02</x:v>
      </x:c>
      <x:c r="H1192" t="str">
        <x:v>RF002-E1!F39</x:v>
      </x:c>
    </x:row>
    <x:row r="1193">
      <x:c r="A1193" t="str">
        <x:v>determinarAvatarUsuario</x:v>
      </x:c>
      <x:c r="B1193" t="str">
        <x:v>nombre,fotoPerfil</x:v>
      </x:c>
      <x:c r="C1193" t="str">
        <x:v>C_PerfilUsuario</x:v>
      </x:c>
      <x:c r="D1193" t="str">
        <x:v>C_PerfilUsuario</x:v>
      </x:c>
      <x:c r="E1193" t="str">
        <x:v>otra</x:v>
      </x:c>
      <x:c r="F1193" t="n">
        <x:v>11</x:v>
      </x:c>
      <x:c r="G1193" t="str">
        <x:v>RF02, RF04, RF05, RF06, RF07, RF28, RF29, RF38, RF39, RF40</x:v>
      </x:c>
      <x:c r="H1193" t="str">
        <x:v>RF002-E1!F38</x:v>
      </x:c>
    </x:row>
    <x:row r="1194">
      <x:c r="A1194" t="str">
        <x:v>validarDatosPersonales</x:v>
      </x:c>
      <x:c r="B1194" t="str">
        <x:v>nombre,fechaNacimiento</x:v>
      </x:c>
      <x:c r="C1194" t="str">
        <x:v>C_PerfilUsuario</x:v>
      </x:c>
      <x:c r="D1194" t="str">
        <x:v>C_ValidacionUsuario</x:v>
      </x:c>
      <x:c r="E1194" t="str">
        <x:v>validación</x:v>
      </x:c>
      <x:c r="F1194" t="n">
        <x:v>1</x:v>
      </x:c>
      <x:c r="G1194" t="str">
        <x:v>RF04</x:v>
      </x:c>
      <x:c r="H1194" t="str">
        <x:v>RF004-E1!F28</x:v>
      </x:c>
    </x:row>
    <x:row r="1195">
      <x:c r="A1195" t="str">
        <x:v>actualizarDatosPersonales</x:v>
      </x:c>
      <x:c r="B1195" t="str">
        <x:v>idUsuario,nombre,fechaNacimiento</x:v>
      </x:c>
      <x:c r="C1195" t="str">
        <x:v>C_PerfilUsuario</x:v>
      </x:c>
      <x:c r="D1195" t="str">
        <x:v>E_Usuario</x:v>
      </x:c>
      <x:c r="E1195" t="str">
        <x:v>escritura</x:v>
      </x:c>
      <x:c r="F1195" t="n">
        <x:v>1</x:v>
      </x:c>
      <x:c r="G1195" t="str">
        <x:v>RF04</x:v>
      </x:c>
      <x:c r="H1195" t="str">
        <x:v>RF004-E1!F37</x:v>
      </x:c>
    </x:row>
    <x:row r="1196">
      <x:c r="A1196" t="str">
        <x:v>consultarDatosPresentacionPerfil</x:v>
      </x:c>
      <x:c r="B1196" t="str">
        <x:v>idUsuario</x:v>
      </x:c>
      <x:c r="C1196" t="str">
        <x:v>C_PerfilUsuario</x:v>
      </x:c>
      <x:c r="D1196" t="str">
        <x:v>E_Usuario</x:v>
      </x:c>
      <x:c r="E1196" t="str">
        <x:v>consulta</x:v>
      </x:c>
      <x:c r="F1196" t="n">
        <x:v>9</x:v>
      </x:c>
      <x:c r="G1196" t="str">
        <x:v>RF04, RF05, RF06, RF07, RF28, RF29, RF38, RF39, RF40</x:v>
      </x:c>
      <x:c r="H1196" t="str">
        <x:v>RF004-E1!F8</x:v>
      </x:c>
    </x:row>
    <x:row r="1197">
      <x:c r="A1197" t="str">
        <x:v>consultarDatosPresentacionUsuario</x:v>
      </x:c>
      <x:c r="B1197" t="str">
        <x:v>idUsuario</x:v>
      </x:c>
      <x:c r="C1197" t="str">
        <x:v>C_PerfilUsuario</x:v>
      </x:c>
      <x:c r="D1197" t="str">
        <x:v>E_Usuario</x:v>
      </x:c>
      <x:c r="E1197" t="str">
        <x:v>consulta</x:v>
      </x:c>
      <x:c r="F1197" t="n">
        <x:v>1</x:v>
      </x:c>
      <x:c r="G1197" t="str">
        <x:v>RF02</x:v>
      </x:c>
      <x:c r="H1197" t="str">
        <x:v>RF002-E1!F36</x:v>
      </x:c>
    </x:row>
    <x:row r="1198">
      <x:c r="A1198" t="str">
        <x:v>consultarDatosUsuario</x:v>
      </x:c>
      <x:c r="B1198" t="str">
        <x:v>idUsuario</x:v>
      </x:c>
      <x:c r="C1198" t="str">
        <x:v>C_PerfilUsuario</x:v>
      </x:c>
      <x:c r="D1198" t="str">
        <x:v>E_Usuario</x:v>
      </x:c>
      <x:c r="E1198" t="str">
        <x:v>consulta</x:v>
      </x:c>
      <x:c r="F1198" t="n">
        <x:v>1</x:v>
      </x:c>
      <x:c r="G1198" t="str">
        <x:v>RF04</x:v>
      </x:c>
      <x:c r="H1198" t="str">
        <x:v>RF004-E1!F16</x:v>
      </x:c>
    </x:row>
    <x:row r="1199">
      <x:c r="A1199" t="str">
        <x:v>mostrarActualizacionExitosa</x:v>
      </x:c>
      <x:c r="B1199" t="str"/>
      <x:c r="C1199" t="str">
        <x:v>C_PerfilUsuario</x:v>
      </x:c>
      <x:c r="D1199" t="str">
        <x:v>I_ConfirmacionOperacion</x:v>
      </x:c>
      <x:c r="E1199" t="str">
        <x:v>presentación/navegación</x:v>
      </x:c>
      <x:c r="F1199" t="n">
        <x:v>1</x:v>
      </x:c>
      <x:c r="G1199" t="str">
        <x:v>RF04</x:v>
      </x:c>
      <x:c r="H1199" t="str">
        <x:v>RF004-E1!F42</x:v>
      </x:c>
    </x:row>
    <x:row r="1200">
      <x:c r="A1200" t="str">
        <x:v>mostrarFormularioEdicion</x:v>
      </x:c>
      <x:c r="B1200" t="str">
        <x:v>nombre,fechaNacimiento,correoSoloLectura</x:v>
      </x:c>
      <x:c r="C1200" t="str">
        <x:v>C_PerfilUsuario</x:v>
      </x:c>
      <x:c r="D1200" t="str">
        <x:v>I_EditarPerfil</x:v>
      </x:c>
      <x:c r="E1200" t="str">
        <x:v>presentación/navegación</x:v>
      </x:c>
      <x:c r="F1200" t="n">
        <x:v>1</x:v>
      </x:c>
      <x:c r="G1200" t="str">
        <x:v>RF04</x:v>
      </x:c>
      <x:c r="H1200" t="str">
        <x:v>RF004-E1!F23</x:v>
      </x:c>
    </x:row>
    <x:row r="1201">
      <x:c r="A1201" t="str">
        <x:v>mostrarOpcionesFotoPerfil</x:v>
      </x:c>
      <x:c r="B1201" t="str"/>
      <x:c r="C1201" t="str">
        <x:v>C_PerfilUsuario</x:v>
      </x:c>
      <x:c r="D1201" t="str">
        <x:v>I_OpcionesFotoPerfil</x:v>
      </x:c>
      <x:c r="E1201" t="str">
        <x:v>presentación/navegación</x:v>
      </x:c>
      <x:c r="F1201" t="n">
        <x:v>3</x:v>
      </x:c>
      <x:c r="G1201" t="str">
        <x:v>RF38, RF39, RF40</x:v>
      </x:c>
      <x:c r="H1201" t="str">
        <x:v>RF038-E1!F16</x:v>
      </x:c>
    </x:row>
    <x:row r="1202">
      <x:c r="A1202" t="str">
        <x:v>mostrarDatosPerfil</x:v>
      </x:c>
      <x:c r="B1202" t="str">
        <x:v>nombre,correo,fechaNacimiento</x:v>
      </x:c>
      <x:c r="C1202" t="str">
        <x:v>C_PerfilUsuario</x:v>
      </x:c>
      <x:c r="D1202" t="str">
        <x:v>I_Perfil</x:v>
      </x:c>
      <x:c r="E1202" t="str">
        <x:v>presentación/navegación</x:v>
      </x:c>
      <x:c r="F1202" t="n">
        <x:v>1</x:v>
      </x:c>
      <x:c r="G1202" t="str">
        <x:v>RF04</x:v>
      </x:c>
      <x:c r="H1202" t="str">
        <x:v>RF004-E1!F18</x:v>
      </x:c>
    </x:row>
    <x:row r="1203">
      <x:c r="A1203" t="str">
        <x:v>mostrarPerfilActualizado</x:v>
      </x:c>
      <x:c r="B1203" t="str">
        <x:v>nombre,correo,fechaNacimiento,avatarUsuario</x:v>
      </x:c>
      <x:c r="C1203" t="str">
        <x:v>C_PerfilUsuario</x:v>
      </x:c>
      <x:c r="D1203" t="str">
        <x:v>I_Perfil</x:v>
      </x:c>
      <x:c r="E1203" t="str">
        <x:v>presentación/navegación</x:v>
      </x:c>
      <x:c r="F1203" t="n">
        <x:v>1</x:v>
      </x:c>
      <x:c r="G1203" t="str">
        <x:v>RF04</x:v>
      </x:c>
      <x:c r="H1203" t="str">
        <x:v>RF004-E1!F40</x:v>
      </x:c>
    </x:row>
    <x:row r="1204">
      <x:c r="A1204" t="str">
        <x:v>mostrarVistaPerfil</x:v>
      </x:c>
      <x:c r="B1204" t="str">
        <x:v>nombre,correo,avatarUsuario</x:v>
      </x:c>
      <x:c r="C1204" t="str">
        <x:v>C_PerfilUsuario</x:v>
      </x:c>
      <x:c r="D1204" t="str">
        <x:v>I_Perfil</x:v>
      </x:c>
      <x:c r="E1204" t="str">
        <x:v>presentación/navegación</x:v>
      </x:c>
      <x:c r="F1204" t="n">
        <x:v>9</x:v>
      </x:c>
      <x:c r="G1204" t="str">
        <x:v>RF04, RF05, RF06, RF07, RF28, RF29, RF38, RF39, RF40</x:v>
      </x:c>
      <x:c r="H1204" t="str">
        <x:v>RF004-E1!F11</x:v>
      </x:c>
    </x:row>
    <x:row r="1205">
      <x:c r="A1205" t="str">
        <x:v>iniciarEvaluacionAutomaticaAlertas</x:v>
      </x:c>
      <x:c r="B1205" t="str">
        <x:v>fechaActual</x:v>
      </x:c>
      <x:c r="C1205" t="str">
        <x:v>C_ProgramadorAlertas</x:v>
      </x:c>
      <x:c r="D1205" t="str">
        <x:v>C_ControlAlerta</x:v>
      </x:c>
      <x:c r="E1205" t="str">
        <x:v>otra</x:v>
      </x:c>
      <x:c r="F1205" t="n">
        <x:v>1</x:v>
      </x:c>
      <x:c r="G1205" t="str">
        <x:v>RF23</x:v>
      </x:c>
      <x:c r="H1205" t="str">
        <x:v>RF23!F48</x:v>
      </x:c>
    </x:row>
    <x:row r="1206">
      <x:c r="A1206" t="str">
        <x:v>retornarCicloKmActualizado</x:v>
      </x:c>
      <x:c r="B1206" t="str"/>
      <x:c r="C1206" t="str">
        <x:v>C_RecordatorioKm</x:v>
      </x:c>
      <x:c r="D1206" t="str">
        <x:v>C_ControlKilometraje</x:v>
      </x:c>
      <x:c r="E1206" t="str">
        <x:v>retorno</x:v>
      </x:c>
      <x:c r="F1206" t="n">
        <x:v>1</x:v>
      </x:c>
      <x:c r="G1206" t="str">
        <x:v>RF14</x:v>
      </x:c>
      <x:c r="H1206" t="str">
        <x:v>RF014-EF1!F45</x:v>
      </x:c>
    </x:row>
    <x:row r="1207">
      <x:c r="A1207" t="str">
        <x:v>solicitarUltimasLecturasConFechaGuardado</x:v>
      </x:c>
      <x:c r="B1207" t="str">
        <x:v>listaVehiculos</x:v>
      </x:c>
      <x:c r="C1207" t="str">
        <x:v>C_RecordatorioKm</x:v>
      </x:c>
      <x:c r="D1207" t="str">
        <x:v>C_ControlKilometraje</x:v>
      </x:c>
      <x:c r="E1207" t="str">
        <x:v>presentación/navegación</x:v>
      </x:c>
      <x:c r="F1207" t="n">
        <x:v>1</x:v>
      </x:c>
      <x:c r="G1207" t="str">
        <x:v>RF44</x:v>
      </x:c>
      <x:c r="H1207" t="str">
        <x:v>RF044-EF1!F28</x:v>
      </x:c>
    </x:row>
    <x:row r="1208">
      <x:c r="A1208" t="str">
        <x:v>retornarVigenciaKm</x:v>
      </x:c>
      <x:c r="B1208" t="str">
        <x:v>estadosGlobales,estadosCicloKm</x:v>
      </x:c>
      <x:c r="C1208" t="str">
        <x:v>C_RecordatorioKm</x:v>
      </x:c>
      <x:c r="D1208" t="str">
        <x:v>C_ControlNotificacion</x:v>
      </x:c>
      <x:c r="E1208" t="str">
        <x:v>retorno</x:v>
      </x:c>
      <x:c r="F1208" t="n">
        <x:v>1</x:v>
      </x:c>
      <x:c r="G1208" t="str">
        <x:v>RF46</x:v>
      </x:c>
      <x:c r="H1208" t="str">
        <x:v>RF046-EF1!F49</x:v>
      </x:c>
    </x:row>
    <x:row r="1209">
      <x:c r="A1209" t="str">
        <x:v>solicitarActivacionYDespachoPrimerAvisoKm</x:v>
      </x:c>
      <x:c r="B1209" t="str">
        <x:v>ciclosNotificables,fechaActual</x:v>
      </x:c>
      <x:c r="C1209" t="str">
        <x:v>C_RecordatorioKm</x:v>
      </x:c>
      <x:c r="D1209" t="str">
        <x:v>C_ControlNotificacion</x:v>
      </x:c>
      <x:c r="E1209" t="str">
        <x:v>presentación/navegación</x:v>
      </x:c>
      <x:c r="F1209" t="n">
        <x:v>1</x:v>
      </x:c>
      <x:c r="G1209" t="str">
        <x:v>RF44</x:v>
      </x:c>
      <x:c r="H1209" t="str">
        <x:v>RF044-EF1!F63</x:v>
      </x:c>
    </x:row>
    <x:row r="1210">
      <x:c r="A1210" t="str">
        <x:v>retornarRecordatorioKilometrajeInicializado</x:v>
      </x:c>
      <x:c r="B1210" t="str"/>
      <x:c r="C1210" t="str">
        <x:v>C_RecordatorioKm</x:v>
      </x:c>
      <x:c r="D1210" t="str">
        <x:v>C_ControlRegistroVehiculo</x:v>
      </x:c>
      <x:c r="E1210" t="str">
        <x:v>retorno</x:v>
      </x:c>
      <x:c r="F1210" t="n">
        <x:v>1</x:v>
      </x:c>
      <x:c r="G1210" t="str">
        <x:v>RF08</x:v>
      </x:c>
      <x:c r="H1210" t="str">
        <x:v>RF008-EF1!F54</x:v>
      </x:c>
    </x:row>
    <x:row r="1211">
      <x:c r="A1211" t="str">
        <x:v>solicitarEstadosVehiculos</x:v>
      </x:c>
      <x:c r="B1211" t="str">
        <x:v>listaIdVehiculo</x:v>
      </x:c>
      <x:c r="C1211" t="str">
        <x:v>C_RecordatorioKm</x:v>
      </x:c>
      <x:c r="D1211" t="str">
        <x:v>C_ControlVehiculo</x:v>
      </x:c>
      <x:c r="E1211" t="str">
        <x:v>presentación/navegación</x:v>
      </x:c>
      <x:c r="F1211" t="n">
        <x:v>1</x:v>
      </x:c>
      <x:c r="G1211" t="str">
        <x:v>RF44</x:v>
      </x:c>
      <x:c r="H1211" t="str">
        <x:v>RF044-EF1!F58</x:v>
      </x:c>
    </x:row>
    <x:row r="1212">
      <x:c r="A1212" t="str">
        <x:v>solicitarVehiculosActivosUsuario</x:v>
      </x:c>
      <x:c r="B1212" t="str">
        <x:v>idUsuario</x:v>
      </x:c>
      <x:c r="C1212" t="str">
        <x:v>C_RecordatorioKm</x:v>
      </x:c>
      <x:c r="D1212" t="str">
        <x:v>C_ControlVehiculo</x:v>
      </x:c>
      <x:c r="E1212" t="str">
        <x:v>presentación/navegación</x:v>
      </x:c>
      <x:c r="F1212" t="n">
        <x:v>1</x:v>
      </x:c>
      <x:c r="G1212" t="str">
        <x:v>RF44</x:v>
      </x:c>
      <x:c r="H1212" t="str">
        <x:v>RF044-EF1!F24</x:v>
      </x:c>
    </x:row>
    <x:row r="1213">
      <x:c r="A1213" t="str">
        <x:v>retornarFiltroKmAplicado</x:v>
      </x:c>
      <x:c r="B1213" t="str"/>
      <x:c r="C1213" t="str">
        <x:v>C_RecordatorioKm</x:v>
      </x:c>
      <x:c r="D1213" t="str">
        <x:v>C_EliminarCuenta</x:v>
      </x:c>
      <x:c r="E1213" t="str">
        <x:v>retorno</x:v>
      </x:c>
      <x:c r="F1213" t="n">
        <x:v>1</x:v>
      </x:c>
      <x:c r="G1213" t="str">
        <x:v>RF07</x:v>
      </x:c>
      <x:c r="H1213" t="str">
        <x:v>RF007-E1!F63</x:v>
      </x:c>
    </x:row>
    <x:row r="1214">
      <x:c r="A1214" t="str">
        <x:v>determinarCiclosKmNotificables</x:v>
      </x:c>
      <x:c r="B1214" t="str">
        <x:v>listaCiclos,estadosVehiculo</x:v>
      </x:c>
      <x:c r="C1214" t="str">
        <x:v>C_RecordatorioKm</x:v>
      </x:c>
      <x:c r="D1214" t="str">
        <x:v>C_RecordatorioKm</x:v>
      </x:c>
      <x:c r="E1214" t="str">
        <x:v>otra</x:v>
      </x:c>
      <x:c r="F1214" t="n">
        <x:v>1</x:v>
      </x:c>
      <x:c r="G1214" t="str">
        <x:v>RF44</x:v>
      </x:c>
      <x:c r="H1214" t="str">
        <x:v>RF044-EF1!F62</x:v>
      </x:c>
    </x:row>
    <x:row r="1215">
      <x:c r="A1215" t="str">
        <x:v>evaluarPrimerAvisoCicloKm</x:v>
      </x:c>
      <x:c r="B1215" t="str">
        <x:v>fechaActual</x:v>
      </x:c>
      <x:c r="C1215" t="str">
        <x:v>C_RecordatorioKm</x:v>
      </x:c>
      <x:c r="D1215" t="str">
        <x:v>C_RecordatorioKm</x:v>
      </x:c>
      <x:c r="E1215" t="str">
        <x:v>otra</x:v>
      </x:c>
      <x:c r="F1215" t="n">
        <x:v>1</x:v>
      </x:c>
      <x:c r="G1215" t="str">
        <x:v>RF44</x:v>
      </x:c>
      <x:c r="H1215" t="str">
        <x:v>RF044-EF1!F53</x:v>
      </x:c>
    </x:row>
    <x:row r="1216">
      <x:c r="A1216" t="str">
        <x:v>validarBloqueoCuentaEnProgramadorKm</x:v>
      </x:c>
      <x:c r="B1216" t="str">
        <x:v>idUsuario</x:v>
      </x:c>
      <x:c r="C1216" t="str">
        <x:v>C_RecordatorioKm</x:v>
      </x:c>
      <x:c r="D1216" t="str">
        <x:v>C_RecordatorioKm</x:v>
      </x:c>
      <x:c r="E1216" t="str">
        <x:v>validación</x:v>
      </x:c>
      <x:c r="F1216" t="n">
        <x:v>1</x:v>
      </x:c>
      <x:c r="G1216" t="str">
        <x:v>RF07</x:v>
      </x:c>
      <x:c r="H1216" t="str">
        <x:v>RF007-E1!F62</x:v>
      </x:c>
    </x:row>
    <x:row r="1217">
      <x:c r="A1217" t="str">
        <x:v>validarYRecalcularProximoRecordatorio</x:v>
      </x:c>
      <x:c r="B1217" t="str">
        <x:v>frecuencia,fechaGuardadoUltimaLectura,fechaActual</x:v>
      </x:c>
      <x:c r="C1217" t="str">
        <x:v>C_RecordatorioKm</x:v>
      </x:c>
      <x:c r="D1217" t="str">
        <x:v>C_RecordatorioKm</x:v>
      </x:c>
      <x:c r="E1217" t="str">
        <x:v>validación</x:v>
      </x:c>
      <x:c r="F1217" t="n">
        <x:v>1</x:v>
      </x:c>
      <x:c r="G1217" t="str">
        <x:v>RF44</x:v>
      </x:c>
      <x:c r="H1217" t="str">
        <x:v>RF044-EF1!F47</x:v>
      </x:c>
    </x:row>
    <x:row r="1218">
      <x:c r="A1218" t="str">
        <x:v>actualizarEstadoGlobalRecordatoriosKm</x:v>
      </x:c>
      <x:c r="B1218" t="str">
        <x:v>idUsuario,ACTIVO</x:v>
      </x:c>
      <x:c r="C1218" t="str">
        <x:v>C_RecordatorioKm</x:v>
      </x:c>
      <x:c r="D1218" t="str">
        <x:v>E_ConfigRecordatorioKmUsuario</x:v>
      </x:c>
      <x:c r="E1218" t="str">
        <x:v>escritura</x:v>
      </x:c>
      <x:c r="F1218" t="n">
        <x:v>1</x:v>
      </x:c>
      <x:c r="G1218" t="str">
        <x:v>RF44</x:v>
      </x:c>
      <x:c r="H1218" t="str">
        <x:v>RF044-EF1!F15</x:v>
      </x:c>
    </x:row>
    <x:row r="1219">
      <x:c r="A1219" t="str">
        <x:v>consultarEstadoGlobalRecordatoriosKm</x:v>
      </x:c>
      <x:c r="B1219" t="str">
        <x:v>idUsuario</x:v>
      </x:c>
      <x:c r="C1219" t="str">
        <x:v>C_RecordatorioKm</x:v>
      </x:c>
      <x:c r="D1219" t="str">
        <x:v>E_ConfigRecordatorioKmUsuario</x:v>
      </x:c>
      <x:c r="E1219" t="str">
        <x:v>consulta</x:v>
      </x:c>
      <x:c r="F1219" t="n">
        <x:v>1</x:v>
      </x:c>
      <x:c r="G1219" t="str">
        <x:v>RF44</x:v>
      </x:c>
      <x:c r="H1219" t="str">
        <x:v>RF044-EF1!F9</x:v>
      </x:c>
    </x:row>
    <x:row r="1220">
      <x:c r="A1220" t="str">
        <x:v>consultarEstadosGlobalesKm</x:v>
      </x:c>
      <x:c r="B1220" t="str">
        <x:v>idsUsuario</x:v>
      </x:c>
      <x:c r="C1220" t="str">
        <x:v>C_RecordatorioKm</x:v>
      </x:c>
      <x:c r="D1220" t="str">
        <x:v>E_ConfigRecordatorioKmUsuario</x:v>
      </x:c>
      <x:c r="E1220" t="str">
        <x:v>consulta</x:v>
      </x:c>
      <x:c r="F1220" t="n">
        <x:v>1</x:v>
      </x:c>
      <x:c r="G1220" t="str">
        <x:v>RF46</x:v>
      </x:c>
      <x:c r="H1220" t="str">
        <x:v>RF046-EF1!F45</x:v>
      </x:c>
    </x:row>
    <x:row r="1221">
      <x:c r="A1221" t="str">
        <x:v>consultarUsuariosConRecordatorioKmActivo</x:v>
      </x:c>
      <x:c r="B1221" t="str"/>
      <x:c r="C1221" t="str">
        <x:v>C_RecordatorioKm</x:v>
      </x:c>
      <x:c r="D1221" t="str">
        <x:v>E_ConfigRecordatorioKmUsuario</x:v>
      </x:c>
      <x:c r="E1221" t="str">
        <x:v>consulta</x:v>
      </x:c>
      <x:c r="F1221" t="n">
        <x:v>1</x:v>
      </x:c>
      <x:c r="G1221" t="str">
        <x:v>RF44</x:v>
      </x:c>
      <x:c r="H1221" t="str">
        <x:v>RF044-EF1!F54</x:v>
      </x:c>
    </x:row>
    <x:row r="1222">
      <x:c r="A1222" t="str">
        <x:v>actualizarConfiguracionRecordatorioKm</x:v>
      </x:c>
      <x:c r="B1222" t="str">
        <x:v>idUsuario,idVehiculo,frecuencia,proximoRecordatorio</x:v>
      </x:c>
      <x:c r="C1222" t="str">
        <x:v>C_RecordatorioKm</x:v>
      </x:c>
      <x:c r="D1222" t="str">
        <x:v>E_RecordatorioKilometraje</x:v>
      </x:c>
      <x:c r="E1222" t="str">
        <x:v>escritura</x:v>
      </x:c>
      <x:c r="F1222" t="n">
        <x:v>1</x:v>
      </x:c>
      <x:c r="G1222" t="str">
        <x:v>RF44</x:v>
      </x:c>
      <x:c r="H1222" t="str">
        <x:v>RF044-EF1!F48</x:v>
      </x:c>
    </x:row>
    <x:row r="1223">
      <x:c r="A1223" t="str">
        <x:v>actualizarFechaBaseYProxima</x:v>
      </x:c>
      <x:c r="B1223" t="str">
        <x:v>idVehiculo,fechaGuardado</x:v>
      </x:c>
      <x:c r="C1223" t="str">
        <x:v>C_RecordatorioKm</x:v>
      </x:c>
      <x:c r="D1223" t="str">
        <x:v>E_RecordatorioKilometraje</x:v>
      </x:c>
      <x:c r="E1223" t="str">
        <x:v>escritura</x:v>
      </x:c>
      <x:c r="F1223" t="n">
        <x:v>1</x:v>
      </x:c>
      <x:c r="G1223" t="str">
        <x:v>RF14</x:v>
      </x:c>
      <x:c r="H1223" t="str">
        <x:v>RF014-EF1!F43</x:v>
      </x:c>
    </x:row>
    <x:row r="1224">
      <x:c r="A1224" t="str">
        <x:v>consultarCiclosKmActivosConFechaCumplida</x:v>
      </x:c>
      <x:c r="B1224" t="str">
        <x:v>fechaActual,listaUsuarios</x:v>
      </x:c>
      <x:c r="C1224" t="str">
        <x:v>C_RecordatorioKm</x:v>
      </x:c>
      <x:c r="D1224" t="str">
        <x:v>E_RecordatorioKilometraje</x:v>
      </x:c>
      <x:c r="E1224" t="str">
        <x:v>consulta</x:v>
      </x:c>
      <x:c r="F1224" t="n">
        <x:v>1</x:v>
      </x:c>
      <x:c r="G1224" t="str">
        <x:v>RF44</x:v>
      </x:c>
      <x:c r="H1224" t="str">
        <x:v>RF044-EF1!F56</x:v>
      </x:c>
    </x:row>
    <x:row r="1225">
      <x:c r="A1225" t="str">
        <x:v>consultarConfiguracionRecordatorioKm</x:v>
      </x:c>
      <x:c r="B1225" t="str">
        <x:v>idUsuario,idVehiculo</x:v>
      </x:c>
      <x:c r="C1225" t="str">
        <x:v>C_RecordatorioKm</x:v>
      </x:c>
      <x:c r="D1225" t="str">
        <x:v>E_RecordatorioKilometraje</x:v>
      </x:c>
      <x:c r="E1225" t="str">
        <x:v>consulta</x:v>
      </x:c>
      <x:c r="F1225" t="n">
        <x:v>1</x:v>
      </x:c>
      <x:c r="G1225" t="str">
        <x:v>RF44</x:v>
      </x:c>
      <x:c r="H1225" t="str">
        <x:v>RF044-EF1!F40</x:v>
      </x:c>
    </x:row>
    <x:row r="1226">
      <x:c r="A1226" t="str">
        <x:v>consultarConfiguracionesRecordatorioKm</x:v>
      </x:c>
      <x:c r="B1226" t="str">
        <x:v>idUsuario,listaVehiculos</x:v>
      </x:c>
      <x:c r="C1226" t="str">
        <x:v>C_RecordatorioKm</x:v>
      </x:c>
      <x:c r="D1226" t="str">
        <x:v>E_RecordatorioKilometraje</x:v>
      </x:c>
      <x:c r="E1226" t="str">
        <x:v>consulta</x:v>
      </x:c>
      <x:c r="F1226" t="n">
        <x:v>1</x:v>
      </x:c>
      <x:c r="G1226" t="str">
        <x:v>RF44</x:v>
      </x:c>
      <x:c r="H1226" t="str">
        <x:v>RF044-EF1!F32</x:v>
      </x:c>
    </x:row>
    <x:row r="1227">
      <x:c r="A1227" t="str">
        <x:v>consultarEstadosCiclosKm</x:v>
      </x:c>
      <x:c r="B1227" t="str">
        <x:v>listaCandidatosKm</x:v>
      </x:c>
      <x:c r="C1227" t="str">
        <x:v>C_RecordatorioKm</x:v>
      </x:c>
      <x:c r="D1227" t="str">
        <x:v>E_RecordatorioKilometraje</x:v>
      </x:c>
      <x:c r="E1227" t="str">
        <x:v>consulta</x:v>
      </x:c>
      <x:c r="F1227" t="n">
        <x:v>1</x:v>
      </x:c>
      <x:c r="G1227" t="str">
        <x:v>RF46</x:v>
      </x:c>
      <x:c r="H1227" t="str">
        <x:v>RF046-EF1!F47</x:v>
      </x:c>
    </x:row>
    <x:row r="1228">
      <x:c r="A1228" t="str">
        <x:v>crearConfiguracionInicial</x:v>
      </x:c>
      <x:c r="B1228" t="str">
        <x:v>idUsuario,idVehiculo,INTERDIARIO,fechaGuardado,proximoRecordatorio</x:v>
      </x:c>
      <x:c r="C1228" t="str">
        <x:v>C_RecordatorioKm</x:v>
      </x:c>
      <x:c r="D1228" t="str">
        <x:v>E_RecordatorioKilometraje</x:v>
      </x:c>
      <x:c r="E1228" t="str">
        <x:v>otra</x:v>
      </x:c>
      <x:c r="F1228" t="n">
        <x:v>1</x:v>
      </x:c>
      <x:c r="G1228" t="str">
        <x:v>RF08</x:v>
      </x:c>
      <x:c r="H1228" t="str">
        <x:v>RF008-EF1!F52</x:v>
      </x:c>
    </x:row>
    <x:row r="1229">
      <x:c r="A1229" t="str">
        <x:v>mostrarConfiguracionActualizada</x:v>
      </x:c>
      <x:c r="B1229" t="str">
        <x:v>idVehiculo,frecuencia,proximoRecordatorio</x:v>
      </x:c>
      <x:c r="C1229" t="str">
        <x:v>C_RecordatorioKm</x:v>
      </x:c>
      <x:c r="D1229" t="str">
        <x:v>I_ConfigurarRecordatorioKm</x:v>
      </x:c>
      <x:c r="E1229" t="str">
        <x:v>presentación/navegación</x:v>
      </x:c>
      <x:c r="F1229" t="n">
        <x:v>1</x:v>
      </x:c>
      <x:c r="G1229" t="str">
        <x:v>RF44</x:v>
      </x:c>
      <x:c r="H1229" t="str">
        <x:v>RF044-EF1!F50</x:v>
      </x:c>
    </x:row>
    <x:row r="1230">
      <x:c r="A1230" t="str">
        <x:v>mostrarListaRecordatorios</x:v>
      </x:c>
      <x:c r="B1230" t="str">
        <x:v>listaVehiculos,lecturasPorVehiculo,configuracionesPorVehiculo</x:v>
      </x:c>
      <x:c r="C1230" t="str">
        <x:v>C_RecordatorioKm</x:v>
      </x:c>
      <x:c r="D1230" t="str">
        <x:v>I_ConfigurarRecordatorioKm</x:v>
      </x:c>
      <x:c r="E1230" t="str">
        <x:v>presentación/navegación</x:v>
      </x:c>
      <x:c r="F1230" t="n">
        <x:v>1</x:v>
      </x:c>
      <x:c r="G1230" t="str">
        <x:v>RF44</x:v>
      </x:c>
      <x:c r="H1230" t="str">
        <x:v>RF044-EF1!F35</x:v>
      </x:c>
    </x:row>
    <x:row r="1231">
      <x:c r="A1231" t="str">
        <x:v>mostrarSelectorFrecuencia</x:v>
      </x:c>
      <x:c r="B1231" t="str">
        <x:v>frecuenciaActual</x:v>
      </x:c>
      <x:c r="C1231" t="str">
        <x:v>C_RecordatorioKm</x:v>
      </x:c>
      <x:c r="D1231" t="str">
        <x:v>I_ConfigurarRecordatorioKm</x:v>
      </x:c>
      <x:c r="E1231" t="str">
        <x:v>presentación/navegación</x:v>
      </x:c>
      <x:c r="F1231" t="n">
        <x:v>1</x:v>
      </x:c>
      <x:c r="G1231" t="str">
        <x:v>RF44</x:v>
      </x:c>
      <x:c r="H1231" t="str">
        <x:v>RF044-EF1!F42</x:v>
      </x:c>
    </x:row>
    <x:row r="1232">
      <x:c r="A1232" t="str">
        <x:v>mostrarEstadoRecordatoriosKm</x:v>
      </x:c>
      <x:c r="B1232" t="str">
        <x:v>estadoGlobal</x:v>
      </x:c>
      <x:c r="C1232" t="str">
        <x:v>C_RecordatorioKm</x:v>
      </x:c>
      <x:c r="D1232" t="str">
        <x:v>I_Perfil</x:v>
      </x:c>
      <x:c r="E1232" t="str">
        <x:v>presentación/navegación</x:v>
      </x:c>
      <x:c r="F1232" t="n">
        <x:v>1</x:v>
      </x:c>
      <x:c r="G1232" t="str">
        <x:v>RF44</x:v>
      </x:c>
      <x:c r="H1232" t="str">
        <x:v>RF044-EF1!F11</x:v>
      </x:c>
    </x:row>
    <x:row r="1233">
      <x:c r="A1233" t="str">
        <x:v>mostrarRecordatoriosKmActivados</x:v>
      </x:c>
      <x:c r="B1233" t="str"/>
      <x:c r="C1233" t="str">
        <x:v>C_RecordatorioKm</x:v>
      </x:c>
      <x:c r="D1233" t="str">
        <x:v>I_Perfil</x:v>
      </x:c>
      <x:c r="E1233" t="str">
        <x:v>presentación/navegación</x:v>
      </x:c>
      <x:c r="F1233" t="n">
        <x:v>1</x:v>
      </x:c>
      <x:c r="G1233" t="str">
        <x:v>RF44</x:v>
      </x:c>
      <x:c r="H1233" t="str">
        <x:v>RF044-EF1!F18</x:v>
      </x:c>
    </x:row>
    <x:row r="1234">
      <x:c r="A1234" t="str">
        <x:v>generarEnviarCodigoRecuperacion</x:v>
      </x:c>
      <x:c r="B1234" t="str">
        <x:v>idUsuario</x:v>
      </x:c>
      <x:c r="C1234" t="str">
        <x:v>C_RecuperacionCuenta</x:v>
      </x:c>
      <x:c r="D1234" t="str">
        <x:v>C_EnvioCodigoRecuperacion</x:v>
      </x:c>
      <x:c r="E1234" t="str">
        <x:v>otra</x:v>
      </x:c>
      <x:c r="F1234" t="n">
        <x:v>1</x:v>
      </x:c>
      <x:c r="G1234" t="str">
        <x:v>RF03</x:v>
      </x:c>
      <x:c r="H1234" t="str">
        <x:v>RF003-E1!F26</x:v>
      </x:c>
    </x:row>
    <x:row r="1235">
      <x:c r="A1235" t="str">
        <x:v>alternarVisibilidadContrasena</x:v>
      </x:c>
      <x:c r="B1235" t="str">
        <x:v>campo</x:v>
      </x:c>
      <x:c r="C1235" t="str">
        <x:v>C_RecuperacionCuenta</x:v>
      </x:c>
      <x:c r="D1235" t="str">
        <x:v>C_RecuperacionCuenta</x:v>
      </x:c>
      <x:c r="E1235" t="str">
        <x:v>otra</x:v>
      </x:c>
      <x:c r="F1235" t="n">
        <x:v>1</x:v>
      </x:c>
      <x:c r="G1235" t="str">
        <x:v>RF03</x:v>
      </x:c>
      <x:c r="H1235" t="str">
        <x:v>RF003-E1!F53</x:v>
      </x:c>
    </x:row>
    <x:row r="1236">
      <x:c r="A1236" t="str">
        <x:v>generarHashContrasena</x:v>
      </x:c>
      <x:c r="B1236" t="str">
        <x:v>nuevaContrasena</x:v>
      </x:c>
      <x:c r="C1236" t="str">
        <x:v>C_RecuperacionCuenta</x:v>
      </x:c>
      <x:c r="D1236" t="str">
        <x:v>C_RecuperacionCuenta</x:v>
      </x:c>
      <x:c r="E1236" t="str">
        <x:v>otra</x:v>
      </x:c>
      <x:c r="F1236" t="n">
        <x:v>1</x:v>
      </x:c>
      <x:c r="G1236" t="str">
        <x:v>RF03</x:v>
      </x:c>
      <x:c r="H1236" t="str">
        <x:v>RF003-E1!F64</x:v>
      </x:c>
    </x:row>
    <x:row r="1237">
      <x:c r="A1237" t="str">
        <x:v>inicializarCamposNuevaContrasena</x:v>
      </x:c>
      <x:c r="B1237" t="str">
        <x:v>OCULTA</x:v>
      </x:c>
      <x:c r="C1237" t="str">
        <x:v>C_RecuperacionCuenta</x:v>
      </x:c>
      <x:c r="D1237" t="str">
        <x:v>C_RecuperacionCuenta</x:v>
      </x:c>
      <x:c r="E1237" t="str">
        <x:v>otra</x:v>
      </x:c>
      <x:c r="F1237" t="n">
        <x:v>1</x:v>
      </x:c>
      <x:c r="G1237" t="str">
        <x:v>RF03</x:v>
      </x:c>
      <x:c r="H1237" t="str">
        <x:v>RF003-E1!F48</x:v>
      </x:c>
    </x:row>
    <x:row r="1238">
      <x:c r="A1238" t="str">
        <x:v>validarCodigoRecuperacion</x:v>
      </x:c>
      <x:c r="B1238" t="str">
        <x:v>codigo,idUsuario</x:v>
      </x:c>
      <x:c r="C1238" t="str">
        <x:v>C_RecuperacionCuenta</x:v>
      </x:c>
      <x:c r="D1238" t="str">
        <x:v>C_ValidacionRecuperacion</x:v>
      </x:c>
      <x:c r="E1238" t="str">
        <x:v>validación</x:v>
      </x:c>
      <x:c r="F1238" t="n">
        <x:v>1</x:v>
      </x:c>
      <x:c r="G1238" t="str">
        <x:v>RF03</x:v>
      </x:c>
      <x:c r="H1238" t="str">
        <x:v>RF003-E1!F38</x:v>
      </x:c>
    </x:row>
    <x:row r="1239">
      <x:c r="A1239" t="str">
        <x:v>validarCorreoRecuperacion</x:v>
      </x:c>
      <x:c r="B1239" t="str">
        <x:v>correo</x:v>
      </x:c>
      <x:c r="C1239" t="str">
        <x:v>C_RecuperacionCuenta</x:v>
      </x:c>
      <x:c r="D1239" t="str">
        <x:v>C_ValidacionRecuperacion</x:v>
      </x:c>
      <x:c r="E1239" t="str">
        <x:v>validación</x:v>
      </x:c>
      <x:c r="F1239" t="n">
        <x:v>1</x:v>
      </x:c>
      <x:c r="G1239" t="str">
        <x:v>RF03</x:v>
      </x:c>
      <x:c r="H1239" t="str">
        <x:v>RF003-E1!F17</x:v>
      </x:c>
    </x:row>
    <x:row r="1240">
      <x:c r="A1240" t="str">
        <x:v>validarNuevaContrasena</x:v>
      </x:c>
      <x:c r="B1240" t="str">
        <x:v>datosContrasena</x:v>
      </x:c>
      <x:c r="C1240" t="str">
        <x:v>C_RecuperacionCuenta</x:v>
      </x:c>
      <x:c r="D1240" t="str">
        <x:v>C_ValidacionRecuperacion</x:v>
      </x:c>
      <x:c r="E1240" t="str">
        <x:v>validación</x:v>
      </x:c>
      <x:c r="F1240" t="n">
        <x:v>1</x:v>
      </x:c>
      <x:c r="G1240" t="str">
        <x:v>RF03</x:v>
      </x:c>
      <x:c r="H1240" t="str">
        <x:v>RF003-E1!F58</x:v>
      </x:c>
    </x:row>
    <x:row r="1241">
      <x:c r="A1241" t="str">
        <x:v>invalidarCodigosRecuperacion</x:v>
      </x:c>
      <x:c r="B1241" t="str">
        <x:v>idUsuario,codigoUtilizado</x:v>
      </x:c>
      <x:c r="C1241" t="str">
        <x:v>C_RecuperacionCuenta</x:v>
      </x:c>
      <x:c r="D1241" t="str">
        <x:v>E_CodigoRecuperacion</x:v>
      </x:c>
      <x:c r="E1241" t="str">
        <x:v>otra</x:v>
      </x:c>
      <x:c r="F1241" t="n">
        <x:v>1</x:v>
      </x:c>
      <x:c r="G1241" t="str">
        <x:v>RF03</x:v>
      </x:c>
      <x:c r="H1241" t="str">
        <x:v>RF003-E1!F67</x:v>
      </x:c>
    </x:row>
    <x:row r="1242">
      <x:c r="A1242" t="str">
        <x:v>actualizarContrasena</x:v>
      </x:c>
      <x:c r="B1242" t="str">
        <x:v>idUsuario,hashNuevaContrasena</x:v>
      </x:c>
      <x:c r="C1242" t="str">
        <x:v>C_RecuperacionCuenta</x:v>
      </x:c>
      <x:c r="D1242" t="str">
        <x:v>E_Usuario</x:v>
      </x:c>
      <x:c r="E1242" t="str">
        <x:v>escritura</x:v>
      </x:c>
      <x:c r="F1242" t="n">
        <x:v>1</x:v>
      </x:c>
      <x:c r="G1242" t="str">
        <x:v>RF03</x:v>
      </x:c>
      <x:c r="H1242" t="str">
        <x:v>RF003-E1!F65</x:v>
      </x:c>
    </x:row>
    <x:row r="1243">
      <x:c r="A1243" t="str">
        <x:v>mostrarCambioContrasenaExitoso</x:v>
      </x:c>
      <x:c r="B1243" t="str"/>
      <x:c r="C1243" t="str">
        <x:v>C_RecuperacionCuenta</x:v>
      </x:c>
      <x:c r="D1243" t="str">
        <x:v>I_ConfirmacionOperacion</x:v>
      </x:c>
      <x:c r="E1243" t="str">
        <x:v>presentación/navegación</x:v>
      </x:c>
      <x:c r="F1243" t="n">
        <x:v>1</x:v>
      </x:c>
      <x:c r="G1243" t="str">
        <x:v>RF03</x:v>
      </x:c>
      <x:c r="H1243" t="str">
        <x:v>RF003-E1!F70</x:v>
      </x:c>
    </x:row>
    <x:row r="1244">
      <x:c r="A1244" t="str">
        <x:v>actualizarVisibilidadContrasena</x:v>
      </x:c>
      <x:c r="B1244" t="str">
        <x:v>campo,estadoVisual</x:v>
      </x:c>
      <x:c r="C1244" t="str">
        <x:v>C_RecuperacionCuenta</x:v>
      </x:c>
      <x:c r="D1244" t="str">
        <x:v>I_NuevaContrasena</x:v>
      </x:c>
      <x:c r="E1244" t="str">
        <x:v>escritura</x:v>
      </x:c>
      <x:c r="F1244" t="n">
        <x:v>1</x:v>
      </x:c>
      <x:c r="G1244" t="str">
        <x:v>RF03</x:v>
      </x:c>
      <x:c r="H1244" t="str">
        <x:v>RF003-E1!F54</x:v>
      </x:c>
    </x:row>
    <x:row r="1245">
      <x:c r="A1245" t="str">
        <x:v>mostrarFormularioNuevaContrasena</x:v>
      </x:c>
      <x:c r="B1245" t="str">
        <x:v>OCULTA</x:v>
      </x:c>
      <x:c r="C1245" t="str">
        <x:v>C_RecuperacionCuenta</x:v>
      </x:c>
      <x:c r="D1245" t="str">
        <x:v>I_NuevaContrasena</x:v>
      </x:c>
      <x:c r="E1245" t="str">
        <x:v>presentación/navegación</x:v>
      </x:c>
      <x:c r="F1245" t="n">
        <x:v>1</x:v>
      </x:c>
      <x:c r="G1245" t="str">
        <x:v>RF03</x:v>
      </x:c>
      <x:c r="H1245" t="str">
        <x:v>RF003-E1!F49</x:v>
      </x:c>
    </x:row>
    <x:row r="1246">
      <x:c r="A1246" t="str">
        <x:v>mostrarFormularioRecuperacion</x:v>
      </x:c>
      <x:c r="B1246" t="str"/>
      <x:c r="C1246" t="str">
        <x:v>C_RecuperacionCuenta</x:v>
      </x:c>
      <x:c r="D1246" t="str">
        <x:v>I_RecuperacionContrasena</x:v>
      </x:c>
      <x:c r="E1246" t="str">
        <x:v>presentación/navegación</x:v>
      </x:c>
      <x:c r="F1246" t="n">
        <x:v>1</x:v>
      </x:c>
      <x:c r="G1246" t="str">
        <x:v>RF03</x:v>
      </x:c>
      <x:c r="H1246" t="str">
        <x:v>RF003-E1!F13</x:v>
      </x:c>
    </x:row>
    <x:row r="1247">
      <x:c r="A1247" t="str">
        <x:v>mostrarFormularioCodigo</x:v>
      </x:c>
      <x:c r="B1247" t="str"/>
      <x:c r="C1247" t="str">
        <x:v>C_RecuperacionCuenta</x:v>
      </x:c>
      <x:c r="D1247" t="str">
        <x:v>I_VerificarCodigo</x:v>
      </x:c>
      <x:c r="E1247" t="str">
        <x:v>presentación/navegación</x:v>
      </x:c>
      <x:c r="F1247" t="n">
        <x:v>1</x:v>
      </x:c>
      <x:c r="G1247" t="str">
        <x:v>RF03</x:v>
      </x:c>
      <x:c r="H1247" t="str">
        <x:v>RF003-E1!F34</x:v>
      </x:c>
    </x:row>
    <x:row r="1248">
      <x:c r="A1248" t="str">
        <x:v>confirmarTransaccionReactivacion</x:v>
      </x:c>
      <x:c r="B1248" t="str"/>
      <x:c r="C1248" t="str">
        <x:v>C_RecuperarCuenta</x:v>
      </x:c>
      <x:c r="D1248" t="str">
        <x:v>C_RecuperarCuenta</x:v>
      </x:c>
      <x:c r="E1248" t="str">
        <x:v>otra</x:v>
      </x:c>
      <x:c r="F1248" t="n">
        <x:v>1</x:v>
      </x:c>
      <x:c r="G1248" t="str">
        <x:v>RF53</x:v>
      </x:c>
      <x:c r="H1248" t="str">
        <x:v>RF053-EF1!F54</x:v>
      </x:c>
    </x:row>
    <x:row r="1249">
      <x:c r="A1249" t="str">
        <x:v>generarOTP</x:v>
      </x:c>
      <x:c r="B1249" t="str">
        <x:v>6digitos,60segundos</x:v>
      </x:c>
      <x:c r="C1249" t="str">
        <x:v>C_RecuperarCuenta</x:v>
      </x:c>
      <x:c r="D1249" t="str">
        <x:v>C_RecuperarCuenta</x:v>
      </x:c>
      <x:c r="E1249" t="str">
        <x:v>otra</x:v>
      </x:c>
      <x:c r="F1249" t="n">
        <x:v>1</x:v>
      </x:c>
      <x:c r="G1249" t="str">
        <x:v>RF53</x:v>
      </x:c>
      <x:c r="H1249" t="str">
        <x:v>RF053-EF1!F29</x:v>
      </x:c>
    </x:row>
    <x:row r="1250">
      <x:c r="A1250" t="str">
        <x:v>revalidarEstadoYPlazoActualUTC</x:v>
      </x:c>
      <x:c r="B1250" t="str"/>
      <x:c r="C1250" t="str">
        <x:v>C_RecuperarCuenta</x:v>
      </x:c>
      <x:c r="D1250" t="str">
        <x:v>C_RecuperarCuenta</x:v>
      </x:c>
      <x:c r="E1250" t="str">
        <x:v>validación</x:v>
      </x:c>
      <x:c r="F1250" t="n">
        <x:v>1</x:v>
      </x:c>
      <x:c r="G1250" t="str">
        <x:v>RF53</x:v>
      </x:c>
      <x:c r="H1250" t="str">
        <x:v>RF053-EF1!F47</x:v>
      </x:c>
    </x:row>
    <x:row r="1251">
      <x:c r="A1251" t="str">
        <x:v>validarOTPFinalidadVigenciaEIntentos</x:v>
      </x:c>
      <x:c r="B1251" t="str"/>
      <x:c r="C1251" t="str">
        <x:v>C_RecuperarCuenta</x:v>
      </x:c>
      <x:c r="D1251" t="str">
        <x:v>C_RecuperarCuenta</x:v>
      </x:c>
      <x:c r="E1251" t="str">
        <x:v>validación</x:v>
      </x:c>
      <x:c r="F1251" t="n">
        <x:v>1</x:v>
      </x:c>
      <x:c r="G1251" t="str">
        <x:v>RF53</x:v>
      </x:c>
      <x:c r="H1251" t="str">
        <x:v>RF053-EF1!F41</x:v>
      </x:c>
    </x:row>
    <x:row r="1252">
      <x:c r="A1252" t="str">
        <x:v>validarCredencialesRecuperacion</x:v>
      </x:c>
      <x:c r="B1252" t="str">
        <x:v>datos</x:v>
      </x:c>
      <x:c r="C1252" t="str">
        <x:v>C_RecuperarCuenta</x:v>
      </x:c>
      <x:c r="D1252" t="str">
        <x:v>C_ValidacionCuenta</x:v>
      </x:c>
      <x:c r="E1252" t="str">
        <x:v>validación</x:v>
      </x:c>
      <x:c r="F1252" t="n">
        <x:v>1</x:v>
      </x:c>
      <x:c r="G1252" t="str">
        <x:v>RF53</x:v>
      </x:c>
      <x:c r="H1252" t="str">
        <x:v>RF053-EF1!F18</x:v>
      </x:c>
    </x:row>
    <x:row r="1253">
      <x:c r="A1253" t="str">
        <x:v>bloquearOTPVigente</x:v>
      </x:c>
      <x:c r="B1253" t="str">
        <x:v>idUsuario,REACTIVAR_CUENTA</x:v>
      </x:c>
      <x:c r="C1253" t="str">
        <x:v>C_RecuperarCuenta</x:v>
      </x:c>
      <x:c r="D1253" t="str">
        <x:v>E_CodigoRecuperacion</x:v>
      </x:c>
      <x:c r="E1253" t="str">
        <x:v>otra</x:v>
      </x:c>
      <x:c r="F1253" t="n">
        <x:v>1</x:v>
      </x:c>
      <x:c r="G1253" t="str">
        <x:v>RF53</x:v>
      </x:c>
      <x:c r="H1253" t="str">
        <x:v>RF053-EF1!F39</x:v>
      </x:c>
    </x:row>
    <x:row r="1254">
      <x:c r="A1254" t="str">
        <x:v>consultarBloqueoRecuperacion</x:v>
      </x:c>
      <x:c r="B1254" t="str">
        <x:v>idUsuario</x:v>
      </x:c>
      <x:c r="C1254" t="str">
        <x:v>C_RecuperarCuenta</x:v>
      </x:c>
      <x:c r="D1254" t="str">
        <x:v>E_CodigoRecuperacion</x:v>
      </x:c>
      <x:c r="E1254" t="str">
        <x:v>consulta</x:v>
      </x:c>
      <x:c r="F1254" t="n">
        <x:v>1</x:v>
      </x:c>
      <x:c r="G1254" t="str">
        <x:v>RF53</x:v>
      </x:c>
      <x:c r="H1254" t="str">
        <x:v>RF053-EF1!F27</x:v>
      </x:c>
    </x:row>
    <x:row r="1255">
      <x:c r="A1255" t="str">
        <x:v>consumirOTPAtomicamente</x:v>
      </x:c>
      <x:c r="B1255" t="str">
        <x:v>idCodigo</x:v>
      </x:c>
      <x:c r="C1255" t="str">
        <x:v>C_RecuperarCuenta</x:v>
      </x:c>
      <x:c r="D1255" t="str">
        <x:v>E_CodigoRecuperacion</x:v>
      </x:c>
      <x:c r="E1255" t="str">
        <x:v>escritura</x:v>
      </x:c>
      <x:c r="F1255" t="n">
        <x:v>1</x:v>
      </x:c>
      <x:c r="G1255" t="str">
        <x:v>RF53</x:v>
      </x:c>
      <x:c r="H1255" t="str">
        <x:v>RF053-EF1!F42</x:v>
      </x:c>
    </x:row>
    <x:row r="1256">
      <x:c r="A1256" t="str">
        <x:v>registrarOTPProtegido</x:v>
      </x:c>
      <x:c r="B1256" t="str">
        <x:v>idUsuario,REACTIVAR_CUENTA,expiracionUTC</x:v>
      </x:c>
      <x:c r="C1256" t="str">
        <x:v>C_RecuperarCuenta</x:v>
      </x:c>
      <x:c r="D1256" t="str">
        <x:v>E_CodigoRecuperacion</x:v>
      </x:c>
      <x:c r="E1256" t="str">
        <x:v>escritura</x:v>
      </x:c>
      <x:c r="F1256" t="n">
        <x:v>1</x:v>
      </x:c>
      <x:c r="G1256" t="str">
        <x:v>RF53</x:v>
      </x:c>
      <x:c r="H1256" t="str">
        <x:v>RF053-EF1!F30</x:v>
      </x:c>
    </x:row>
    <x:row r="1257">
      <x:c r="A1257" t="str">
        <x:v>registrarCorreoOTP</x:v>
      </x:c>
      <x:c r="B1257" t="str">
        <x:v>idUsuario,correo,contenidoProtegido</x:v>
      </x:c>
      <x:c r="C1257" t="str">
        <x:v>C_RecuperarCuenta</x:v>
      </x:c>
      <x:c r="D1257" t="str">
        <x:v>E_CorreoPendiente</x:v>
      </x:c>
      <x:c r="E1257" t="str">
        <x:v>escritura</x:v>
      </x:c>
      <x:c r="F1257" t="n">
        <x:v>1</x:v>
      </x:c>
      <x:c r="G1257" t="str">
        <x:v>RF53</x:v>
      </x:c>
      <x:c r="H1257" t="str">
        <x:v>RF053-EF1!F32</x:v>
      </x:c>
    </x:row>
    <x:row r="1258">
      <x:c r="A1258" t="str">
        <x:v>registrarEventoReactivacion</x:v>
      </x:c>
      <x:c r="B1258" t="str">
        <x:v>idUsuario,RF53</x:v>
      </x:c>
      <x:c r="C1258" t="str">
        <x:v>C_RecuperarCuenta</x:v>
      </x:c>
      <x:c r="D1258" t="str">
        <x:v>E_EstadoCuenta</x:v>
      </x:c>
      <x:c r="E1258" t="str">
        <x:v>escritura</x:v>
      </x:c>
      <x:c r="F1258" t="n">
        <x:v>1</x:v>
      </x:c>
      <x:c r="G1258" t="str">
        <x:v>RF53</x:v>
      </x:c>
      <x:c r="H1258" t="str">
        <x:v>RF053-EF1!F52</x:v>
      </x:c>
    </x:row>
    <x:row r="1259">
      <x:c r="A1259" t="str">
        <x:v>bloquearSolicitudEliminacion</x:v>
      </x:c>
      <x:c r="B1259" t="str">
        <x:v>idSolicitud</x:v>
      </x:c>
      <x:c r="C1259" t="str">
        <x:v>C_RecuperarCuenta</x:v>
      </x:c>
      <x:c r="D1259" t="str">
        <x:v>E_SolicitudEliminacion</x:v>
      </x:c>
      <x:c r="E1259" t="str">
        <x:v>otra</x:v>
      </x:c>
      <x:c r="F1259" t="n">
        <x:v>1</x:v>
      </x:c>
      <x:c r="G1259" t="str">
        <x:v>RF53</x:v>
      </x:c>
      <x:c r="H1259" t="str">
        <x:v>RF053-EF1!F45</x:v>
      </x:c>
    </x:row>
    <x:row r="1260">
      <x:c r="A1260" t="str">
        <x:v>cancelarSolicitudEliminacion</x:v>
      </x:c>
      <x:c r="B1260" t="str">
        <x:v>idSolicitud,CANCELADA</x:v>
      </x:c>
      <x:c r="C1260" t="str">
        <x:v>C_RecuperarCuenta</x:v>
      </x:c>
      <x:c r="D1260" t="str">
        <x:v>E_SolicitudEliminacion</x:v>
      </x:c>
      <x:c r="E1260" t="str">
        <x:v>otra</x:v>
      </x:c>
      <x:c r="F1260" t="n">
        <x:v>1</x:v>
      </x:c>
      <x:c r="G1260" t="str">
        <x:v>RF53</x:v>
      </x:c>
      <x:c r="H1260" t="str">
        <x:v>RF053-EF1!F50</x:v>
      </x:c>
    </x:row>
    <x:row r="1261">
      <x:c r="A1261" t="str">
        <x:v>reactivarCuentaSiPendiente</x:v>
      </x:c>
      <x:c r="B1261" t="str">
        <x:v>idUsuario,ACTIVA</x:v>
      </x:c>
      <x:c r="C1261" t="str">
        <x:v>C_RecuperarCuenta</x:v>
      </x:c>
      <x:c r="D1261" t="str">
        <x:v>E_Usuario</x:v>
      </x:c>
      <x:c r="E1261" t="str">
        <x:v>escritura</x:v>
      </x:c>
      <x:c r="F1261" t="n">
        <x:v>1</x:v>
      </x:c>
      <x:c r="G1261" t="str">
        <x:v>RF53</x:v>
      </x:c>
      <x:c r="H1261" t="str">
        <x:v>RF053-EF1!F48</x:v>
      </x:c>
    </x:row>
    <x:row r="1262">
      <x:c r="A1262" t="str">
        <x:v>mostrarFormularioCredenciales</x:v>
      </x:c>
      <x:c r="B1262" t="str"/>
      <x:c r="C1262" t="str">
        <x:v>C_RecuperarCuenta</x:v>
      </x:c>
      <x:c r="D1262" t="str">
        <x:v>I_CredencialesRecuperacion</x:v>
      </x:c>
      <x:c r="E1262" t="str">
        <x:v>presentación/navegación</x:v>
      </x:c>
      <x:c r="F1262" t="n">
        <x:v>1</x:v>
      </x:c>
      <x:c r="G1262" t="str">
        <x:v>RF53</x:v>
      </x:c>
      <x:c r="H1262" t="str">
        <x:v>RF053-EF1!F13</x:v>
      </x:c>
    </x:row>
    <x:row r="1263">
      <x:c r="A1263" t="str">
        <x:v>mostrarCuentaRecuperada</x:v>
      </x:c>
      <x:c r="B1263" t="str"/>
      <x:c r="C1263" t="str">
        <x:v>C_RecuperarCuenta</x:v>
      </x:c>
      <x:c r="D1263" t="str">
        <x:v>I_CuentaRecuperada</x:v>
      </x:c>
      <x:c r="E1263" t="str">
        <x:v>presentación/navegación</x:v>
      </x:c>
      <x:c r="F1263" t="n">
        <x:v>1</x:v>
      </x:c>
      <x:c r="G1263" t="str">
        <x:v>RF53</x:v>
      </x:c>
      <x:c r="H1263" t="str">
        <x:v>RF053-EF1!F56</x:v>
      </x:c>
    </x:row>
    <x:row r="1264">
      <x:c r="A1264" t="str">
        <x:v>mostrarCondicionesRecuperacion</x:v>
      </x:c>
      <x:c r="B1264" t="str">
        <x:v>30diasCalendario</x:v>
      </x:c>
      <x:c r="C1264" t="str">
        <x:v>C_RecuperarCuenta</x:v>
      </x:c>
      <x:c r="D1264" t="str">
        <x:v>I_InformacionRecuperacionCuenta</x:v>
      </x:c>
      <x:c r="E1264" t="str">
        <x:v>presentación/navegación</x:v>
      </x:c>
      <x:c r="F1264" t="n">
        <x:v>1</x:v>
      </x:c>
      <x:c r="G1264" t="str">
        <x:v>RF53</x:v>
      </x:c>
      <x:c r="H1264" t="str">
        <x:v>RF053-EF1!F8</x:v>
      </x:c>
    </x:row>
    <x:row r="1265">
      <x:c r="A1265" t="str">
        <x:v>mostrarFormularioOTP</x:v>
      </x:c>
      <x:c r="B1265" t="str">
        <x:v>correoEnmascarado,60segundos</x:v>
      </x:c>
      <x:c r="C1265" t="str">
        <x:v>C_RecuperarCuenta</x:v>
      </x:c>
      <x:c r="D1265" t="str">
        <x:v>I_VerificarRecuperacionCuenta</x:v>
      </x:c>
      <x:c r="E1265" t="str">
        <x:v>presentación/navegación</x:v>
      </x:c>
      <x:c r="F1265" t="n">
        <x:v>1</x:v>
      </x:c>
      <x:c r="G1265" t="str">
        <x:v>RF53</x:v>
      </x:c>
      <x:c r="H1265" t="str">
        <x:v>RF053-EF1!F34</x:v>
      </x:c>
    </x:row>
    <x:row r="1266">
      <x:c r="A1266" t="str">
        <x:v>asignarPlanInicial</x:v>
      </x:c>
      <x:c r="B1266" t="str">
        <x:v>idUsuario,FREE</x:v>
      </x:c>
      <x:c r="C1266" t="str">
        <x:v>C_RegistroUsuario</x:v>
      </x:c>
      <x:c r="D1266" t="str">
        <x:v>C_ControlSuscripcion</x:v>
      </x:c>
      <x:c r="E1266" t="str">
        <x:v>otra</x:v>
      </x:c>
      <x:c r="F1266" t="n">
        <x:v>1</x:v>
      </x:c>
      <x:c r="G1266" t="str">
        <x:v>RF01</x:v>
      </x:c>
      <x:c r="H1266" t="str">
        <x:v>RF001-E1!F38</x:v>
      </x:c>
    </x:row>
    <x:row r="1267">
      <x:c r="A1267" t="str">
        <x:v>alternarVisibilidadContrasena</x:v>
      </x:c>
      <x:c r="B1267" t="str">
        <x:v>campo</x:v>
      </x:c>
      <x:c r="C1267" t="str">
        <x:v>C_RegistroUsuario</x:v>
      </x:c>
      <x:c r="D1267" t="str">
        <x:v>C_RegistroUsuario</x:v>
      </x:c>
      <x:c r="E1267" t="str">
        <x:v>otra</x:v>
      </x:c>
      <x:c r="F1267" t="n">
        <x:v>1</x:v>
      </x:c>
      <x:c r="G1267" t="str">
        <x:v>RF01</x:v>
      </x:c>
      <x:c r="H1267" t="str">
        <x:v>RF001-E1!F13</x:v>
      </x:c>
    </x:row>
    <x:row r="1268">
      <x:c r="A1268" t="str">
        <x:v>generarHashContrasena</x:v>
      </x:c>
      <x:c r="B1268" t="str">
        <x:v>contrasena</x:v>
      </x:c>
      <x:c r="C1268" t="str">
        <x:v>C_RegistroUsuario</x:v>
      </x:c>
      <x:c r="D1268" t="str">
        <x:v>C_RegistroUsuario</x:v>
      </x:c>
      <x:c r="E1268" t="str">
        <x:v>otra</x:v>
      </x:c>
      <x:c r="F1268" t="n">
        <x:v>1</x:v>
      </x:c>
      <x:c r="G1268" t="str">
        <x:v>RF01</x:v>
      </x:c>
      <x:c r="H1268" t="str">
        <x:v>RF001-E1!F34</x:v>
      </x:c>
    </x:row>
    <x:row r="1269">
      <x:c r="A1269" t="str">
        <x:v>inicializarCamposContrasena</x:v>
      </x:c>
      <x:c r="B1269" t="str">
        <x:v>oculta</x:v>
      </x:c>
      <x:c r="C1269" t="str">
        <x:v>C_RegistroUsuario</x:v>
      </x:c>
      <x:c r="D1269" t="str">
        <x:v>C_RegistroUsuario</x:v>
      </x:c>
      <x:c r="E1269" t="str">
        <x:v>otra</x:v>
      </x:c>
      <x:c r="F1269" t="n">
        <x:v>1</x:v>
      </x:c>
      <x:c r="G1269" t="str">
        <x:v>RF01</x:v>
      </x:c>
      <x:c r="H1269" t="str">
        <x:v>RF001-E1!F7</x:v>
      </x:c>
    </x:row>
    <x:row r="1270">
      <x:c r="A1270" t="str">
        <x:v>validarRegistroUsuario</x:v>
      </x:c>
      <x:c r="B1270" t="str">
        <x:v>datosUsuario</x:v>
      </x:c>
      <x:c r="C1270" t="str">
        <x:v>C_RegistroUsuario</x:v>
      </x:c>
      <x:c r="D1270" t="str">
        <x:v>C_ValidacionRegistroUsuarios</x:v>
      </x:c>
      <x:c r="E1270" t="str">
        <x:v>validación</x:v>
      </x:c>
      <x:c r="F1270" t="n">
        <x:v>1</x:v>
      </x:c>
      <x:c r="G1270" t="str">
        <x:v>RF01</x:v>
      </x:c>
      <x:c r="H1270" t="str">
        <x:v>RF001-E1!F19</x:v>
      </x:c>
    </x:row>
    <x:row r="1271">
      <x:c r="A1271" t="str">
        <x:v>crearConfiguracionGlobalInicial</x:v>
      </x:c>
      <x:c r="B1271" t="str">
        <x:v>idUsuario,PAUSADO</x:v>
      </x:c>
      <x:c r="C1271" t="str">
        <x:v>C_RegistroUsuario</x:v>
      </x:c>
      <x:c r="D1271" t="str">
        <x:v>E_ConfigRecordatorioKmUsuario</x:v>
      </x:c>
      <x:c r="E1271" t="str">
        <x:v>otra</x:v>
      </x:c>
      <x:c r="F1271" t="n">
        <x:v>1</x:v>
      </x:c>
      <x:c r="G1271" t="str">
        <x:v>RF01</x:v>
      </x:c>
      <x:c r="H1271" t="str">
        <x:v>RF001-E1!F43</x:v>
      </x:c>
    </x:row>
    <x:row r="1272">
      <x:c r="A1272" t="str">
        <x:v>crearPreferenciasIniciales</x:v>
      </x:c>
      <x:c r="B1272" t="str">
        <x:v>idUsuario,mantenimiento=ON,soat=ON,kilometraje=ON,permisoDispositivo=NO_SOLICITADO</x:v>
      </x:c>
      <x:c r="C1272" t="str">
        <x:v>C_RegistroUsuario</x:v>
      </x:c>
      <x:c r="D1272" t="str">
        <x:v>E_PreferenciaNotificacion</x:v>
      </x:c>
      <x:c r="E1272" t="str">
        <x:v>otra</x:v>
      </x:c>
      <x:c r="F1272" t="n">
        <x:v>1</x:v>
      </x:c>
      <x:c r="G1272" t="str">
        <x:v>RF01</x:v>
      </x:c>
      <x:c r="H1272" t="str">
        <x:v>RF001-E1!F45</x:v>
      </x:c>
    </x:row>
    <x:row r="1273">
      <x:c r="A1273" t="str">
        <x:v>registrarUsuario</x:v>
      </x:c>
      <x:c r="B1273" t="str">
        <x:v>nombre,correo,fechaNacimiento,hashContrasena,ACTIVA</x:v>
      </x:c>
      <x:c r="C1273" t="str">
        <x:v>C_RegistroUsuario</x:v>
      </x:c>
      <x:c r="D1273" t="str">
        <x:v>E_Usuario</x:v>
      </x:c>
      <x:c r="E1273" t="str">
        <x:v>escritura</x:v>
      </x:c>
      <x:c r="F1273" t="n">
        <x:v>1</x:v>
      </x:c>
      <x:c r="G1273" t="str">
        <x:v>RF01</x:v>
      </x:c>
      <x:c r="H1273" t="str">
        <x:v>RF001-E1!F35</x:v>
      </x:c>
    </x:row>
    <x:row r="1274">
      <x:c r="A1274" t="str">
        <x:v>mostrarRegistroExitoso</x:v>
      </x:c>
      <x:c r="B1274" t="str"/>
      <x:c r="C1274" t="str">
        <x:v>C_RegistroUsuario</x:v>
      </x:c>
      <x:c r="D1274" t="str">
        <x:v>I_ConfirmacionOperacion</x:v>
      </x:c>
      <x:c r="E1274" t="str">
        <x:v>presentación/navegación</x:v>
      </x:c>
      <x:c r="F1274" t="n">
        <x:v>1</x:v>
      </x:c>
      <x:c r="G1274" t="str">
        <x:v>RF01</x:v>
      </x:c>
      <x:c r="H1274" t="str">
        <x:v>RF001-E1!F50</x:v>
      </x:c>
    </x:row>
    <x:row r="1275">
      <x:c r="A1275" t="str">
        <x:v>mostrarFormularioLogin</x:v>
      </x:c>
      <x:c r="B1275" t="str"/>
      <x:c r="C1275" t="str">
        <x:v>C_RegistroUsuario</x:v>
      </x:c>
      <x:c r="D1275" t="str">
        <x:v>I_InicioSesion</x:v>
      </x:c>
      <x:c r="E1275" t="str">
        <x:v>presentación/navegación</x:v>
      </x:c>
      <x:c r="F1275" t="n">
        <x:v>1</x:v>
      </x:c>
      <x:c r="G1275" t="str">
        <x:v>RF01</x:v>
      </x:c>
      <x:c r="H1275" t="str">
        <x:v>RF001-E1!F54</x:v>
      </x:c>
    </x:row>
    <x:row r="1276">
      <x:c r="A1276" t="str">
        <x:v>actualizarVisibilidadContrasena</x:v>
      </x:c>
      <x:c r="B1276" t="str">
        <x:v>campo,estadoVisual</x:v>
      </x:c>
      <x:c r="C1276" t="str">
        <x:v>C_RegistroUsuario</x:v>
      </x:c>
      <x:c r="D1276" t="str">
        <x:v>I_RegistroUsuario</x:v>
      </x:c>
      <x:c r="E1276" t="str">
        <x:v>escritura</x:v>
      </x:c>
      <x:c r="F1276" t="n">
        <x:v>1</x:v>
      </x:c>
      <x:c r="G1276" t="str">
        <x:v>RF01</x:v>
      </x:c>
      <x:c r="H1276" t="str">
        <x:v>RF001-E1!F14</x:v>
      </x:c>
    </x:row>
    <x:row r="1277">
      <x:c r="A1277" t="str">
        <x:v>mostrarFormularioRegistro</x:v>
      </x:c>
      <x:c r="B1277" t="str">
        <x:v>oculta</x:v>
      </x:c>
      <x:c r="C1277" t="str">
        <x:v>C_RegistroUsuario</x:v>
      </x:c>
      <x:c r="D1277" t="str">
        <x:v>I_RegistroUsuario</x:v>
      </x:c>
      <x:c r="E1277" t="str">
        <x:v>presentación/navegación</x:v>
      </x:c>
      <x:c r="F1277" t="n">
        <x:v>1</x:v>
      </x:c>
      <x:c r="G1277" t="str">
        <x:v>RF01</x:v>
      </x:c>
      <x:c r="H1277" t="str">
        <x:v>RF001-E1!F8</x:v>
      </x:c>
    </x:row>
    <x:row r="1278">
      <x:c r="A1278" t="str">
        <x:v>solicitarGeneracionPDF</x:v>
      </x:c>
      <x:c r="B1278" t="str">
        <x:v>datos_reporte_consolidados</x:v>
      </x:c>
      <x:c r="C1278" t="str">
        <x:v>C_ReporteHistorial</x:v>
      </x:c>
      <x:c r="D1278" t="str">
        <x:v>API_ReportePDF</x:v>
      </x:c>
      <x:c r="E1278" t="str">
        <x:v>presentación/navegación</x:v>
      </x:c>
      <x:c r="F1278" t="n">
        <x:v>1</x:v>
      </x:c>
      <x:c r="G1278" t="str">
        <x:v>RF27</x:v>
      </x:c>
      <x:c r="H1278" t="str">
        <x:v>RF27!F54</x:v>
      </x:c>
    </x:row>
    <x:row r="1279">
      <x:c r="A1279" t="str">
        <x:v>solicitarDatosExportacion</x:v>
      </x:c>
      <x:c r="B1279" t="str">
        <x:v>id_usuario,id_vehiculo,fecha_desde,fecha_hasta,criterio_tipo_mantenimiento,incluir_anulados</x:v>
      </x:c>
      <x:c r="C1279" t="str">
        <x:v>C_ReporteHistorial</x:v>
      </x:c>
      <x:c r="D1279" t="str">
        <x:v>C_ControlHistorial</x:v>
      </x:c>
      <x:c r="E1279" t="str">
        <x:v>presentación/navegación</x:v>
      </x:c>
      <x:c r="F1279" t="n">
        <x:v>1</x:v>
      </x:c>
      <x:c r="G1279" t="str">
        <x:v>RF27</x:v>
      </x:c>
      <x:c r="H1279" t="str">
        <x:v>RF27!F30</x:v>
      </x:c>
    </x:row>
    <x:row r="1280">
      <x:c r="A1280" t="str">
        <x:v>consultarPermisoExportacion</x:v>
      </x:c>
      <x:c r="B1280" t="str">
        <x:v>id_usuario</x:v>
      </x:c>
      <x:c r="C1280" t="str">
        <x:v>C_ReporteHistorial</x:v>
      </x:c>
      <x:c r="D1280" t="str">
        <x:v>C_ControlSuscripcion</x:v>
      </x:c>
      <x:c r="E1280" t="str">
        <x:v>consulta</x:v>
      </x:c>
      <x:c r="F1280" t="n">
        <x:v>1</x:v>
      </x:c>
      <x:c r="G1280" t="str">
        <x:v>RF27</x:v>
      </x:c>
      <x:c r="H1280" t="str">
        <x:v>RF27!F7</x:v>
      </x:c>
    </x:row>
    <x:row r="1281">
      <x:c r="A1281" t="str">
        <x:v>revalidarPermisoExportacionAlGenerar</x:v>
      </x:c>
      <x:c r="B1281" t="str">
        <x:v>id_usuario</x:v>
      </x:c>
      <x:c r="C1281" t="str">
        <x:v>C_ReporteHistorial</x:v>
      </x:c>
      <x:c r="D1281" t="str">
        <x:v>C_ControlSuscripcion</x:v>
      </x:c>
      <x:c r="E1281" t="str">
        <x:v>validación</x:v>
      </x:c>
      <x:c r="F1281" t="n">
        <x:v>1</x:v>
      </x:c>
      <x:c r="G1281" t="str">
        <x:v>RF27</x:v>
      </x:c>
      <x:c r="H1281" t="str">
        <x:v>RF27!F26</x:v>
      </x:c>
    </x:row>
    <x:row r="1282">
      <x:c r="A1282" t="str">
        <x:v>solicitarTiposParaExportacionHistorica</x:v>
      </x:c>
      <x:c r="B1282" t="str">
        <x:v>id_usuario,id_vehiculo</x:v>
      </x:c>
      <x:c r="C1282" t="str">
        <x:v>C_ReporteHistorial</x:v>
      </x:c>
      <x:c r="D1282" t="str">
        <x:v>C_ControlTipoMantenimiento</x:v>
      </x:c>
      <x:c r="E1282" t="str">
        <x:v>presentación/navegación</x:v>
      </x:c>
      <x:c r="F1282" t="n">
        <x:v>1</x:v>
      </x:c>
      <x:c r="G1282" t="str">
        <x:v>RF27</x:v>
      </x:c>
      <x:c r="H1282" t="str">
        <x:v>RF27!F16</x:v>
      </x:c>
    </x:row>
    <x:row r="1283">
      <x:c r="A1283" t="str">
        <x:v>validarVehiculoHistorialUsuario</x:v>
      </x:c>
      <x:c r="B1283" t="str">
        <x:v>id_usuario,id_vehiculo</x:v>
      </x:c>
      <x:c r="C1283" t="str">
        <x:v>C_ReporteHistorial</x:v>
      </x:c>
      <x:c r="D1283" t="str">
        <x:v>C_ControlVehiculo</x:v>
      </x:c>
      <x:c r="E1283" t="str">
        <x:v>validación</x:v>
      </x:c>
      <x:c r="F1283" t="n">
        <x:v>1</x:v>
      </x:c>
      <x:c r="G1283" t="str">
        <x:v>RF27</x:v>
      </x:c>
      <x:c r="H1283" t="str">
        <x:v>RF27!F11</x:v>
      </x:c>
    </x:row>
    <x:row r="1284">
      <x:c r="A1284" t="str">
        <x:v>asignarNombreArchivoTemporal</x:v>
      </x:c>
      <x:c r="B1284" t="str">
        <x:v>archivo_pdf,placa,fecha_desde,fecha_hasta</x:v>
      </x:c>
      <x:c r="C1284" t="str">
        <x:v>C_ReporteHistorial</x:v>
      </x:c>
      <x:c r="D1284" t="str">
        <x:v>C_ReporteHistorial</x:v>
      </x:c>
      <x:c r="E1284" t="str">
        <x:v>otra</x:v>
      </x:c>
      <x:c r="F1284" t="n">
        <x:v>1</x:v>
      </x:c>
      <x:c r="G1284" t="str">
        <x:v>RF27</x:v>
      </x:c>
      <x:c r="H1284" t="str">
        <x:v>RF27!F58</x:v>
      </x:c>
    </x:row>
    <x:row r="1285">
      <x:c r="A1285" t="str">
        <x:v>validarCriteriosReporte</x:v>
      </x:c>
      <x:c r="B1285" t="str">
        <x:v>fecha_desde,fecha_hasta,criterio_tipo_mantenimiento,incluir_anulados</x:v>
      </x:c>
      <x:c r="C1285" t="str">
        <x:v>C_ReporteHistorial</x:v>
      </x:c>
      <x:c r="D1285" t="str">
        <x:v>C_ReporteHistorial</x:v>
      </x:c>
      <x:c r="E1285" t="str">
        <x:v>validación</x:v>
      </x:c>
      <x:c r="F1285" t="n">
        <x:v>1</x:v>
      </x:c>
      <x:c r="G1285" t="str">
        <x:v>RF27</x:v>
      </x:c>
      <x:c r="H1285" t="str">
        <x:v>RF27!F24</x:v>
      </x:c>
    </x:row>
    <x:row r="1286">
      <x:c r="A1286" t="str">
        <x:v>mostrarConfiguracionExportacion</x:v>
      </x:c>
      <x:c r="B1286" t="str">
        <x:v>id_vehiculo,lista_tipos,incluir_anulados=false</x:v>
      </x:c>
      <x:c r="C1286" t="str">
        <x:v>C_ReporteHistorial</x:v>
      </x:c>
      <x:c r="D1286" t="str">
        <x:v>I_ExportarHistorial</x:v>
      </x:c>
      <x:c r="E1286" t="str">
        <x:v>presentación/navegación</x:v>
      </x:c>
      <x:c r="F1286" t="n">
        <x:v>1</x:v>
      </x:c>
      <x:c r="G1286" t="str">
        <x:v>RF27</x:v>
      </x:c>
      <x:c r="H1286" t="str">
        <x:v>RF27!F20</x:v>
      </x:c>
    </x:row>
    <x:row r="1287">
      <x:c r="A1287" t="str">
        <x:v>mostrarVistaPreviaPDF</x:v>
      </x:c>
      <x:c r="B1287" t="str">
        <x:v>archivo_pdf,nombre_archivo</x:v>
      </x:c>
      <x:c r="C1287" t="str">
        <x:v>C_ReporteHistorial</x:v>
      </x:c>
      <x:c r="D1287" t="str">
        <x:v>I_ExportarHistorial</x:v>
      </x:c>
      <x:c r="E1287" t="str">
        <x:v>presentación/navegación</x:v>
      </x:c>
      <x:c r="F1287" t="n">
        <x:v>1</x:v>
      </x:c>
      <x:c r="G1287" t="str">
        <x:v>RF27</x:v>
      </x:c>
      <x:c r="H1287" t="str">
        <x:v>RF27!F59</x:v>
      </x:c>
    </x:row>
    <x:row r="1288">
      <x:c r="A1288" t="str">
        <x:v>abrirWhatsAppConPDF</x:v>
      </x:c>
      <x:c r="B1288" t="str">
        <x:v>archivo_pdf,nombre_archivo</x:v>
      </x:c>
      <x:c r="C1288" t="str">
        <x:v>C_ReporteHistorial</x:v>
      </x:c>
      <x:c r="D1288" t="str">
        <x:v>ServicioCompartirDispositivo</x:v>
      </x:c>
      <x:c r="E1288" t="str">
        <x:v>presentación/navegación</x:v>
      </x:c>
      <x:c r="F1288" t="n">
        <x:v>1</x:v>
      </x:c>
      <x:c r="G1288" t="str">
        <x:v>RF27</x:v>
      </x:c>
      <x:c r="H1288" t="str">
        <x:v>RF27!F64</x:v>
      </x:c>
    </x:row>
    <x:row r="1289">
      <x:c r="A1289" t="str">
        <x:v>retornarIdUsuario</x:v>
      </x:c>
      <x:c r="B1289" t="str">
        <x:v>idUsuario</x:v>
      </x:c>
      <x:c r="C1289" t="str">
        <x:v>C_Sesion</x:v>
      </x:c>
      <x:c r="D1289" t="str">
        <x:v>C_ControlIncidencia</x:v>
      </x:c>
      <x:c r="E1289" t="str">
        <x:v>retorno</x:v>
      </x:c>
      <x:c r="F1289" t="n">
        <x:v>1</x:v>
      </x:c>
      <x:c r="G1289" t="str">
        <x:v>RF64</x:v>
      </x:c>
      <x:c r="H1289" t="str">
        <x:v>RF064_EXITOSO!F8</x:v>
      </x:c>
    </x:row>
    <x:row r="1290">
      <x:c r="A1290" t="str">
        <x:v>retornarReportante</x:v>
      </x:c>
      <x:c r="B1290" t="str">
        <x:v>idUsuario,rol=USUARIO</x:v>
      </x:c>
      <x:c r="C1290" t="str">
        <x:v>C_Sesion</x:v>
      </x:c>
      <x:c r="D1290" t="str">
        <x:v>C_ControlIncidencia</x:v>
      </x:c>
      <x:c r="E1290" t="str">
        <x:v>retorno</x:v>
      </x:c>
      <x:c r="F1290" t="n">
        <x:v>1</x:v>
      </x:c>
      <x:c r="G1290" t="str">
        <x:v>RF63</x:v>
      </x:c>
      <x:c r="H1290" t="str">
        <x:v>RF063_EXITOSO!F26</x:v>
      </x:c>
    </x:row>
    <x:row r="1291">
      <x:c r="A1291" t="str">
        <x:v>retornarResultadoValidacion</x:v>
      </x:c>
      <x:c r="B1291" t="str">
        <x:v>datosValidados</x:v>
      </x:c>
      <x:c r="C1291" t="str">
        <x:v>C_ValidacionContrasena</x:v>
      </x:c>
      <x:c r="D1291" t="str">
        <x:v>C_CambioContrasena</x:v>
      </x:c>
      <x:c r="E1291" t="str">
        <x:v>retorno</x:v>
      </x:c>
      <x:c r="F1291" t="n">
        <x:v>1</x:v>
      </x:c>
      <x:c r="G1291" t="str">
        <x:v>RF05</x:v>
      </x:c>
      <x:c r="H1291" t="str">
        <x:v>RF005-E1!F37</x:v>
      </x:c>
    </x:row>
    <x:row r="1292">
      <x:c r="A1292" t="str">
        <x:v>validarCamposObligatorios</x:v>
      </x:c>
      <x:c r="B1292" t="str">
        <x:v>contrasenaActual,nuevaContrasena,confirmacion</x:v>
      </x:c>
      <x:c r="C1292" t="str">
        <x:v>C_ValidacionContrasena</x:v>
      </x:c>
      <x:c r="D1292" t="str">
        <x:v>C_ValidacionContrasena</x:v>
      </x:c>
      <x:c r="E1292" t="str">
        <x:v>validación</x:v>
      </x:c>
      <x:c r="F1292" t="n">
        <x:v>1</x:v>
      </x:c>
      <x:c r="G1292" t="str">
        <x:v>RF05</x:v>
      </x:c>
      <x:c r="H1292" t="str">
        <x:v>RF005-E1!F30</x:v>
      </x:c>
    </x:row>
    <x:row r="1293">
      <x:c r="A1293" t="str">
        <x:v>validarCoincidenciaContrasena</x:v>
      </x:c>
      <x:c r="B1293" t="str">
        <x:v>nuevaContrasena,confirmacion</x:v>
      </x:c>
      <x:c r="C1293" t="str">
        <x:v>C_ValidacionContrasena</x:v>
      </x:c>
      <x:c r="D1293" t="str">
        <x:v>C_ValidacionContrasena</x:v>
      </x:c>
      <x:c r="E1293" t="str">
        <x:v>validación</x:v>
      </x:c>
      <x:c r="F1293" t="n">
        <x:v>1</x:v>
      </x:c>
      <x:c r="G1293" t="str">
        <x:v>RF05</x:v>
      </x:c>
      <x:c r="H1293" t="str">
        <x:v>RF005-E1!F35</x:v>
      </x:c>
    </x:row>
    <x:row r="1294">
      <x:c r="A1294" t="str">
        <x:v>validarComplejidadContrasena</x:v>
      </x:c>
      <x:c r="B1294" t="str">
        <x:v>nuevaContrasena</x:v>
      </x:c>
      <x:c r="C1294" t="str">
        <x:v>C_ValidacionContrasena</x:v>
      </x:c>
      <x:c r="D1294" t="str">
        <x:v>C_ValidacionContrasena</x:v>
      </x:c>
      <x:c r="E1294" t="str">
        <x:v>validación</x:v>
      </x:c>
      <x:c r="F1294" t="n">
        <x:v>1</x:v>
      </x:c>
      <x:c r="G1294" t="str">
        <x:v>RF05</x:v>
      </x:c>
      <x:c r="H1294" t="str">
        <x:v>RF005-E1!F34</x:v>
      </x:c>
    </x:row>
    <x:row r="1295">
      <x:c r="A1295" t="str">
        <x:v>validarNuevaContrasenaDiferente</x:v>
      </x:c>
      <x:c r="B1295" t="str">
        <x:v>contrasenaActual,nuevaContrasena</x:v>
      </x:c>
      <x:c r="C1295" t="str">
        <x:v>C_ValidacionContrasena</x:v>
      </x:c>
      <x:c r="D1295" t="str">
        <x:v>C_ValidacionContrasena</x:v>
      </x:c>
      <x:c r="E1295" t="str">
        <x:v>validación</x:v>
      </x:c>
      <x:c r="F1295" t="n">
        <x:v>1</x:v>
      </x:c>
      <x:c r="G1295" t="str">
        <x:v>RF05</x:v>
      </x:c>
      <x:c r="H1295" t="str">
        <x:v>RF005-E1!F36</x:v>
      </x:c>
    </x:row>
    <x:row r="1296">
      <x:c r="A1296" t="str">
        <x:v>verificarContrasenaActual</x:v>
      </x:c>
      <x:c r="B1296" t="str">
        <x:v>contrasenaActual,hashContrasena</x:v>
      </x:c>
      <x:c r="C1296" t="str">
        <x:v>C_ValidacionContrasena</x:v>
      </x:c>
      <x:c r="D1296" t="str">
        <x:v>C_ValidacionContrasena</x:v>
      </x:c>
      <x:c r="E1296" t="str">
        <x:v>validación</x:v>
      </x:c>
      <x:c r="F1296" t="n">
        <x:v>1</x:v>
      </x:c>
      <x:c r="G1296" t="str">
        <x:v>RF05</x:v>
      </x:c>
      <x:c r="H1296" t="str">
        <x:v>RF005-E1!F33</x:v>
      </x:c>
    </x:row>
    <x:row r="1297">
      <x:c r="A1297" t="str">
        <x:v>consultarCredencialUsuario</x:v>
      </x:c>
      <x:c r="B1297" t="str">
        <x:v>idUsuario</x:v>
      </x:c>
      <x:c r="C1297" t="str">
        <x:v>C_ValidacionContrasena</x:v>
      </x:c>
      <x:c r="D1297" t="str">
        <x:v>E_Usuario</x:v>
      </x:c>
      <x:c r="E1297" t="str">
        <x:v>consulta</x:v>
      </x:c>
      <x:c r="F1297" t="n">
        <x:v>1</x:v>
      </x:c>
      <x:c r="G1297" t="str">
        <x:v>RF05</x:v>
      </x:c>
      <x:c r="H1297" t="str">
        <x:v>RF005-E1!F31</x:v>
      </x:c>
    </x:row>
    <x:row r="1298">
      <x:c r="A1298" t="str">
        <x:v>retornarCuentaHabilitada</x:v>
      </x:c>
      <x:c r="B1298" t="str">
        <x:v>correo</x:v>
      </x:c>
      <x:c r="C1298" t="str">
        <x:v>C_ValidacionCuenta</x:v>
      </x:c>
      <x:c r="D1298" t="str">
        <x:v>C_EliminarCuenta</x:v>
      </x:c>
      <x:c r="E1298" t="str">
        <x:v>retorno</x:v>
      </x:c>
      <x:c r="F1298" t="n">
        <x:v>1</x:v>
      </x:c>
      <x:c r="G1298" t="str">
        <x:v>RF07</x:v>
      </x:c>
      <x:c r="H1298" t="str">
        <x:v>RF007-E1!F35</x:v>
      </x:c>
    </x:row>
    <x:row r="1299">
      <x:c r="A1299" t="str">
        <x:v>retornarCuentaAptaParaRecuperacion</x:v>
      </x:c>
      <x:c r="B1299" t="str">
        <x:v>idUsuario,idSolicitud</x:v>
      </x:c>
      <x:c r="C1299" t="str">
        <x:v>C_ValidacionCuenta</x:v>
      </x:c>
      <x:c r="D1299" t="str">
        <x:v>C_RecuperarCuenta</x:v>
      </x:c>
      <x:c r="E1299" t="str">
        <x:v>retorno</x:v>
      </x:c>
      <x:c r="F1299" t="n">
        <x:v>1</x:v>
      </x:c>
      <x:c r="G1299" t="str">
        <x:v>RF53</x:v>
      </x:c>
      <x:c r="H1299" t="str">
        <x:v>RF053-EF1!F25</x:v>
      </x:c>
    </x:row>
    <x:row r="1300">
      <x:c r="A1300" t="str">
        <x:v>validarCuentaActivaYCorreo</x:v>
      </x:c>
      <x:c r="B1300" t="str"/>
      <x:c r="C1300" t="str">
        <x:v>C_ValidacionCuenta</x:v>
      </x:c>
      <x:c r="D1300" t="str">
        <x:v>C_ValidacionCuenta</x:v>
      </x:c>
      <x:c r="E1300" t="str">
        <x:v>validación</x:v>
      </x:c>
      <x:c r="F1300" t="n">
        <x:v>1</x:v>
      </x:c>
      <x:c r="G1300" t="str">
        <x:v>RF07</x:v>
      </x:c>
      <x:c r="H1300" t="str">
        <x:v>RF007-E1!F34</x:v>
      </x:c>
    </x:row>
    <x:row r="1301">
      <x:c r="A1301" t="str">
        <x:v>validarEstadoYPlazoRecuperable</x:v>
      </x:c>
      <x:c r="B1301" t="str"/>
      <x:c r="C1301" t="str">
        <x:v>C_ValidacionCuenta</x:v>
      </x:c>
      <x:c r="D1301" t="str">
        <x:v>C_ValidacionCuenta</x:v>
      </x:c>
      <x:c r="E1301" t="str">
        <x:v>validación</x:v>
      </x:c>
      <x:c r="F1301" t="n">
        <x:v>1</x:v>
      </x:c>
      <x:c r="G1301" t="str">
        <x:v>RF53</x:v>
      </x:c>
      <x:c r="H1301" t="str">
        <x:v>RF053-EF1!F24</x:v>
      </x:c>
    </x:row>
    <x:row r="1302">
      <x:c r="A1302" t="str">
        <x:v>verificarContrasena</x:v>
      </x:c>
      <x:c r="B1302" t="str">
        <x:v>hashContrasena,contrasena</x:v>
      </x:c>
      <x:c r="C1302" t="str">
        <x:v>C_ValidacionCuenta</x:v>
      </x:c>
      <x:c r="D1302" t="str">
        <x:v>C_ValidacionCuenta</x:v>
      </x:c>
      <x:c r="E1302" t="str">
        <x:v>validación</x:v>
      </x:c>
      <x:c r="F1302" t="n">
        <x:v>1</x:v>
      </x:c>
      <x:c r="G1302" t="str">
        <x:v>RF53</x:v>
      </x:c>
      <x:c r="H1302" t="str">
        <x:v>RF053-EF1!F21</x:v>
      </x:c>
    </x:row>
    <x:row r="1303">
      <x:c r="A1303" t="str">
        <x:v>consultarSolicitudPendiente</x:v>
      </x:c>
      <x:c r="B1303" t="str">
        <x:v>idUsuario</x:v>
      </x:c>
      <x:c r="C1303" t="str">
        <x:v>C_ValidacionCuenta</x:v>
      </x:c>
      <x:c r="D1303" t="str">
        <x:v>E_SolicitudEliminacion</x:v>
      </x:c>
      <x:c r="E1303" t="str">
        <x:v>consulta</x:v>
      </x:c>
      <x:c r="F1303" t="n">
        <x:v>1</x:v>
      </x:c>
      <x:c r="G1303" t="str">
        <x:v>RF53</x:v>
      </x:c>
      <x:c r="H1303" t="str">
        <x:v>RF053-EF1!F22</x:v>
      </x:c>
    </x:row>
    <x:row r="1304">
      <x:c r="A1304" t="str">
        <x:v>consultarCuentaActivaYCorreo</x:v>
      </x:c>
      <x:c r="B1304" t="str">
        <x:v>idUsuario</x:v>
      </x:c>
      <x:c r="C1304" t="str">
        <x:v>C_ValidacionCuenta</x:v>
      </x:c>
      <x:c r="D1304" t="str">
        <x:v>E_Usuario</x:v>
      </x:c>
      <x:c r="E1304" t="str">
        <x:v>consulta</x:v>
      </x:c>
      <x:c r="F1304" t="n">
        <x:v>1</x:v>
      </x:c>
      <x:c r="G1304" t="str">
        <x:v>RF07</x:v>
      </x:c>
      <x:c r="H1304" t="str">
        <x:v>RF007-E1!F32</x:v>
      </x:c>
    </x:row>
    <x:row r="1305">
      <x:c r="A1305" t="str">
        <x:v>consultarCuentaPorCorreo</x:v>
      </x:c>
      <x:c r="B1305" t="str">
        <x:v>correo</x:v>
      </x:c>
      <x:c r="C1305" t="str">
        <x:v>C_ValidacionCuenta</x:v>
      </x:c>
      <x:c r="D1305" t="str">
        <x:v>E_Usuario</x:v>
      </x:c>
      <x:c r="E1305" t="str">
        <x:v>consulta</x:v>
      </x:c>
      <x:c r="F1305" t="n">
        <x:v>1</x:v>
      </x:c>
      <x:c r="G1305" t="str">
        <x:v>RF53</x:v>
      </x:c>
      <x:c r="H1305" t="str">
        <x:v>RF053-EF1!F19</x:v>
      </x:c>
    </x:row>
    <x:row r="1306">
      <x:c r="A1306" t="str">
        <x:v>retornarResultadoValidacion</x:v>
      </x:c>
      <x:c r="B1306" t="str">
        <x:v>resultado</x:v>
      </x:c>
      <x:c r="C1306" t="str">
        <x:v>C_ValidacionFoto</x:v>
      </x:c>
      <x:c r="D1306" t="str">
        <x:v>C_FotoPerfil</x:v>
      </x:c>
      <x:c r="E1306" t="str">
        <x:v>retorno</x:v>
      </x:c>
      <x:c r="F1306" t="n">
        <x:v>2</x:v>
      </x:c>
      <x:c r="G1306" t="str">
        <x:v>RF38, RF39</x:v>
      </x:c>
      <x:c r="H1306" t="str">
        <x:v>RF038-E1!F29</x:v>
      </x:c>
    </x:row>
    <x:row r="1307">
      <x:c r="A1307" t="str">
        <x:v>retornarResultadoValidacionImagen</x:v>
      </x:c>
      <x:c r="B1307" t="str">
        <x:v>resultado</x:v>
      </x:c>
      <x:c r="C1307" t="str">
        <x:v>C_ValidacionImagenTIVE</x:v>
      </x:c>
      <x:c r="D1307" t="str">
        <x:v>C_ControlTIVE</x:v>
      </x:c>
      <x:c r="E1307" t="str">
        <x:v>retorno</x:v>
      </x:c>
      <x:c r="F1307" t="n">
        <x:v>1</x:v>
      </x:c>
      <x:c r="G1307" t="str">
        <x:v>RF54</x:v>
      </x:c>
      <x:c r="H1307" t="str">
        <x:v>RF054-EF1!F35</x:v>
      </x:c>
    </x:row>
    <x:row r="1308">
      <x:c r="A1308" t="str">
        <x:v>retornarValidacionImagen</x:v>
      </x:c>
      <x:c r="B1308" t="str">
        <x:v>resultadoValidacion</x:v>
      </x:c>
      <x:c r="C1308" t="str">
        <x:v>C_ValidacionImagenVehiculo</x:v>
      </x:c>
      <x:c r="D1308" t="str">
        <x:v>C_ControlImagenVehiculo</x:v>
      </x:c>
      <x:c r="E1308" t="str">
        <x:v>retorno</x:v>
      </x:c>
      <x:c r="F1308" t="n">
        <x:v>2</x:v>
      </x:c>
      <x:c r="G1308" t="str">
        <x:v>RF42, RF43</x:v>
      </x:c>
      <x:c r="H1308" t="str">
        <x:v>RF042-EF1!F23</x:v>
      </x:c>
    </x:row>
    <x:row r="1309">
      <x:c r="A1309" t="str">
        <x:v>retornarValidacionImagen</x:v>
      </x:c>
      <x:c r="B1309" t="str">
        <x:v>resultadoImagen</x:v>
      </x:c>
      <x:c r="C1309" t="str">
        <x:v>C_ValidacionImagenVehiculo</x:v>
      </x:c>
      <x:c r="D1309" t="str">
        <x:v>C_ControlRegistroVehiculo</x:v>
      </x:c>
      <x:c r="E1309" t="str">
        <x:v>retorno</x:v>
      </x:c>
      <x:c r="F1309" t="n">
        <x:v>1</x:v>
      </x:c>
      <x:c r="G1309" t="str">
        <x:v>RF08</x:v>
      </x:c>
      <x:c r="H1309" t="str">
        <x:v>RF008-EF1!F32</x:v>
      </x:c>
    </x:row>
    <x:row r="1310">
      <x:c r="A1310" t="str">
        <x:v>retornarAutenticacionValida</x:v>
      </x:c>
      <x:c r="B1310" t="str">
        <x:v>idUsuario</x:v>
      </x:c>
      <x:c r="C1310" t="str">
        <x:v>C_ValidacionInicioSesion</x:v>
      </x:c>
      <x:c r="D1310" t="str">
        <x:v>C_InicioSesion</x:v>
      </x:c>
      <x:c r="E1310" t="str">
        <x:v>retorno</x:v>
      </x:c>
      <x:c r="F1310" t="n">
        <x:v>1</x:v>
      </x:c>
      <x:c r="G1310" t="str">
        <x:v>RF02</x:v>
      </x:c>
      <x:c r="H1310" t="str">
        <x:v>RF002-E1!F29</x:v>
      </x:c>
    </x:row>
    <x:row r="1311">
      <x:c r="A1311" t="str">
        <x:v>validarCamposObligatorios</x:v>
      </x:c>
      <x:c r="B1311" t="str">
        <x:v>correo, contraseña</x:v>
      </x:c>
      <x:c r="C1311" t="str">
        <x:v>C_ValidacionInicioSesion</x:v>
      </x:c>
      <x:c r="D1311" t="str">
        <x:v>C_ValidacionInicioSesion</x:v>
      </x:c>
      <x:c r="E1311" t="str">
        <x:v>validación</x:v>
      </x:c>
      <x:c r="F1311" t="n">
        <x:v>1</x:v>
      </x:c>
      <x:c r="G1311" t="str">
        <x:v>RF02</x:v>
      </x:c>
      <x:c r="H1311" t="str">
        <x:v>RF002-E1!F21</x:v>
      </x:c>
    </x:row>
    <x:row r="1312">
      <x:c r="A1312" t="str">
        <x:v>validarEstadoUsuario</x:v>
      </x:c>
      <x:c r="B1312" t="str">
        <x:v>estadoUsuario</x:v>
      </x:c>
      <x:c r="C1312" t="str">
        <x:v>C_ValidacionInicioSesion</x:v>
      </x:c>
      <x:c r="D1312" t="str">
        <x:v>C_ValidacionInicioSesion</x:v>
      </x:c>
      <x:c r="E1312" t="str">
        <x:v>validación</x:v>
      </x:c>
      <x:c r="F1312" t="n">
        <x:v>1</x:v>
      </x:c>
      <x:c r="G1312" t="str">
        <x:v>RF02</x:v>
      </x:c>
      <x:c r="H1312" t="str">
        <x:v>RF002-E1!F28</x:v>
      </x:c>
    </x:row>
    <x:row r="1313">
      <x:c r="A1313" t="str">
        <x:v>validarExistenciaUsuario</x:v>
      </x:c>
      <x:c r="B1313" t="str">
        <x:v>existeUsuario</x:v>
      </x:c>
      <x:c r="C1313" t="str">
        <x:v>C_ValidacionInicioSesion</x:v>
      </x:c>
      <x:c r="D1313" t="str">
        <x:v>C_ValidacionInicioSesion</x:v>
      </x:c>
      <x:c r="E1313" t="str">
        <x:v>validación</x:v>
      </x:c>
      <x:c r="F1313" t="n">
        <x:v>1</x:v>
      </x:c>
      <x:c r="G1313" t="str">
        <x:v>RF02</x:v>
      </x:c>
      <x:c r="H1313" t="str">
        <x:v>RF002-E1!F26</x:v>
      </x:c>
    </x:row>
    <x:row r="1314">
      <x:c r="A1314" t="str">
        <x:v>validarFormatoCorreo</x:v>
      </x:c>
      <x:c r="B1314" t="str">
        <x:v>correo</x:v>
      </x:c>
      <x:c r="C1314" t="str">
        <x:v>C_ValidacionInicioSesion</x:v>
      </x:c>
      <x:c r="D1314" t="str">
        <x:v>C_ValidacionInicioSesion</x:v>
      </x:c>
      <x:c r="E1314" t="str">
        <x:v>validación</x:v>
      </x:c>
      <x:c r="F1314" t="n">
        <x:v>1</x:v>
      </x:c>
      <x:c r="G1314" t="str">
        <x:v>RF02</x:v>
      </x:c>
      <x:c r="H1314" t="str">
        <x:v>RF002-E1!F22</x:v>
      </x:c>
    </x:row>
    <x:row r="1315">
      <x:c r="A1315" t="str">
        <x:v>verificarContrasena</x:v>
      </x:c>
      <x:c r="B1315" t="str">
        <x:v>contrasenaIngresada,hashContrasena</x:v>
      </x:c>
      <x:c r="C1315" t="str">
        <x:v>C_ValidacionInicioSesion</x:v>
      </x:c>
      <x:c r="D1315" t="str">
        <x:v>C_ValidacionInicioSesion</x:v>
      </x:c>
      <x:c r="E1315" t="str">
        <x:v>validación</x:v>
      </x:c>
      <x:c r="F1315" t="n">
        <x:v>1</x:v>
      </x:c>
      <x:c r="G1315" t="str">
        <x:v>RF02</x:v>
      </x:c>
      <x:c r="H1315" t="str">
        <x:v>RF002-E1!F27</x:v>
      </x:c>
    </x:row>
    <x:row r="1316">
      <x:c r="A1316" t="str">
        <x:v>consultarUsuarioPorCorreo</x:v>
      </x:c>
      <x:c r="B1316" t="str">
        <x:v>correo</x:v>
      </x:c>
      <x:c r="C1316" t="str">
        <x:v>C_ValidacionInicioSesion</x:v>
      </x:c>
      <x:c r="D1316" t="str">
        <x:v>E_Usuario</x:v>
      </x:c>
      <x:c r="E1316" t="str">
        <x:v>consulta</x:v>
      </x:c>
      <x:c r="F1316" t="n">
        <x:v>1</x:v>
      </x:c>
      <x:c r="G1316" t="str">
        <x:v>RF02</x:v>
      </x:c>
      <x:c r="H1316" t="str">
        <x:v>RF002-E1!F24</x:v>
      </x:c>
    </x:row>
    <x:row r="1317">
      <x:c r="A1317" t="str">
        <x:v>retornarValidacionSatisfactoria</x:v>
      </x:c>
      <x:c r="B1317" t="str">
        <x:v>valido=true</x:v>
      </x:c>
      <x:c r="C1317" t="str">
        <x:v>C_ValidacionMantenimiento</x:v>
      </x:c>
      <x:c r="D1317" t="str">
        <x:v>C_ControlMantenimiento</x:v>
      </x:c>
      <x:c r="E1317" t="str">
        <x:v>retorno</x:v>
      </x:c>
      <x:c r="F1317" t="n">
        <x:v>1</x:v>
      </x:c>
      <x:c r="G1317" t="str">
        <x:v>RF17</x:v>
      </x:c>
      <x:c r="H1317" t="str">
        <x:v>RF17!F58</x:v>
      </x:c>
    </x:row>
    <x:row r="1318">
      <x:c r="A1318" t="str">
        <x:v>retornarValidacionSatisfactoria</x:v>
      </x:c>
      <x:c r="B1318" t="str">
        <x:v>valido=true,datos_validados</x:v>
      </x:c>
      <x:c r="C1318" t="str">
        <x:v>C_ValidacionMantenimiento</x:v>
      </x:c>
      <x:c r="D1318" t="str">
        <x:v>C_ControlMantenimiento</x:v>
      </x:c>
      <x:c r="E1318" t="str">
        <x:v>retorno</x:v>
      </x:c>
      <x:c r="F1318" t="n">
        <x:v>1</x:v>
      </x:c>
      <x:c r="G1318" t="str">
        <x:v>RF24</x:v>
      </x:c>
      <x:c r="H1318" t="str">
        <x:v>RF24!F58</x:v>
      </x:c>
    </x:row>
    <x:row r="1319">
      <x:c r="A1319" t="str">
        <x:v>revalidarTipoActivoPermitidoParaRegistro</x:v>
      </x:c>
      <x:c r="B1319" t="str">
        <x:v>id_tipo_mantenimiento</x:v>
      </x:c>
      <x:c r="C1319" t="str">
        <x:v>C_ValidacionMantenimiento</x:v>
      </x:c>
      <x:c r="D1319" t="str">
        <x:v>C_ControlTipoMantenimiento</x:v>
      </x:c>
      <x:c r="E1319" t="str">
        <x:v>validación</x:v>
      </x:c>
      <x:c r="F1319" t="n">
        <x:v>2</x:v>
      </x:c>
      <x:c r="G1319" t="str">
        <x:v>RF17, RF24</x:v>
      </x:c>
      <x:c r="H1319" t="str">
        <x:v>RF17!F56</x:v>
      </x:c>
    </x:row>
    <x:row r="1320">
      <x:c r="A1320" t="str">
        <x:v>validarCostoSiInformado</x:v>
      </x:c>
      <x:c r="B1320" t="str"/>
      <x:c r="C1320" t="str">
        <x:v>C_ValidacionMantenimiento</x:v>
      </x:c>
      <x:c r="D1320" t="str">
        <x:v>C_ValidacionMantenimiento</x:v>
      </x:c>
      <x:c r="E1320" t="str">
        <x:v>validación</x:v>
      </x:c>
      <x:c r="F1320" t="n">
        <x:v>1</x:v>
      </x:c>
      <x:c r="G1320" t="str">
        <x:v>RF17</x:v>
      </x:c>
      <x:c r="H1320" t="str">
        <x:v>RF17!F54</x:v>
      </x:c>
    </x:row>
    <x:row r="1321">
      <x:c r="A1321" t="str">
        <x:v>validarFechaMantenimiento</x:v>
      </x:c>
      <x:c r="B1321" t="str"/>
      <x:c r="C1321" t="str">
        <x:v>C_ValidacionMantenimiento</x:v>
      </x:c>
      <x:c r="D1321" t="str">
        <x:v>C_ValidacionMantenimiento</x:v>
      </x:c>
      <x:c r="E1321" t="str">
        <x:v>validación</x:v>
      </x:c>
      <x:c r="F1321" t="n">
        <x:v>1</x:v>
      </x:c>
      <x:c r="G1321" t="str">
        <x:v>RF17</x:v>
      </x:c>
      <x:c r="H1321" t="str">
        <x:v>RF17!F53</x:v>
      </x:c>
    </x:row>
    <x:row r="1322">
      <x:c r="A1322" t="str">
        <x:v>validarRecomendacionOpcional</x:v>
      </x:c>
      <x:c r="B1322" t="str"/>
      <x:c r="C1322" t="str">
        <x:v>C_ValidacionMantenimiento</x:v>
      </x:c>
      <x:c r="D1322" t="str">
        <x:v>C_ValidacionMantenimiento</x:v>
      </x:c>
      <x:c r="E1322" t="str">
        <x:v>validación</x:v>
      </x:c>
      <x:c r="F1322" t="n">
        <x:v>1</x:v>
      </x:c>
      <x:c r="G1322" t="str">
        <x:v>RF17</x:v>
      </x:c>
      <x:c r="H1322" t="str">
        <x:v>RF17!F55</x:v>
      </x:c>
    </x:row>
    <x:row r="1323">
      <x:c r="A1323" t="str">
        <x:v>validarTipoYCamposObligatorios</x:v>
      </x:c>
      <x:c r="B1323" t="str"/>
      <x:c r="C1323" t="str">
        <x:v>C_ValidacionMantenimiento</x:v>
      </x:c>
      <x:c r="D1323" t="str">
        <x:v>C_ValidacionMantenimiento</x:v>
      </x:c>
      <x:c r="E1323" t="str">
        <x:v>validación</x:v>
      </x:c>
      <x:c r="F1323" t="n">
        <x:v>1</x:v>
      </x:c>
      <x:c r="G1323" t="str">
        <x:v>RF17</x:v>
      </x:c>
      <x:c r="H1323" t="str">
        <x:v>RF17!F52</x:v>
      </x:c>
    </x:row>
    <x:row r="1324">
      <x:c r="A1324" t="str">
        <x:v>retornarResultadoCodigo</x:v>
      </x:c>
      <x:c r="B1324" t="str">
        <x:v>resultadoValidacion</x:v>
      </x:c>
      <x:c r="C1324" t="str">
        <x:v>C_ValidacionRecuperacion</x:v>
      </x:c>
      <x:c r="D1324" t="str">
        <x:v>C_RecuperacionCuenta</x:v>
      </x:c>
      <x:c r="E1324" t="str">
        <x:v>retorno</x:v>
      </x:c>
      <x:c r="F1324" t="n">
        <x:v>1</x:v>
      </x:c>
      <x:c r="G1324" t="str">
        <x:v>RF03</x:v>
      </x:c>
      <x:c r="H1324" t="str">
        <x:v>RF003-E1!F46</x:v>
      </x:c>
    </x:row>
    <x:row r="1325">
      <x:c r="A1325" t="str">
        <x:v>retornarResultadoValidacion</x:v>
      </x:c>
      <x:c r="B1325" t="str">
        <x:v>idUsuario,correo</x:v>
      </x:c>
      <x:c r="C1325" t="str">
        <x:v>C_ValidacionRecuperacion</x:v>
      </x:c>
      <x:c r="D1325" t="str">
        <x:v>C_RecuperacionCuenta</x:v>
      </x:c>
      <x:c r="E1325" t="str">
        <x:v>retorno</x:v>
      </x:c>
      <x:c r="F1325" t="n">
        <x:v>1</x:v>
      </x:c>
      <x:c r="G1325" t="str">
        <x:v>RF03</x:v>
      </x:c>
      <x:c r="H1325" t="str">
        <x:v>RF003-E1!F24</x:v>
      </x:c>
    </x:row>
    <x:row r="1326">
      <x:c r="A1326" t="str">
        <x:v>retornarResultadoValidacionContrasena</x:v>
      </x:c>
      <x:c r="B1326" t="str"/>
      <x:c r="C1326" t="str">
        <x:v>C_ValidacionRecuperacion</x:v>
      </x:c>
      <x:c r="D1326" t="str">
        <x:v>C_RecuperacionCuenta</x:v>
      </x:c>
      <x:c r="E1326" t="str">
        <x:v>retorno</x:v>
      </x:c>
      <x:c r="F1326" t="n">
        <x:v>1</x:v>
      </x:c>
      <x:c r="G1326" t="str">
        <x:v>RF03</x:v>
      </x:c>
      <x:c r="H1326" t="str">
        <x:v>RF003-E1!F62</x:v>
      </x:c>
    </x:row>
    <x:row r="1327">
      <x:c r="A1327" t="str">
        <x:v>validarCampoCodigoObligatorio</x:v>
      </x:c>
      <x:c r="B1327" t="str">
        <x:v>codigo</x:v>
      </x:c>
      <x:c r="C1327" t="str">
        <x:v>C_ValidacionRecuperacion</x:v>
      </x:c>
      <x:c r="D1327" t="str">
        <x:v>C_ValidacionRecuperacion</x:v>
      </x:c>
      <x:c r="E1327" t="str">
        <x:v>validación</x:v>
      </x:c>
      <x:c r="F1327" t="n">
        <x:v>1</x:v>
      </x:c>
      <x:c r="G1327" t="str">
        <x:v>RF03</x:v>
      </x:c>
      <x:c r="H1327" t="str">
        <x:v>RF003-E1!F39</x:v>
      </x:c>
    </x:row>
    <x:row r="1328">
      <x:c r="A1328" t="str">
        <x:v>validarCampoCorreoObligatorio</x:v>
      </x:c>
      <x:c r="B1328" t="str">
        <x:v>correo</x:v>
      </x:c>
      <x:c r="C1328" t="str">
        <x:v>C_ValidacionRecuperacion</x:v>
      </x:c>
      <x:c r="D1328" t="str">
        <x:v>C_ValidacionRecuperacion</x:v>
      </x:c>
      <x:c r="E1328" t="str">
        <x:v>validación</x:v>
      </x:c>
      <x:c r="F1328" t="n">
        <x:v>1</x:v>
      </x:c>
      <x:c r="G1328" t="str">
        <x:v>RF03</x:v>
      </x:c>
      <x:c r="H1328" t="str">
        <x:v>RF003-E1!F18</x:v>
      </x:c>
    </x:row>
    <x:row r="1329">
      <x:c r="A1329" t="str">
        <x:v>validarCamposObligatoriosNuevaContrasena</x:v>
      </x:c>
      <x:c r="B1329" t="str">
        <x:v>datosContrasena</x:v>
      </x:c>
      <x:c r="C1329" t="str">
        <x:v>C_ValidacionRecuperacion</x:v>
      </x:c>
      <x:c r="D1329" t="str">
        <x:v>C_ValidacionRecuperacion</x:v>
      </x:c>
      <x:c r="E1329" t="str">
        <x:v>validación</x:v>
      </x:c>
      <x:c r="F1329" t="n">
        <x:v>1</x:v>
      </x:c>
      <x:c r="G1329" t="str">
        <x:v>RF03</x:v>
      </x:c>
      <x:c r="H1329" t="str">
        <x:v>RF003-E1!F59</x:v>
      </x:c>
    </x:row>
    <x:row r="1330">
      <x:c r="A1330" t="str">
        <x:v>validarCoincidenciaCodigo</x:v>
      </x:c>
      <x:c r="B1330" t="str">
        <x:v>codigoIngresado,codigoRegistrado</x:v>
      </x:c>
      <x:c r="C1330" t="str">
        <x:v>C_ValidacionRecuperacion</x:v>
      </x:c>
      <x:c r="D1330" t="str">
        <x:v>C_ValidacionRecuperacion</x:v>
      </x:c>
      <x:c r="E1330" t="str">
        <x:v>validación</x:v>
      </x:c>
      <x:c r="F1330" t="n">
        <x:v>1</x:v>
      </x:c>
      <x:c r="G1330" t="str">
        <x:v>RF03</x:v>
      </x:c>
      <x:c r="H1330" t="str">
        <x:v>RF003-E1!F43</x:v>
      </x:c>
    </x:row>
    <x:row r="1331">
      <x:c r="A1331" t="str">
        <x:v>validarCoincidenciaContrasenas</x:v>
      </x:c>
      <x:c r="B1331" t="str">
        <x:v>nuevaContrasena,confirmarContrasena</x:v>
      </x:c>
      <x:c r="C1331" t="str">
        <x:v>C_ValidacionRecuperacion</x:v>
      </x:c>
      <x:c r="D1331" t="str">
        <x:v>C_ValidacionRecuperacion</x:v>
      </x:c>
      <x:c r="E1331" t="str">
        <x:v>validación</x:v>
      </x:c>
      <x:c r="F1331" t="n">
        <x:v>1</x:v>
      </x:c>
      <x:c r="G1331" t="str">
        <x:v>RF03</x:v>
      </x:c>
      <x:c r="H1331" t="str">
        <x:v>RF003-E1!F61</x:v>
      </x:c>
    </x:row>
    <x:row r="1332">
      <x:c r="A1332" t="str">
        <x:v>validarComplejidadContrasena</x:v>
      </x:c>
      <x:c r="B1332" t="str">
        <x:v>nuevaContrasena</x:v>
      </x:c>
      <x:c r="C1332" t="str">
        <x:v>C_ValidacionRecuperacion</x:v>
      </x:c>
      <x:c r="D1332" t="str">
        <x:v>C_ValidacionRecuperacion</x:v>
      </x:c>
      <x:c r="E1332" t="str">
        <x:v>validación</x:v>
      </x:c>
      <x:c r="F1332" t="n">
        <x:v>1</x:v>
      </x:c>
      <x:c r="G1332" t="str">
        <x:v>RF03</x:v>
      </x:c>
      <x:c r="H1332" t="str">
        <x:v>RF003-E1!F60</x:v>
      </x:c>
    </x:row>
    <x:row r="1333">
      <x:c r="A1333" t="str">
        <x:v>validarEstadoCodigo</x:v>
      </x:c>
      <x:c r="B1333" t="str">
        <x:v>estado</x:v>
      </x:c>
      <x:c r="C1333" t="str">
        <x:v>C_ValidacionRecuperacion</x:v>
      </x:c>
      <x:c r="D1333" t="str">
        <x:v>C_ValidacionRecuperacion</x:v>
      </x:c>
      <x:c r="E1333" t="str">
        <x:v>validación</x:v>
      </x:c>
      <x:c r="F1333" t="n">
        <x:v>1</x:v>
      </x:c>
      <x:c r="G1333" t="str">
        <x:v>RF03</x:v>
      </x:c>
      <x:c r="H1333" t="str">
        <x:v>RF003-E1!F44</x:v>
      </x:c>
    </x:row>
    <x:row r="1334">
      <x:c r="A1334" t="str">
        <x:v>validarEstadoUsuario</x:v>
      </x:c>
      <x:c r="B1334" t="str">
        <x:v>estadoUsuario</x:v>
      </x:c>
      <x:c r="C1334" t="str">
        <x:v>C_ValidacionRecuperacion</x:v>
      </x:c>
      <x:c r="D1334" t="str">
        <x:v>C_ValidacionRecuperacion</x:v>
      </x:c>
      <x:c r="E1334" t="str">
        <x:v>validación</x:v>
      </x:c>
      <x:c r="F1334" t="n">
        <x:v>1</x:v>
      </x:c>
      <x:c r="G1334" t="str">
        <x:v>RF03</x:v>
      </x:c>
      <x:c r="H1334" t="str">
        <x:v>RF003-E1!F23</x:v>
      </x:c>
    </x:row>
    <x:row r="1335">
      <x:c r="A1335" t="str">
        <x:v>validarExistenciaCodigo</x:v>
      </x:c>
      <x:c r="B1335" t="str">
        <x:v>existeCodigo</x:v>
      </x:c>
      <x:c r="C1335" t="str">
        <x:v>C_ValidacionRecuperacion</x:v>
      </x:c>
      <x:c r="D1335" t="str">
        <x:v>C_ValidacionRecuperacion</x:v>
      </x:c>
      <x:c r="E1335" t="str">
        <x:v>validación</x:v>
      </x:c>
      <x:c r="F1335" t="n">
        <x:v>1</x:v>
      </x:c>
      <x:c r="G1335" t="str">
        <x:v>RF03</x:v>
      </x:c>
      <x:c r="H1335" t="str">
        <x:v>RF003-E1!F42</x:v>
      </x:c>
    </x:row>
    <x:row r="1336">
      <x:c r="A1336" t="str">
        <x:v>validarExistenciaUsuario</x:v>
      </x:c>
      <x:c r="B1336" t="str">
        <x:v>existeUsuario</x:v>
      </x:c>
      <x:c r="C1336" t="str">
        <x:v>C_ValidacionRecuperacion</x:v>
      </x:c>
      <x:c r="D1336" t="str">
        <x:v>C_ValidacionRecuperacion</x:v>
      </x:c>
      <x:c r="E1336" t="str">
        <x:v>validación</x:v>
      </x:c>
      <x:c r="F1336" t="n">
        <x:v>1</x:v>
      </x:c>
      <x:c r="G1336" t="str">
        <x:v>RF03</x:v>
      </x:c>
      <x:c r="H1336" t="str">
        <x:v>RF003-E1!F22</x:v>
      </x:c>
    </x:row>
    <x:row r="1337">
      <x:c r="A1337" t="str">
        <x:v>validarFormatoCorreo</x:v>
      </x:c>
      <x:c r="B1337" t="str">
        <x:v>correo</x:v>
      </x:c>
      <x:c r="C1337" t="str">
        <x:v>C_ValidacionRecuperacion</x:v>
      </x:c>
      <x:c r="D1337" t="str">
        <x:v>C_ValidacionRecuperacion</x:v>
      </x:c>
      <x:c r="E1337" t="str">
        <x:v>validación</x:v>
      </x:c>
      <x:c r="F1337" t="n">
        <x:v>1</x:v>
      </x:c>
      <x:c r="G1337" t="str">
        <x:v>RF03</x:v>
      </x:c>
      <x:c r="H1337" t="str">
        <x:v>RF003-E1!F19</x:v>
      </x:c>
    </x:row>
    <x:row r="1338">
      <x:c r="A1338" t="str">
        <x:v>validarVigenciaCodigo</x:v>
      </x:c>
      <x:c r="B1338" t="str">
        <x:v>fechaActual,fechaExpiracion</x:v>
      </x:c>
      <x:c r="C1338" t="str">
        <x:v>C_ValidacionRecuperacion</x:v>
      </x:c>
      <x:c r="D1338" t="str">
        <x:v>C_ValidacionRecuperacion</x:v>
      </x:c>
      <x:c r="E1338" t="str">
        <x:v>validación</x:v>
      </x:c>
      <x:c r="F1338" t="n">
        <x:v>1</x:v>
      </x:c>
      <x:c r="G1338" t="str">
        <x:v>RF03</x:v>
      </x:c>
      <x:c r="H1338" t="str">
        <x:v>RF003-E1!F45</x:v>
      </x:c>
    </x:row>
    <x:row r="1339">
      <x:c r="A1339" t="str">
        <x:v>consultarCodigoRecuperacion</x:v>
      </x:c>
      <x:c r="B1339" t="str">
        <x:v>codigo,idUsuario</x:v>
      </x:c>
      <x:c r="C1339" t="str">
        <x:v>C_ValidacionRecuperacion</x:v>
      </x:c>
      <x:c r="D1339" t="str">
        <x:v>E_CodigoRecuperacion</x:v>
      </x:c>
      <x:c r="E1339" t="str">
        <x:v>consulta</x:v>
      </x:c>
      <x:c r="F1339" t="n">
        <x:v>1</x:v>
      </x:c>
      <x:c r="G1339" t="str">
        <x:v>RF03</x:v>
      </x:c>
      <x:c r="H1339" t="str">
        <x:v>RF003-E1!F40</x:v>
      </x:c>
    </x:row>
    <x:row r="1340">
      <x:c r="A1340" t="str">
        <x:v>consultarUsuarioPorCorreo</x:v>
      </x:c>
      <x:c r="B1340" t="str">
        <x:v>correo</x:v>
      </x:c>
      <x:c r="C1340" t="str">
        <x:v>C_ValidacionRecuperacion</x:v>
      </x:c>
      <x:c r="D1340" t="str">
        <x:v>E_Usuario</x:v>
      </x:c>
      <x:c r="E1340" t="str">
        <x:v>consulta</x:v>
      </x:c>
      <x:c r="F1340" t="n">
        <x:v>1</x:v>
      </x:c>
      <x:c r="G1340" t="str">
        <x:v>RF03</x:v>
      </x:c>
      <x:c r="H1340" t="str">
        <x:v>RF003-E1!F20</x:v>
      </x:c>
    </x:row>
    <x:row r="1341">
      <x:c r="A1341" t="str">
        <x:v>retornarResultadoValidacion</x:v>
      </x:c>
      <x:c r="B1341" t="str">
        <x:v>datosValidados</x:v>
      </x:c>
      <x:c r="C1341" t="str">
        <x:v>C_ValidacionRegistroUsuarios</x:v>
      </x:c>
      <x:c r="D1341" t="str">
        <x:v>C_RegistroUsuario</x:v>
      </x:c>
      <x:c r="E1341" t="str">
        <x:v>retorno</x:v>
      </x:c>
      <x:c r="F1341" t="n">
        <x:v>1</x:v>
      </x:c>
      <x:c r="G1341" t="str">
        <x:v>RF01</x:v>
      </x:c>
      <x:c r="H1341" t="str">
        <x:v>RF001-E1!F32</x:v>
      </x:c>
    </x:row>
    <x:row r="1342">
      <x:c r="A1342" t="str">
        <x:v>calcularEdad</x:v>
      </x:c>
      <x:c r="B1342" t="str">
        <x:v>fechaNacimiento,fechaActual</x:v>
      </x:c>
      <x:c r="C1342" t="str">
        <x:v>C_ValidacionRegistroUsuarios</x:v>
      </x:c>
      <x:c r="D1342" t="str">
        <x:v>C_ValidacionRegistroUsuarios</x:v>
      </x:c>
      <x:c r="E1342" t="str">
        <x:v>otra</x:v>
      </x:c>
      <x:c r="F1342" t="n">
        <x:v>1</x:v>
      </x:c>
      <x:c r="G1342" t="str">
        <x:v>RF01</x:v>
      </x:c>
      <x:c r="H1342" t="str">
        <x:v>RF001-E1!F25</x:v>
      </x:c>
    </x:row>
    <x:row r="1343">
      <x:c r="A1343" t="str">
        <x:v>validarCamposObligatorios</x:v>
      </x:c>
      <x:c r="B1343" t="str">
        <x:v>datosUsuario</x:v>
      </x:c>
      <x:c r="C1343" t="str">
        <x:v>C_ValidacionRegistroUsuarios</x:v>
      </x:c>
      <x:c r="D1343" t="str">
        <x:v>C_ValidacionRegistroUsuarios</x:v>
      </x:c>
      <x:c r="E1343" t="str">
        <x:v>validación</x:v>
      </x:c>
      <x:c r="F1343" t="n">
        <x:v>1</x:v>
      </x:c>
      <x:c r="G1343" t="str">
        <x:v>RF01</x:v>
      </x:c>
      <x:c r="H1343" t="str">
        <x:v>RF001-E1!F20</x:v>
      </x:c>
    </x:row>
    <x:row r="1344">
      <x:c r="A1344" t="str">
        <x:v>validarCoincidenciaContrasenas</x:v>
      </x:c>
      <x:c r="B1344" t="str">
        <x:v>contrasena,confirmacion</x:v>
      </x:c>
      <x:c r="C1344" t="str">
        <x:v>C_ValidacionRegistroUsuarios</x:v>
      </x:c>
      <x:c r="D1344" t="str">
        <x:v>C_ValidacionRegistroUsuarios</x:v>
      </x:c>
      <x:c r="E1344" t="str">
        <x:v>validación</x:v>
      </x:c>
      <x:c r="F1344" t="n">
        <x:v>1</x:v>
      </x:c>
      <x:c r="G1344" t="str">
        <x:v>RF01</x:v>
      </x:c>
      <x:c r="H1344" t="str">
        <x:v>RF001-E1!F28</x:v>
      </x:c>
    </x:row>
    <x:row r="1345">
      <x:c r="A1345" t="str">
        <x:v>validarComplejidadContrasena</x:v>
      </x:c>
      <x:c r="B1345" t="str">
        <x:v>contrasena</x:v>
      </x:c>
      <x:c r="C1345" t="str">
        <x:v>C_ValidacionRegistroUsuarios</x:v>
      </x:c>
      <x:c r="D1345" t="str">
        <x:v>C_ValidacionRegistroUsuarios</x:v>
      </x:c>
      <x:c r="E1345" t="str">
        <x:v>validación</x:v>
      </x:c>
      <x:c r="F1345" t="n">
        <x:v>1</x:v>
      </x:c>
      <x:c r="G1345" t="str">
        <x:v>RF01</x:v>
      </x:c>
      <x:c r="H1345" t="str">
        <x:v>RF001-E1!F27</x:v>
      </x:c>
    </x:row>
    <x:row r="1346">
      <x:c r="A1346" t="str">
        <x:v>validarFechaNacimiento</x:v>
      </x:c>
      <x:c r="B1346" t="str">
        <x:v>fechaNacimiento</x:v>
      </x:c>
      <x:c r="C1346" t="str">
        <x:v>C_ValidacionRegistroUsuarios</x:v>
      </x:c>
      <x:c r="D1346" t="str">
        <x:v>C_ValidacionRegistroUsuarios</x:v>
      </x:c>
      <x:c r="E1346" t="str">
        <x:v>validación</x:v>
      </x:c>
      <x:c r="F1346" t="n">
        <x:v>1</x:v>
      </x:c>
      <x:c r="G1346" t="str">
        <x:v>RF01</x:v>
      </x:c>
      <x:c r="H1346" t="str">
        <x:v>RF001-E1!F24</x:v>
      </x:c>
    </x:row>
    <x:row r="1347">
      <x:c r="A1347" t="str">
        <x:v>validarFormatoCorreo</x:v>
      </x:c>
      <x:c r="B1347" t="str">
        <x:v>correo</x:v>
      </x:c>
      <x:c r="C1347" t="str">
        <x:v>C_ValidacionRegistroUsuarios</x:v>
      </x:c>
      <x:c r="D1347" t="str">
        <x:v>C_ValidacionRegistroUsuarios</x:v>
      </x:c>
      <x:c r="E1347" t="str">
        <x:v>validación</x:v>
      </x:c>
      <x:c r="F1347" t="n">
        <x:v>1</x:v>
      </x:c>
      <x:c r="G1347" t="str">
        <x:v>RF01</x:v>
      </x:c>
      <x:c r="H1347" t="str">
        <x:v>RF001-E1!F23</x:v>
      </x:c>
    </x:row>
    <x:row r="1348">
      <x:c r="A1348" t="str">
        <x:v>validarFormatoNombre</x:v>
      </x:c>
      <x:c r="B1348" t="str">
        <x:v>nombre</x:v>
      </x:c>
      <x:c r="C1348" t="str">
        <x:v>C_ValidacionRegistroUsuarios</x:v>
      </x:c>
      <x:c r="D1348" t="str">
        <x:v>C_ValidacionRegistroUsuarios</x:v>
      </x:c>
      <x:c r="E1348" t="str">
        <x:v>validación</x:v>
      </x:c>
      <x:c r="F1348" t="n">
        <x:v>1</x:v>
      </x:c>
      <x:c r="G1348" t="str">
        <x:v>RF01</x:v>
      </x:c>
      <x:c r="H1348" t="str">
        <x:v>RF001-E1!F21</x:v>
      </x:c>
    </x:row>
    <x:row r="1349">
      <x:c r="A1349" t="str">
        <x:v>validarPalabrasRestringidas</x:v>
      </x:c>
      <x:c r="B1349" t="str">
        <x:v>nombre</x:v>
      </x:c>
      <x:c r="C1349" t="str">
        <x:v>C_ValidacionRegistroUsuarios</x:v>
      </x:c>
      <x:c r="D1349" t="str">
        <x:v>C_ValidacionRegistroUsuarios</x:v>
      </x:c>
      <x:c r="E1349" t="str">
        <x:v>validación</x:v>
      </x:c>
      <x:c r="F1349" t="n">
        <x:v>1</x:v>
      </x:c>
      <x:c r="G1349" t="str">
        <x:v>RF01</x:v>
      </x:c>
      <x:c r="H1349" t="str">
        <x:v>RF001-E1!F22</x:v>
      </x:c>
    </x:row>
    <x:row r="1350">
      <x:c r="A1350" t="str">
        <x:v>validarRangoEdad</x:v>
      </x:c>
      <x:c r="B1350" t="str">
        <x:v>edad,18,70</x:v>
      </x:c>
      <x:c r="C1350" t="str">
        <x:v>C_ValidacionRegistroUsuarios</x:v>
      </x:c>
      <x:c r="D1350" t="str">
        <x:v>C_ValidacionRegistroUsuarios</x:v>
      </x:c>
      <x:c r="E1350" t="str">
        <x:v>validación</x:v>
      </x:c>
      <x:c r="F1350" t="n">
        <x:v>1</x:v>
      </x:c>
      <x:c r="G1350" t="str">
        <x:v>RF01</x:v>
      </x:c>
      <x:c r="H1350" t="str">
        <x:v>RF001-E1!F26</x:v>
      </x:c>
    </x:row>
    <x:row r="1351">
      <x:c r="A1351" t="str">
        <x:v>consultarCorreoExistente</x:v>
      </x:c>
      <x:c r="B1351" t="str">
        <x:v>correo</x:v>
      </x:c>
      <x:c r="C1351" t="str">
        <x:v>C_ValidacionRegistroUsuarios</x:v>
      </x:c>
      <x:c r="D1351" t="str">
        <x:v>E_Usuario</x:v>
      </x:c>
      <x:c r="E1351" t="str">
        <x:v>consulta</x:v>
      </x:c>
      <x:c r="F1351" t="n">
        <x:v>1</x:v>
      </x:c>
      <x:c r="G1351" t="str">
        <x:v>RF01</x:v>
      </x:c>
      <x:c r="H1351" t="str">
        <x:v>RF001-E1!F30</x:v>
      </x:c>
    </x:row>
    <x:row r="1352">
      <x:c r="A1352" t="str">
        <x:v>retornarResultadoValidacion</x:v>
      </x:c>
      <x:c r="B1352" t="str">
        <x:v>datosValidados</x:v>
      </x:c>
      <x:c r="C1352" t="str">
        <x:v>C_ValidacionUsuario</x:v>
      </x:c>
      <x:c r="D1352" t="str">
        <x:v>C_PerfilUsuario</x:v>
      </x:c>
      <x:c r="E1352" t="str">
        <x:v>retorno</x:v>
      </x:c>
      <x:c r="F1352" t="n">
        <x:v>1</x:v>
      </x:c>
      <x:c r="G1352" t="str">
        <x:v>RF04</x:v>
      </x:c>
      <x:c r="H1352" t="str">
        <x:v>RF004-E1!F35</x:v>
      </x:c>
    </x:row>
    <x:row r="1353">
      <x:c r="A1353" t="str">
        <x:v>calcularEdad</x:v>
      </x:c>
      <x:c r="B1353" t="str">
        <x:v>fechaNacimiento,fechaActual</x:v>
      </x:c>
      <x:c r="C1353" t="str">
        <x:v>C_ValidacionUsuario</x:v>
      </x:c>
      <x:c r="D1353" t="str">
        <x:v>C_ValidacionUsuario</x:v>
      </x:c>
      <x:c r="E1353" t="str">
        <x:v>otra</x:v>
      </x:c>
      <x:c r="F1353" t="n">
        <x:v>1</x:v>
      </x:c>
      <x:c r="G1353" t="str">
        <x:v>RF04</x:v>
      </x:c>
      <x:c r="H1353" t="str">
        <x:v>RF004-E1!F33</x:v>
      </x:c>
    </x:row>
    <x:row r="1354">
      <x:c r="A1354" t="str">
        <x:v>validarCamposPerfil</x:v>
      </x:c>
      <x:c r="B1354" t="str">
        <x:v>nombre,fechaNacimiento</x:v>
      </x:c>
      <x:c r="C1354" t="str">
        <x:v>C_ValidacionUsuario</x:v>
      </x:c>
      <x:c r="D1354" t="str">
        <x:v>C_ValidacionUsuario</x:v>
      </x:c>
      <x:c r="E1354" t="str">
        <x:v>validación</x:v>
      </x:c>
      <x:c r="F1354" t="n">
        <x:v>1</x:v>
      </x:c>
      <x:c r="G1354" t="str">
        <x:v>RF04</x:v>
      </x:c>
      <x:c r="H1354" t="str">
        <x:v>RF004-E1!F29</x:v>
      </x:c>
    </x:row>
    <x:row r="1355">
      <x:c r="A1355" t="str">
        <x:v>validarFechaNacimiento</x:v>
      </x:c>
      <x:c r="B1355" t="str">
        <x:v>fechaNacimiento</x:v>
      </x:c>
      <x:c r="C1355" t="str">
        <x:v>C_ValidacionUsuario</x:v>
      </x:c>
      <x:c r="D1355" t="str">
        <x:v>C_ValidacionUsuario</x:v>
      </x:c>
      <x:c r="E1355" t="str">
        <x:v>validación</x:v>
      </x:c>
      <x:c r="F1355" t="n">
        <x:v>1</x:v>
      </x:c>
      <x:c r="G1355" t="str">
        <x:v>RF04</x:v>
      </x:c>
      <x:c r="H1355" t="str">
        <x:v>RF004-E1!F32</x:v>
      </x:c>
    </x:row>
    <x:row r="1356">
      <x:c r="A1356" t="str">
        <x:v>validarFormatoNombre</x:v>
      </x:c>
      <x:c r="B1356" t="str">
        <x:v>nombre</x:v>
      </x:c>
      <x:c r="C1356" t="str">
        <x:v>C_ValidacionUsuario</x:v>
      </x:c>
      <x:c r="D1356" t="str">
        <x:v>C_ValidacionUsuario</x:v>
      </x:c>
      <x:c r="E1356" t="str">
        <x:v>validación</x:v>
      </x:c>
      <x:c r="F1356" t="n">
        <x:v>1</x:v>
      </x:c>
      <x:c r="G1356" t="str">
        <x:v>RF04</x:v>
      </x:c>
      <x:c r="H1356" t="str">
        <x:v>RF004-E1!F30</x:v>
      </x:c>
    </x:row>
    <x:row r="1357">
      <x:c r="A1357" t="str">
        <x:v>validarPalabrasRestringidas</x:v>
      </x:c>
      <x:c r="B1357" t="str">
        <x:v>nombre</x:v>
      </x:c>
      <x:c r="C1357" t="str">
        <x:v>C_ValidacionUsuario</x:v>
      </x:c>
      <x:c r="D1357" t="str">
        <x:v>C_ValidacionUsuario</x:v>
      </x:c>
      <x:c r="E1357" t="str">
        <x:v>validación</x:v>
      </x:c>
      <x:c r="F1357" t="n">
        <x:v>1</x:v>
      </x:c>
      <x:c r="G1357" t="str">
        <x:v>RF04</x:v>
      </x:c>
      <x:c r="H1357" t="str">
        <x:v>RF004-E1!F31</x:v>
      </x:c>
    </x:row>
    <x:row r="1358">
      <x:c r="A1358" t="str">
        <x:v>validarRangoEdad</x:v>
      </x:c>
      <x:c r="B1358" t="str">
        <x:v>edad,18,70</x:v>
      </x:c>
      <x:c r="C1358" t="str">
        <x:v>C_ValidacionUsuario</x:v>
      </x:c>
      <x:c r="D1358" t="str">
        <x:v>C_ValidacionUsuario</x:v>
      </x:c>
      <x:c r="E1358" t="str">
        <x:v>validación</x:v>
      </x:c>
      <x:c r="F1358" t="n">
        <x:v>1</x:v>
      </x:c>
      <x:c r="G1358" t="str">
        <x:v>RF04</x:v>
      </x:c>
      <x:c r="H1358" t="str">
        <x:v>RF004-E1!F34</x:v>
      </x:c>
    </x:row>
    <x:row r="1359">
      <x:c r="A1359" t="str">
        <x:v>retornarResultadoValidacion</x:v>
      </x:c>
      <x:c r="B1359" t="str">
        <x:v>resultado</x:v>
      </x:c>
      <x:c r="C1359" t="str">
        <x:v>C_ValidacionVehiculo</x:v>
      </x:c>
      <x:c r="D1359" t="str">
        <x:v>C_ControlEdicionVehiculo</x:v>
      </x:c>
      <x:c r="E1359" t="str">
        <x:v>retorno</x:v>
      </x:c>
      <x:c r="F1359" t="n">
        <x:v>1</x:v>
      </x:c>
      <x:c r="G1359" t="str">
        <x:v>RF11</x:v>
      </x:c>
      <x:c r="H1359" t="str">
        <x:v>RF011-EF1!F29</x:v>
      </x:c>
    </x:row>
    <x:row r="1360">
      <x:c r="A1360" t="str">
        <x:v>retornarResultadoValidacion</x:v>
      </x:c>
      <x:c r="B1360" t="str">
        <x:v>resultado</x:v>
      </x:c>
      <x:c r="C1360" t="str">
        <x:v>C_ValidacionVehiculo</x:v>
      </x:c>
      <x:c r="D1360" t="str">
        <x:v>C_ControlRegistroVehiculo</x:v>
      </x:c>
      <x:c r="E1360" t="str">
        <x:v>retorno</x:v>
      </x:c>
      <x:c r="F1360" t="n">
        <x:v>1</x:v>
      </x:c>
      <x:c r="G1360" t="str">
        <x:v>RF08</x:v>
      </x:c>
      <x:c r="H1360" t="str">
        <x:v>RF008-EF1!F29</x:v>
      </x:c>
    </x:row>
    <x:row r="1361">
      <x:c r="A1361" t="str">
        <x:v>validarAnioFabricacion</x:v>
      </x:c>
      <x:c r="B1361" t="str">
        <x:v>anioFabricacion</x:v>
      </x:c>
      <x:c r="C1361" t="str">
        <x:v>C_ValidacionVehiculo</x:v>
      </x:c>
      <x:c r="D1361" t="str">
        <x:v>C_ValidacionVehiculo</x:v>
      </x:c>
      <x:c r="E1361" t="str">
        <x:v>validación</x:v>
      </x:c>
      <x:c r="F1361" t="n">
        <x:v>2</x:v>
      </x:c>
      <x:c r="G1361" t="str">
        <x:v>RF08, RF11</x:v>
      </x:c>
      <x:c r="H1361" t="str">
        <x:v>RF008-EF1!F26</x:v>
      </x:c>
    </x:row>
    <x:row r="1362">
      <x:c r="A1362" t="str">
        <x:v>validarCamposObligatorios</x:v>
      </x:c>
      <x:c r="B1362" t="str">
        <x:v>datos</x:v>
      </x:c>
      <x:c r="C1362" t="str">
        <x:v>C_ValidacionVehiculo</x:v>
      </x:c>
      <x:c r="D1362" t="str">
        <x:v>C_ValidacionVehiculo</x:v>
      </x:c>
      <x:c r="E1362" t="str">
        <x:v>validación</x:v>
      </x:c>
      <x:c r="F1362" t="n">
        <x:v>1</x:v>
      </x:c>
      <x:c r="G1362" t="str">
        <x:v>RF08</x:v>
      </x:c>
      <x:c r="H1362" t="str">
        <x:v>RF008-EF1!F24</x:v>
      </x:c>
    </x:row>
    <x:row r="1363">
      <x:c r="A1363" t="str">
        <x:v>validarCamposObligatorios</x:v>
      </x:c>
      <x:c r="B1363" t="str">
        <x:v>datosConsolidados</x:v>
      </x:c>
      <x:c r="C1363" t="str">
        <x:v>C_ValidacionVehiculo</x:v>
      </x:c>
      <x:c r="D1363" t="str">
        <x:v>C_ValidacionVehiculo</x:v>
      </x:c>
      <x:c r="E1363" t="str">
        <x:v>validación</x:v>
      </x:c>
      <x:c r="F1363" t="n">
        <x:v>1</x:v>
      </x:c>
      <x:c r="G1363" t="str">
        <x:v>RF11</x:v>
      </x:c>
      <x:c r="H1363" t="str">
        <x:v>RF011-EF1!F26</x:v>
      </x:c>
    </x:row>
    <x:row r="1364">
      <x:c r="A1364" t="str">
        <x:v>validarFormatoPlaca</x:v>
      </x:c>
      <x:c r="B1364" t="str">
        <x:v>placa</x:v>
      </x:c>
      <x:c r="C1364" t="str">
        <x:v>C_ValidacionVehiculo</x:v>
      </x:c>
      <x:c r="D1364" t="str">
        <x:v>C_ValidacionVehiculo</x:v>
      </x:c>
      <x:c r="E1364" t="str">
        <x:v>validación</x:v>
      </x:c>
      <x:c r="F1364" t="n">
        <x:v>1</x:v>
      </x:c>
      <x:c r="G1364" t="str">
        <x:v>RF08</x:v>
      </x:c>
      <x:c r="H1364" t="str">
        <x:v>RF008-EF1!F25</x:v>
      </x:c>
    </x:row>
    <x:row r="1365">
      <x:c r="A1365" t="str">
        <x:v>validarKilometrajeInicial</x:v>
      </x:c>
      <x:c r="B1365" t="str">
        <x:v>km</x:v>
      </x:c>
      <x:c r="C1365" t="str">
        <x:v>C_ValidacionVehiculo</x:v>
      </x:c>
      <x:c r="D1365" t="str">
        <x:v>C_ValidacionVehiculo</x:v>
      </x:c>
      <x:c r="E1365" t="str">
        <x:v>validación</x:v>
      </x:c>
      <x:c r="F1365" t="n">
        <x:v>1</x:v>
      </x:c>
      <x:c r="G1365" t="str">
        <x:v>RF08</x:v>
      </x:c>
      <x:c r="H1365" t="str">
        <x:v>RF008-EF1!F27</x:v>
      </x:c>
    </x:row>
    <x:row r="1366">
      <x:c r="A1366" t="str">
        <x:v>validarReglasCondicionalesVehiculo</x:v>
      </x:c>
      <x:c r="B1366" t="str">
        <x:v>datos</x:v>
      </x:c>
      <x:c r="C1366" t="str">
        <x:v>C_ValidacionVehiculo</x:v>
      </x:c>
      <x:c r="D1366" t="str">
        <x:v>C_ValidacionVehiculo</x:v>
      </x:c>
      <x:c r="E1366" t="str">
        <x:v>validación</x:v>
      </x:c>
      <x:c r="F1366" t="n">
        <x:v>1</x:v>
      </x:c>
      <x:c r="G1366" t="str">
        <x:v>RF08</x:v>
      </x:c>
      <x:c r="H1366" t="str">
        <x:v>RF008-EF1!F28</x:v>
      </x:c>
    </x:row>
    <x:row r="1367">
      <x:c r="A1367" t="str">
        <x:v>validarReglasCondicionalesVehiculo</x:v>
      </x:c>
      <x:c r="B1367" t="str">
        <x:v>datosConsolidados</x:v>
      </x:c>
      <x:c r="C1367" t="str">
        <x:v>C_ValidacionVehiculo</x:v>
      </x:c>
      <x:c r="D1367" t="str">
        <x:v>C_ValidacionVehiculo</x:v>
      </x:c>
      <x:c r="E1367" t="str">
        <x:v>validación</x:v>
      </x:c>
      <x:c r="F1367" t="n">
        <x:v>1</x:v>
      </x:c>
      <x:c r="G1367" t="str">
        <x:v>RF11</x:v>
      </x:c>
      <x:c r="H1367" t="str">
        <x:v>RF011-EF1!F28</x:v>
      </x:c>
    </x:row>
    <x:row r="1368">
      <x:c r="A1368" t="str">
        <x:v>retornarAlertaCreada</x:v>
      </x:c>
      <x:c r="B1368" t="str">
        <x:v>id_alerta,datos_alerta,fecha_estado_actual</x:v>
      </x:c>
      <x:c r="C1368" t="str">
        <x:v>E_Alerta</x:v>
      </x:c>
      <x:c r="D1368" t="str">
        <x:v>C_ControlAlerta</x:v>
      </x:c>
      <x:c r="E1368" t="str">
        <x:v>retorno</x:v>
      </x:c>
      <x:c r="F1368" t="n">
        <x:v>1</x:v>
      </x:c>
      <x:c r="G1368" t="str">
        <x:v>RF22</x:v>
      </x:c>
      <x:c r="H1368" t="str">
        <x:v>RF22!F95</x:v>
      </x:c>
    </x:row>
    <x:row r="1369">
      <x:c r="A1369" t="str">
        <x:v>retornarAlertaLicenciaRegistrada</x:v>
      </x:c>
      <x:c r="B1369" t="str">
        <x:v>idAlerta</x:v>
      </x:c>
      <x:c r="C1369" t="str">
        <x:v>E_Alerta</x:v>
      </x:c>
      <x:c r="D1369" t="str">
        <x:v>C_ControlAlerta</x:v>
      </x:c>
      <x:c r="E1369" t="str">
        <x:v>retorno</x:v>
      </x:c>
      <x:c r="F1369" t="n">
        <x:v>1</x:v>
      </x:c>
      <x:c r="G1369" t="str">
        <x:v>RF51</x:v>
      </x:c>
      <x:c r="H1369" t="str">
        <x:v>RF051-EF1!F55</x:v>
      </x:c>
    </x:row>
    <x:row r="1370">
      <x:c r="A1370" t="str">
        <x:v>retornarAlertaRealizada</x:v>
      </x:c>
      <x:c r="B1370" t="str">
        <x:v>detalle_realizado,estado_anterior</x:v>
      </x:c>
      <x:c r="C1370" t="str">
        <x:v>E_Alerta</x:v>
      </x:c>
      <x:c r="D1370" t="str">
        <x:v>C_ControlAlerta</x:v>
      </x:c>
      <x:c r="E1370" t="str">
        <x:v>retorno</x:v>
      </x:c>
      <x:c r="F1370" t="n">
        <x:v>1</x:v>
      </x:c>
      <x:c r="G1370" t="str">
        <x:v>RF24</x:v>
      </x:c>
      <x:c r="H1370" t="str">
        <x:v>RF24!F86</x:v>
      </x:c>
    </x:row>
    <x:row r="1371">
      <x:c r="A1371" t="str">
        <x:v>retornarAlertaSOAT</x:v>
      </x:c>
      <x:c r="B1371" t="str">
        <x:v>datosAlerta</x:v>
      </x:c>
      <x:c r="C1371" t="str">
        <x:v>E_Alerta</x:v>
      </x:c>
      <x:c r="D1371" t="str">
        <x:v>C_ControlAlerta</x:v>
      </x:c>
      <x:c r="E1371" t="str">
        <x:v>retorno</x:v>
      </x:c>
      <x:c r="F1371" t="n">
        <x:v>1</x:v>
      </x:c>
      <x:c r="G1371" t="str">
        <x:v>RF33</x:v>
      </x:c>
      <x:c r="H1371" t="str">
        <x:v>RF033-EF1!F31</x:v>
      </x:c>
    </x:row>
    <x:row r="1372">
      <x:c r="A1372" t="str">
        <x:v>retornarAlertaSOAT</x:v>
      </x:c>
      <x:c r="B1372" t="str">
        <x:v>datosAlerta,fecha_estado_actual,transicionAplicada?</x:v>
      </x:c>
      <x:c r="C1372" t="str">
        <x:v>E_Alerta</x:v>
      </x:c>
      <x:c r="D1372" t="str">
        <x:v>C_ControlAlerta</x:v>
      </x:c>
      <x:c r="E1372" t="str">
        <x:v>retorno</x:v>
      </x:c>
      <x:c r="F1372" t="n">
        <x:v>2</x:v>
      </x:c>
      <x:c r="G1372" t="str">
        <x:v>RF31, RF33</x:v>
      </x:c>
      <x:c r="H1372" t="str">
        <x:v>RF031-EF1!F43</x:v>
      </x:c>
    </x:row>
    <x:row r="1373">
      <x:c r="A1373" t="str">
        <x:v>retornarAlertaSincronizada</x:v>
      </x:c>
      <x:c r="B1373" t="str">
        <x:v>detalle_actualizado,transicion_aplicada</x:v>
      </x:c>
      <x:c r="C1373" t="str">
        <x:v>E_Alerta</x:v>
      </x:c>
      <x:c r="D1373" t="str">
        <x:v>C_ControlAlerta</x:v>
      </x:c>
      <x:c r="E1373" t="str">
        <x:v>retorno</x:v>
      </x:c>
      <x:c r="F1373" t="n">
        <x:v>1</x:v>
      </x:c>
      <x:c r="G1373" t="str">
        <x:v>RF24</x:v>
      </x:c>
      <x:c r="H1373" t="str">
        <x:v>RF24!F22</x:v>
      </x:c>
    </x:row>
    <x:row r="1374">
      <x:c r="A1374" t="str">
        <x:v>retornarAlertasEvaluables</x:v>
      </x:c>
      <x:c r="B1374" t="str">
        <x:v>listaAlertas</x:v>
      </x:c>
      <x:c r="C1374" t="str">
        <x:v>E_Alerta</x:v>
      </x:c>
      <x:c r="D1374" t="str">
        <x:v>C_ControlAlerta</x:v>
      </x:c>
      <x:c r="E1374" t="str">
        <x:v>retorno</x:v>
      </x:c>
      <x:c r="F1374" t="n">
        <x:v>1</x:v>
      </x:c>
      <x:c r="G1374" t="str">
        <x:v>RF23</x:v>
      </x:c>
      <x:c r="H1374" t="str">
        <x:v>RF23!F50</x:v>
      </x:c>
    </x:row>
    <x:row r="1375">
      <x:c r="A1375" t="str">
        <x:v>retornarAlertasKilometraje</x:v>
      </x:c>
      <x:c r="B1375" t="str">
        <x:v>alertas</x:v>
      </x:c>
      <x:c r="C1375" t="str">
        <x:v>E_Alerta</x:v>
      </x:c>
      <x:c r="D1375" t="str">
        <x:v>C_ControlAlerta</x:v>
      </x:c>
      <x:c r="E1375" t="str">
        <x:v>retorno</x:v>
      </x:c>
      <x:c r="F1375" t="n">
        <x:v>1</x:v>
      </x:c>
      <x:c r="G1375" t="str">
        <x:v>RF14</x:v>
      </x:c>
      <x:c r="H1375" t="str">
        <x:v>RF014-EF1!F34</x:v>
      </x:c>
    </x:row>
    <x:row r="1376">
      <x:c r="A1376" t="str">
        <x:v>retornarAlertasLicenciaVisibles</x:v>
      </x:c>
      <x:c r="B1376" t="str">
        <x:v>listaAlertasPersonales</x:v>
      </x:c>
      <x:c r="C1376" t="str">
        <x:v>E_Alerta</x:v>
      </x:c>
      <x:c r="D1376" t="str">
        <x:v>C_ControlAlerta</x:v>
      </x:c>
      <x:c r="E1376" t="str">
        <x:v>retorno</x:v>
      </x:c>
      <x:c r="F1376" t="n">
        <x:v>1</x:v>
      </x:c>
      <x:c r="G1376" t="str">
        <x:v>RF23</x:v>
      </x:c>
      <x:c r="H1376" t="str">
        <x:v>RF23!F96</x:v>
      </x:c>
    </x:row>
    <x:row r="1377">
      <x:c r="A1377" t="str">
        <x:v>retornarAlertasResumenVigentes</x:v>
      </x:c>
      <x:c r="B1377" t="str">
        <x:v>listaAlertasVigentes,idsAlertasAnuladas,transicionesAplicadas</x:v>
      </x:c>
      <x:c r="C1377" t="str">
        <x:v>E_Alerta</x:v>
      </x:c>
      <x:c r="D1377" t="str">
        <x:v>C_ControlAlerta</x:v>
      </x:c>
      <x:c r="E1377" t="str">
        <x:v>retorno</x:v>
      </x:c>
      <x:c r="F1377" t="n">
        <x:v>1</x:v>
      </x:c>
      <x:c r="G1377" t="str">
        <x:v>RF50</x:v>
      </x:c>
      <x:c r="H1377" t="str">
        <x:v>RF050-EF1!F33</x:v>
      </x:c>
    </x:row>
    <x:row r="1378">
      <x:c r="A1378" t="str">
        <x:v>retornarAlertasVehiculo</x:v>
      </x:c>
      <x:c r="B1378" t="str">
        <x:v>listaAlertas</x:v>
      </x:c>
      <x:c r="C1378" t="str">
        <x:v>E_Alerta</x:v>
      </x:c>
      <x:c r="D1378" t="str">
        <x:v>C_ControlAlerta</x:v>
      </x:c>
      <x:c r="E1378" t="str">
        <x:v>retorno</x:v>
      </x:c>
      <x:c r="F1378" t="n">
        <x:v>1</x:v>
      </x:c>
      <x:c r="G1378" t="str">
        <x:v>RF12</x:v>
      </x:c>
      <x:c r="H1378" t="str">
        <x:v>RF012-EF1!F36</x:v>
      </x:c>
    </x:row>
    <x:row r="1379">
      <x:c r="A1379" t="str">
        <x:v>retornarAlertasVehiculo</x:v>
      </x:c>
      <x:c r="B1379" t="str">
        <x:v>lista_alertas</x:v>
      </x:c>
      <x:c r="C1379" t="str">
        <x:v>E_Alerta</x:v>
      </x:c>
      <x:c r="D1379" t="str">
        <x:v>C_ControlAlerta</x:v>
      </x:c>
      <x:c r="E1379" t="str">
        <x:v>retorno</x:v>
      </x:c>
      <x:c r="F1379" t="n">
        <x:v>1</x:v>
      </x:c>
      <x:c r="G1379" t="str">
        <x:v>RF22</x:v>
      </x:c>
      <x:c r="H1379" t="str">
        <x:v>RF22!F110</x:v>
      </x:c>
    </x:row>
    <x:row r="1380">
      <x:c r="A1380" t="str">
        <x:v>retornarAlertasVisiblesVehiculo</x:v>
      </x:c>
      <x:c r="B1380" t="str">
        <x:v>listaAlertas,fecha_estado_actual</x:v>
      </x:c>
      <x:c r="C1380" t="str">
        <x:v>E_Alerta</x:v>
      </x:c>
      <x:c r="D1380" t="str">
        <x:v>C_ControlAlerta</x:v>
      </x:c>
      <x:c r="E1380" t="str">
        <x:v>retorno</x:v>
      </x:c>
      <x:c r="F1380" t="n">
        <x:v>1</x:v>
      </x:c>
      <x:c r="G1380" t="str">
        <x:v>RF23</x:v>
      </x:c>
      <x:c r="H1380" t="str">
        <x:v>RF23!F21</x:v>
      </x:c>
    </x:row>
    <x:row r="1381">
      <x:c r="A1381" t="str">
        <x:v>retornarDetalleAlerta</x:v>
      </x:c>
      <x:c r="B1381" t="str">
        <x:v>datosAlerta</x:v>
      </x:c>
      <x:c r="C1381" t="str">
        <x:v>E_Alerta</x:v>
      </x:c>
      <x:c r="D1381" t="str">
        <x:v>C_ControlAlerta</x:v>
      </x:c>
      <x:c r="E1381" t="str">
        <x:v>retorno</x:v>
      </x:c>
      <x:c r="F1381" t="n">
        <x:v>1</x:v>
      </x:c>
      <x:c r="G1381" t="str">
        <x:v>RF47</x:v>
      </x:c>
      <x:c r="H1381" t="str">
        <x:v>RF047-EF1!F29</x:v>
      </x:c>
    </x:row>
    <x:row r="1382">
      <x:c r="A1382" t="str">
        <x:v>retornarDetalleAlerta</x:v>
      </x:c>
      <x:c r="B1382" t="str">
        <x:v>datos_alerta,fecha_estado_actual</x:v>
      </x:c>
      <x:c r="C1382" t="str">
        <x:v>E_Alerta</x:v>
      </x:c>
      <x:c r="D1382" t="str">
        <x:v>C_ControlAlerta</x:v>
      </x:c>
      <x:c r="E1382" t="str">
        <x:v>retorno</x:v>
      </x:c>
      <x:c r="F1382" t="n">
        <x:v>1</x:v>
      </x:c>
      <x:c r="G1382" t="str">
        <x:v>RF24</x:v>
      </x:c>
      <x:c r="H1382" t="str">
        <x:v>RF24!F8</x:v>
      </x:c>
    </x:row>
    <x:row r="1383">
      <x:c r="A1383" t="str">
        <x:v>retornarEstadoActualAlerta</x:v>
      </x:c>
      <x:c r="B1383" t="str">
        <x:v>datos_alerta_vigente,estado_verificado,servicio_otro_verificado_o_NULL</x:v>
      </x:c>
      <x:c r="C1383" t="str">
        <x:v>E_Alerta</x:v>
      </x:c>
      <x:c r="D1383" t="str">
        <x:v>C_ControlAlerta</x:v>
      </x:c>
      <x:c r="E1383" t="str">
        <x:v>retorno</x:v>
      </x:c>
      <x:c r="F1383" t="n">
        <x:v>1</x:v>
      </x:c>
      <x:c r="G1383" t="str">
        <x:v>RF24</x:v>
      </x:c>
      <x:c r="H1383" t="str">
        <x:v>RF24!F69</x:v>
      </x:c>
    </x:row>
    <x:row r="1384">
      <x:c r="A1384" t="str">
        <x:v>retornarEstadoAlerta</x:v>
      </x:c>
      <x:c r="B1384" t="str">
        <x:v>datosAlerta</x:v>
      </x:c>
      <x:c r="C1384" t="str">
        <x:v>E_Alerta</x:v>
      </x:c>
      <x:c r="D1384" t="str">
        <x:v>C_ControlAlerta</x:v>
      </x:c>
      <x:c r="E1384" t="str">
        <x:v>retorno</x:v>
      </x:c>
      <x:c r="F1384" t="n">
        <x:v>1</x:v>
      </x:c>
      <x:c r="G1384" t="str">
        <x:v>RF47</x:v>
      </x:c>
      <x:c r="H1384" t="str">
        <x:v>RF047-EF1!F12</x:v>
      </x:c>
    </x:row>
    <x:row r="1385">
      <x:c r="A1385" t="str">
        <x:v>retornarEstadosActualizados</x:v>
      </x:c>
      <x:c r="B1385" t="str">
        <x:v>listaAlertasActualizada,transicionesAplicadas,fecha_estado_actual</x:v>
      </x:c>
      <x:c r="C1385" t="str">
        <x:v>E_Alerta</x:v>
      </x:c>
      <x:c r="D1385" t="str">
        <x:v>C_ControlAlerta</x:v>
      </x:c>
      <x:c r="E1385" t="str">
        <x:v>retorno</x:v>
      </x:c>
      <x:c r="F1385" t="n">
        <x:v>1</x:v>
      </x:c>
      <x:c r="G1385" t="str">
        <x:v>RF23</x:v>
      </x:c>
      <x:c r="H1385" t="str">
        <x:v>RF23!F34</x:v>
      </x:c>
    </x:row>
    <x:row r="1386">
      <x:c r="A1386" t="str">
        <x:v>retornarEstadosActualizados</x:v>
      </x:c>
      <x:c r="B1386" t="str">
        <x:v>transiciones</x:v>
      </x:c>
      <x:c r="C1386" t="str">
        <x:v>E_Alerta</x:v>
      </x:c>
      <x:c r="D1386" t="str">
        <x:v>C_ControlAlerta</x:v>
      </x:c>
      <x:c r="E1386" t="str">
        <x:v>retorno</x:v>
      </x:c>
      <x:c r="F1386" t="n">
        <x:v>1</x:v>
      </x:c>
      <x:c r="G1386" t="str">
        <x:v>RF14</x:v>
      </x:c>
      <x:c r="H1386" t="str">
        <x:v>RF014-EF1!F37</x:v>
      </x:c>
    </x:row>
    <x:row r="1387">
      <x:c r="A1387" t="str">
        <x:v>retornarEstadosAlertas</x:v>
      </x:c>
      <x:c r="B1387" t="str">
        <x:v>listaAlertas</x:v>
      </x:c>
      <x:c r="C1387" t="str">
        <x:v>E_Alerta</x:v>
      </x:c>
      <x:c r="D1387" t="str">
        <x:v>C_ControlAlerta</x:v>
      </x:c>
      <x:c r="E1387" t="str">
        <x:v>retorno</x:v>
      </x:c>
      <x:c r="F1387" t="n">
        <x:v>2</x:v>
      </x:c>
      <x:c r="G1387" t="str">
        <x:v>RF46</x:v>
      </x:c>
      <x:c r="H1387" t="str">
        <x:v>RF046-EF1!F12</x:v>
      </x:c>
    </x:row>
    <x:row r="1388">
      <x:c r="A1388" t="str">
        <x:v>retornarEstadosAutomaticosActualizados</x:v>
      </x:c>
      <x:c r="B1388" t="str">
        <x:v>listaAlertasActualizada,transicionesAplicadas</x:v>
      </x:c>
      <x:c r="C1388" t="str">
        <x:v>E_Alerta</x:v>
      </x:c>
      <x:c r="D1388" t="str">
        <x:v>C_ControlAlerta</x:v>
      </x:c>
      <x:c r="E1388" t="str">
        <x:v>retorno</x:v>
      </x:c>
      <x:c r="F1388" t="n">
        <x:v>1</x:v>
      </x:c>
      <x:c r="G1388" t="str">
        <x:v>RF23</x:v>
      </x:c>
      <x:c r="H1388" t="str">
        <x:v>RF23!F74</x:v>
      </x:c>
    </x:row>
    <x:row r="1389">
      <x:c r="A1389" t="str">
        <x:v>retornarRecordatorioPausado</x:v>
      </x:c>
      <x:c r="B1389" t="str"/>
      <x:c r="C1389" t="str">
        <x:v>E_Alerta</x:v>
      </x:c>
      <x:c r="D1389" t="str">
        <x:v>C_ControlAlerta</x:v>
      </x:c>
      <x:c r="E1389" t="str">
        <x:v>retorno</x:v>
      </x:c>
      <x:c r="F1389" t="n">
        <x:v>1</x:v>
      </x:c>
      <x:c r="G1389" t="str">
        <x:v>RF33</x:v>
      </x:c>
      <x:c r="H1389" t="str">
        <x:v>RF033-EF1!F54</x:v>
      </x:c>
    </x:row>
    <x:row r="1390">
      <x:c r="A1390" t="str">
        <x:v>retornarResultadoCierreAlertaAnterior</x:v>
      </x:c>
      <x:c r="B1390" t="str">
        <x:v>resultadoAlerta,idAlertaAnterior,estadoFinal,transicionCierre?</x:v>
      </x:c>
      <x:c r="C1390" t="str">
        <x:v>E_Alerta</x:v>
      </x:c>
      <x:c r="D1390" t="str">
        <x:v>C_ControlAlerta</x:v>
      </x:c>
      <x:c r="E1390" t="str">
        <x:v>retorno</x:v>
      </x:c>
      <x:c r="F1390" t="n">
        <x:v>1</x:v>
      </x:c>
      <x:c r="G1390" t="str">
        <x:v>RF32</x:v>
      </x:c>
      <x:c r="H1390" t="str">
        <x:v>RF032-EF1!F67</x:v>
      </x:c>
    </x:row>
    <x:row r="1391">
      <x:c r="A1391" t="str">
        <x:v>retornarResultadoDuplicidadVigente</x:v>
      </x:c>
      <x:c r="B1391" t="str">
        <x:v>existe_equivalente=false</x:v>
      </x:c>
      <x:c r="C1391" t="str">
        <x:v>E_Alerta</x:v>
      </x:c>
      <x:c r="D1391" t="str">
        <x:v>C_ControlAlerta</x:v>
      </x:c>
      <x:c r="E1391" t="str">
        <x:v>retorno</x:v>
      </x:c>
      <x:c r="F1391" t="n">
        <x:v>2</x:v>
      </x:c>
      <x:c r="G1391" t="str">
        <x:v>RF22</x:v>
      </x:c>
      <x:c r="H1391" t="str">
        <x:v>RF22!F65</x:v>
      </x:c>
    </x:row>
    <x:row r="1392">
      <x:c r="A1392" t="str">
        <x:v>retornarResultadoNuevaAlertaSOAT</x:v>
      </x:c>
      <x:c r="B1392" t="str">
        <x:v>recordatorioActivo,datosAlertaNueva?,transicionNueva?</x:v>
      </x:c>
      <x:c r="C1392" t="str">
        <x:v>E_Alerta</x:v>
      </x:c>
      <x:c r="D1392" t="str">
        <x:v>C_ControlAlerta</x:v>
      </x:c>
      <x:c r="E1392" t="str">
        <x:v>retorno</x:v>
      </x:c>
      <x:c r="F1392" t="n">
        <x:v>1</x:v>
      </x:c>
      <x:c r="G1392" t="str">
        <x:v>RF32</x:v>
      </x:c>
      <x:c r="H1392" t="str">
        <x:v>RF032-EF1!F75</x:v>
      </x:c>
    </x:row>
    <x:row r="1393">
      <x:c r="A1393" t="str">
        <x:v>retornarResultadoSeguimientoEdicion</x:v>
      </x:c>
      <x:c r="B1393" t="str">
        <x:v>recordatorioActivo,datosAlerta?,transicionesAplicadas</x:v>
      </x:c>
      <x:c r="C1393" t="str">
        <x:v>E_Alerta</x:v>
      </x:c>
      <x:c r="D1393" t="str">
        <x:v>C_ControlAlerta</x:v>
      </x:c>
      <x:c r="E1393" t="str">
        <x:v>retorno</x:v>
      </x:c>
      <x:c r="F1393" t="n">
        <x:v>1</x:v>
      </x:c>
      <x:c r="G1393" t="str">
        <x:v>RF32</x:v>
      </x:c>
      <x:c r="H1393" t="str">
        <x:v>RF032-EF1!F45</x:v>
      </x:c>
    </x:row>
    <x:row r="1394">
      <x:c r="A1394" t="str">
        <x:v>retornarSincronizacionAlertas</x:v>
      </x:c>
      <x:c r="B1394" t="str">
        <x:v>resultadoAlertas,transicionesAplicadas</x:v>
      </x:c>
      <x:c r="C1394" t="str">
        <x:v>E_Alerta</x:v>
      </x:c>
      <x:c r="D1394" t="str">
        <x:v>C_ControlAlerta</x:v>
      </x:c>
      <x:c r="E1394" t="str">
        <x:v>retorno</x:v>
      </x:c>
      <x:c r="F1394" t="n">
        <x:v>1</x:v>
      </x:c>
      <x:c r="G1394" t="str">
        <x:v>RF12</x:v>
      </x:c>
      <x:c r="H1394" t="str">
        <x:v>RF012-EF1!F39</x:v>
      </x:c>
    </x:row>
    <x:row r="1395">
      <x:c r="A1395" t="str">
        <x:v>retornarTransicionesAlertas</x:v>
      </x:c>
      <x:c r="B1395" t="str">
        <x:v>transiciones</x:v>
      </x:c>
      <x:c r="C1395" t="str">
        <x:v>E_Alerta</x:v>
      </x:c>
      <x:c r="D1395" t="str">
        <x:v>C_ControlAlerta</x:v>
      </x:c>
      <x:c r="E1395" t="str">
        <x:v>retorno</x:v>
      </x:c>
      <x:c r="F1395" t="n">
        <x:v>1</x:v>
      </x:c>
      <x:c r="G1395" t="str">
        <x:v>RF16</x:v>
      </x:c>
      <x:c r="H1395" t="str">
        <x:v>RF016-EF1!F41</x:v>
      </x:c>
    </x:row>
    <x:row r="1396">
      <x:c r="A1396" t="str">
        <x:v>retornarSeguimientoLicencia</x:v>
      </x:c>
      <x:c r="B1396" t="str">
        <x:v>datosAlerta?</x:v>
      </x:c>
      <x:c r="C1396" t="str">
        <x:v>E_Alerta</x:v>
      </x:c>
      <x:c r="D1396" t="str">
        <x:v>C_ControlLicencia</x:v>
      </x:c>
      <x:c r="E1396" t="str">
        <x:v>retorno</x:v>
      </x:c>
      <x:c r="F1396" t="n">
        <x:v>1</x:v>
      </x:c>
      <x:c r="G1396" t="str">
        <x:v>RF52</x:v>
      </x:c>
      <x:c r="H1396" t="str">
        <x:v>RF052-EF1!F22</x:v>
      </x:c>
    </x:row>
    <x:row r="1397">
      <x:c r="A1397" t="str">
        <x:v>retornarAvanceRegistrado</x:v>
      </x:c>
      <x:c r="B1397" t="str">
        <x:v>idAvance</x:v>
      </x:c>
      <x:c r="C1397" t="str">
        <x:v>E_AvanceIncidencia</x:v>
      </x:c>
      <x:c r="D1397" t="str">
        <x:v>C_ControlIncidencia</x:v>
      </x:c>
      <x:c r="E1397" t="str">
        <x:v>retorno</x:v>
      </x:c>
      <x:c r="F1397" t="n">
        <x:v>1</x:v>
      </x:c>
      <x:c r="G1397" t="str">
        <x:v>RF61</x:v>
      </x:c>
      <x:c r="H1397" t="str">
        <x:v>RF061_EXITOSO!F42</x:v>
      </x:c>
    </x:row>
    <x:row r="1398">
      <x:c r="A1398" t="str">
        <x:v>retornarAvances</x:v>
      </x:c>
      <x:c r="B1398" t="str">
        <x:v>lista</x:v>
      </x:c>
      <x:c r="C1398" t="str">
        <x:v>E_AvanceIncidencia</x:v>
      </x:c>
      <x:c r="D1398" t="str">
        <x:v>C_ControlIncidencia</x:v>
      </x:c>
      <x:c r="E1398" t="str">
        <x:v>retorno</x:v>
      </x:c>
      <x:c r="F1398" t="n">
        <x:v>1</x:v>
      </x:c>
      <x:c r="G1398" t="str">
        <x:v>RF64</x:v>
      </x:c>
      <x:c r="H1398" t="str">
        <x:v>RF064_EXITOSO!F24</x:v>
      </x:c>
    </x:row>
    <x:row r="1399">
      <x:c r="A1399" t="str">
        <x:v>retornarEventoRegistradoYCommit</x:v>
      </x:c>
      <x:c r="B1399" t="str"/>
      <x:c r="C1399" t="str">
        <x:v>E_AvanceIncidencia</x:v>
      </x:c>
      <x:c r="D1399" t="str">
        <x:v>C_ControlIncidencia</x:v>
      </x:c>
      <x:c r="E1399" t="str">
        <x:v>retorno</x:v>
      </x:c>
      <x:c r="F1399" t="n">
        <x:v>2</x:v>
      </x:c>
      <x:c r="G1399" t="str">
        <x:v>RF61</x:v>
      </x:c>
      <x:c r="H1399" t="str">
        <x:v>RF061_EXITOSO!F29</x:v>
      </x:c>
    </x:row>
    <x:row r="1400">
      <x:c r="A1400" t="str">
        <x:v>retornarSolucionDisponible</x:v>
      </x:c>
      <x:c r="B1400" t="str"/>
      <x:c r="C1400" t="str">
        <x:v>E_AvanceIncidencia</x:v>
      </x:c>
      <x:c r="D1400" t="str">
        <x:v>C_ControlIncidencia</x:v>
      </x:c>
      <x:c r="E1400" t="str">
        <x:v>retorno</x:v>
      </x:c>
      <x:c r="F1400" t="n">
        <x:v>1</x:v>
      </x:c>
      <x:c r="G1400" t="str">
        <x:v>RF61</x:v>
      </x:c>
      <x:c r="H1400" t="str">
        <x:v>RF061_EXITOSO!F62</x:v>
      </x:c>
    </x:row>
    <x:row r="1401">
      <x:c r="A1401" t="str">
        <x:v>retornarSolucionRegistrada</x:v>
      </x:c>
      <x:c r="B1401" t="str"/>
      <x:c r="C1401" t="str">
        <x:v>E_AvanceIncidencia</x:v>
      </x:c>
      <x:c r="D1401" t="str">
        <x:v>C_ControlIncidencia</x:v>
      </x:c>
      <x:c r="E1401" t="str">
        <x:v>retorno</x:v>
      </x:c>
      <x:c r="F1401" t="n">
        <x:v>1</x:v>
      </x:c>
      <x:c r="G1401" t="str">
        <x:v>RF61</x:v>
      </x:c>
      <x:c r="H1401" t="str">
        <x:v>RF061_EXITOSO!F53</x:v>
      </x:c>
    </x:row>
    <x:row r="1402">
      <x:c r="A1402" t="str">
        <x:v>retornarCategorias</x:v>
      </x:c>
      <x:c r="B1402" t="str">
        <x:v>lista</x:v>
      </x:c>
      <x:c r="C1402" t="str">
        <x:v>E_Catalogo</x:v>
      </x:c>
      <x:c r="D1402" t="str">
        <x:v>C_ControlCatalogo</x:v>
      </x:c>
      <x:c r="E1402" t="str">
        <x:v>retorno</x:v>
      </x:c>
      <x:c r="F1402" t="n">
        <x:v>1</x:v>
      </x:c>
      <x:c r="G1402" t="str">
        <x:v>RF62</x:v>
      </x:c>
      <x:c r="H1402" t="str">
        <x:v>RF062_EXITOSO!F10</x:v>
      </x:c>
    </x:row>
    <x:row r="1403">
      <x:c r="A1403" t="str">
        <x:v>retornarElementoCreado</x:v>
      </x:c>
      <x:c r="B1403" t="str">
        <x:v>idElemento</x:v>
      </x:c>
      <x:c r="C1403" t="str">
        <x:v>E_CatalogoDetalle</x:v>
      </x:c>
      <x:c r="D1403" t="str">
        <x:v>C_ControlCatalogo</x:v>
      </x:c>
      <x:c r="E1403" t="str">
        <x:v>retorno</x:v>
      </x:c>
      <x:c r="F1403" t="n">
        <x:v>1</x:v>
      </x:c>
      <x:c r="G1403" t="str">
        <x:v>RF62</x:v>
      </x:c>
      <x:c r="H1403" t="str">
        <x:v>RF062_EXITOSO!F30</x:v>
      </x:c>
    </x:row>
    <x:row r="1404">
      <x:c r="A1404" t="str">
        <x:v>retornarElementos</x:v>
      </x:c>
      <x:c r="B1404" t="str">
        <x:v>lista</x:v>
      </x:c>
      <x:c r="C1404" t="str">
        <x:v>E_CatalogoDetalle</x:v>
      </x:c>
      <x:c r="D1404" t="str">
        <x:v>C_ControlCatalogo</x:v>
      </x:c>
      <x:c r="E1404" t="str">
        <x:v>retorno</x:v>
      </x:c>
      <x:c r="F1404" t="n">
        <x:v>1</x:v>
      </x:c>
      <x:c r="G1404" t="str">
        <x:v>RF62</x:v>
      </x:c>
      <x:c r="H1404" t="str">
        <x:v>RF062_EXITOSO!F16</x:v>
      </x:c>
    </x:row>
    <x:row r="1405">
      <x:c r="A1405" t="str">
        <x:v>retornarExiste</x:v>
      </x:c>
      <x:c r="B1405" t="str">
        <x:v>false</x:v>
      </x:c>
      <x:c r="C1405" t="str">
        <x:v>E_CatalogoDetalle</x:v>
      </x:c>
      <x:c r="D1405" t="str">
        <x:v>C_ControlCatalogo</x:v>
      </x:c>
      <x:c r="E1405" t="str">
        <x:v>retorno</x:v>
      </x:c>
      <x:c r="F1405" t="n">
        <x:v>1</x:v>
      </x:c>
      <x:c r="G1405" t="str">
        <x:v>RF62</x:v>
      </x:c>
      <x:c r="H1405" t="str">
        <x:v>RF062_EXITOSO!F28</x:v>
      </x:c>
    </x:row>
    <x:row r="1406">
      <x:c r="A1406" t="str">
        <x:v>retornarListaActualizada</x:v>
      </x:c>
      <x:c r="B1406" t="str">
        <x:v>lista</x:v>
      </x:c>
      <x:c r="C1406" t="str">
        <x:v>E_CatalogoDetalle</x:v>
      </x:c>
      <x:c r="D1406" t="str">
        <x:v>C_ControlCatalogo</x:v>
      </x:c>
      <x:c r="E1406" t="str">
        <x:v>retorno</x:v>
      </x:c>
      <x:c r="F1406" t="n">
        <x:v>1</x:v>
      </x:c>
      <x:c r="G1406" t="str">
        <x:v>RF62</x:v>
      </x:c>
      <x:c r="H1406" t="str">
        <x:v>RF062_EXITOSO!F37</x:v>
      </x:c>
    </x:row>
    <x:row r="1407">
      <x:c r="A1407" t="str">
        <x:v>retornarCodigoBloqueado</x:v>
      </x:c>
      <x:c r="B1407" t="str">
        <x:v>datosCodigo</x:v>
      </x:c>
      <x:c r="C1407" t="str">
        <x:v>E_CodigoRecuperacion</x:v>
      </x:c>
      <x:c r="D1407" t="str">
        <x:v>C_EliminarCuenta</x:v>
      </x:c>
      <x:c r="E1407" t="str">
        <x:v>retorno</x:v>
      </x:c>
      <x:c r="F1407" t="n">
        <x:v>1</x:v>
      </x:c>
      <x:c r="G1407" t="str">
        <x:v>RF07</x:v>
      </x:c>
      <x:c r="H1407" t="str">
        <x:v>RF007-E1!F46</x:v>
      </x:c>
    </x:row>
    <x:row r="1408">
      <x:c r="A1408" t="str">
        <x:v>retornarCodigoRegistrado</x:v>
      </x:c>
      <x:c r="B1408" t="str">
        <x:v>idCodigo</x:v>
      </x:c>
      <x:c r="C1408" t="str">
        <x:v>E_CodigoRecuperacion</x:v>
      </x:c>
      <x:c r="D1408" t="str">
        <x:v>C_EliminarCuenta</x:v>
      </x:c>
      <x:c r="E1408" t="str">
        <x:v>retorno</x:v>
      </x:c>
      <x:c r="F1408" t="n">
        <x:v>1</x:v>
      </x:c>
      <x:c r="G1408" t="str">
        <x:v>RF07</x:v>
      </x:c>
      <x:c r="H1408" t="str">
        <x:v>RF007-E1!F38</x:v>
      </x:c>
    </x:row>
    <x:row r="1409">
      <x:c r="A1409" t="str">
        <x:v>retornarOTPConsumidoYConfirmado</x:v>
      </x:c>
      <x:c r="B1409" t="str"/>
      <x:c r="C1409" t="str">
        <x:v>E_CodigoRecuperacion</x:v>
      </x:c>
      <x:c r="D1409" t="str">
        <x:v>C_EliminarCuenta</x:v>
      </x:c>
      <x:c r="E1409" t="str">
        <x:v>retorno</x:v>
      </x:c>
      <x:c r="F1409" t="n">
        <x:v>1</x:v>
      </x:c>
      <x:c r="G1409" t="str">
        <x:v>RF07</x:v>
      </x:c>
      <x:c r="H1409" t="str">
        <x:v>RF007-E1!F49</x:v>
      </x:c>
    </x:row>
    <x:row r="1410">
      <x:c r="A1410" t="str">
        <x:v>confirmarRegistroCodigo</x:v>
      </x:c>
      <x:c r="B1410" t="str"/>
      <x:c r="C1410" t="str">
        <x:v>E_CodigoRecuperacion</x:v>
      </x:c>
      <x:c r="D1410" t="str">
        <x:v>C_EnvioCodigoRecuperacion</x:v>
      </x:c>
      <x:c r="E1410" t="str">
        <x:v>otra</x:v>
      </x:c>
      <x:c r="F1410" t="n">
        <x:v>1</x:v>
      </x:c>
      <x:c r="G1410" t="str">
        <x:v>RF03</x:v>
      </x:c>
      <x:c r="H1410" t="str">
        <x:v>RF003-E1!F30</x:v>
      </x:c>
    </x:row>
    <x:row r="1411">
      <x:c r="A1411" t="str">
        <x:v>confirmarInvalidacionCodigos</x:v>
      </x:c>
      <x:c r="B1411" t="str"/>
      <x:c r="C1411" t="str">
        <x:v>E_CodigoRecuperacion</x:v>
      </x:c>
      <x:c r="D1411" t="str">
        <x:v>C_RecuperacionCuenta</x:v>
      </x:c>
      <x:c r="E1411" t="str">
        <x:v>otra</x:v>
      </x:c>
      <x:c r="F1411" t="n">
        <x:v>1</x:v>
      </x:c>
      <x:c r="G1411" t="str">
        <x:v>RF03</x:v>
      </x:c>
      <x:c r="H1411" t="str">
        <x:v>RF003-E1!F68</x:v>
      </x:c>
    </x:row>
    <x:row r="1412">
      <x:c r="A1412" t="str">
        <x:v>retornarCodigoRegistrado</x:v>
      </x:c>
      <x:c r="B1412" t="str">
        <x:v>idCodigo</x:v>
      </x:c>
      <x:c r="C1412" t="str">
        <x:v>E_CodigoRecuperacion</x:v>
      </x:c>
      <x:c r="D1412" t="str">
        <x:v>C_RecuperarCuenta</x:v>
      </x:c>
      <x:c r="E1412" t="str">
        <x:v>retorno</x:v>
      </x:c>
      <x:c r="F1412" t="n">
        <x:v>1</x:v>
      </x:c>
      <x:c r="G1412" t="str">
        <x:v>RF53</x:v>
      </x:c>
      <x:c r="H1412" t="str">
        <x:v>RF053-EF1!F31</x:v>
      </x:c>
    </x:row>
    <x:row r="1413">
      <x:c r="A1413" t="str">
        <x:v>retornarEstadoIntentos</x:v>
      </x:c>
      <x:c r="B1413" t="str">
        <x:v>disponible</x:v>
      </x:c>
      <x:c r="C1413" t="str">
        <x:v>E_CodigoRecuperacion</x:v>
      </x:c>
      <x:c r="D1413" t="str">
        <x:v>C_RecuperarCuenta</x:v>
      </x:c>
      <x:c r="E1413" t="str">
        <x:v>retorno</x:v>
      </x:c>
      <x:c r="F1413" t="n">
        <x:v>1</x:v>
      </x:c>
      <x:c r="G1413" t="str">
        <x:v>RF53</x:v>
      </x:c>
      <x:c r="H1413" t="str">
        <x:v>RF053-EF1!F28</x:v>
      </x:c>
    </x:row>
    <x:row r="1414">
      <x:c r="A1414" t="str">
        <x:v>retornarOTPConsumido</x:v>
      </x:c>
      <x:c r="B1414" t="str"/>
      <x:c r="C1414" t="str">
        <x:v>E_CodigoRecuperacion</x:v>
      </x:c>
      <x:c r="D1414" t="str">
        <x:v>C_RecuperarCuenta</x:v>
      </x:c>
      <x:c r="E1414" t="str">
        <x:v>retorno</x:v>
      </x:c>
      <x:c r="F1414" t="n">
        <x:v>1</x:v>
      </x:c>
      <x:c r="G1414" t="str">
        <x:v>RF53</x:v>
      </x:c>
      <x:c r="H1414" t="str">
        <x:v>RF053-EF1!F43</x:v>
      </x:c>
    </x:row>
    <x:row r="1415">
      <x:c r="A1415" t="str">
        <x:v>retornarOTPProtegido</x:v>
      </x:c>
      <x:c r="B1415" t="str">
        <x:v>datosCodigo,intentos</x:v>
      </x:c>
      <x:c r="C1415" t="str">
        <x:v>E_CodigoRecuperacion</x:v>
      </x:c>
      <x:c r="D1415" t="str">
        <x:v>C_RecuperarCuenta</x:v>
      </x:c>
      <x:c r="E1415" t="str">
        <x:v>retorno</x:v>
      </x:c>
      <x:c r="F1415" t="n">
        <x:v>1</x:v>
      </x:c>
      <x:c r="G1415" t="str">
        <x:v>RF53</x:v>
      </x:c>
      <x:c r="H1415" t="str">
        <x:v>RF053-EF1!F40</x:v>
      </x:c>
    </x:row>
    <x:row r="1416">
      <x:c r="A1416" t="str">
        <x:v>retornarDatosCodigo</x:v>
      </x:c>
      <x:c r="B1416" t="str">
        <x:v>existeCodigo,codigoRegistrado,fechaExpiracion,estado</x:v>
      </x:c>
      <x:c r="C1416" t="str">
        <x:v>E_CodigoRecuperacion</x:v>
      </x:c>
      <x:c r="D1416" t="str">
        <x:v>C_ValidacionRecuperacion</x:v>
      </x:c>
      <x:c r="E1416" t="str">
        <x:v>retorno</x:v>
      </x:c>
      <x:c r="F1416" t="n">
        <x:v>1</x:v>
      </x:c>
      <x:c r="G1416" t="str">
        <x:v>RF03</x:v>
      </x:c>
      <x:c r="H1416" t="str">
        <x:v>RF003-E1!F41</x:v>
      </x:c>
    </x:row>
    <x:row r="1417">
      <x:c r="A1417" t="str">
        <x:v>retornarConductor</x:v>
      </x:c>
      <x:c r="B1417" t="str">
        <x:v>idConductor</x:v>
      </x:c>
      <x:c r="C1417" t="str">
        <x:v>E_Conductor</x:v>
      </x:c>
      <x:c r="D1417" t="str">
        <x:v>C_ControlLicencia</x:v>
      </x:c>
      <x:c r="E1417" t="str">
        <x:v>retorno</x:v>
      </x:c>
      <x:c r="F1417" t="n">
        <x:v>1</x:v>
      </x:c>
      <x:c r="G1417" t="str">
        <x:v>RF51</x:v>
      </x:c>
      <x:c r="H1417" t="str">
        <x:v>RF051-EF1!F48</x:v>
      </x:c>
    </x:row>
    <x:row r="1418">
      <x:c r="A1418" t="str">
        <x:v>retornarConductor</x:v>
      </x:c>
      <x:c r="B1418" t="str">
        <x:v>idConductor,tipoDocumento,numeroDocumento</x:v>
      </x:c>
      <x:c r="C1418" t="str">
        <x:v>E_Conductor</x:v>
      </x:c>
      <x:c r="D1418" t="str">
        <x:v>C_ControlLicencia</x:v>
      </x:c>
      <x:c r="E1418" t="str">
        <x:v>retorno</x:v>
      </x:c>
      <x:c r="F1418" t="n">
        <x:v>1</x:v>
      </x:c>
      <x:c r="G1418" t="str">
        <x:v>RF52</x:v>
      </x:c>
      <x:c r="H1418" t="str">
        <x:v>RF052-EF1!F17</x:v>
      </x:c>
    </x:row>
    <x:row r="1419">
      <x:c r="A1419" t="str">
        <x:v>retornarConductor</x:v>
      </x:c>
      <x:c r="B1419" t="str">
        <x:v>idConductor?</x:v>
      </x:c>
      <x:c r="C1419" t="str">
        <x:v>E_Conductor</x:v>
      </x:c>
      <x:c r="D1419" t="str">
        <x:v>C_ControlLicencia</x:v>
      </x:c>
      <x:c r="E1419" t="str">
        <x:v>retorno</x:v>
      </x:c>
      <x:c r="F1419" t="n">
        <x:v>1</x:v>
      </x:c>
      <x:c r="G1419" t="str">
        <x:v>RF51</x:v>
      </x:c>
      <x:c r="H1419" t="str">
        <x:v>RF051-EF1!F16</x:v>
      </x:c>
    </x:row>
    <x:row r="1420">
      <x:c r="A1420" t="str">
        <x:v>retornarEstadoGlobalActualizado</x:v>
      </x:c>
      <x:c r="B1420" t="str">
        <x:v>ACTIVO</x:v>
      </x:c>
      <x:c r="C1420" t="str">
        <x:v>E_ConfigRecordatorioKmUsuario</x:v>
      </x:c>
      <x:c r="D1420" t="str">
        <x:v>C_RecordatorioKm</x:v>
      </x:c>
      <x:c r="E1420" t="str">
        <x:v>retorno</x:v>
      </x:c>
      <x:c r="F1420" t="n">
        <x:v>1</x:v>
      </x:c>
      <x:c r="G1420" t="str">
        <x:v>RF44</x:v>
      </x:c>
      <x:c r="H1420" t="str">
        <x:v>RF044-EF1!F16</x:v>
      </x:c>
    </x:row>
    <x:row r="1421">
      <x:c r="A1421" t="str">
        <x:v>retornarEstadoGlobalRecordatoriosKm</x:v>
      </x:c>
      <x:c r="B1421" t="str">
        <x:v>estadoGlobal</x:v>
      </x:c>
      <x:c r="C1421" t="str">
        <x:v>E_ConfigRecordatorioKmUsuario</x:v>
      </x:c>
      <x:c r="D1421" t="str">
        <x:v>C_RecordatorioKm</x:v>
      </x:c>
      <x:c r="E1421" t="str">
        <x:v>retorno</x:v>
      </x:c>
      <x:c r="F1421" t="n">
        <x:v>1</x:v>
      </x:c>
      <x:c r="G1421" t="str">
        <x:v>RF44</x:v>
      </x:c>
      <x:c r="H1421" t="str">
        <x:v>RF044-EF1!F10</x:v>
      </x:c>
    </x:row>
    <x:row r="1422">
      <x:c r="A1422" t="str">
        <x:v>retornarEstadosGlobalesKm</x:v>
      </x:c>
      <x:c r="B1422" t="str">
        <x:v>estadosGlobales</x:v>
      </x:c>
      <x:c r="C1422" t="str">
        <x:v>E_ConfigRecordatorioKmUsuario</x:v>
      </x:c>
      <x:c r="D1422" t="str">
        <x:v>C_RecordatorioKm</x:v>
      </x:c>
      <x:c r="E1422" t="str">
        <x:v>retorno</x:v>
      </x:c>
      <x:c r="F1422" t="n">
        <x:v>1</x:v>
      </x:c>
      <x:c r="G1422" t="str">
        <x:v>RF46</x:v>
      </x:c>
      <x:c r="H1422" t="str">
        <x:v>RF046-EF1!F46</x:v>
      </x:c>
    </x:row>
    <x:row r="1423">
      <x:c r="A1423" t="str">
        <x:v>retornarUsuariosRecordatorioKmActivo</x:v>
      </x:c>
      <x:c r="B1423" t="str">
        <x:v>listaUsuarios</x:v>
      </x:c>
      <x:c r="C1423" t="str">
        <x:v>E_ConfigRecordatorioKmUsuario</x:v>
      </x:c>
      <x:c r="D1423" t="str">
        <x:v>C_RecordatorioKm</x:v>
      </x:c>
      <x:c r="E1423" t="str">
        <x:v>retorno</x:v>
      </x:c>
      <x:c r="F1423" t="n">
        <x:v>1</x:v>
      </x:c>
      <x:c r="G1423" t="str">
        <x:v>RF44</x:v>
      </x:c>
      <x:c r="H1423" t="str">
        <x:v>RF044-EF1!F55</x:v>
      </x:c>
    </x:row>
    <x:row r="1424">
      <x:c r="A1424" t="str">
        <x:v>retornarConfiguracionGlobalInicial</x:v>
      </x:c>
      <x:c r="B1424" t="str">
        <x:v>PAUSADO</x:v>
      </x:c>
      <x:c r="C1424" t="str">
        <x:v>E_ConfigRecordatorioKmUsuario</x:v>
      </x:c>
      <x:c r="D1424" t="str">
        <x:v>C_RegistroUsuario</x:v>
      </x:c>
      <x:c r="E1424" t="str">
        <x:v>retorno</x:v>
      </x:c>
      <x:c r="F1424" t="n">
        <x:v>1</x:v>
      </x:c>
      <x:c r="G1424" t="str">
        <x:v>RF01</x:v>
      </x:c>
      <x:c r="H1424" t="str">
        <x:v>RF001-E1!F44</x:v>
      </x:c>
    </x:row>
    <x:row r="1425">
      <x:c r="A1425" t="str">
        <x:v>retornarCorreccionPreparada</x:v>
      </x:c>
      <x:c r="B1425" t="str">
        <x:v>idCorreccion</x:v>
      </x:c>
      <x:c r="C1425" t="str">
        <x:v>E_CorreccionKilometraje</x:v>
      </x:c>
      <x:c r="D1425" t="str">
        <x:v>C_ControlKilometraje</x:v>
      </x:c>
      <x:c r="E1425" t="str">
        <x:v>retorno</x:v>
      </x:c>
      <x:c r="F1425" t="n">
        <x:v>1</x:v>
      </x:c>
      <x:c r="G1425" t="str">
        <x:v>RF16</x:v>
      </x:c>
      <x:c r="H1425" t="str">
        <x:v>RF016-EF1!F34</x:v>
      </x:c>
    </x:row>
    <x:row r="1426">
      <x:c r="A1426" t="str">
        <x:v>retornarCorreccionesHistorial</x:v>
      </x:c>
      <x:c r="B1426" t="str">
        <x:v>listaCorrecciones</x:v>
      </x:c>
      <x:c r="C1426" t="str">
        <x:v>E_CorreccionKilometraje</x:v>
      </x:c>
      <x:c r="D1426" t="str">
        <x:v>C_ControlKilometraje</x:v>
      </x:c>
      <x:c r="E1426" t="str">
        <x:v>retorno</x:v>
      </x:c>
      <x:c r="F1426" t="n">
        <x:v>2</x:v>
      </x:c>
      <x:c r="G1426" t="str">
        <x:v>RF15</x:v>
      </x:c>
      <x:c r="H1426" t="str">
        <x:v>RF015-EF1!F22</x:v>
      </x:c>
    </x:row>
    <x:row r="1427">
      <x:c r="A1427" t="str">
        <x:v>retornarCorreccionesHistorial</x:v>
      </x:c>
      <x:c r="B1427" t="str">
        <x:v>lista_correcciones</x:v>
      </x:c>
      <x:c r="C1427" t="str">
        <x:v>E_CorreccionKilometraje</x:v>
      </x:c>
      <x:c r="D1427" t="str">
        <x:v>C_ControlKilometraje</x:v>
      </x:c>
      <x:c r="E1427" t="str">
        <x:v>retorno</x:v>
      </x:c>
      <x:c r="F1427" t="n">
        <x:v>2</x:v>
      </x:c>
      <x:c r="G1427" t="str">
        <x:v>RF25, RF26</x:v>
      </x:c>
      <x:c r="H1427" t="str">
        <x:v>RF25!F32</x:v>
      </x:c>
    </x:row>
    <x:row r="1428">
      <x:c r="A1428" t="str">
        <x:v>retornarCorreoCodigoEncolado</x:v>
      </x:c>
      <x:c r="B1428" t="str">
        <x:v>idCorreo</x:v>
      </x:c>
      <x:c r="C1428" t="str">
        <x:v>E_CorreoPendiente</x:v>
      </x:c>
      <x:c r="D1428" t="str">
        <x:v>C_EliminarCuenta</x:v>
      </x:c>
      <x:c r="E1428" t="str">
        <x:v>retorno</x:v>
      </x:c>
      <x:c r="F1428" t="n">
        <x:v>1</x:v>
      </x:c>
      <x:c r="G1428" t="str">
        <x:v>RF07</x:v>
      </x:c>
      <x:c r="H1428" t="str">
        <x:v>RF007-E1!F40</x:v>
      </x:c>
    </x:row>
    <x:row r="1429">
      <x:c r="A1429" t="str">
        <x:v>retornarCorreoConfirmacionEncolado</x:v>
      </x:c>
      <x:c r="B1429" t="str">
        <x:v>idCorreo</x:v>
      </x:c>
      <x:c r="C1429" t="str">
        <x:v>E_CorreoPendiente</x:v>
      </x:c>
      <x:c r="D1429" t="str">
        <x:v>C_EliminarCuenta</x:v>
      </x:c>
      <x:c r="E1429" t="str">
        <x:v>retorno</x:v>
      </x:c>
      <x:c r="F1429" t="n">
        <x:v>1</x:v>
      </x:c>
      <x:c r="G1429" t="str">
        <x:v>RF07</x:v>
      </x:c>
      <x:c r="H1429" t="str">
        <x:v>RF007-E1!F77</x:v>
      </x:c>
    </x:row>
    <x:row r="1430">
      <x:c r="A1430" t="str">
        <x:v>retornarCorreoEncolado</x:v>
      </x:c>
      <x:c r="B1430" t="str">
        <x:v>idCorreo</x:v>
      </x:c>
      <x:c r="C1430" t="str">
        <x:v>E_CorreoPendiente</x:v>
      </x:c>
      <x:c r="D1430" t="str">
        <x:v>C_RecuperarCuenta</x:v>
      </x:c>
      <x:c r="E1430" t="str">
        <x:v>retorno</x:v>
      </x:c>
      <x:c r="F1430" t="n">
        <x:v>1</x:v>
      </x:c>
      <x:c r="G1430" t="str">
        <x:v>RF53</x:v>
      </x:c>
      <x:c r="H1430" t="str">
        <x:v>RF053-EF1!F33</x:v>
      </x:c>
    </x:row>
    <x:row r="1431">
      <x:c r="A1431" t="str">
        <x:v>retornarEventoRegistrado</x:v>
      </x:c>
      <x:c r="B1431" t="str"/>
      <x:c r="C1431" t="str">
        <x:v>E_EstadoCuenta</x:v>
      </x:c>
      <x:c r="D1431" t="str">
        <x:v>C_ControlCuenta</x:v>
      </x:c>
      <x:c r="E1431" t="str">
        <x:v>retorno</x:v>
      </x:c>
      <x:c r="F1431" t="n">
        <x:v>1</x:v>
      </x:c>
      <x:c r="G1431" t="str">
        <x:v>RF59</x:v>
      </x:c>
      <x:c r="H1431" t="str">
        <x:v>RF059_EXITOSO!F22</x:v>
      </x:c>
    </x:row>
    <x:row r="1432">
      <x:c r="A1432" t="str">
        <x:v>retornarEventosEstado</x:v>
      </x:c>
      <x:c r="B1432" t="str">
        <x:v>eventos</x:v>
      </x:c>
      <x:c r="C1432" t="str">
        <x:v>E_EstadoCuenta</x:v>
      </x:c>
      <x:c r="D1432" t="str">
        <x:v>C_ControlUsuariosAdmin</x:v>
      </x:c>
      <x:c r="E1432" t="str">
        <x:v>retorno</x:v>
      </x:c>
      <x:c r="F1432" t="n">
        <x:v>1</x:v>
      </x:c>
      <x:c r="G1432" t="str">
        <x:v>RF58</x:v>
      </x:c>
      <x:c r="H1432" t="str">
        <x:v>RF058_EXITOSO!F32</x:v>
      </x:c>
    </x:row>
    <x:row r="1433">
      <x:c r="A1433" t="str">
        <x:v>retornarEventoRegistrado</x:v>
      </x:c>
      <x:c r="B1433" t="str"/>
      <x:c r="C1433" t="str">
        <x:v>E_EstadoCuenta</x:v>
      </x:c>
      <x:c r="D1433" t="str">
        <x:v>C_RecuperarCuenta</x:v>
      </x:c>
      <x:c r="E1433" t="str">
        <x:v>retorno</x:v>
      </x:c>
      <x:c r="F1433" t="n">
        <x:v>1</x:v>
      </x:c>
      <x:c r="G1433" t="str">
        <x:v>RF53</x:v>
      </x:c>
      <x:c r="H1433" t="str">
        <x:v>RF053-EF1!F53</x:v>
      </x:c>
    </x:row>
    <x:row r="1434">
      <x:c r="A1434" t="str">
        <x:v>retornarEvidenciaGuardada</x:v>
      </x:c>
      <x:c r="B1434" t="str"/>
      <x:c r="C1434" t="str">
        <x:v>E_EvidenciaIncidencia</x:v>
      </x:c>
      <x:c r="D1434" t="str">
        <x:v>C_ControlIncidencia</x:v>
      </x:c>
      <x:c r="E1434" t="str">
        <x:v>retorno</x:v>
      </x:c>
      <x:c r="F1434" t="n">
        <x:v>1</x:v>
      </x:c>
      <x:c r="G1434" t="str">
        <x:v>RF63</x:v>
      </x:c>
      <x:c r="H1434" t="str">
        <x:v>RF063_EXITOSO!F30</x:v>
      </x:c>
    </x:row>
    <x:row r="1435">
      <x:c r="A1435" t="str">
        <x:v>retornarCierreSOATRegistrado</x:v>
      </x:c>
      <x:c r="B1435" t="str">
        <x:v>idHistorial?</x:v>
      </x:c>
      <x:c r="C1435" t="str">
        <x:v>E_HistorialAlerta</x:v>
      </x:c>
      <x:c r="D1435" t="str">
        <x:v>C_ControlAlerta</x:v>
      </x:c>
      <x:c r="E1435" t="str">
        <x:v>retorno</x:v>
      </x:c>
      <x:c r="F1435" t="n">
        <x:v>1</x:v>
      </x:c>
      <x:c r="G1435" t="str">
        <x:v>RF32</x:v>
      </x:c>
      <x:c r="H1435" t="str">
        <x:v>RF032-EF1!F69</x:v>
      </x:c>
    </x:row>
    <x:row r="1436">
      <x:c r="A1436" t="str">
        <x:v>retornarCreacionRegistrada</x:v>
      </x:c>
      <x:c r="B1436" t="str">
        <x:v>datos_historial</x:v>
      </x:c>
      <x:c r="C1436" t="str">
        <x:v>E_HistorialAlerta</x:v>
      </x:c>
      <x:c r="D1436" t="str">
        <x:v>C_ControlAlerta</x:v>
      </x:c>
      <x:c r="E1436" t="str">
        <x:v>retorno</x:v>
      </x:c>
      <x:c r="F1436" t="n">
        <x:v>1</x:v>
      </x:c>
      <x:c r="G1436" t="str">
        <x:v>RF22</x:v>
      </x:c>
      <x:c r="H1436" t="str">
        <x:v>RF22!F97</x:v>
      </x:c>
    </x:row>
    <x:row r="1437">
      <x:c r="A1437" t="str">
        <x:v>retornarHistorialInicialRegistrado</x:v>
      </x:c>
      <x:c r="B1437" t="str">
        <x:v>idHistorialAlerta</x:v>
      </x:c>
      <x:c r="C1437" t="str">
        <x:v>E_HistorialAlerta</x:v>
      </x:c>
      <x:c r="D1437" t="str">
        <x:v>C_ControlAlerta</x:v>
      </x:c>
      <x:c r="E1437" t="str">
        <x:v>retorno</x:v>
      </x:c>
      <x:c r="F1437" t="n">
        <x:v>1</x:v>
      </x:c>
      <x:c r="G1437" t="str">
        <x:v>RF51</x:v>
      </x:c>
      <x:c r="H1437" t="str">
        <x:v>RF051-EF1!F57</x:v>
      </x:c>
    </x:row>
    <x:row r="1438">
      <x:c r="A1438" t="str">
        <x:v>retornarRegistroTransicionSiCorresponde</x:v>
      </x:c>
      <x:c r="B1438" t="str">
        <x:v>datos_historial</x:v>
      </x:c>
      <x:c r="C1438" t="str">
        <x:v>E_HistorialAlerta</x:v>
      </x:c>
      <x:c r="D1438" t="str">
        <x:v>C_ControlAlerta</x:v>
      </x:c>
      <x:c r="E1438" t="str">
        <x:v>retorno</x:v>
      </x:c>
      <x:c r="F1438" t="n">
        <x:v>1</x:v>
      </x:c>
      <x:c r="G1438" t="str">
        <x:v>RF24</x:v>
      </x:c>
      <x:c r="H1438" t="str">
        <x:v>RF24!F24</x:v>
      </x:c>
    </x:row>
    <x:row r="1439">
      <x:c r="A1439" t="str">
        <x:v>retornarTransicionNuevaVigenciaRegistrada</x:v>
      </x:c>
      <x:c r="B1439" t="str">
        <x:v>idHistorial?</x:v>
      </x:c>
      <x:c r="C1439" t="str">
        <x:v>E_HistorialAlerta</x:v>
      </x:c>
      <x:c r="D1439" t="str">
        <x:v>C_ControlAlerta</x:v>
      </x:c>
      <x:c r="E1439" t="str">
        <x:v>retorno</x:v>
      </x:c>
      <x:c r="F1439" t="n">
        <x:v>1</x:v>
      </x:c>
      <x:c r="G1439" t="str">
        <x:v>RF32</x:v>
      </x:c>
      <x:c r="H1439" t="str">
        <x:v>RF032-EF1!F77</x:v>
      </x:c>
    </x:row>
    <x:row r="1440">
      <x:c r="A1440" t="str">
        <x:v>retornarTransicionRegistrada</x:v>
      </x:c>
      <x:c r="B1440" t="str">
        <x:v>datos_historial</x:v>
      </x:c>
      <x:c r="C1440" t="str">
        <x:v>E_HistorialAlerta</x:v>
      </x:c>
      <x:c r="D1440" t="str">
        <x:v>C_ControlAlerta</x:v>
      </x:c>
      <x:c r="E1440" t="str">
        <x:v>retorno</x:v>
      </x:c>
      <x:c r="F1440" t="n">
        <x:v>1</x:v>
      </x:c>
      <x:c r="G1440" t="str">
        <x:v>RF24</x:v>
      </x:c>
      <x:c r="H1440" t="str">
        <x:v>RF24!F88</x:v>
      </x:c>
    </x:row>
    <x:row r="1441">
      <x:c r="A1441" t="str">
        <x:v>retornarTransicionesEdicionRegistradas</x:v>
      </x:c>
      <x:c r="B1441" t="str">
        <x:v>idsHistorial</x:v>
      </x:c>
      <x:c r="C1441" t="str">
        <x:v>E_HistorialAlerta</x:v>
      </x:c>
      <x:c r="D1441" t="str">
        <x:v>C_ControlAlerta</x:v>
      </x:c>
      <x:c r="E1441" t="str">
        <x:v>retorno</x:v>
      </x:c>
      <x:c r="F1441" t="n">
        <x:v>1</x:v>
      </x:c>
      <x:c r="G1441" t="str">
        <x:v>RF32</x:v>
      </x:c>
      <x:c r="H1441" t="str">
        <x:v>RF032-EF1!F47</x:v>
      </x:c>
    </x:row>
    <x:row r="1442">
      <x:c r="A1442" t="str">
        <x:v>retornarTransicionesRegistradas</x:v>
      </x:c>
      <x:c r="B1442" t="str"/>
      <x:c r="C1442" t="str">
        <x:v>E_HistorialAlerta</x:v>
      </x:c>
      <x:c r="D1442" t="str">
        <x:v>C_ControlAlerta</x:v>
      </x:c>
      <x:c r="E1442" t="str">
        <x:v>retorno</x:v>
      </x:c>
      <x:c r="F1442" t="n">
        <x:v>2</x:v>
      </x:c>
      <x:c r="G1442" t="str">
        <x:v>RF14, RF16</x:v>
      </x:c>
      <x:c r="H1442" t="str">
        <x:v>RF014-EF1!F39</x:v>
      </x:c>
    </x:row>
    <x:row r="1443">
      <x:c r="A1443" t="str">
        <x:v>retornarTransicionesRegistradas</x:v>
      </x:c>
      <x:c r="B1443" t="str">
        <x:v>idsHistorial</x:v>
      </x:c>
      <x:c r="C1443" t="str">
        <x:v>E_HistorialAlerta</x:v>
      </x:c>
      <x:c r="D1443" t="str">
        <x:v>C_ControlAlerta</x:v>
      </x:c>
      <x:c r="E1443" t="str">
        <x:v>retorno</x:v>
      </x:c>
      <x:c r="F1443" t="n">
        <x:v>6</x:v>
      </x:c>
      <x:c r="G1443" t="str">
        <x:v>RF12, RF23, RF31, RF33, RF50</x:v>
      </x:c>
      <x:c r="H1443" t="str">
        <x:v>RF012-EF1!F41</x:v>
      </x:c>
    </x:row>
    <x:row r="1444">
      <x:c r="A1444" t="str">
        <x:v>retornarImagenTIVEGuardada</x:v>
      </x:c>
      <x:c r="B1444" t="str">
        <x:v>referenciaImagen</x:v>
      </x:c>
      <x:c r="C1444" t="str">
        <x:v>E_ImagenTIVE</x:v>
      </x:c>
      <x:c r="D1444" t="str">
        <x:v>C_ControlImagenTIVE</x:v>
      </x:c>
      <x:c r="E1444" t="str">
        <x:v>retorno</x:v>
      </x:c>
      <x:c r="F1444" t="n">
        <x:v>1</x:v>
      </x:c>
      <x:c r="G1444" t="str">
        <x:v>RF54</x:v>
      </x:c>
      <x:c r="H1444" t="str">
        <x:v>RF054-EF1!F43</x:v>
      </x:c>
    </x:row>
    <x:row r="1445">
      <x:c r="A1445" t="str">
        <x:v>retornarReferenciaImagenActual</x:v>
      </x:c>
      <x:c r="B1445" t="str">
        <x:v>referenciaImagenActual</x:v>
      </x:c>
      <x:c r="C1445" t="str">
        <x:v>E_ImagenTIVE</x:v>
      </x:c>
      <x:c r="D1445" t="str">
        <x:v>C_ControlImagenTIVE</x:v>
      </x:c>
      <x:c r="E1445" t="str">
        <x:v>retorno</x:v>
      </x:c>
      <x:c r="F1445" t="n">
        <x:v>2</x:v>
      </x:c>
      <x:c r="G1445" t="str">
        <x:v>RF56</x:v>
      </x:c>
      <x:c r="H1445" t="str">
        <x:v>RF056-EF1!F16</x:v>
      </x:c>
    </x:row>
    <x:row r="1446">
      <x:c r="A1446" t="str">
        <x:v>retornarReferenciaImagenTIVE</x:v>
      </x:c>
      <x:c r="B1446" t="str">
        <x:v>referenciaImagen</x:v>
      </x:c>
      <x:c r="C1446" t="str">
        <x:v>E_ImagenTIVE</x:v>
      </x:c>
      <x:c r="D1446" t="str">
        <x:v>C_ControlImagenTIVE</x:v>
      </x:c>
      <x:c r="E1446" t="str">
        <x:v>retorno</x:v>
      </x:c>
      <x:c r="F1446" t="n">
        <x:v>1</x:v>
      </x:c>
      <x:c r="G1446" t="str">
        <x:v>RF55</x:v>
      </x:c>
      <x:c r="H1446" t="str">
        <x:v>RF055-EF1!F17</x:v>
      </x:c>
    </x:row>
    <x:row r="1447">
      <x:c r="A1447" t="str">
        <x:v>retornarEstadoImagen</x:v>
      </x:c>
      <x:c r="B1447" t="str">
        <x:v>PERSONALIZADA,datosImagenActual</x:v>
      </x:c>
      <x:c r="C1447" t="str">
        <x:v>E_ImagenVehiculo</x:v>
      </x:c>
      <x:c r="D1447" t="str">
        <x:v>C_ControlImagenVehiculo</x:v>
      </x:c>
      <x:c r="E1447" t="str">
        <x:v>retorno</x:v>
      </x:c>
      <x:c r="F1447" t="n">
        <x:v>2</x:v>
      </x:c>
      <x:c r="G1447" t="str">
        <x:v>RF43, RF45</x:v>
      </x:c>
      <x:c r="H1447" t="str">
        <x:v>RF043-EF1!F8</x:v>
      </x:c>
    </x:row>
    <x:row r="1448">
      <x:c r="A1448" t="str">
        <x:v>retornarEstadoImagen</x:v>
      </x:c>
      <x:c r="B1448" t="str">
        <x:v>PREDETERMINADA</x:v>
      </x:c>
      <x:c r="C1448" t="str">
        <x:v>E_ImagenVehiculo</x:v>
      </x:c>
      <x:c r="D1448" t="str">
        <x:v>C_ControlImagenVehiculo</x:v>
      </x:c>
      <x:c r="E1448" t="str">
        <x:v>retorno</x:v>
      </x:c>
      <x:c r="F1448" t="n">
        <x:v>1</x:v>
      </x:c>
      <x:c r="G1448" t="str">
        <x:v>RF42</x:v>
      </x:c>
      <x:c r="H1448" t="str">
        <x:v>RF042-EF1!F8</x:v>
      </x:c>
    </x:row>
    <x:row r="1449">
      <x:c r="A1449" t="str">
        <x:v>retornarEstadoImagen</x:v>
      </x:c>
      <x:c r="B1449" t="str">
        <x:v>estadoImagen,datosImagen</x:v>
      </x:c>
      <x:c r="C1449" t="str">
        <x:v>E_ImagenVehiculo</x:v>
      </x:c>
      <x:c r="D1449" t="str">
        <x:v>C_ControlImagenVehiculo</x:v>
      </x:c>
      <x:c r="E1449" t="str">
        <x:v>retorno</x:v>
      </x:c>
      <x:c r="F1449" t="n">
        <x:v>2</x:v>
      </x:c>
      <x:c r="G1449" t="str">
        <x:v>RF10, RF50</x:v>
      </x:c>
      <x:c r="H1449" t="str">
        <x:v>RF010-EF1!F28</x:v>
      </x:c>
    </x:row>
    <x:row r="1450">
      <x:c r="A1450" t="str">
        <x:v>retornarImagenActualizada</x:v>
      </x:c>
      <x:c r="B1450" t="str">
        <x:v>datosImagenActualizada</x:v>
      </x:c>
      <x:c r="C1450" t="str">
        <x:v>E_ImagenVehiculo</x:v>
      </x:c>
      <x:c r="D1450" t="str">
        <x:v>C_ControlImagenVehiculo</x:v>
      </x:c>
      <x:c r="E1450" t="str">
        <x:v>retorno</x:v>
      </x:c>
      <x:c r="F1450" t="n">
        <x:v>1</x:v>
      </x:c>
      <x:c r="G1450" t="str">
        <x:v>RF43</x:v>
      </x:c>
      <x:c r="H1450" t="str">
        <x:v>RF043-EF1!F26</x:v>
      </x:c>
    </x:row>
    <x:row r="1451">
      <x:c r="A1451" t="str">
        <x:v>retornarImagenEliminada</x:v>
      </x:c>
      <x:c r="B1451" t="str"/>
      <x:c r="C1451" t="str">
        <x:v>E_ImagenVehiculo</x:v>
      </x:c>
      <x:c r="D1451" t="str">
        <x:v>C_ControlImagenVehiculo</x:v>
      </x:c>
      <x:c r="E1451" t="str">
        <x:v>retorno</x:v>
      </x:c>
      <x:c r="F1451" t="n">
        <x:v>1</x:v>
      </x:c>
      <x:c r="G1451" t="str">
        <x:v>RF45</x:v>
      </x:c>
      <x:c r="H1451" t="str">
        <x:v>RF045-EF1!F21</x:v>
      </x:c>
    </x:row>
    <x:row r="1452">
      <x:c r="A1452" t="str">
        <x:v>retornarImagenRegistrada</x:v>
      </x:c>
      <x:c r="B1452" t="str">
        <x:v>datosImagen</x:v>
      </x:c>
      <x:c r="C1452" t="str">
        <x:v>E_ImagenVehiculo</x:v>
      </x:c>
      <x:c r="D1452" t="str">
        <x:v>C_ControlImagenVehiculo</x:v>
      </x:c>
      <x:c r="E1452" t="str">
        <x:v>retorno</x:v>
      </x:c>
      <x:c r="F1452" t="n">
        <x:v>1</x:v>
      </x:c>
      <x:c r="G1452" t="str">
        <x:v>RF42</x:v>
      </x:c>
      <x:c r="H1452" t="str">
        <x:v>RF042-EF1!F27</x:v>
      </x:c>
    </x:row>
    <x:row r="1453">
      <x:c r="A1453" t="str">
        <x:v>confirmarEstadoActualizado</x:v>
      </x:c>
      <x:c r="B1453" t="str"/>
      <x:c r="C1453" t="str">
        <x:v>E_Incidencia</x:v>
      </x:c>
      <x:c r="D1453" t="str">
        <x:v>C_ControlIncidencia</x:v>
      </x:c>
      <x:c r="E1453" t="str">
        <x:v>otra</x:v>
      </x:c>
      <x:c r="F1453" t="n">
        <x:v>1</x:v>
      </x:c>
      <x:c r="G1453" t="str">
        <x:v>RF61</x:v>
      </x:c>
      <x:c r="H1453" t="str">
        <x:v>RF061_EXITOSO!F27</x:v>
      </x:c>
    </x:row>
    <x:row r="1454">
      <x:c r="A1454" t="str">
        <x:v>retornarCoincidenciasPropias</x:v>
      </x:c>
      <x:c r="B1454" t="str">
        <x:v>lista</x:v>
      </x:c>
      <x:c r="C1454" t="str">
        <x:v>E_Incidencia</x:v>
      </x:c>
      <x:c r="D1454" t="str">
        <x:v>C_ControlIncidencia</x:v>
      </x:c>
      <x:c r="E1454" t="str">
        <x:v>retorno</x:v>
      </x:c>
      <x:c r="F1454" t="n">
        <x:v>1</x:v>
      </x:c>
      <x:c r="G1454" t="str">
        <x:v>RF64</x:v>
      </x:c>
      <x:c r="H1454" t="str">
        <x:v>RF064_EXITOSO!F16</x:v>
      </x:c>
    </x:row>
    <x:row r="1455">
      <x:c r="A1455" t="str">
        <x:v>retornarDetalleIncidencia</x:v>
      </x:c>
      <x:c r="B1455" t="str">
        <x:v>datos</x:v>
      </x:c>
      <x:c r="C1455" t="str">
        <x:v>E_Incidencia</x:v>
      </x:c>
      <x:c r="D1455" t="str">
        <x:v>C_ControlIncidencia</x:v>
      </x:c>
      <x:c r="E1455" t="str">
        <x:v>retorno</x:v>
      </x:c>
      <x:c r="F1455" t="n">
        <x:v>1</x:v>
      </x:c>
      <x:c r="G1455" t="str">
        <x:v>RF61</x:v>
      </x:c>
      <x:c r="H1455" t="str">
        <x:v>RF061_EXITOSO!F13</x:v>
      </x:c>
    </x:row>
    <x:row r="1456">
      <x:c r="A1456" t="str">
        <x:v>retornarDetallePermitido</x:v>
      </x:c>
      <x:c r="B1456" t="str">
        <x:v>datos</x:v>
      </x:c>
      <x:c r="C1456" t="str">
        <x:v>E_Incidencia</x:v>
      </x:c>
      <x:c r="D1456" t="str">
        <x:v>C_ControlIncidencia</x:v>
      </x:c>
      <x:c r="E1456" t="str">
        <x:v>retorno</x:v>
      </x:c>
      <x:c r="F1456" t="n">
        <x:v>1</x:v>
      </x:c>
      <x:c r="G1456" t="str">
        <x:v>RF64</x:v>
      </x:c>
      <x:c r="H1456" t="str">
        <x:v>RF064_EXITOSO!F22</x:v>
      </x:c>
    </x:row>
    <x:row r="1457">
      <x:c r="A1457" t="str">
        <x:v>retornarIncidenciaCreada</x:v>
      </x:c>
      <x:c r="B1457" t="str">
        <x:v>codigo,fecha</x:v>
      </x:c>
      <x:c r="C1457" t="str">
        <x:v>E_Incidencia</x:v>
      </x:c>
      <x:c r="D1457" t="str">
        <x:v>C_ControlIncidencia</x:v>
      </x:c>
      <x:c r="E1457" t="str">
        <x:v>retorno</x:v>
      </x:c>
      <x:c r="F1457" t="n">
        <x:v>1</x:v>
      </x:c>
      <x:c r="G1457" t="str">
        <x:v>RF63</x:v>
      </x:c>
      <x:c r="H1457" t="str">
        <x:v>RF063_EXITOSO!F28</x:v>
      </x:c>
    </x:row>
    <x:row r="1458">
      <x:c r="A1458" t="str">
        <x:v>retornarIncidenciaResuelta</x:v>
      </x:c>
      <x:c r="B1458" t="str"/>
      <x:c r="C1458" t="str">
        <x:v>E_Incidencia</x:v>
      </x:c>
      <x:c r="D1458" t="str">
        <x:v>C_ControlIncidencia</x:v>
      </x:c>
      <x:c r="E1458" t="str">
        <x:v>retorno</x:v>
      </x:c>
      <x:c r="F1458" t="n">
        <x:v>1</x:v>
      </x:c>
      <x:c r="G1458" t="str">
        <x:v>RF61</x:v>
      </x:c>
      <x:c r="H1458" t="str">
        <x:v>RF061_EXITOSO!F64</x:v>
      </x:c>
    </x:row>
    <x:row r="1459">
      <x:c r="A1459" t="str">
        <x:v>retornarIncidencias</x:v>
      </x:c>
      <x:c r="B1459" t="str">
        <x:v>lista</x:v>
      </x:c>
      <x:c r="C1459" t="str">
        <x:v>E_Incidencia</x:v>
      </x:c>
      <x:c r="D1459" t="str">
        <x:v>C_ControlIncidencia</x:v>
      </x:c>
      <x:c r="E1459" t="str">
        <x:v>retorno</x:v>
      </x:c>
      <x:c r="F1459" t="n">
        <x:v>1</x:v>
      </x:c>
      <x:c r="G1459" t="str">
        <x:v>RF61</x:v>
      </x:c>
      <x:c r="H1459" t="str">
        <x:v>RF061_EXITOSO!F8</x:v>
      </x:c>
    </x:row>
    <x:row r="1460">
      <x:c r="A1460" t="str">
        <x:v>retornarReportesPropios</x:v>
      </x:c>
      <x:c r="B1460" t="str">
        <x:v>lista</x:v>
      </x:c>
      <x:c r="C1460" t="str">
        <x:v>E_Incidencia</x:v>
      </x:c>
      <x:c r="D1460" t="str">
        <x:v>C_ControlIncidencia</x:v>
      </x:c>
      <x:c r="E1460" t="str">
        <x:v>retorno</x:v>
      </x:c>
      <x:c r="F1460" t="n">
        <x:v>1</x:v>
      </x:c>
      <x:c r="G1460" t="str">
        <x:v>RF64</x:v>
      </x:c>
      <x:c r="H1460" t="str">
        <x:v>RF064_EXITOSO!F10</x:v>
      </x:c>
    </x:row>
    <x:row r="1461">
      <x:c r="A1461" t="str">
        <x:v>retornarContextoLecturasServicio</x:v>
      </x:c>
      <x:c r="B1461" t="str">
        <x:v>lecturas_pertinentes,lectura_vigente</x:v>
      </x:c>
      <x:c r="C1461" t="str">
        <x:v>E_Kilometraje</x:v>
      </x:c>
      <x:c r="D1461" t="str">
        <x:v>C_ControlKilometraje</x:v>
      </x:c>
      <x:c r="E1461" t="str">
        <x:v>retorno</x:v>
      </x:c>
      <x:c r="F1461" t="n">
        <x:v>2</x:v>
      </x:c>
      <x:c r="G1461" t="str">
        <x:v>RF17, RF24</x:v>
      </x:c>
      <x:c r="H1461" t="str">
        <x:v>RF17!F78</x:v>
      </x:c>
    </x:row>
    <x:row r="1462">
      <x:c r="A1462" t="str">
        <x:v>retornarHistorialKilometraje</x:v>
      </x:c>
      <x:c r="B1462" t="str">
        <x:v>listaLecturas</x:v>
      </x:c>
      <x:c r="C1462" t="str">
        <x:v>E_Kilometraje</x:v>
      </x:c>
      <x:c r="D1462" t="str">
        <x:v>C_ControlKilometraje</x:v>
      </x:c>
      <x:c r="E1462" t="str">
        <x:v>retorno</x:v>
      </x:c>
      <x:c r="F1462" t="n">
        <x:v>2</x:v>
      </x:c>
      <x:c r="G1462" t="str">
        <x:v>RF15</x:v>
      </x:c>
      <x:c r="H1462" t="str">
        <x:v>RF015-EF1!F20</x:v>
      </x:c>
    </x:row>
    <x:row r="1463">
      <x:c r="A1463" t="str">
        <x:v>retornarHistorialKilometraje</x:v>
      </x:c>
      <x:c r="B1463" t="str">
        <x:v>lista_kilometrajes,kilometraje_actual</x:v>
      </x:c>
      <x:c r="C1463" t="str">
        <x:v>E_Kilometraje</x:v>
      </x:c>
      <x:c r="D1463" t="str">
        <x:v>C_ControlKilometraje</x:v>
      </x:c>
      <x:c r="E1463" t="str">
        <x:v>retorno</x:v>
      </x:c>
      <x:c r="F1463" t="n">
        <x:v>2</x:v>
      </x:c>
      <x:c r="G1463" t="str">
        <x:v>RF25, RF26</x:v>
      </x:c>
      <x:c r="H1463" t="str">
        <x:v>RF25!F30</x:v>
      </x:c>
    </x:row>
    <x:row r="1464">
      <x:c r="A1464" t="str">
        <x:v>retornarKilometrajeActual</x:v>
      </x:c>
      <x:c r="B1464" t="str">
        <x:v>kilometraje_actual</x:v>
      </x:c>
      <x:c r="C1464" t="str">
        <x:v>E_Kilometraje</x:v>
      </x:c>
      <x:c r="D1464" t="str">
        <x:v>C_ControlKilometraje</x:v>
      </x:c>
      <x:c r="E1464" t="str">
        <x:v>retorno</x:v>
      </x:c>
      <x:c r="F1464" t="n">
        <x:v>1</x:v>
      </x:c>
      <x:c r="G1464" t="str">
        <x:v>RF27</x:v>
      </x:c>
      <x:c r="H1464" t="str">
        <x:v>RF27!F37</x:v>
      </x:c>
    </x:row>
    <x:row r="1465">
      <x:c r="A1465" t="str">
        <x:v>retornarKilometrajeActual</x:v>
      </x:c>
      <x:c r="B1465" t="str">
        <x:v>kilometraje_actual,fecha_lectura</x:v>
      </x:c>
      <x:c r="C1465" t="str">
        <x:v>E_Kilometraje</x:v>
      </x:c>
      <x:c r="D1465" t="str">
        <x:v>C_ControlKilometraje</x:v>
      </x:c>
      <x:c r="E1465" t="str">
        <x:v>retorno</x:v>
      </x:c>
      <x:c r="F1465" t="n">
        <x:v>2</x:v>
      </x:c>
      <x:c r="G1465" t="str">
        <x:v>RF24</x:v>
      </x:c>
      <x:c r="H1465" t="str">
        <x:v>RF24!F16</x:v>
      </x:c>
    </x:row>
    <x:row r="1466">
      <x:c r="A1466" t="str">
        <x:v>retornarKilometrajeActualSiAplica</x:v>
      </x:c>
      <x:c r="B1466" t="str">
        <x:v>km_vigente_confirmacion_o_NULL,fecha_lectura_confirmacion_o_NULL</x:v>
      </x:c>
      <x:c r="C1466" t="str">
        <x:v>E_Kilometraje</x:v>
      </x:c>
      <x:c r="D1466" t="str">
        <x:v>C_ControlKilometraje</x:v>
      </x:c>
      <x:c r="E1466" t="str">
        <x:v>retorno</x:v>
      </x:c>
      <x:c r="F1466" t="n">
        <x:v>1</x:v>
      </x:c>
      <x:c r="G1466" t="str">
        <x:v>RF22</x:v>
      </x:c>
      <x:c r="H1466" t="str">
        <x:v>RF22!F87</x:v>
      </x:c>
    </x:row>
    <x:row r="1467">
      <x:c r="A1467" t="str">
        <x:v>retornarKilometrajeInicial</x:v>
      </x:c>
      <x:c r="B1467" t="str">
        <x:v>idKilometraje,fechaGuardado</x:v>
      </x:c>
      <x:c r="C1467" t="str">
        <x:v>E_Kilometraje</x:v>
      </x:c>
      <x:c r="D1467" t="str">
        <x:v>C_ControlKilometraje</x:v>
      </x:c>
      <x:c r="E1467" t="str">
        <x:v>retorno</x:v>
      </x:c>
      <x:c r="F1467" t="n">
        <x:v>1</x:v>
      </x:c>
      <x:c r="G1467" t="str">
        <x:v>RF08</x:v>
      </x:c>
      <x:c r="H1467" t="str">
        <x:v>RF008-EF1!F49</x:v>
      </x:c>
    </x:row>
    <x:row r="1468">
      <x:c r="A1468" t="str">
        <x:v>retornarKilometrajeVigente</x:v>
      </x:c>
      <x:c r="B1468" t="str">
        <x:v>kilometraje_vigente</x:v>
      </x:c>
      <x:c r="C1468" t="str">
        <x:v>E_Kilometraje</x:v>
      </x:c>
      <x:c r="D1468" t="str">
        <x:v>C_ControlKilometraje</x:v>
      </x:c>
      <x:c r="E1468" t="str">
        <x:v>retorno</x:v>
      </x:c>
      <x:c r="F1468" t="n">
        <x:v>1</x:v>
      </x:c>
      <x:c r="G1468" t="str">
        <x:v>RF24</x:v>
      </x:c>
      <x:c r="H1468" t="str">
        <x:v>RF24!F72</x:v>
      </x:c>
    </x:row>
    <x:row r="1469">
      <x:c r="A1469" t="str">
        <x:v>retornarKilometrajeVigente</x:v>
      </x:c>
      <x:c r="B1469" t="str">
        <x:v>kmActual</x:v>
      </x:c>
      <x:c r="C1469" t="str">
        <x:v>E_Kilometraje</x:v>
      </x:c>
      <x:c r="D1469" t="str">
        <x:v>C_ControlKilometraje</x:v>
      </x:c>
      <x:c r="E1469" t="str">
        <x:v>retorno</x:v>
      </x:c>
      <x:c r="F1469" t="n">
        <x:v>1</x:v>
      </x:c>
      <x:c r="G1469" t="str">
        <x:v>RF14</x:v>
      </x:c>
      <x:c r="H1469" t="str">
        <x:v>RF014-EF1!F56</x:v>
      </x:c>
    </x:row>
    <x:row r="1470">
      <x:c r="A1470" t="str">
        <x:v>retornarKilometrajeVigenteOAusente</x:v>
      </x:c>
      <x:c r="B1470" t="str">
        <x:v>km_vigente_o_NULL,fecha_lectura_o_NULL,id_vehiculo</x:v>
      </x:c>
      <x:c r="C1470" t="str">
        <x:v>E_Kilometraje</x:v>
      </x:c>
      <x:c r="D1470" t="str">
        <x:v>C_ControlKilometraje</x:v>
      </x:c>
      <x:c r="E1470" t="str">
        <x:v>retorno</x:v>
      </x:c>
      <x:c r="F1470" t="n">
        <x:v>1</x:v>
      </x:c>
      <x:c r="G1470" t="str">
        <x:v>RF22</x:v>
      </x:c>
      <x:c r="H1470" t="str">
        <x:v>RF22!F37</x:v>
      </x:c>
    </x:row>
    <x:row r="1471">
      <x:c r="A1471" t="str">
        <x:v>retornarLecturaActualizada</x:v>
      </x:c>
      <x:c r="B1471" t="str">
        <x:v>kmNuevo</x:v>
      </x:c>
      <x:c r="C1471" t="str">
        <x:v>E_Kilometraje</x:v>
      </x:c>
      <x:c r="D1471" t="str">
        <x:v>C_ControlKilometraje</x:v>
      </x:c>
      <x:c r="E1471" t="str">
        <x:v>retorno</x:v>
      </x:c>
      <x:c r="F1471" t="n">
        <x:v>1</x:v>
      </x:c>
      <x:c r="G1471" t="str">
        <x:v>RF16</x:v>
      </x:c>
      <x:c r="H1471" t="str">
        <x:v>RF016-EF1!F36</x:v>
      </x:c>
    </x:row>
    <x:row r="1472">
      <x:c r="A1472" t="str">
        <x:v>retornarLecturaBloqueada</x:v>
      </x:c>
      <x:c r="B1472" t="str">
        <x:v>idLectura,kmActual,versionActual</x:v>
      </x:c>
      <x:c r="C1472" t="str">
        <x:v>E_Kilometraje</x:v>
      </x:c>
      <x:c r="D1472" t="str">
        <x:v>C_ControlKilometraje</x:v>
      </x:c>
      <x:c r="E1472" t="str">
        <x:v>retorno</x:v>
      </x:c>
      <x:c r="F1472" t="n">
        <x:v>1</x:v>
      </x:c>
      <x:c r="G1472" t="str">
        <x:v>RF16</x:v>
      </x:c>
      <x:c r="H1472" t="str">
        <x:v>RF016-EF1!F30</x:v>
      </x:c>
    </x:row>
    <x:row r="1473">
      <x:c r="A1473" t="str">
        <x:v>retornarLecturaCronologicaAnterior</x:v>
      </x:c>
      <x:c r="B1473" t="str">
        <x:v>kmAnteriorValido</x:v>
      </x:c>
      <x:c r="C1473" t="str">
        <x:v>E_Kilometraje</x:v>
      </x:c>
      <x:c r="D1473" t="str">
        <x:v>C_ControlKilometraje</x:v>
      </x:c>
      <x:c r="E1473" t="str">
        <x:v>retorno</x:v>
      </x:c>
      <x:c r="F1473" t="n">
        <x:v>1</x:v>
      </x:c>
      <x:c r="G1473" t="str">
        <x:v>RF16</x:v>
      </x:c>
      <x:c r="H1473" t="str">
        <x:v>RF016-EF1!F20</x:v>
      </x:c>
    </x:row>
    <x:row r="1474">
      <x:c r="A1474" t="str">
        <x:v>retornarLecturaRegistrada</x:v>
      </x:c>
      <x:c r="B1474" t="str">
        <x:v>idLectura,kmNuevo,fechaGuardado</x:v>
      </x:c>
      <x:c r="C1474" t="str">
        <x:v>E_Kilometraje</x:v>
      </x:c>
      <x:c r="D1474" t="str">
        <x:v>C_ControlKilometraje</x:v>
      </x:c>
      <x:c r="E1474" t="str">
        <x:v>retorno</x:v>
      </x:c>
      <x:c r="F1474" t="n">
        <x:v>1</x:v>
      </x:c>
      <x:c r="G1474" t="str">
        <x:v>RF14</x:v>
      </x:c>
      <x:c r="H1474" t="str">
        <x:v>RF014-EF1!F30</x:v>
      </x:c>
    </x:row>
    <x:row r="1475">
      <x:c r="A1475" t="str">
        <x:v>retornarTratamientoLectura</x:v>
      </x:c>
      <x:c r="B1475" t="str">
        <x:v>resultado_lectura</x:v>
      </x:c>
      <x:c r="C1475" t="str">
        <x:v>E_Kilometraje</x:v>
      </x:c>
      <x:c r="D1475" t="str">
        <x:v>C_ControlKilometraje</x:v>
      </x:c>
      <x:c r="E1475" t="str">
        <x:v>retorno</x:v>
      </x:c>
      <x:c r="F1475" t="n">
        <x:v>1</x:v>
      </x:c>
      <x:c r="G1475" t="str">
        <x:v>RF21</x:v>
      </x:c>
      <x:c r="H1475" t="str">
        <x:v>RF21!F28</x:v>
      </x:c>
    </x:row>
    <x:row r="1476">
      <x:c r="A1476" t="str">
        <x:v>retornarUltimaLectura</x:v>
      </x:c>
      <x:c r="B1476" t="str">
        <x:v>datosLectura</x:v>
      </x:c>
      <x:c r="C1476" t="str">
        <x:v>E_Kilometraje</x:v>
      </x:c>
      <x:c r="D1476" t="str">
        <x:v>C_ControlKilometraje</x:v>
      </x:c>
      <x:c r="E1476" t="str">
        <x:v>retorno</x:v>
      </x:c>
      <x:c r="F1476" t="n">
        <x:v>1</x:v>
      </x:c>
      <x:c r="G1476" t="str">
        <x:v>RF23</x:v>
      </x:c>
      <x:c r="H1476" t="str">
        <x:v>RF23!F26</x:v>
      </x:c>
    </x:row>
    <x:row r="1477">
      <x:c r="A1477" t="str">
        <x:v>retornarUltimaLectura</x:v>
      </x:c>
      <x:c r="B1477" t="str">
        <x:v>kilometraje,fechaLectura</x:v>
      </x:c>
      <x:c r="C1477" t="str">
        <x:v>E_Kilometraje</x:v>
      </x:c>
      <x:c r="D1477" t="str">
        <x:v>C_ControlKilometraje</x:v>
      </x:c>
      <x:c r="E1477" t="str">
        <x:v>retorno</x:v>
      </x:c>
      <x:c r="F1477" t="n">
        <x:v>3</x:v>
      </x:c>
      <x:c r="G1477" t="str">
        <x:v>RF10, RF11, RF50</x:v>
      </x:c>
      <x:c r="H1477" t="str">
        <x:v>RF010-EF1!F13</x:v>
      </x:c>
    </x:row>
    <x:row r="1478">
      <x:c r="A1478" t="str">
        <x:v>retornarUltimaLectura</x:v>
      </x:c>
      <x:c r="B1478" t="str">
        <x:v>kmPrevio,idLectura,version</x:v>
      </x:c>
      <x:c r="C1478" t="str">
        <x:v>E_Kilometraje</x:v>
      </x:c>
      <x:c r="D1478" t="str">
        <x:v>C_ControlKilometraje</x:v>
      </x:c>
      <x:c r="E1478" t="str">
        <x:v>retorno</x:v>
      </x:c>
      <x:c r="F1478" t="n">
        <x:v>2</x:v>
      </x:c>
      <x:c r="G1478" t="str">
        <x:v>RF14, RF16</x:v>
      </x:c>
      <x:c r="H1478" t="str">
        <x:v>RF014-EF1!F12</x:v>
      </x:c>
    </x:row>
    <x:row r="1479">
      <x:c r="A1479" t="str">
        <x:v>retornarUltimaLectura</x:v>
      </x:c>
      <x:c r="B1479" t="str">
        <x:v>ultimoKilometraje,fechaLectura</x:v>
      </x:c>
      <x:c r="C1479" t="str">
        <x:v>E_Kilometraje</x:v>
      </x:c>
      <x:c r="D1479" t="str">
        <x:v>C_ControlKilometraje</x:v>
      </x:c>
      <x:c r="E1479" t="str">
        <x:v>retorno</x:v>
      </x:c>
      <x:c r="F1479" t="n">
        <x:v>1</x:v>
      </x:c>
      <x:c r="G1479" t="str">
        <x:v>RF47</x:v>
      </x:c>
      <x:c r="H1479" t="str">
        <x:v>RF047-EF1!F21</x:v>
      </x:c>
    </x:row>
    <x:row r="1480">
      <x:c r="A1480" t="str">
        <x:v>retornarUltimaLecturaBloqueada</x:v>
      </x:c>
      <x:c r="B1480" t="str">
        <x:v>kmVigente,versionVigente</x:v>
      </x:c>
      <x:c r="C1480" t="str">
        <x:v>E_Kilometraje</x:v>
      </x:c>
      <x:c r="D1480" t="str">
        <x:v>C_ControlKilometraje</x:v>
      </x:c>
      <x:c r="E1480" t="str">
        <x:v>retorno</x:v>
      </x:c>
      <x:c r="F1480" t="n">
        <x:v>1</x:v>
      </x:c>
      <x:c r="G1480" t="str">
        <x:v>RF14</x:v>
      </x:c>
      <x:c r="H1480" t="str">
        <x:v>RF014-EF1!F27</x:v>
      </x:c>
    </x:row>
    <x:row r="1481">
      <x:c r="A1481" t="str">
        <x:v>retornarUltimasLecturas</x:v>
      </x:c>
      <x:c r="B1481" t="str">
        <x:v>lecturasPorVehiculo</x:v>
      </x:c>
      <x:c r="C1481" t="str">
        <x:v>E_Kilometraje</x:v>
      </x:c>
      <x:c r="D1481" t="str">
        <x:v>C_ControlKilometraje</x:v>
      </x:c>
      <x:c r="E1481" t="str">
        <x:v>retorno</x:v>
      </x:c>
      <x:c r="F1481" t="n">
        <x:v>1</x:v>
      </x:c>
      <x:c r="G1481" t="str">
        <x:v>RF44</x:v>
      </x:c>
      <x:c r="H1481" t="str">
        <x:v>RF044-EF1!F30</x:v>
      </x:c>
    </x:row>
    <x:row r="1482">
      <x:c r="A1482" t="str">
        <x:v>retornarUltimasLecturas</x:v>
      </x:c>
      <x:c r="B1482" t="str">
        <x:v>mapaKilometrajes</x:v>
      </x:c>
      <x:c r="C1482" t="str">
        <x:v>E_Kilometraje</x:v>
      </x:c>
      <x:c r="D1482" t="str">
        <x:v>C_ControlKilometraje</x:v>
      </x:c>
      <x:c r="E1482" t="str">
        <x:v>retorno</x:v>
      </x:c>
      <x:c r="F1482" t="n">
        <x:v>4</x:v>
      </x:c>
      <x:c r="G1482" t="str">
        <x:v>RF09, RF12, RF13</x:v>
      </x:c>
      <x:c r="H1482" t="str">
        <x:v>RF009-EF1!F16</x:v>
      </x:c>
    </x:row>
    <x:row r="1483">
      <x:c r="A1483" t="str">
        <x:v>retornarUltimasLecturasValidas</x:v>
      </x:c>
      <x:c r="B1483" t="str">
        <x:v>lecturasPorVehiculo</x:v>
      </x:c>
      <x:c r="C1483" t="str">
        <x:v>E_Kilometraje</x:v>
      </x:c>
      <x:c r="D1483" t="str">
        <x:v>C_ControlKilometraje</x:v>
      </x:c>
      <x:c r="E1483" t="str">
        <x:v>retorno</x:v>
      </x:c>
      <x:c r="F1483" t="n">
        <x:v>1</x:v>
      </x:c>
      <x:c r="G1483" t="str">
        <x:v>RF23</x:v>
      </x:c>
      <x:c r="H1483" t="str">
        <x:v>RF23!F68</x:v>
      </x:c>
    </x:row>
    <x:row r="1484">
      <x:c r="A1484" t="str">
        <x:v>retornarUltimoKilometraje</x:v>
      </x:c>
      <x:c r="B1484" t="str">
        <x:v>id_kilometraje,kilometraje_servicio,fecha_lectura</x:v>
      </x:c>
      <x:c r="C1484" t="str">
        <x:v>E_Kilometraje</x:v>
      </x:c>
      <x:c r="D1484" t="str">
        <x:v>C_ControlKilometraje</x:v>
      </x:c>
      <x:c r="E1484" t="str">
        <x:v>retorno</x:v>
      </x:c>
      <x:c r="F1484" t="n">
        <x:v>1</x:v>
      </x:c>
      <x:c r="G1484" t="str">
        <x:v>RF17</x:v>
      </x:c>
      <x:c r="H1484" t="str">
        <x:v>RF17!F32</x:v>
      </x:c>
    </x:row>
    <x:row r="1485">
      <x:c r="A1485" t="str">
        <x:v>retornarDatosLicenciaActual</x:v>
      </x:c>
      <x:c r="B1485" t="str">
        <x:v>datosLicencia</x:v>
      </x:c>
      <x:c r="C1485" t="str">
        <x:v>E_Licencia</x:v>
      </x:c>
      <x:c r="D1485" t="str">
        <x:v>C_ControlLicencia</x:v>
      </x:c>
      <x:c r="E1485" t="str">
        <x:v>retorno</x:v>
      </x:c>
      <x:c r="F1485" t="n">
        <x:v>1</x:v>
      </x:c>
      <x:c r="G1485" t="str">
        <x:v>RF52</x:v>
      </x:c>
      <x:c r="H1485" t="str">
        <x:v>RF052-EF1!F19</x:v>
      </x:c>
    </x:row>
    <x:row r="1486">
      <x:c r="A1486" t="str">
        <x:v>retornarDatosLicenciasParaEvaluacion</x:v>
      </x:c>
      <x:c r="B1486" t="str">
        <x:v>datosLicencias</x:v>
      </x:c>
      <x:c r="C1486" t="str">
        <x:v>E_Licencia</x:v>
      </x:c>
      <x:c r="D1486" t="str">
        <x:v>C_ControlLicencia</x:v>
      </x:c>
      <x:c r="E1486" t="str">
        <x:v>retorno</x:v>
      </x:c>
      <x:c r="F1486" t="n">
        <x:v>1</x:v>
      </x:c>
      <x:c r="G1486" t="str">
        <x:v>RF23</x:v>
      </x:c>
      <x:c r="H1486" t="str">
        <x:v>RF23!F62</x:v>
      </x:c>
    </x:row>
    <x:row r="1487">
      <x:c r="A1487" t="str">
        <x:v>retornarDatosLicenciasPropias</x:v>
      </x:c>
      <x:c r="B1487" t="str">
        <x:v>datosLicencias</x:v>
      </x:c>
      <x:c r="C1487" t="str">
        <x:v>E_Licencia</x:v>
      </x:c>
      <x:c r="D1487" t="str">
        <x:v>C_ControlLicencia</x:v>
      </x:c>
      <x:c r="E1487" t="str">
        <x:v>retorno</x:v>
      </x:c>
      <x:c r="F1487" t="n">
        <x:v>1</x:v>
      </x:c>
      <x:c r="G1487" t="str">
        <x:v>RF23</x:v>
      </x:c>
      <x:c r="H1487" t="str">
        <x:v>RF23!F99</x:v>
      </x:c>
    </x:row>
    <x:row r="1488">
      <x:c r="A1488" t="str">
        <x:v>retornarLicenciaActual</x:v>
      </x:c>
      <x:c r="B1488" t="str">
        <x:v>NO_REGISTRADA</x:v>
      </x:c>
      <x:c r="C1488" t="str">
        <x:v>E_Licencia</x:v>
      </x:c>
      <x:c r="D1488" t="str">
        <x:v>C_ControlLicencia</x:v>
      </x:c>
      <x:c r="E1488" t="str">
        <x:v>retorno</x:v>
      </x:c>
      <x:c r="F1488" t="n">
        <x:v>1</x:v>
      </x:c>
      <x:c r="G1488" t="str">
        <x:v>RF51</x:v>
      </x:c>
      <x:c r="H1488" t="str">
        <x:v>RF051-EF1!F19</x:v>
      </x:c>
    </x:row>
    <x:row r="1489">
      <x:c r="A1489" t="str">
        <x:v>retornarLicenciaRegistrada</x:v>
      </x:c>
      <x:c r="B1489" t="str">
        <x:v>idLicencia,estadoAdministrativo,fechaRevalidacion</x:v>
      </x:c>
      <x:c r="C1489" t="str">
        <x:v>E_Licencia</x:v>
      </x:c>
      <x:c r="D1489" t="str">
        <x:v>C_ControlLicencia</x:v>
      </x:c>
      <x:c r="E1489" t="str">
        <x:v>retorno</x:v>
      </x:c>
      <x:c r="F1489" t="n">
        <x:v>1</x:v>
      </x:c>
      <x:c r="G1489" t="str">
        <x:v>RF51</x:v>
      </x:c>
      <x:c r="H1489" t="str">
        <x:v>RF051-EF1!F50</x:v>
      </x:c>
    </x:row>
    <x:row r="1490">
      <x:c r="A1490" t="str">
        <x:v>retornarDetalleMantenimiento</x:v>
      </x:c>
      <x:c r="B1490" t="str">
        <x:v>datos_mantenimiento</x:v>
      </x:c>
      <x:c r="C1490" t="str">
        <x:v>E_Mantenimiento</x:v>
      </x:c>
      <x:c r="D1490" t="str">
        <x:v>C_ControlHistorial</x:v>
      </x:c>
      <x:c r="E1490" t="str">
        <x:v>retorno</x:v>
      </x:c>
      <x:c r="F1490" t="n">
        <x:v>1</x:v>
      </x:c>
      <x:c r="G1490" t="str">
        <x:v>RF19</x:v>
      </x:c>
      <x:c r="H1490" t="str">
        <x:v>RF19!F9</x:v>
      </x:c>
    </x:row>
    <x:row r="1491">
      <x:c r="A1491" t="str">
        <x:v>retornarListaMantenimientosConKmServicio</x:v>
      </x:c>
      <x:c r="B1491" t="str">
        <x:v>lista_mantenimientos</x:v>
      </x:c>
      <x:c r="C1491" t="str">
        <x:v>E_Mantenimiento</x:v>
      </x:c>
      <x:c r="D1491" t="str">
        <x:v>C_ControlHistorial</x:v>
      </x:c>
      <x:c r="E1491" t="str">
        <x:v>retorno</x:v>
      </x:c>
      <x:c r="F1491" t="n">
        <x:v>2</x:v>
      </x:c>
      <x:c r="G1491" t="str">
        <x:v>RF18, RF21</x:v>
      </x:c>
      <x:c r="H1491" t="str">
        <x:v>RF18!F22</x:v>
      </x:c>
    </x:row>
    <x:row r="1492">
      <x:c r="A1492" t="str">
        <x:v>retornarListaMantenimientosConKmServicio</x:v>
      </x:c>
      <x:c r="B1492" t="str">
        <x:v>lista_mantenimientos_nueva</x:v>
      </x:c>
      <x:c r="C1492" t="str">
        <x:v>E_Mantenimiento</x:v>
      </x:c>
      <x:c r="D1492" t="str">
        <x:v>C_ControlHistorial</x:v>
      </x:c>
      <x:c r="E1492" t="str">
        <x:v>retorno</x:v>
      </x:c>
      <x:c r="F1492" t="n">
        <x:v>1</x:v>
      </x:c>
      <x:c r="G1492" t="str">
        <x:v>RF18</x:v>
      </x:c>
      <x:c r="H1492" t="str">
        <x:v>RF18!F41</x:v>
      </x:c>
    </x:row>
    <x:row r="1493">
      <x:c r="A1493" t="str">
        <x:v>retornarListaMantenimientosHistoricos</x:v>
      </x:c>
      <x:c r="B1493" t="str">
        <x:v>lista_mantenimientos</x:v>
      </x:c>
      <x:c r="C1493" t="str">
        <x:v>E_Mantenimiento</x:v>
      </x:c>
      <x:c r="D1493" t="str">
        <x:v>C_ControlHistorial</x:v>
      </x:c>
      <x:c r="E1493" t="str">
        <x:v>retorno</x:v>
      </x:c>
      <x:c r="F1493" t="n">
        <x:v>1</x:v>
      </x:c>
      <x:c r="G1493" t="str">
        <x:v>RF25</x:v>
      </x:c>
      <x:c r="H1493" t="str">
        <x:v>RF25!F22</x:v>
      </x:c>
    </x:row>
    <x:row r="1494">
      <x:c r="A1494" t="str">
        <x:v>retornarMantenimientosExportables</x:v>
      </x:c>
      <x:c r="B1494" t="str">
        <x:v>lista_mantenimientos</x:v>
      </x:c>
      <x:c r="C1494" t="str">
        <x:v>E_Mantenimiento</x:v>
      </x:c>
      <x:c r="D1494" t="str">
        <x:v>C_ControlHistorial</x:v>
      </x:c>
      <x:c r="E1494" t="str">
        <x:v>retorno</x:v>
      </x:c>
      <x:c r="F1494" t="n">
        <x:v>1</x:v>
      </x:c>
      <x:c r="G1494" t="str">
        <x:v>RF27</x:v>
      </x:c>
      <x:c r="H1494" t="str">
        <x:v>RF27!F40</x:v>
      </x:c>
    </x:row>
    <x:row r="1495">
      <x:c r="A1495" t="str">
        <x:v>retornarMantenimientosFiltrados</x:v>
      </x:c>
      <x:c r="B1495" t="str">
        <x:v>lista_mantenimientos</x:v>
      </x:c>
      <x:c r="C1495" t="str">
        <x:v>E_Mantenimiento</x:v>
      </x:c>
      <x:c r="D1495" t="str">
        <x:v>C_ControlHistorial</x:v>
      </x:c>
      <x:c r="E1495" t="str">
        <x:v>retorno</x:v>
      </x:c>
      <x:c r="F1495" t="n">
        <x:v>1</x:v>
      </x:c>
      <x:c r="G1495" t="str">
        <x:v>RF26</x:v>
      </x:c>
      <x:c r="H1495" t="str">
        <x:v>RF26!F24</x:v>
      </x:c>
    </x:row>
    <x:row r="1496">
      <x:c r="A1496" t="str">
        <x:v>retornarResumenMantenimientos</x:v>
      </x:c>
      <x:c r="B1496" t="str">
        <x:v>lista_mantenimientos</x:v>
      </x:c>
      <x:c r="C1496" t="str">
        <x:v>E_Mantenimiento</x:v>
      </x:c>
      <x:c r="D1496" t="str">
        <x:v>C_ControlHistorial</x:v>
      </x:c>
      <x:c r="E1496" t="str">
        <x:v>retorno</x:v>
      </x:c>
      <x:c r="F1496" t="n">
        <x:v>1</x:v>
      </x:c>
      <x:c r="G1496" t="str">
        <x:v>RF17</x:v>
      </x:c>
      <x:c r="H1496" t="str">
        <x:v>RF17!F15</x:v>
      </x:c>
    </x:row>
    <x:row r="1497">
      <x:c r="A1497" t="str">
        <x:v>retornarUltimoMantenimiento</x:v>
      </x:c>
      <x:c r="B1497" t="str">
        <x:v>datosMantenimiento</x:v>
      </x:c>
      <x:c r="C1497" t="str">
        <x:v>E_Mantenimiento</x:v>
      </x:c>
      <x:c r="D1497" t="str">
        <x:v>C_ControlHistorial</x:v>
      </x:c>
      <x:c r="E1497" t="str">
        <x:v>retorno</x:v>
      </x:c>
      <x:c r="F1497" t="n">
        <x:v>1</x:v>
      </x:c>
      <x:c r="G1497" t="str">
        <x:v>RF50</x:v>
      </x:c>
      <x:c r="H1497" t="str">
        <x:v>RF050-EF1!F44</x:v>
      </x:c>
    </x:row>
    <x:row r="1498">
      <x:c r="A1498" t="str">
        <x:v>retornarAntecedentesSegunTipo</x:v>
      </x:c>
      <x:c r="B1498" t="str">
        <x:v>lista_servicios_otro_o_vacia,referencia_ultimo_tipo_o_NULL</x:v>
      </x:c>
      <x:c r="C1498" t="str">
        <x:v>E_Mantenimiento</x:v>
      </x:c>
      <x:c r="D1498" t="str">
        <x:v>C_ControlMantenimiento</x:v>
      </x:c>
      <x:c r="E1498" t="str">
        <x:v>retorno</x:v>
      </x:c>
      <x:c r="F1498" t="n">
        <x:v>1</x:v>
      </x:c>
      <x:c r="G1498" t="str">
        <x:v>RF22</x:v>
      </x:c>
      <x:c r="H1498" t="str">
        <x:v>RF22!F33</x:v>
      </x:c>
    </x:row>
    <x:row r="1499">
      <x:c r="A1499" t="str">
        <x:v>retornarDatosMantenimiento</x:v>
      </x:c>
      <x:c r="B1499" t="str">
        <x:v>datos_mantenimiento</x:v>
      </x:c>
      <x:c r="C1499" t="str">
        <x:v>E_Mantenimiento</x:v>
      </x:c>
      <x:c r="D1499" t="str">
        <x:v>C_ControlMantenimiento</x:v>
      </x:c>
      <x:c r="E1499" t="str">
        <x:v>retorno</x:v>
      </x:c>
      <x:c r="F1499" t="n">
        <x:v>2</x:v>
      </x:c>
      <x:c r="G1499" t="str">
        <x:v>RF20, RF21</x:v>
      </x:c>
      <x:c r="H1499" t="str">
        <x:v>RF20!F8</x:v>
      </x:c>
    </x:row>
    <x:row r="1500">
      <x:c r="A1500" t="str">
        <x:v>retornarMantenimientoActualizado</x:v>
      </x:c>
      <x:c r="B1500" t="str">
        <x:v>datos_mantenimiento_actualizado</x:v>
      </x:c>
      <x:c r="C1500" t="str">
        <x:v>E_Mantenimiento</x:v>
      </x:c>
      <x:c r="D1500" t="str">
        <x:v>C_ControlMantenimiento</x:v>
      </x:c>
      <x:c r="E1500" t="str">
        <x:v>retorno</x:v>
      </x:c>
      <x:c r="F1500" t="n">
        <x:v>1</x:v>
      </x:c>
      <x:c r="G1500" t="str">
        <x:v>RF20</x:v>
      </x:c>
      <x:c r="H1500" t="str">
        <x:v>RF20!F40</x:v>
      </x:c>
    </x:row>
    <x:row r="1501">
      <x:c r="A1501" t="str">
        <x:v>retornarMantenimientoAnulado</x:v>
      </x:c>
      <x:c r="B1501" t="str">
        <x:v>datos_mantenimiento_anulado</x:v>
      </x:c>
      <x:c r="C1501" t="str">
        <x:v>E_Mantenimiento</x:v>
      </x:c>
      <x:c r="D1501" t="str">
        <x:v>C_ControlMantenimiento</x:v>
      </x:c>
      <x:c r="E1501" t="str">
        <x:v>retorno</x:v>
      </x:c>
      <x:c r="F1501" t="n">
        <x:v>1</x:v>
      </x:c>
      <x:c r="G1501" t="str">
        <x:v>RF21</x:v>
      </x:c>
      <x:c r="H1501" t="str">
        <x:v>RF21!F31</x:v>
      </x:c>
    </x:row>
    <x:row r="1502">
      <x:c r="A1502" t="str">
        <x:v>retornarMantenimientoGuardado</x:v>
      </x:c>
      <x:c r="B1502" t="str">
        <x:v>id_mantenimiento</x:v>
      </x:c>
      <x:c r="C1502" t="str">
        <x:v>E_Mantenimiento</x:v>
      </x:c>
      <x:c r="D1502" t="str">
        <x:v>C_ControlMantenimiento</x:v>
      </x:c>
      <x:c r="E1502" t="str">
        <x:v>retorno</x:v>
      </x:c>
      <x:c r="F1502" t="n">
        <x:v>1</x:v>
      </x:c>
      <x:c r="G1502" t="str">
        <x:v>RF17</x:v>
      </x:c>
      <x:c r="H1502" t="str">
        <x:v>RF17!F82</x:v>
      </x:c>
    </x:row>
    <x:row r="1503">
      <x:c r="A1503" t="str">
        <x:v>retornarMantenimientoRegistrado</x:v>
      </x:c>
      <x:c r="B1503" t="str">
        <x:v>id_mantenimiento,datos_mantenimiento</x:v>
      </x:c>
      <x:c r="C1503" t="str">
        <x:v>E_Mantenimiento</x:v>
      </x:c>
      <x:c r="D1503" t="str">
        <x:v>C_ControlMantenimiento</x:v>
      </x:c>
      <x:c r="E1503" t="str">
        <x:v>retorno</x:v>
      </x:c>
      <x:c r="F1503" t="n">
        <x:v>1</x:v>
      </x:c>
      <x:c r="G1503" t="str">
        <x:v>RF24</x:v>
      </x:c>
      <x:c r="H1503" t="str">
        <x:v>RF24!F82</x:v>
      </x:c>
    </x:row>
    <x:row r="1504">
      <x:c r="A1504" t="str">
        <x:v>retornarReferenciaUltimoServicioOpcional</x:v>
      </x:c>
      <x:c r="B1504" t="str">
        <x:v>id_mantenimiento_o_NULL,fecha_servicio_o_NULL,km_servicio_o_NULL</x:v>
      </x:c>
      <x:c r="C1504" t="str">
        <x:v>E_Mantenimiento</x:v>
      </x:c>
      <x:c r="D1504" t="str">
        <x:v>C_ControlMantenimiento</x:v>
      </x:c>
      <x:c r="E1504" t="str">
        <x:v>retorno</x:v>
      </x:c>
      <x:c r="F1504" t="n">
        <x:v>1</x:v>
      </x:c>
      <x:c r="G1504" t="str">
        <x:v>RF22</x:v>
      </x:c>
      <x:c r="H1504" t="str">
        <x:v>RF22!F83</x:v>
      </x:c>
    </x:row>
    <x:row r="1505">
      <x:c r="A1505" t="str">
        <x:v>retornarUltimoRealizadoServicioOtroOpcional</x:v>
      </x:c>
      <x:c r="B1505" t="str">
        <x:v>id_mantenimiento_o_NULL,fecha_servicio_o_NULL,km_servicio_o_NULL</x:v>
      </x:c>
      <x:c r="C1505" t="str">
        <x:v>E_Mantenimiento</x:v>
      </x:c>
      <x:c r="D1505" t="str">
        <x:v>C_ControlMantenimiento</x:v>
      </x:c>
      <x:c r="E1505" t="str">
        <x:v>retorno</x:v>
      </x:c>
      <x:c r="F1505" t="n">
        <x:v>1</x:v>
      </x:c>
      <x:c r="G1505" t="str">
        <x:v>RF22</x:v>
      </x:c>
      <x:c r="H1505" t="str">
        <x:v>RF22!F53</x:v>
      </x:c>
    </x:row>
    <x:row r="1506">
      <x:c r="A1506" t="str">
        <x:v>retornarRelacionesRepuestos</x:v>
      </x:c>
      <x:c r="B1506" t="str">
        <x:v>relaciones_repuestos</x:v>
      </x:c>
      <x:c r="C1506" t="str">
        <x:v>E_MantenimientoRepuesto</x:v>
      </x:c>
      <x:c r="D1506" t="str">
        <x:v>C_ControlRepuesto</x:v>
      </x:c>
      <x:c r="E1506" t="str">
        <x:v>retorno</x:v>
      </x:c>
      <x:c r="F1506" t="n">
        <x:v>2</x:v>
      </x:c>
      <x:c r="G1506" t="str">
        <x:v>RF19, RF27</x:v>
      </x:c>
      <x:c r="H1506" t="str">
        <x:v>RF19!F23</x:v>
      </x:c>
    </x:row>
    <x:row r="1507">
      <x:c r="A1507" t="str">
        <x:v>retornarRepuestosMantenimiento</x:v>
      </x:c>
      <x:c r="B1507" t="str">
        <x:v>lista_repuestos_detalle</x:v>
      </x:c>
      <x:c r="C1507" t="str">
        <x:v>E_MantenimientoRepuesto</x:v>
      </x:c>
      <x:c r="D1507" t="str">
        <x:v>C_ControlRepuesto</x:v>
      </x:c>
      <x:c r="E1507" t="str">
        <x:v>retorno</x:v>
      </x:c>
      <x:c r="F1507" t="n">
        <x:v>1</x:v>
      </x:c>
      <x:c r="G1507" t="str">
        <x:v>RF20</x:v>
      </x:c>
      <x:c r="H1507" t="str">
        <x:v>RF20!F17</x:v>
      </x:c>
    </x:row>
    <x:row r="1508">
      <x:c r="A1508" t="str">
        <x:v>retornarAvisoAtendido</x:v>
      </x:c>
      <x:c r="B1508" t="str"/>
      <x:c r="C1508" t="str">
        <x:v>E_Notificacion</x:v>
      </x:c>
      <x:c r="D1508" t="str">
        <x:v>C_ControlNotificacion</x:v>
      </x:c>
      <x:c r="E1508" t="str">
        <x:v>retorno</x:v>
      </x:c>
      <x:c r="F1508" t="n">
        <x:v>1</x:v>
      </x:c>
      <x:c r="G1508" t="str">
        <x:v>RF14</x:v>
      </x:c>
      <x:c r="H1508" t="str">
        <x:v>RF014-EF1!F48</x:v>
      </x:c>
    </x:row>
    <x:row r="1509">
      <x:c r="A1509" t="str">
        <x:v>retornarBandejaSincronizada</x:v>
      </x:c>
      <x:c r="B1509" t="str">
        <x:v>pendientes,historial</x:v>
      </x:c>
      <x:c r="C1509" t="str">
        <x:v>E_Notificacion</x:v>
      </x:c>
      <x:c r="D1509" t="str">
        <x:v>C_ControlNotificacion</x:v>
      </x:c>
      <x:c r="E1509" t="str">
        <x:v>retorno</x:v>
      </x:c>
      <x:c r="F1509" t="n">
        <x:v>1</x:v>
      </x:c>
      <x:c r="G1509" t="str">
        <x:v>RF46</x:v>
      </x:c>
      <x:c r="H1509" t="str">
        <x:v>RF046-EF1!F19</x:v>
      </x:c>
    </x:row>
    <x:row r="1510">
      <x:c r="A1510" t="str">
        <x:v>retornarCandidatosReemision</x:v>
      </x:c>
      <x:c r="B1510" t="str">
        <x:v>listaCandidatos</x:v>
      </x:c>
      <x:c r="C1510" t="str">
        <x:v>E_Notificacion</x:v>
      </x:c>
      <x:c r="D1510" t="str">
        <x:v>C_ControlNotificacion</x:v>
      </x:c>
      <x:c r="E1510" t="str">
        <x:v>retorno</x:v>
      </x:c>
      <x:c r="F1510" t="n">
        <x:v>1</x:v>
      </x:c>
      <x:c r="G1510" t="str">
        <x:v>RF46</x:v>
      </x:c>
      <x:c r="H1510" t="str">
        <x:v>RF046-EF1!F33</x:v>
      </x:c>
    </x:row>
    <x:row r="1511">
      <x:c r="A1511" t="str">
        <x:v>retornarCierresAplicados</x:v>
      </x:c>
      <x:c r="B1511" t="str"/>
      <x:c r="C1511" t="str">
        <x:v>E_Notificacion</x:v>
      </x:c>
      <x:c r="D1511" t="str">
        <x:v>C_ControlNotificacion</x:v>
      </x:c>
      <x:c r="E1511" t="str">
        <x:v>retorno</x:v>
      </x:c>
      <x:c r="F1511" t="n">
        <x:v>1</x:v>
      </x:c>
      <x:c r="G1511" t="str">
        <x:v>RF46</x:v>
      </x:c>
      <x:c r="H1511" t="str">
        <x:v>RF046-EF1!F55</x:v>
      </x:c>
    </x:row>
    <x:row r="1512">
      <x:c r="A1512" t="str">
        <x:v>retornarConciliacionVigencia</x:v>
      </x:c>
      <x:c r="B1512" t="str"/>
      <x:c r="C1512" t="str">
        <x:v>E_Notificacion</x:v>
      </x:c>
      <x:c r="D1512" t="str">
        <x:v>C_ControlNotificacion</x:v>
      </x:c>
      <x:c r="E1512" t="str">
        <x:v>retorno</x:v>
      </x:c>
      <x:c r="F1512" t="n">
        <x:v>1</x:v>
      </x:c>
      <x:c r="G1512" t="str">
        <x:v>RF46</x:v>
      </x:c>
      <x:c r="H1512" t="str">
        <x:v>RF046-EF1!F16</x:v>
      </x:c>
    </x:row>
    <x:row r="1513">
      <x:c r="A1513" t="str">
        <x:v>retornarLecturaActualizada</x:v>
      </x:c>
      <x:c r="B1513" t="str"/>
      <x:c r="C1513" t="str">
        <x:v>E_Notificacion</x:v>
      </x:c>
      <x:c r="D1513" t="str">
        <x:v>C_ControlNotificacion</x:v>
      </x:c>
      <x:c r="E1513" t="str">
        <x:v>retorno</x:v>
      </x:c>
      <x:c r="F1513" t="n">
        <x:v>1</x:v>
      </x:c>
      <x:c r="G1513" t="str">
        <x:v>RF47</x:v>
      </x:c>
      <x:c r="H1513" t="str">
        <x:v>RF047-EF1!F16</x:v>
      </x:c>
    </x:row>
    <x:row r="1514">
      <x:c r="A1514" t="str">
        <x:v>retornarNotificacion</x:v>
      </x:c>
      <x:c r="B1514" t="str">
        <x:v>notificacion</x:v>
      </x:c>
      <x:c r="C1514" t="str">
        <x:v>E_Notificacion</x:v>
      </x:c>
      <x:c r="D1514" t="str">
        <x:v>C_ControlNotificacion</x:v>
      </x:c>
      <x:c r="E1514" t="str">
        <x:v>retorno</x:v>
      </x:c>
      <x:c r="F1514" t="n">
        <x:v>1</x:v>
      </x:c>
      <x:c r="G1514" t="str">
        <x:v>RF47</x:v>
      </x:c>
      <x:c r="H1514" t="str">
        <x:v>RF047-EF1!F8</x:v>
      </x:c>
    </x:row>
    <x:row r="1515">
      <x:c r="A1515" t="str">
        <x:v>retornarNotificacionActualizada</x:v>
      </x:c>
      <x:c r="B1515" t="str">
        <x:v>datosNotificacion</x:v>
      </x:c>
      <x:c r="C1515" t="str">
        <x:v>E_Notificacion</x:v>
      </x:c>
      <x:c r="D1515" t="str">
        <x:v>C_ControlNotificacion</x:v>
      </x:c>
      <x:c r="E1515" t="str">
        <x:v>retorno</x:v>
      </x:c>
      <x:c r="F1515" t="n">
        <x:v>1</x:v>
      </x:c>
      <x:c r="G1515" t="str">
        <x:v>RF32</x:v>
      </x:c>
      <x:c r="H1515" t="str">
        <x:v>RF032-EF1!F72</x:v>
      </x:c>
    </x:row>
    <x:row r="1516">
      <x:c r="A1516" t="str">
        <x:v>retornarNotificacionActualizada</x:v>
      </x:c>
      <x:c r="B1516" t="str">
        <x:v>datos_notificacion</x:v>
      </x:c>
      <x:c r="C1516" t="str">
        <x:v>E_Notificacion</x:v>
      </x:c>
      <x:c r="D1516" t="str">
        <x:v>C_ControlNotificacion</x:v>
      </x:c>
      <x:c r="E1516" t="str">
        <x:v>retorno</x:v>
      </x:c>
      <x:c r="F1516" t="n">
        <x:v>1</x:v>
      </x:c>
      <x:c r="G1516" t="str">
        <x:v>RF24</x:v>
      </x:c>
      <x:c r="H1516" t="str">
        <x:v>RF24!F91</x:v>
      </x:c>
    </x:row>
    <x:row r="1517">
      <x:c r="A1517" t="str">
        <x:v>retornarNotificacionSOATSuspendida</x:v>
      </x:c>
      <x:c r="B1517" t="str"/>
      <x:c r="C1517" t="str">
        <x:v>E_Notificacion</x:v>
      </x:c>
      <x:c r="D1517" t="str">
        <x:v>C_ControlNotificacion</x:v>
      </x:c>
      <x:c r="E1517" t="str">
        <x:v>retorno</x:v>
      </x:c>
      <x:c r="F1517" t="n">
        <x:v>1</x:v>
      </x:c>
      <x:c r="G1517" t="str">
        <x:v>RF33</x:v>
      </x:c>
      <x:c r="H1517" t="str">
        <x:v>RF033-EF1!F57</x:v>
      </x:c>
    </x:row>
    <x:row r="1518">
      <x:c r="A1518" t="str">
        <x:v>retornarNotificacionSincronizada</x:v>
      </x:c>
      <x:c r="B1518" t="str">
        <x:v>datos_notificacion</x:v>
      </x:c>
      <x:c r="C1518" t="str">
        <x:v>E_Notificacion</x:v>
      </x:c>
      <x:c r="D1518" t="str">
        <x:v>C_ControlNotificacion</x:v>
      </x:c>
      <x:c r="E1518" t="str">
        <x:v>retorno</x:v>
      </x:c>
      <x:c r="F1518" t="n">
        <x:v>1</x:v>
      </x:c>
      <x:c r="G1518" t="str">
        <x:v>RF24</x:v>
      </x:c>
      <x:c r="H1518" t="str">
        <x:v>RF24!F27</x:v>
      </x:c>
    </x:row>
    <x:row r="1519">
      <x:c r="A1519" t="str">
        <x:v>retornarNotificaciones</x:v>
      </x:c>
      <x:c r="B1519" t="str">
        <x:v>listaNotificaciones</x:v>
      </x:c>
      <x:c r="C1519" t="str">
        <x:v>E_Notificacion</x:v>
      </x:c>
      <x:c r="D1519" t="str">
        <x:v>C_ControlNotificacion</x:v>
      </x:c>
      <x:c r="E1519" t="str">
        <x:v>retorno</x:v>
      </x:c>
      <x:c r="F1519" t="n">
        <x:v>1</x:v>
      </x:c>
      <x:c r="G1519" t="str">
        <x:v>RF46</x:v>
      </x:c>
      <x:c r="H1519" t="str">
        <x:v>RF046-EF1!F8</x:v>
      </x:c>
    </x:row>
    <x:row r="1520">
      <x:c r="A1520" t="str">
        <x:v>retornarNotificacionesFiltradas</x:v>
      </x:c>
      <x:c r="B1520" t="str">
        <x:v>listaFiltrada</x:v>
      </x:c>
      <x:c r="C1520" t="str">
        <x:v>E_Notificacion</x:v>
      </x:c>
      <x:c r="D1520" t="str">
        <x:v>C_ControlNotificacion</x:v>
      </x:c>
      <x:c r="E1520" t="str">
        <x:v>retorno</x:v>
      </x:c>
      <x:c r="F1520" t="n">
        <x:v>2</x:v>
      </x:c>
      <x:c r="G1520" t="str">
        <x:v>RF49</x:v>
      </x:c>
      <x:c r="H1520" t="str">
        <x:v>RF049-EF1!F8</x:v>
      </x:c>
    </x:row>
    <x:row r="1521">
      <x:c r="A1521" t="str">
        <x:v>retornarNotificacionesPestana</x:v>
      </x:c>
      <x:c r="B1521" t="str">
        <x:v>lista</x:v>
      </x:c>
      <x:c r="C1521" t="str">
        <x:v>E_Notificacion</x:v>
      </x:c>
      <x:c r="D1521" t="str">
        <x:v>C_ControlNotificacion</x:v>
      </x:c>
      <x:c r="E1521" t="str">
        <x:v>retorno</x:v>
      </x:c>
      <x:c r="F1521" t="n">
        <x:v>1</x:v>
      </x:c>
      <x:c r="G1521" t="str">
        <x:v>RF46</x:v>
      </x:c>
      <x:c r="H1521" t="str">
        <x:v>RF046-EF1!F27</x:v>
      </x:c>
    </x:row>
    <x:row r="1522">
      <x:c r="A1522" t="str">
        <x:v>retornarPrimerAvisoKmActivado</x:v>
      </x:c>
      <x:c r="B1522" t="str"/>
      <x:c r="C1522" t="str">
        <x:v>E_Notificacion</x:v>
      </x:c>
      <x:c r="D1522" t="str">
        <x:v>C_ControlNotificacion</x:v>
      </x:c>
      <x:c r="E1522" t="str">
        <x:v>retorno</x:v>
      </x:c>
      <x:c r="F1522" t="n">
        <x:v>1</x:v>
      </x:c>
      <x:c r="G1522" t="str">
        <x:v>RF44</x:v>
      </x:c>
      <x:c r="H1522" t="str">
        <x:v>RF044-EF1!F65</x:v>
      </x:c>
    </x:row>
    <x:row r="1523">
      <x:c r="A1523" t="str">
        <x:v>retornarReemisionesActualizadas</x:v>
      </x:c>
      <x:c r="B1523" t="str"/>
      <x:c r="C1523" t="str">
        <x:v>E_Notificacion</x:v>
      </x:c>
      <x:c r="D1523" t="str">
        <x:v>C_ControlNotificacion</x:v>
      </x:c>
      <x:c r="E1523" t="str">
        <x:v>retorno</x:v>
      </x:c>
      <x:c r="F1523" t="n">
        <x:v>1</x:v>
      </x:c>
      <x:c r="G1523" t="str">
        <x:v>RF46</x:v>
      </x:c>
      <x:c r="H1523" t="str">
        <x:v>RF046-EF1!F53</x:v>
      </x:c>
    </x:row>
    <x:row r="1524">
      <x:c r="A1524" t="str">
        <x:v>retornarSincronizacionAutomatica</x:v>
      </x:c>
      <x:c r="B1524" t="str">
        <x:v>resultadoNotificaciones</x:v>
      </x:c>
      <x:c r="C1524" t="str">
        <x:v>E_Notificacion</x:v>
      </x:c>
      <x:c r="D1524" t="str">
        <x:v>C_ControlNotificacion</x:v>
      </x:c>
      <x:c r="E1524" t="str">
        <x:v>retorno</x:v>
      </x:c>
      <x:c r="F1524" t="n">
        <x:v>1</x:v>
      </x:c>
      <x:c r="G1524" t="str">
        <x:v>RF23</x:v>
      </x:c>
      <x:c r="H1524" t="str">
        <x:v>RF23!F80</x:v>
      </x:c>
    </x:row>
    <x:row r="1525">
      <x:c r="A1525" t="str">
        <x:v>retornarSincronizacionNotificacion</x:v>
      </x:c>
      <x:c r="B1525" t="str">
        <x:v>datosNotificacion</x:v>
      </x:c>
      <x:c r="C1525" t="str">
        <x:v>E_Notificacion</x:v>
      </x:c>
      <x:c r="D1525" t="str">
        <x:v>C_ControlNotificacion</x:v>
      </x:c>
      <x:c r="E1525" t="str">
        <x:v>retorno</x:v>
      </x:c>
      <x:c r="F1525" t="n">
        <x:v>3</x:v>
      </x:c>
      <x:c r="G1525" t="str">
        <x:v>RF31, RF32, RF33</x:v>
      </x:c>
      <x:c r="H1525" t="str">
        <x:v>RF031-EF1!F48</x:v>
      </x:c>
    </x:row>
    <x:row r="1526">
      <x:c r="A1526" t="str">
        <x:v>retornarSincronizacionNotificacion</x:v>
      </x:c>
      <x:c r="B1526" t="str">
        <x:v>datosNotificacionNueva</x:v>
      </x:c>
      <x:c r="C1526" t="str">
        <x:v>E_Notificacion</x:v>
      </x:c>
      <x:c r="D1526" t="str">
        <x:v>C_ControlNotificacion</x:v>
      </x:c>
      <x:c r="E1526" t="str">
        <x:v>retorno</x:v>
      </x:c>
      <x:c r="F1526" t="n">
        <x:v>1</x:v>
      </x:c>
      <x:c r="G1526" t="str">
        <x:v>RF32</x:v>
      </x:c>
      <x:c r="H1526" t="str">
        <x:v>RF032-EF1!F80</x:v>
      </x:c>
    </x:row>
    <x:row r="1527">
      <x:c r="A1527" t="str">
        <x:v>retornarSincronizacionNotificacion</x:v>
      </x:c>
      <x:c r="B1527" t="str">
        <x:v>resultado_notificacion</x:v>
      </x:c>
      <x:c r="C1527" t="str">
        <x:v>E_Notificacion</x:v>
      </x:c>
      <x:c r="D1527" t="str">
        <x:v>C_ControlNotificacion</x:v>
      </x:c>
      <x:c r="E1527" t="str">
        <x:v>retorno</x:v>
      </x:c>
      <x:c r="F1527" t="n">
        <x:v>1</x:v>
      </x:c>
      <x:c r="G1527" t="str">
        <x:v>RF22</x:v>
      </x:c>
      <x:c r="H1527" t="str">
        <x:v>RF22!F100</x:v>
      </x:c>
    </x:row>
    <x:row r="1528">
      <x:c r="A1528" t="str">
        <x:v>retornarSincronizacionNotificaciones</x:v>
      </x:c>
      <x:c r="B1528" t="str">
        <x:v>resultadoNotificaciones</x:v>
      </x:c>
      <x:c r="C1528" t="str">
        <x:v>E_Notificacion</x:v>
      </x:c>
      <x:c r="D1528" t="str">
        <x:v>C_ControlNotificacion</x:v>
      </x:c>
      <x:c r="E1528" t="str">
        <x:v>retorno</x:v>
      </x:c>
      <x:c r="F1528" t="n">
        <x:v>3</x:v>
      </x:c>
      <x:c r="G1528" t="str">
        <x:v>RF12, RF23, RF50</x:v>
      </x:c>
      <x:c r="H1528" t="str">
        <x:v>RF012-EF1!F45</x:v>
      </x:c>
    </x:row>
    <x:row r="1529">
      <x:c r="A1529" t="str">
        <x:v>retornarTotalPendientes</x:v>
      </x:c>
      <x:c r="B1529" t="str">
        <x:v>total</x:v>
      </x:c>
      <x:c r="C1529" t="str">
        <x:v>E_Notificacion</x:v>
      </x:c>
      <x:c r="D1529" t="str">
        <x:v>C_ControlNotificacion</x:v>
      </x:c>
      <x:c r="E1529" t="str">
        <x:v>retorno</x:v>
      </x:c>
      <x:c r="F1529" t="n">
        <x:v>1</x:v>
      </x:c>
      <x:c r="G1529" t="str">
        <x:v>RF50</x:v>
      </x:c>
      <x:c r="H1529" t="str">
        <x:v>RF050-EF1!F49</x:v>
      </x:c>
    </x:row>
    <x:row r="1530">
      <x:c r="A1530" t="str">
        <x:v>retornarPagoVerificadoPersistido</x:v>
      </x:c>
      <x:c r="B1530" t="str">
        <x:v>idPago</x:v>
      </x:c>
      <x:c r="C1530" t="str">
        <x:v>E_Pago</x:v>
      </x:c>
      <x:c r="D1530" t="str">
        <x:v>C_ControlPago</x:v>
      </x:c>
      <x:c r="E1530" t="str">
        <x:v>retorno</x:v>
      </x:c>
      <x:c r="F1530" t="n">
        <x:v>1</x:v>
      </x:c>
      <x:c r="G1530" t="str">
        <x:v>RF29</x:v>
      </x:c>
      <x:c r="H1530" t="str">
        <x:v>RF029-E1!F44</x:v>
      </x:c>
    </x:row>
    <x:row r="1531">
      <x:c r="A1531" t="str">
        <x:v>retornarUltimoPago</x:v>
      </x:c>
      <x:c r="B1531" t="str">
        <x:v>datosPago</x:v>
      </x:c>
      <x:c r="C1531" t="str">
        <x:v>E_Pago</x:v>
      </x:c>
      <x:c r="D1531" t="str">
        <x:v>C_ControlPago</x:v>
      </x:c>
      <x:c r="E1531" t="str">
        <x:v>retorno</x:v>
      </x:c>
      <x:c r="F1531" t="n">
        <x:v>1</x:v>
      </x:c>
      <x:c r="G1531" t="str">
        <x:v>RF30</x:v>
      </x:c>
      <x:c r="H1531" t="str">
        <x:v>RF030-E1!F18</x:v>
      </x:c>
    </x:row>
    <x:row r="1532">
      <x:c r="A1532" t="str">
        <x:v>retornarResumenPago</x:v>
      </x:c>
      <x:c r="B1532" t="str">
        <x:v>datosPago</x:v>
      </x:c>
      <x:c r="C1532" t="str">
        <x:v>E_Pago</x:v>
      </x:c>
      <x:c r="D1532" t="str">
        <x:v>C_ControlSuscripcionAdmin</x:v>
      </x:c>
      <x:c r="E1532" t="str">
        <x:v>retorno</x:v>
      </x:c>
      <x:c r="F1532" t="n">
        <x:v>1</x:v>
      </x:c>
      <x:c r="G1532" t="str">
        <x:v>RF60</x:v>
      </x:c>
      <x:c r="H1532" t="str">
        <x:v>RF060_EXITOSO!F21</x:v>
      </x:c>
    </x:row>
    <x:row r="1533">
      <x:c r="A1533" t="str">
        <x:v>retornarPreferenciasActualizadas</x:v>
      </x:c>
      <x:c r="B1533" t="str"/>
      <x:c r="C1533" t="str">
        <x:v>E_PreferenciaNotificacion</x:v>
      </x:c>
      <x:c r="D1533" t="str">
        <x:v>C_ControlNotificacion</x:v>
      </x:c>
      <x:c r="E1533" t="str">
        <x:v>retorno</x:v>
      </x:c>
      <x:c r="F1533" t="n">
        <x:v>1</x:v>
      </x:c>
      <x:c r="G1533" t="str">
        <x:v>RF48</x:v>
      </x:c>
      <x:c r="H1533" t="str">
        <x:v>RF048-EF1!F26</x:v>
      </x:c>
    </x:row>
    <x:row r="1534">
      <x:c r="A1534" t="str">
        <x:v>retornarPreferenciasExternas</x:v>
      </x:c>
      <x:c r="B1534" t="str">
        <x:v>mantenimiento,soat,kilometraje,permisoDispositivo</x:v>
      </x:c>
      <x:c r="C1534" t="str">
        <x:v>E_PreferenciaNotificacion</x:v>
      </x:c>
      <x:c r="D1534" t="str">
        <x:v>C_ControlNotificacion</x:v>
      </x:c>
      <x:c r="E1534" t="str">
        <x:v>retorno</x:v>
      </x:c>
      <x:c r="F1534" t="n">
        <x:v>1</x:v>
      </x:c>
      <x:c r="G1534" t="str">
        <x:v>RF48</x:v>
      </x:c>
      <x:c r="H1534" t="str">
        <x:v>RF048-EF1!F15</x:v>
      </x:c>
    </x:row>
    <x:row r="1535">
      <x:c r="A1535" t="str">
        <x:v>retornarPreferenciasExternas</x:v>
      </x:c>
      <x:c r="B1535" t="str">
        <x:v>preferencias,permisoDispositivo</x:v>
      </x:c>
      <x:c r="C1535" t="str">
        <x:v>E_PreferenciaNotificacion</x:v>
      </x:c>
      <x:c r="D1535" t="str">
        <x:v>C_ControlNotificacion</x:v>
      </x:c>
      <x:c r="E1535" t="str">
        <x:v>retorno</x:v>
      </x:c>
      <x:c r="F1535" t="n">
        <x:v>1</x:v>
      </x:c>
      <x:c r="G1535" t="str">
        <x:v>RF46</x:v>
      </x:c>
      <x:c r="H1535" t="str">
        <x:v>RF046-EF1!F58</x:v>
      </x:c>
    </x:row>
    <x:row r="1536">
      <x:c r="A1536" t="str">
        <x:v>retornarPreferenciasIniciales</x:v>
      </x:c>
      <x:c r="B1536" t="str">
        <x:v>ON,ON,ON,NO_SOLICITADO</x:v>
      </x:c>
      <x:c r="C1536" t="str">
        <x:v>E_PreferenciaNotificacion</x:v>
      </x:c>
      <x:c r="D1536" t="str">
        <x:v>C_RegistroUsuario</x:v>
      </x:c>
      <x:c r="E1536" t="str">
        <x:v>retorno</x:v>
      </x:c>
      <x:c r="F1536" t="n">
        <x:v>1</x:v>
      </x:c>
      <x:c r="G1536" t="str">
        <x:v>RF01</x:v>
      </x:c>
      <x:c r="H1536" t="str">
        <x:v>RF001-E1!F46</x:v>
      </x:c>
    </x:row>
    <x:row r="1537">
      <x:c r="A1537" t="str">
        <x:v>retornarCicloActualizado</x:v>
      </x:c>
      <x:c r="B1537" t="str"/>
      <x:c r="C1537" t="str">
        <x:v>E_RecordatorioKilometraje</x:v>
      </x:c>
      <x:c r="D1537" t="str">
        <x:v>C_RecordatorioKm</x:v>
      </x:c>
      <x:c r="E1537" t="str">
        <x:v>retorno</x:v>
      </x:c>
      <x:c r="F1537" t="n">
        <x:v>1</x:v>
      </x:c>
      <x:c r="G1537" t="str">
        <x:v>RF14</x:v>
      </x:c>
      <x:c r="H1537" t="str">
        <x:v>RF014-EF1!F44</x:v>
      </x:c>
    </x:row>
    <x:row r="1538">
      <x:c r="A1538" t="str">
        <x:v>retornarCiclosKmCandidatos</x:v>
      </x:c>
      <x:c r="B1538" t="str">
        <x:v>listaCiclos</x:v>
      </x:c>
      <x:c r="C1538" t="str">
        <x:v>E_RecordatorioKilometraje</x:v>
      </x:c>
      <x:c r="D1538" t="str">
        <x:v>C_RecordatorioKm</x:v>
      </x:c>
      <x:c r="E1538" t="str">
        <x:v>retorno</x:v>
      </x:c>
      <x:c r="F1538" t="n">
        <x:v>1</x:v>
      </x:c>
      <x:c r="G1538" t="str">
        <x:v>RF44</x:v>
      </x:c>
      <x:c r="H1538" t="str">
        <x:v>RF044-EF1!F57</x:v>
      </x:c>
    </x:row>
    <x:row r="1539">
      <x:c r="A1539" t="str">
        <x:v>retornarConfiguracionActualizada</x:v>
      </x:c>
      <x:c r="B1539" t="str">
        <x:v>frecuencia,proximoRecordatorio</x:v>
      </x:c>
      <x:c r="C1539" t="str">
        <x:v>E_RecordatorioKilometraje</x:v>
      </x:c>
      <x:c r="D1539" t="str">
        <x:v>C_RecordatorioKm</x:v>
      </x:c>
      <x:c r="E1539" t="str">
        <x:v>retorno</x:v>
      </x:c>
      <x:c r="F1539" t="n">
        <x:v>1</x:v>
      </x:c>
      <x:c r="G1539" t="str">
        <x:v>RF44</x:v>
      </x:c>
      <x:c r="H1539" t="str">
        <x:v>RF044-EF1!F49</x:v>
      </x:c>
    </x:row>
    <x:row r="1540">
      <x:c r="A1540" t="str">
        <x:v>retornarConfiguracionInicial</x:v>
      </x:c>
      <x:c r="B1540" t="str">
        <x:v>frecuencia,proximoRecordatorio</x:v>
      </x:c>
      <x:c r="C1540" t="str">
        <x:v>E_RecordatorioKilometraje</x:v>
      </x:c>
      <x:c r="D1540" t="str">
        <x:v>C_RecordatorioKm</x:v>
      </x:c>
      <x:c r="E1540" t="str">
        <x:v>retorno</x:v>
      </x:c>
      <x:c r="F1540" t="n">
        <x:v>1</x:v>
      </x:c>
      <x:c r="G1540" t="str">
        <x:v>RF08</x:v>
      </x:c>
      <x:c r="H1540" t="str">
        <x:v>RF008-EF1!F53</x:v>
      </x:c>
    </x:row>
    <x:row r="1541">
      <x:c r="A1541" t="str">
        <x:v>retornarConfiguracionRecordatorioKm</x:v>
      </x:c>
      <x:c r="B1541" t="str">
        <x:v>frecuenciaActual</x:v>
      </x:c>
      <x:c r="C1541" t="str">
        <x:v>E_RecordatorioKilometraje</x:v>
      </x:c>
      <x:c r="D1541" t="str">
        <x:v>C_RecordatorioKm</x:v>
      </x:c>
      <x:c r="E1541" t="str">
        <x:v>retorno</x:v>
      </x:c>
      <x:c r="F1541" t="n">
        <x:v>1</x:v>
      </x:c>
      <x:c r="G1541" t="str">
        <x:v>RF44</x:v>
      </x:c>
      <x:c r="H1541" t="str">
        <x:v>RF044-EF1!F41</x:v>
      </x:c>
    </x:row>
    <x:row r="1542">
      <x:c r="A1542" t="str">
        <x:v>retornarConfiguraciones</x:v>
      </x:c>
      <x:c r="B1542" t="str">
        <x:v>configuracionesPorVehiculo</x:v>
      </x:c>
      <x:c r="C1542" t="str">
        <x:v>E_RecordatorioKilometraje</x:v>
      </x:c>
      <x:c r="D1542" t="str">
        <x:v>C_RecordatorioKm</x:v>
      </x:c>
      <x:c r="E1542" t="str">
        <x:v>retorno</x:v>
      </x:c>
      <x:c r="F1542" t="n">
        <x:v>1</x:v>
      </x:c>
      <x:c r="G1542" t="str">
        <x:v>RF44</x:v>
      </x:c>
      <x:c r="H1542" t="str">
        <x:v>RF044-EF1!F34</x:v>
      </x:c>
    </x:row>
    <x:row r="1543">
      <x:c r="A1543" t="str">
        <x:v>retornarEstadosCiclosKm</x:v>
      </x:c>
      <x:c r="B1543" t="str">
        <x:v>estadosCicloKm</x:v>
      </x:c>
      <x:c r="C1543" t="str">
        <x:v>E_RecordatorioKilometraje</x:v>
      </x:c>
      <x:c r="D1543" t="str">
        <x:v>C_RecordatorioKm</x:v>
      </x:c>
      <x:c r="E1543" t="str">
        <x:v>retorno</x:v>
      </x:c>
      <x:c r="F1543" t="n">
        <x:v>1</x:v>
      </x:c>
      <x:c r="G1543" t="str">
        <x:v>RF46</x:v>
      </x:c>
      <x:c r="H1543" t="str">
        <x:v>RF046-EF1!F48</x:v>
      </x:c>
    </x:row>
    <x:row r="1544">
      <x:c r="A1544" t="str">
        <x:v>retornarDatosRepuestos</x:v>
      </x:c>
      <x:c r="B1544" t="str">
        <x:v>lista_repuestos</x:v>
      </x:c>
      <x:c r="C1544" t="str">
        <x:v>E_Repuesto</x:v>
      </x:c>
      <x:c r="D1544" t="str">
        <x:v>C_ControlRepuesto</x:v>
      </x:c>
      <x:c r="E1544" t="str">
        <x:v>retorno</x:v>
      </x:c>
      <x:c r="F1544" t="n">
        <x:v>2</x:v>
      </x:c>
      <x:c r="G1544" t="str">
        <x:v>RF19, RF27</x:v>
      </x:c>
      <x:c r="H1544" t="str">
        <x:v>RF19!F25</x:v>
      </x:c>
    </x:row>
    <x:row r="1545">
      <x:c r="A1545" t="str">
        <x:v>retornarActualizacionRecordatorio</x:v>
      </x:c>
      <x:c r="B1545" t="str"/>
      <x:c r="C1545" t="str">
        <x:v>E_SOAT</x:v>
      </x:c>
      <x:c r="D1545" t="str">
        <x:v>C_ControlSOAT</x:v>
      </x:c>
      <x:c r="E1545" t="str">
        <x:v>retorno</x:v>
      </x:c>
      <x:c r="F1545" t="n">
        <x:v>1</x:v>
      </x:c>
      <x:c r="G1545" t="str">
        <x:v>RF31</x:v>
      </x:c>
      <x:c r="H1545" t="str">
        <x:v>RF031-EF1!F53</x:v>
      </x:c>
    </x:row>
    <x:row r="1546">
      <x:c r="A1546" t="str">
        <x:v>retornarDatosSOAT</x:v>
      </x:c>
      <x:c r="B1546" t="str">
        <x:v>datosSOAT</x:v>
      </x:c>
      <x:c r="C1546" t="str">
        <x:v>E_SOAT</x:v>
      </x:c>
      <x:c r="D1546" t="str">
        <x:v>C_ControlSOAT</x:v>
      </x:c>
      <x:c r="E1546" t="str">
        <x:v>retorno</x:v>
      </x:c>
      <x:c r="F1546" t="n">
        <x:v>1</x:v>
      </x:c>
      <x:c r="G1546" t="str">
        <x:v>RF10</x:v>
      </x:c>
      <x:c r="H1546" t="str">
        <x:v>RF010-EF1!F18</x:v>
      </x:c>
    </x:row>
    <x:row r="1547">
      <x:c r="A1547" t="str">
        <x:v>retornarEstadosSOAT</x:v>
      </x:c>
      <x:c r="B1547" t="str">
        <x:v>mapaSOAT</x:v>
      </x:c>
      <x:c r="C1547" t="str">
        <x:v>E_SOAT</x:v>
      </x:c>
      <x:c r="D1547" t="str">
        <x:v>C_ControlSOAT</x:v>
      </x:c>
      <x:c r="E1547" t="str">
        <x:v>retorno</x:v>
      </x:c>
      <x:c r="F1547" t="n">
        <x:v>4</x:v>
      </x:c>
      <x:c r="G1547" t="str">
        <x:v>RF09, RF12, RF13</x:v>
      </x:c>
      <x:c r="H1547" t="str">
        <x:v>RF009-EF1!F20</x:v>
      </x:c>
    </x:row>
    <x:row r="1548">
      <x:c r="A1548" t="str">
        <x:v>retornarNuevaVigencia</x:v>
      </x:c>
      <x:c r="B1548" t="str">
        <x:v>idSOATNuevo,soatNuevo</x:v>
      </x:c>
      <x:c r="C1548" t="str">
        <x:v>E_SOAT</x:v>
      </x:c>
      <x:c r="D1548" t="str">
        <x:v>C_ControlSOAT</x:v>
      </x:c>
      <x:c r="E1548" t="str">
        <x:v>retorno</x:v>
      </x:c>
      <x:c r="F1548" t="n">
        <x:v>1</x:v>
      </x:c>
      <x:c r="G1548" t="str">
        <x:v>RF32</x:v>
      </x:c>
      <x:c r="H1548" t="str">
        <x:v>RF032-EF1!F64</x:v>
      </x:c>
    </x:row>
    <x:row r="1549">
      <x:c r="A1549" t="str">
        <x:v>retornarRecordatorioActualizado</x:v>
      </x:c>
      <x:c r="B1549" t="str"/>
      <x:c r="C1549" t="str">
        <x:v>E_SOAT</x:v>
      </x:c>
      <x:c r="D1549" t="str">
        <x:v>C_ControlSOAT</x:v>
      </x:c>
      <x:c r="E1549" t="str">
        <x:v>retorno</x:v>
      </x:c>
      <x:c r="F1549" t="n">
        <x:v>2</x:v>
      </x:c>
      <x:c r="G1549" t="str">
        <x:v>RF33</x:v>
      </x:c>
      <x:c r="H1549" t="str">
        <x:v>RF033-EF1!F51</x:v>
      </x:c>
    </x:row>
    <x:row r="1550">
      <x:c r="A1550" t="str">
        <x:v>retornarSOATActual</x:v>
      </x:c>
      <x:c r="B1550" t="str">
        <x:v>soatActual</x:v>
      </x:c>
      <x:c r="C1550" t="str">
        <x:v>E_SOAT</x:v>
      </x:c>
      <x:c r="D1550" t="str">
        <x:v>C_ControlSOAT</x:v>
      </x:c>
      <x:c r="E1550" t="str">
        <x:v>retorno</x:v>
      </x:c>
      <x:c r="F1550" t="n">
        <x:v>1</x:v>
      </x:c>
      <x:c r="G1550" t="str">
        <x:v>RF47</x:v>
      </x:c>
      <x:c r="H1550" t="str">
        <x:v>RF047-EF1!F37</x:v>
      </x:c>
    </x:row>
    <x:row r="1551">
      <x:c r="A1551" t="str">
        <x:v>retornarSOATActual</x:v>
      </x:c>
      <x:c r="B1551" t="str">
        <x:v>soatActual,recordatorioActivo</x:v>
      </x:c>
      <x:c r="C1551" t="str">
        <x:v>E_SOAT</x:v>
      </x:c>
      <x:c r="D1551" t="str">
        <x:v>C_ControlSOAT</x:v>
      </x:c>
      <x:c r="E1551" t="str">
        <x:v>retorno</x:v>
      </x:c>
      <x:c r="F1551" t="n">
        <x:v>1</x:v>
      </x:c>
      <x:c r="G1551" t="str">
        <x:v>RF32</x:v>
      </x:c>
      <x:c r="H1551" t="str">
        <x:v>RF032-EF1!F22</x:v>
      </x:c>
    </x:row>
    <x:row r="1552">
      <x:c r="A1552" t="str">
        <x:v>retornarSOATRegistrado</x:v>
      </x:c>
      <x:c r="B1552" t="str">
        <x:v>idSOAT,datosSOAT</x:v>
      </x:c>
      <x:c r="C1552" t="str">
        <x:v>E_SOAT</x:v>
      </x:c>
      <x:c r="D1552" t="str">
        <x:v>C_ControlSOAT</x:v>
      </x:c>
      <x:c r="E1552" t="str">
        <x:v>retorno</x:v>
      </x:c>
      <x:c r="F1552" t="n">
        <x:v>1</x:v>
      </x:c>
      <x:c r="G1552" t="str">
        <x:v>RF31</x:v>
      </x:c>
      <x:c r="H1552" t="str">
        <x:v>RF031-EF1!F34</x:v>
      </x:c>
    </x:row>
    <x:row r="1553">
      <x:c r="A1553" t="str">
        <x:v>retornarSOATVigente</x:v>
      </x:c>
      <x:c r="B1553" t="str">
        <x:v>existe=false</x:v>
      </x:c>
      <x:c r="C1553" t="str">
        <x:v>E_SOAT</x:v>
      </x:c>
      <x:c r="D1553" t="str">
        <x:v>C_ControlSOAT</x:v>
      </x:c>
      <x:c r="E1553" t="str">
        <x:v>retorno</x:v>
      </x:c>
      <x:c r="F1553" t="n">
        <x:v>1</x:v>
      </x:c>
      <x:c r="G1553" t="str">
        <x:v>RF31</x:v>
      </x:c>
      <x:c r="H1553" t="str">
        <x:v>RF031-EF1!F22</x:v>
      </x:c>
    </x:row>
    <x:row r="1554">
      <x:c r="A1554" t="str">
        <x:v>retornarSOATVigente</x:v>
      </x:c>
      <x:c r="B1554" t="str">
        <x:v>idSOAT,fechaVencimiento,recordatorioActivo</x:v>
      </x:c>
      <x:c r="C1554" t="str">
        <x:v>E_SOAT</x:v>
      </x:c>
      <x:c r="D1554" t="str">
        <x:v>C_ControlSOAT</x:v>
      </x:c>
      <x:c r="E1554" t="str">
        <x:v>retorno</x:v>
      </x:c>
      <x:c r="F1554" t="n">
        <x:v>1</x:v>
      </x:c>
      <x:c r="G1554" t="str">
        <x:v>RF33</x:v>
      </x:c>
      <x:c r="H1554" t="str">
        <x:v>RF033-EF1!F23</x:v>
      </x:c>
    </x:row>
    <x:row r="1555">
      <x:c r="A1555" t="str">
        <x:v>retornarVigenciaActualizada</x:v>
      </x:c>
      <x:c r="B1555" t="str">
        <x:v>soatActualizado</x:v>
      </x:c>
      <x:c r="C1555" t="str">
        <x:v>E_SOAT</x:v>
      </x:c>
      <x:c r="D1555" t="str">
        <x:v>C_ControlSOAT</x:v>
      </x:c>
      <x:c r="E1555" t="str">
        <x:v>retorno</x:v>
      </x:c>
      <x:c r="F1555" t="n">
        <x:v>1</x:v>
      </x:c>
      <x:c r="G1555" t="str">
        <x:v>RF32</x:v>
      </x:c>
      <x:c r="H1555" t="str">
        <x:v>RF032-EF1!F42</x:v>
      </x:c>
    </x:row>
    <x:row r="1556">
      <x:c r="A1556" t="str">
        <x:v>confirmarCierreSesion</x:v>
      </x:c>
      <x:c r="B1556" t="str"/>
      <x:c r="C1556" t="str">
        <x:v>E_Sesion</x:v>
      </x:c>
      <x:c r="D1556" t="str">
        <x:v>C_CerrarSesion</x:v>
      </x:c>
      <x:c r="E1556" t="str">
        <x:v>otra</x:v>
      </x:c>
      <x:c r="F1556" t="n">
        <x:v>1</x:v>
      </x:c>
      <x:c r="G1556" t="str">
        <x:v>RF06</x:v>
      </x:c>
      <x:c r="H1556" t="str">
        <x:v>RF006-E1!F27</x:v>
      </x:c>
    </x:row>
    <x:row r="1557">
      <x:c r="A1557" t="str">
        <x:v>retornarSesionActiva</x:v>
      </x:c>
      <x:c r="B1557" t="str">
        <x:v>idSesion,estadoSesion</x:v>
      </x:c>
      <x:c r="C1557" t="str">
        <x:v>E_Sesion</x:v>
      </x:c>
      <x:c r="D1557" t="str">
        <x:v>C_CerrarSesion</x:v>
      </x:c>
      <x:c r="E1557" t="str">
        <x:v>retorno</x:v>
      </x:c>
      <x:c r="F1557" t="n">
        <x:v>1</x:v>
      </x:c>
      <x:c r="G1557" t="str">
        <x:v>RF06</x:v>
      </x:c>
      <x:c r="H1557" t="str">
        <x:v>RF006-E1!F24</x:v>
      </x:c>
    </x:row>
    <x:row r="1558">
      <x:c r="A1558" t="str">
        <x:v>retornarSesionesInvalidadas</x:v>
      </x:c>
      <x:c r="B1558" t="str"/>
      <x:c r="C1558" t="str">
        <x:v>E_Sesion</x:v>
      </x:c>
      <x:c r="D1558" t="str">
        <x:v>C_ControlCuenta</x:v>
      </x:c>
      <x:c r="E1558" t="str">
        <x:v>retorno</x:v>
      </x:c>
      <x:c r="F1558" t="n">
        <x:v>1</x:v>
      </x:c>
      <x:c r="G1558" t="str">
        <x:v>RF59</x:v>
      </x:c>
      <x:c r="H1558" t="str">
        <x:v>RF059_EXITOSO!F20</x:v>
      </x:c>
    </x:row>
    <x:row r="1559">
      <x:c r="A1559" t="str">
        <x:v>retornarSesionesActivas</x:v>
      </x:c>
      <x:c r="B1559" t="str">
        <x:v>idsSesiones</x:v>
      </x:c>
      <x:c r="C1559" t="str">
        <x:v>E_Sesion</x:v>
      </x:c>
      <x:c r="D1559" t="str">
        <x:v>C_EliminarCuenta</x:v>
      </x:c>
      <x:c r="E1559" t="str">
        <x:v>retorno</x:v>
      </x:c>
      <x:c r="F1559" t="n">
        <x:v>1</x:v>
      </x:c>
      <x:c r="G1559" t="str">
        <x:v>RF07</x:v>
      </x:c>
      <x:c r="H1559" t="str">
        <x:v>RF007-E1!F71</x:v>
      </x:c>
    </x:row>
    <x:row r="1560">
      <x:c r="A1560" t="str">
        <x:v>retornarSesionesFinalizadas</x:v>
      </x:c>
      <x:c r="B1560" t="str"/>
      <x:c r="C1560" t="str">
        <x:v>E_Sesion</x:v>
      </x:c>
      <x:c r="D1560" t="str">
        <x:v>C_EliminarCuenta</x:v>
      </x:c>
      <x:c r="E1560" t="str">
        <x:v>retorno</x:v>
      </x:c>
      <x:c r="F1560" t="n">
        <x:v>1</x:v>
      </x:c>
      <x:c r="G1560" t="str">
        <x:v>RF07</x:v>
      </x:c>
      <x:c r="H1560" t="str">
        <x:v>RF007-E1!F73</x:v>
      </x:c>
    </x:row>
    <x:row r="1561">
      <x:c r="A1561" t="str">
        <x:v>retornarSesion</x:v>
      </x:c>
      <x:c r="B1561" t="str">
        <x:v>idSesion</x:v>
      </x:c>
      <x:c r="C1561" t="str">
        <x:v>E_Sesion</x:v>
      </x:c>
      <x:c r="D1561" t="str">
        <x:v>C_InicioSesion</x:v>
      </x:c>
      <x:c r="E1561" t="str">
        <x:v>retorno</x:v>
      </x:c>
      <x:c r="F1561" t="n">
        <x:v>1</x:v>
      </x:c>
      <x:c r="G1561" t="str">
        <x:v>RF57</x:v>
      </x:c>
      <x:c r="H1561" t="str">
        <x:v>RF057_EXITOSO!F17</x:v>
      </x:c>
    </x:row>
    <x:row r="1562">
      <x:c r="A1562" t="str">
        <x:v>retornarSesionCreada</x:v>
      </x:c>
      <x:c r="B1562" t="str">
        <x:v>datosSesion</x:v>
      </x:c>
      <x:c r="C1562" t="str">
        <x:v>E_Sesion</x:v>
      </x:c>
      <x:c r="D1562" t="str">
        <x:v>C_InicioSesion</x:v>
      </x:c>
      <x:c r="E1562" t="str">
        <x:v>retorno</x:v>
      </x:c>
      <x:c r="F1562" t="n">
        <x:v>1</x:v>
      </x:c>
      <x:c r="G1562" t="str">
        <x:v>RF02</x:v>
      </x:c>
      <x:c r="H1562" t="str">
        <x:v>RF002-E1!F32</x:v>
      </x:c>
    </x:row>
    <x:row r="1563">
      <x:c r="A1563" t="str">
        <x:v>retornarSolicitudRegistrada</x:v>
      </x:c>
      <x:c r="B1563" t="str">
        <x:v>idSolicitud,fechaLimiteUTC</x:v>
      </x:c>
      <x:c r="C1563" t="str">
        <x:v>E_SolicitudEliminacion</x:v>
      </x:c>
      <x:c r="D1563" t="str">
        <x:v>C_EliminarCuenta</x:v>
      </x:c>
      <x:c r="E1563" t="str">
        <x:v>retorno</x:v>
      </x:c>
      <x:c r="F1563" t="n">
        <x:v>1</x:v>
      </x:c>
      <x:c r="G1563" t="str">
        <x:v>RF07</x:v>
      </x:c>
      <x:c r="H1563" t="str">
        <x:v>RF007-E1!F60</x:v>
      </x:c>
    </x:row>
    <x:row r="1564">
      <x:c r="A1564" t="str">
        <x:v>retornarSolicitudBloqueada</x:v>
      </x:c>
      <x:c r="B1564" t="str">
        <x:v>datosSolicitud</x:v>
      </x:c>
      <x:c r="C1564" t="str">
        <x:v>E_SolicitudEliminacion</x:v>
      </x:c>
      <x:c r="D1564" t="str">
        <x:v>C_RecuperarCuenta</x:v>
      </x:c>
      <x:c r="E1564" t="str">
        <x:v>retorno</x:v>
      </x:c>
      <x:c r="F1564" t="n">
        <x:v>1</x:v>
      </x:c>
      <x:c r="G1564" t="str">
        <x:v>RF53</x:v>
      </x:c>
      <x:c r="H1564" t="str">
        <x:v>RF053-EF1!F46</x:v>
      </x:c>
    </x:row>
    <x:row r="1565">
      <x:c r="A1565" t="str">
        <x:v>retornarSolicitudCancelada</x:v>
      </x:c>
      <x:c r="B1565" t="str"/>
      <x:c r="C1565" t="str">
        <x:v>E_SolicitudEliminacion</x:v>
      </x:c>
      <x:c r="D1565" t="str">
        <x:v>C_RecuperarCuenta</x:v>
      </x:c>
      <x:c r="E1565" t="str">
        <x:v>retorno</x:v>
      </x:c>
      <x:c r="F1565" t="n">
        <x:v>1</x:v>
      </x:c>
      <x:c r="G1565" t="str">
        <x:v>RF53</x:v>
      </x:c>
      <x:c r="H1565" t="str">
        <x:v>RF053-EF1!F51</x:v>
      </x:c>
    </x:row>
    <x:row r="1566">
      <x:c r="A1566" t="str">
        <x:v>retornarSolicitudPendiente</x:v>
      </x:c>
      <x:c r="B1566" t="str">
        <x:v>idSolicitud,fechaLimiteUTC,estado</x:v>
      </x:c>
      <x:c r="C1566" t="str">
        <x:v>E_SolicitudEliminacion</x:v>
      </x:c>
      <x:c r="D1566" t="str">
        <x:v>C_ValidacionCuenta</x:v>
      </x:c>
      <x:c r="E1566" t="str">
        <x:v>retorno</x:v>
      </x:c>
      <x:c r="F1566" t="n">
        <x:v>1</x:v>
      </x:c>
      <x:c r="G1566" t="str">
        <x:v>RF53</x:v>
      </x:c>
      <x:c r="H1566" t="str">
        <x:v>RF053-EF1!F23</x:v>
      </x:c>
    </x:row>
    <x:row r="1567">
      <x:c r="A1567" t="str">
        <x:v>retornarCuentaHabilitadaYPlan</x:v>
      </x:c>
      <x:c r="B1567" t="str">
        <x:v>FREE_O_PREMIUM,ACTIVA</x:v>
      </x:c>
      <x:c r="C1567" t="str">
        <x:v>E_Suscripcion</x:v>
      </x:c>
      <x:c r="D1567" t="str">
        <x:v>C_ControlSuscripcion</x:v>
      </x:c>
      <x:c r="E1567" t="str">
        <x:v>retorno</x:v>
      </x:c>
      <x:c r="F1567" t="n">
        <x:v>1</x:v>
      </x:c>
      <x:c r="G1567" t="str">
        <x:v>RF23</x:v>
      </x:c>
      <x:c r="H1567" t="str">
        <x:v>RF23!F93</x:v>
      </x:c>
    </x:row>
    <x:row r="1568">
      <x:c r="A1568" t="str">
        <x:v>retornarDatosSuscripcion</x:v>
      </x:c>
      <x:c r="B1568" t="str">
        <x:v>datosSuscripcion</x:v>
      </x:c>
      <x:c r="C1568" t="str">
        <x:v>E_Suscripcion</x:v>
      </x:c>
      <x:c r="D1568" t="str">
        <x:v>C_ControlSuscripcion</x:v>
      </x:c>
      <x:c r="E1568" t="str">
        <x:v>retorno</x:v>
      </x:c>
      <x:c r="F1568" t="n">
        <x:v>1</x:v>
      </x:c>
      <x:c r="G1568" t="str">
        <x:v>RF30</x:v>
      </x:c>
      <x:c r="H1568" t="str">
        <x:v>RF030-E1!F15</x:v>
      </x:c>
    </x:row>
    <x:row r="1569">
      <x:c r="A1569" t="str">
        <x:v>retornarEstadoLocal</x:v>
      </x:c>
      <x:c r="B1569" t="str">
        <x:v>datos</x:v>
      </x:c>
      <x:c r="C1569" t="str">
        <x:v>E_Suscripcion</x:v>
      </x:c>
      <x:c r="D1569" t="str">
        <x:v>C_ControlSuscripcion</x:v>
      </x:c>
      <x:c r="E1569" t="str">
        <x:v>retorno</x:v>
      </x:c>
      <x:c r="F1569" t="n">
        <x:v>1</x:v>
      </x:c>
      <x:c r="G1569" t="str">
        <x:v>RF60</x:v>
      </x:c>
      <x:c r="H1569" t="str">
        <x:v>RF060_EXITOSO!F31</x:v>
      </x:c>
    </x:row>
    <x:row r="1570">
      <x:c r="A1570" t="str">
        <x:v>retornarPlanActivo</x:v>
      </x:c>
      <x:c r="B1570" t="str">
        <x:v>planActual</x:v>
      </x:c>
      <x:c r="C1570" t="str">
        <x:v>E_Suscripcion</x:v>
      </x:c>
      <x:c r="D1570" t="str">
        <x:v>C_ControlSuscripcion</x:v>
      </x:c>
      <x:c r="E1570" t="str">
        <x:v>retorno</x:v>
      </x:c>
      <x:c r="F1570" t="n">
        <x:v>2</x:v>
      </x:c>
      <x:c r="G1570" t="str">
        <x:v>RF28, RF29</x:v>
      </x:c>
      <x:c r="H1570" t="str">
        <x:v>RF028-E1!F21</x:v>
      </x:c>
    </x:row>
    <x:row r="1571">
      <x:c r="A1571" t="str">
        <x:v>retornarPlanEfectivo</x:v>
      </x:c>
      <x:c r="B1571" t="str">
        <x:v>tipoPlan,estadoSuscripcion</x:v>
      </x:c>
      <x:c r="C1571" t="str">
        <x:v>E_Suscripcion</x:v>
      </x:c>
      <x:c r="D1571" t="str">
        <x:v>C_ControlSuscripcion</x:v>
      </x:c>
      <x:c r="E1571" t="str">
        <x:v>retorno</x:v>
      </x:c>
      <x:c r="F1571" t="n">
        <x:v>2</x:v>
      </x:c>
      <x:c r="G1571" t="str">
        <x:v>RF08, RF12</x:v>
      </x:c>
      <x:c r="H1571" t="str">
        <x:v>RF008-EF1!F13</x:v>
      </x:c>
    </x:row>
    <x:row r="1572">
      <x:c r="A1572" t="str">
        <x:v>retornarPlanVigente</x:v>
      </x:c>
      <x:c r="B1572" t="str">
        <x:v>datosPlan</x:v>
      </x:c>
      <x:c r="C1572" t="str">
        <x:v>E_Suscripcion</x:v>
      </x:c>
      <x:c r="D1572" t="str">
        <x:v>C_ControlSuscripcion</x:v>
      </x:c>
      <x:c r="E1572" t="str">
        <x:v>retorno</x:v>
      </x:c>
      <x:c r="F1572" t="n">
        <x:v>1</x:v>
      </x:c>
      <x:c r="G1572" t="str">
        <x:v>RF29</x:v>
      </x:c>
      <x:c r="H1572" t="str">
        <x:v>RF029-E1!F29</x:v>
      </x:c>
    </x:row>
    <x:row r="1573">
      <x:c r="A1573" t="str">
        <x:v>retornarPlanYEstadoCuenta</x:v>
      </x:c>
      <x:c r="B1573" t="str">
        <x:v>FREE_O_PREMIUM,ACTIVA</x:v>
      </x:c>
      <x:c r="C1573" t="str">
        <x:v>E_Suscripcion</x:v>
      </x:c>
      <x:c r="D1573" t="str">
        <x:v>C_ControlSuscripcion</x:v>
      </x:c>
      <x:c r="E1573" t="str">
        <x:v>retorno</x:v>
      </x:c>
      <x:c r="F1573" t="n">
        <x:v>1</x:v>
      </x:c>
      <x:c r="G1573" t="str">
        <x:v>RF52</x:v>
      </x:c>
      <x:c r="H1573" t="str">
        <x:v>RF052-EF1!F13</x:v>
      </x:c>
    </x:row>
    <x:row r="1574">
      <x:c r="A1574" t="str">
        <x:v>retornarPlanesVigentes</x:v>
      </x:c>
      <x:c r="B1574" t="str">
        <x:v>listaPlanes</x:v>
      </x:c>
      <x:c r="C1574" t="str">
        <x:v>E_Suscripcion</x:v>
      </x:c>
      <x:c r="D1574" t="str">
        <x:v>C_ControlSuscripcion</x:v>
      </x:c>
      <x:c r="E1574" t="str">
        <x:v>retorno</x:v>
      </x:c>
      <x:c r="F1574" t="n">
        <x:v>2</x:v>
      </x:c>
      <x:c r="G1574" t="str">
        <x:v>RF28, RF29</x:v>
      </x:c>
      <x:c r="H1574" t="str">
        <x:v>RF028-E1!F19</x:v>
      </x:c>
    </x:row>
    <x:row r="1575">
      <x:c r="A1575" t="str">
        <x:v>retornarSuscripcionActiva</x:v>
      </x:c>
      <x:c r="B1575" t="str">
        <x:v>datos_suscripcion</x:v>
      </x:c>
      <x:c r="C1575" t="str">
        <x:v>E_Suscripcion</x:v>
      </x:c>
      <x:c r="D1575" t="str">
        <x:v>C_ControlSuscripcion</x:v>
      </x:c>
      <x:c r="E1575" t="str">
        <x:v>retorno</x:v>
      </x:c>
      <x:c r="F1575" t="n">
        <x:v>1</x:v>
      </x:c>
      <x:c r="G1575" t="str">
        <x:v>RF27</x:v>
      </x:c>
      <x:c r="H1575" t="str">
        <x:v>RF27!F9</x:v>
      </x:c>
    </x:row>
    <x:row r="1576">
      <x:c r="A1576" t="str">
        <x:v>retornarSuscripcionActual</x:v>
      </x:c>
      <x:c r="B1576" t="str">
        <x:v>datosSuscripcion</x:v>
      </x:c>
      <x:c r="C1576" t="str">
        <x:v>E_Suscripcion</x:v>
      </x:c>
      <x:c r="D1576" t="str">
        <x:v>C_ControlSuscripcion</x:v>
      </x:c>
      <x:c r="E1576" t="str">
        <x:v>retorno</x:v>
      </x:c>
      <x:c r="F1576" t="n">
        <x:v>1</x:v>
      </x:c>
      <x:c r="G1576" t="str">
        <x:v>RF29</x:v>
      </x:c>
      <x:c r="H1576" t="str">
        <x:v>RF029-E1!F31</x:v>
      </x:c>
    </x:row>
    <x:row r="1577">
      <x:c r="A1577" t="str">
        <x:v>retornarSuscripcionInicial</x:v>
      </x:c>
      <x:c r="B1577" t="str">
        <x:v>datosSuscripcion</x:v>
      </x:c>
      <x:c r="C1577" t="str">
        <x:v>E_Suscripcion</x:v>
      </x:c>
      <x:c r="D1577" t="str">
        <x:v>C_ControlSuscripcion</x:v>
      </x:c>
      <x:c r="E1577" t="str">
        <x:v>retorno</x:v>
      </x:c>
      <x:c r="F1577" t="n">
        <x:v>1</x:v>
      </x:c>
      <x:c r="G1577" t="str">
        <x:v>RF01</x:v>
      </x:c>
      <x:c r="H1577" t="str">
        <x:v>RF001-E1!F40</x:v>
      </x:c>
    </x:row>
    <x:row r="1578">
      <x:c r="A1578" t="str">
        <x:v>retornarSuscripcionPremiumVigente</x:v>
      </x:c>
      <x:c r="B1578" t="str">
        <x:v>datosSuscripcion</x:v>
      </x:c>
      <x:c r="C1578" t="str">
        <x:v>E_Suscripcion</x:v>
      </x:c>
      <x:c r="D1578" t="str">
        <x:v>C_ControlSuscripcion</x:v>
      </x:c>
      <x:c r="E1578" t="str">
        <x:v>retorno</x:v>
      </x:c>
      <x:c r="F1578" t="n">
        <x:v>1</x:v>
      </x:c>
      <x:c r="G1578" t="str">
        <x:v>RF29</x:v>
      </x:c>
      <x:c r="H1578" t="str">
        <x:v>RF029-E1!F48</x:v>
      </x:c>
    </x:row>
    <x:row r="1579">
      <x:c r="A1579" t="str">
        <x:v>retornarSuscripcionVigente</x:v>
      </x:c>
      <x:c r="B1579" t="str">
        <x:v>datos_suscripcion</x:v>
      </x:c>
      <x:c r="C1579" t="str">
        <x:v>E_Suscripcion</x:v>
      </x:c>
      <x:c r="D1579" t="str">
        <x:v>C_ControlSuscripcion</x:v>
      </x:c>
      <x:c r="E1579" t="str">
        <x:v>retorno</x:v>
      </x:c>
      <x:c r="F1579" t="n">
        <x:v>1</x:v>
      </x:c>
      <x:c r="G1579" t="str">
        <x:v>RF27</x:v>
      </x:c>
      <x:c r="H1579" t="str">
        <x:v>RF27!F28</x:v>
      </x:c>
    </x:row>
    <x:row r="1580">
      <x:c r="A1580" t="str">
        <x:v>retornarValidacionPlan</x:v>
      </x:c>
      <x:c r="B1580" t="str">
        <x:v>PREMIUM,ACTIVA</x:v>
      </x:c>
      <x:c r="C1580" t="str">
        <x:v>E_Suscripcion</x:v>
      </x:c>
      <x:c r="D1580" t="str">
        <x:v>C_ControlSuscripcion</x:v>
      </x:c>
      <x:c r="E1580" t="str">
        <x:v>retorno</x:v>
      </x:c>
      <x:c r="F1580" t="n">
        <x:v>1</x:v>
      </x:c>
      <x:c r="G1580" t="str">
        <x:v>RF51</x:v>
      </x:c>
      <x:c r="H1580" t="str">
        <x:v>RF051-EF1!F13</x:v>
      </x:c>
    </x:row>
    <x:row r="1581">
      <x:c r="A1581" t="str">
        <x:v>retornarHistorialPlanes</x:v>
      </x:c>
      <x:c r="B1581" t="str">
        <x:v>periodos</x:v>
      </x:c>
      <x:c r="C1581" t="str">
        <x:v>E_Suscripcion</x:v>
      </x:c>
      <x:c r="D1581" t="str">
        <x:v>C_ControlSuscripcionAdmin</x:v>
      </x:c>
      <x:c r="E1581" t="str">
        <x:v>retorno</x:v>
      </x:c>
      <x:c r="F1581" t="n">
        <x:v>1</x:v>
      </x:c>
      <x:c r="G1581" t="str">
        <x:v>RF60</x:v>
      </x:c>
      <x:c r="H1581" t="str">
        <x:v>RF060_EXITOSO!F41</x:v>
      </x:c>
    </x:row>
    <x:row r="1582">
      <x:c r="A1582" t="str">
        <x:v>retornarListadoSuscripciones</x:v>
      </x:c>
      <x:c r="B1582" t="str">
        <x:v>lista</x:v>
      </x:c>
      <x:c r="C1582" t="str">
        <x:v>E_Suscripcion</x:v>
      </x:c>
      <x:c r="D1582" t="str">
        <x:v>C_ControlSuscripcionAdmin</x:v>
      </x:c>
      <x:c r="E1582" t="str">
        <x:v>retorno</x:v>
      </x:c>
      <x:c r="F1582" t="n">
        <x:v>1</x:v>
      </x:c>
      <x:c r="G1582" t="str">
        <x:v>RF60</x:v>
      </x:c>
      <x:c r="H1582" t="str">
        <x:v>RF060_EXITOSO!F8</x:v>
      </x:c>
    </x:row>
    <x:row r="1583">
      <x:c r="A1583" t="str">
        <x:v>retornarPlanVigencia</x:v>
      </x:c>
      <x:c r="B1583" t="str">
        <x:v>datos</x:v>
      </x:c>
      <x:c r="C1583" t="str">
        <x:v>E_Suscripcion</x:v>
      </x:c>
      <x:c r="D1583" t="str">
        <x:v>C_ControlSuscripcionAdmin</x:v>
      </x:c>
      <x:c r="E1583" t="str">
        <x:v>retorno</x:v>
      </x:c>
      <x:c r="F1583" t="n">
        <x:v>1</x:v>
      </x:c>
      <x:c r="G1583" t="str">
        <x:v>RF60</x:v>
      </x:c>
      <x:c r="H1583" t="str">
        <x:v>RF060_EXITOSO!F19</x:v>
      </x:c>
    </x:row>
    <x:row r="1584">
      <x:c r="A1584" t="str">
        <x:v>retornarSuscripciones</x:v>
      </x:c>
      <x:c r="B1584" t="str">
        <x:v>lista</x:v>
      </x:c>
      <x:c r="C1584" t="str">
        <x:v>E_Suscripcion</x:v>
      </x:c>
      <x:c r="D1584" t="str">
        <x:v>C_ControlSuscripcionAdmin</x:v>
      </x:c>
      <x:c r="E1584" t="str">
        <x:v>retorno</x:v>
      </x:c>
      <x:c r="F1584" t="n">
        <x:v>1</x:v>
      </x:c>
      <x:c r="G1584" t="str">
        <x:v>RF60</x:v>
      </x:c>
      <x:c r="H1584" t="str">
        <x:v>RF060_EXITOSO!F13</x:v>
      </x:c>
    </x:row>
    <x:row r="1585">
      <x:c r="A1585" t="str">
        <x:v>retornarDisponibilidadIdentificadores</x:v>
      </x:c>
      <x:c r="B1585" t="str">
        <x:v>codigoDisponible,tituloDisponible</x:v>
      </x:c>
      <x:c r="C1585" t="str">
        <x:v>E_TIVE</x:v>
      </x:c>
      <x:c r="D1585" t="str">
        <x:v>C_ControlTIVE</x:v>
      </x:c>
      <x:c r="E1585" t="str">
        <x:v>retorno</x:v>
      </x:c>
      <x:c r="F1585" t="n">
        <x:v>1</x:v>
      </x:c>
      <x:c r="G1585" t="str">
        <x:v>RF54</x:v>
      </x:c>
      <x:c r="H1585" t="str">
        <x:v>RF054-EF1!F38</x:v>
      </x:c>
    </x:row>
    <x:row r="1586">
      <x:c r="A1586" t="str">
        <x:v>retornarEstadoTIVE</x:v>
      </x:c>
      <x:c r="B1586" t="str">
        <x:v>NO_REGISTRADA</x:v>
      </x:c>
      <x:c r="C1586" t="str">
        <x:v>E_TIVE</x:v>
      </x:c>
      <x:c r="D1586" t="str">
        <x:v>C_ControlTIVE</x:v>
      </x:c>
      <x:c r="E1586" t="str">
        <x:v>retorno</x:v>
      </x:c>
      <x:c r="F1586" t="n">
        <x:v>1</x:v>
      </x:c>
      <x:c r="G1586" t="str">
        <x:v>RF54</x:v>
      </x:c>
      <x:c r="H1586" t="str">
        <x:v>RF054-EF1!F14</x:v>
      </x:c>
    </x:row>
    <x:row r="1587">
      <x:c r="A1587" t="str">
        <x:v>retornarEstadoTIVE</x:v>
      </x:c>
      <x:c r="B1587" t="str">
        <x:v>estadoTIVE,datosTIVE</x:v>
      </x:c>
      <x:c r="C1587" t="str">
        <x:v>E_TIVE</x:v>
      </x:c>
      <x:c r="D1587" t="str">
        <x:v>C_ControlTIVE</x:v>
      </x:c>
      <x:c r="E1587" t="str">
        <x:v>retorno</x:v>
      </x:c>
      <x:c r="F1587" t="n">
        <x:v>1</x:v>
      </x:c>
      <x:c r="G1587" t="str">
        <x:v>RF10</x:v>
      </x:c>
      <x:c r="H1587" t="str">
        <x:v>RF010-EF1!F23</x:v>
      </x:c>
    </x:row>
    <x:row r="1588">
      <x:c r="A1588" t="str">
        <x:v>retornarEstadosTIVE</x:v>
      </x:c>
      <x:c r="B1588" t="str">
        <x:v>mapaTIVE</x:v>
      </x:c>
      <x:c r="C1588" t="str">
        <x:v>E_TIVE</x:v>
      </x:c>
      <x:c r="D1588" t="str">
        <x:v>C_ControlTIVE</x:v>
      </x:c>
      <x:c r="E1588" t="str">
        <x:v>retorno</x:v>
      </x:c>
      <x:c r="F1588" t="n">
        <x:v>4</x:v>
      </x:c>
      <x:c r="G1588" t="str">
        <x:v>RF09, RF12, RF13</x:v>
      </x:c>
      <x:c r="H1588" t="str">
        <x:v>RF009-EF1!F24</x:v>
      </x:c>
    </x:row>
    <x:row r="1589">
      <x:c r="A1589" t="str">
        <x:v>retornarIdentificadoresDisponibles</x:v>
      </x:c>
      <x:c r="B1589" t="str">
        <x:v>disponibilidad</x:v>
      </x:c>
      <x:c r="C1589" t="str">
        <x:v>E_TIVE</x:v>
      </x:c>
      <x:c r="D1589" t="str">
        <x:v>C_ControlTIVE</x:v>
      </x:c>
      <x:c r="E1589" t="str">
        <x:v>retorno</x:v>
      </x:c>
      <x:c r="F1589" t="n">
        <x:v>1</x:v>
      </x:c>
      <x:c r="G1589" t="str">
        <x:v>RF56</x:v>
      </x:c>
      <x:c r="H1589" t="str">
        <x:v>RF056-EF1!F29</x:v>
      </x:c>
    </x:row>
    <x:row r="1590">
      <x:c r="A1590" t="str">
        <x:v>retornarTIVEActual</x:v>
      </x:c>
      <x:c r="B1590" t="str">
        <x:v>datosTIVE</x:v>
      </x:c>
      <x:c r="C1590" t="str">
        <x:v>E_TIVE</x:v>
      </x:c>
      <x:c r="D1590" t="str">
        <x:v>C_ControlTIVE</x:v>
      </x:c>
      <x:c r="E1590" t="str">
        <x:v>retorno</x:v>
      </x:c>
      <x:c r="F1590" t="n">
        <x:v>1</x:v>
      </x:c>
      <x:c r="G1590" t="str">
        <x:v>RF55</x:v>
      </x:c>
      <x:c r="H1590" t="str">
        <x:v>RF055-EF1!F14</x:v>
      </x:c>
    </x:row>
    <x:row r="1591">
      <x:c r="A1591" t="str">
        <x:v>retornarTIVEActualizada</x:v>
      </x:c>
      <x:c r="B1591" t="str">
        <x:v>datosTIVE</x:v>
      </x:c>
      <x:c r="C1591" t="str">
        <x:v>E_TIVE</x:v>
      </x:c>
      <x:c r="D1591" t="str">
        <x:v>C_ControlTIVE</x:v>
      </x:c>
      <x:c r="E1591" t="str">
        <x:v>retorno</x:v>
      </x:c>
      <x:c r="F1591" t="n">
        <x:v>1</x:v>
      </x:c>
      <x:c r="G1591" t="str">
        <x:v>RF56</x:v>
      </x:c>
      <x:c r="H1591" t="str">
        <x:v>RF056-EF1!F40</x:v>
      </x:c>
    </x:row>
    <x:row r="1592">
      <x:c r="A1592" t="str">
        <x:v>retornarTIVEActualizada</x:v>
      </x:c>
      <x:c r="B1592" t="str">
        <x:v>datosTIVEActualizada</x:v>
      </x:c>
      <x:c r="C1592" t="str">
        <x:v>E_TIVE</x:v>
      </x:c>
      <x:c r="D1592" t="str">
        <x:v>C_ControlTIVE</x:v>
      </x:c>
      <x:c r="E1592" t="str">
        <x:v>retorno</x:v>
      </x:c>
      <x:c r="F1592" t="n">
        <x:v>1</x:v>
      </x:c>
      <x:c r="G1592" t="str">
        <x:v>RF56</x:v>
      </x:c>
      <x:c r="H1592" t="str">
        <x:v>RF056-EF1!F33</x:v>
      </x:c>
    </x:row>
    <x:row r="1593">
      <x:c r="A1593" t="str">
        <x:v>retornarTIVEParaEdicion</x:v>
      </x:c>
      <x:c r="B1593" t="str">
        <x:v>datosTIVEActual</x:v>
      </x:c>
      <x:c r="C1593" t="str">
        <x:v>E_TIVE</x:v>
      </x:c>
      <x:c r="D1593" t="str">
        <x:v>C_ControlTIVE</x:v>
      </x:c>
      <x:c r="E1593" t="str">
        <x:v>retorno</x:v>
      </x:c>
      <x:c r="F1593" t="n">
        <x:v>1</x:v>
      </x:c>
      <x:c r="G1593" t="str">
        <x:v>RF56</x:v>
      </x:c>
      <x:c r="H1593" t="str">
        <x:v>RF056-EF1!F13</x:v>
      </x:c>
    </x:row>
    <x:row r="1594">
      <x:c r="A1594" t="str">
        <x:v>retornarTIVERegistrada</x:v>
      </x:c>
      <x:c r="B1594" t="str">
        <x:v>codigoVerificacion,datosTIVE</x:v>
      </x:c>
      <x:c r="C1594" t="str">
        <x:v>E_TIVE</x:v>
      </x:c>
      <x:c r="D1594" t="str">
        <x:v>C_ControlTIVE</x:v>
      </x:c>
      <x:c r="E1594" t="str">
        <x:v>retorno</x:v>
      </x:c>
      <x:c r="F1594" t="n">
        <x:v>1</x:v>
      </x:c>
      <x:c r="G1594" t="str">
        <x:v>RF54</x:v>
      </x:c>
      <x:c r="H1594" t="str">
        <x:v>RF054-EF1!F40</x:v>
      </x:c>
    </x:row>
    <x:row r="1595">
      <x:c r="A1595" t="str">
        <x:v>retornarCambioFavorito</x:v>
      </x:c>
      <x:c r="B1595" t="str">
        <x:v>idTallerFavoritoAnterior</x:v>
      </x:c>
      <x:c r="C1595" t="str">
        <x:v>E_Taller</x:v>
      </x:c>
      <x:c r="D1595" t="str">
        <x:v>C_ControlTaller</x:v>
      </x:c>
      <x:c r="E1595" t="str">
        <x:v>retorno</x:v>
      </x:c>
      <x:c r="F1595" t="n">
        <x:v>1</x:v>
      </x:c>
      <x:c r="G1595" t="str">
        <x:v>RF37</x:v>
      </x:c>
      <x:c r="H1595" t="str">
        <x:v>RF037-EF1!F26</x:v>
      </x:c>
    </x:row>
    <x:row r="1596">
      <x:c r="A1596" t="str">
        <x:v>retornarDatosTaller</x:v>
      </x:c>
      <x:c r="B1596" t="str">
        <x:v>datos_taller</x:v>
      </x:c>
      <x:c r="C1596" t="str">
        <x:v>E_Taller</x:v>
      </x:c>
      <x:c r="D1596" t="str">
        <x:v>C_ControlTaller</x:v>
      </x:c>
      <x:c r="E1596" t="str">
        <x:v>retorno</x:v>
      </x:c>
      <x:c r="F1596" t="n">
        <x:v>1</x:v>
      </x:c>
      <x:c r="G1596" t="str">
        <x:v>RF19</x:v>
      </x:c>
      <x:c r="H1596" t="str">
        <x:v>RF19!F18</x:v>
      </x:c>
    </x:row>
    <x:row r="1597">
      <x:c r="A1597" t="str">
        <x:v>retornarDatosTaller</x:v>
      </x:c>
      <x:c r="B1597" t="str">
        <x:v>taller,idUsuarioPropietario,activo,favorito</x:v>
      </x:c>
      <x:c r="C1597" t="str">
        <x:v>E_Taller</x:v>
      </x:c>
      <x:c r="D1597" t="str">
        <x:v>C_ControlTaller</x:v>
      </x:c>
      <x:c r="E1597" t="str">
        <x:v>retorno</x:v>
      </x:c>
      <x:c r="F1597" t="n">
        <x:v>1</x:v>
      </x:c>
      <x:c r="G1597" t="str">
        <x:v>RF37</x:v>
      </x:c>
      <x:c r="H1597" t="str">
        <x:v>RF037-EF1!F21</x:v>
      </x:c>
    </x:row>
    <x:row r="1598">
      <x:c r="A1598" t="str">
        <x:v>retornarDatosTaller</x:v>
      </x:c>
      <x:c r="B1598" t="str">
        <x:v>taller,idUsuarioPropietario,activo,favorito,versionTaller</x:v>
      </x:c>
      <x:c r="C1598" t="str">
        <x:v>E_Taller</x:v>
      </x:c>
      <x:c r="D1598" t="str">
        <x:v>C_ControlTaller</x:v>
      </x:c>
      <x:c r="E1598" t="str">
        <x:v>retorno</x:v>
      </x:c>
      <x:c r="F1598" t="n">
        <x:v>1</x:v>
      </x:c>
      <x:c r="G1598" t="str">
        <x:v>RF36</x:v>
      </x:c>
      <x:c r="H1598" t="str">
        <x:v>RF036-EF1!F21</x:v>
      </x:c>
    </x:row>
    <x:row r="1599">
      <x:c r="A1599" t="str">
        <x:v>retornarDatosTaller</x:v>
      </x:c>
      <x:c r="B1599" t="str">
        <x:v>taller,idUsuarioPropietario,activo,versionTaller</x:v>
      </x:c>
      <x:c r="C1599" t="str">
        <x:v>E_Taller</x:v>
      </x:c>
      <x:c r="D1599" t="str">
        <x:v>C_ControlTaller</x:v>
      </x:c>
      <x:c r="E1599" t="str">
        <x:v>retorno</x:v>
      </x:c>
      <x:c r="F1599" t="n">
        <x:v>1</x:v>
      </x:c>
      <x:c r="G1599" t="str">
        <x:v>RF35</x:v>
      </x:c>
      <x:c r="H1599" t="str">
        <x:v>RF035-EF1!F21</x:v>
      </x:c>
    </x:row>
    <x:row r="1600">
      <x:c r="A1600" t="str">
        <x:v>retornarDatosTalleres</x:v>
      </x:c>
      <x:c r="B1600" t="str">
        <x:v>lista_talleres</x:v>
      </x:c>
      <x:c r="C1600" t="str">
        <x:v>E_Taller</x:v>
      </x:c>
      <x:c r="D1600" t="str">
        <x:v>C_ControlTaller</x:v>
      </x:c>
      <x:c r="E1600" t="str">
        <x:v>retorno</x:v>
      </x:c>
      <x:c r="F1600" t="n">
        <x:v>4</x:v>
      </x:c>
      <x:c r="G1600" t="str">
        <x:v>RF21, RF25, RF26, RF27</x:v>
      </x:c>
      <x:c r="H1600" t="str">
        <x:v>RF21!F46</x:v>
      </x:c>
    </x:row>
    <x:row r="1601">
      <x:c r="A1601" t="str">
        <x:v>retornarListaTalleres</x:v>
      </x:c>
      <x:c r="B1601" t="str">
        <x:v>listaTalleres</x:v>
      </x:c>
      <x:c r="C1601" t="str">
        <x:v>E_Taller</x:v>
      </x:c>
      <x:c r="D1601" t="str">
        <x:v>C_ControlTaller</x:v>
      </x:c>
      <x:c r="E1601" t="str">
        <x:v>retorno</x:v>
      </x:c>
      <x:c r="F1601" t="n">
        <x:v>4</x:v>
      </x:c>
      <x:c r="G1601" t="str">
        <x:v>RF34, RF35, RF36, RF37</x:v>
      </x:c>
      <x:c r="H1601" t="str">
        <x:v>RF034-EF1!F12</x:v>
      </x:c>
    </x:row>
    <x:row r="1602">
      <x:c r="A1602" t="str">
        <x:v>retornarNombresTalleres</x:v>
      </x:c>
      <x:c r="B1602" t="str">
        <x:v>lista_talleres</x:v>
      </x:c>
      <x:c r="C1602" t="str">
        <x:v>E_Taller</x:v>
      </x:c>
      <x:c r="D1602" t="str">
        <x:v>C_ControlTaller</x:v>
      </x:c>
      <x:c r="E1602" t="str">
        <x:v>retorno</x:v>
      </x:c>
      <x:c r="F1602" t="n">
        <x:v>2</x:v>
      </x:c>
      <x:c r="G1602" t="str">
        <x:v>RF18</x:v>
      </x:c>
      <x:c r="H1602" t="str">
        <x:v>RF18!F25</x:v>
      </x:c>
    </x:row>
    <x:row r="1603">
      <x:c r="A1603" t="str">
        <x:v>retornarNuevoTallerValidado</x:v>
      </x:c>
      <x:c r="B1603" t="str">
        <x:v>datos_taller_nuevo</x:v>
      </x:c>
      <x:c r="C1603" t="str">
        <x:v>E_Taller</x:v>
      </x:c>
      <x:c r="D1603" t="str">
        <x:v>C_ControlTaller</x:v>
      </x:c>
      <x:c r="E1603" t="str">
        <x:v>retorno</x:v>
      </x:c>
      <x:c r="F1603" t="n">
        <x:v>1</x:v>
      </x:c>
      <x:c r="G1603" t="str">
        <x:v>RF20</x:v>
      </x:c>
      <x:c r="H1603" t="str">
        <x:v>RF20!F32</x:v>
      </x:c>
    </x:row>
    <x:row r="1604">
      <x:c r="A1604" t="str">
        <x:v>retornarTallerActualizado</x:v>
      </x:c>
      <x:c r="B1604" t="str">
        <x:v>datosTaller,nuevaVersionTaller</x:v>
      </x:c>
      <x:c r="C1604" t="str">
        <x:v>E_Taller</x:v>
      </x:c>
      <x:c r="D1604" t="str">
        <x:v>C_ControlTaller</x:v>
      </x:c>
      <x:c r="E1604" t="str">
        <x:v>retorno</x:v>
      </x:c>
      <x:c r="F1604" t="n">
        <x:v>1</x:v>
      </x:c>
      <x:c r="G1604" t="str">
        <x:v>RF35</x:v>
      </x:c>
      <x:c r="H1604" t="str">
        <x:v>RF035-EF1!F35</x:v>
      </x:c>
    </x:row>
    <x:row r="1605">
      <x:c r="A1605" t="str">
        <x:v>retornarTallerDesactivado</x:v>
      </x:c>
      <x:c r="B1605" t="str">
        <x:v>datosTaller</x:v>
      </x:c>
      <x:c r="C1605" t="str">
        <x:v>E_Taller</x:v>
      </x:c>
      <x:c r="D1605" t="str">
        <x:v>C_ControlTaller</x:v>
      </x:c>
      <x:c r="E1605" t="str">
        <x:v>retorno</x:v>
      </x:c>
      <x:c r="F1605" t="n">
        <x:v>1</x:v>
      </x:c>
      <x:c r="G1605" t="str">
        <x:v>RF36</x:v>
      </x:c>
      <x:c r="H1605" t="str">
        <x:v>RF036-EF1!F29</x:v>
      </x:c>
    </x:row>
    <x:row r="1606">
      <x:c r="A1606" t="str">
        <x:v>retornarTallerRegistrado</x:v>
      </x:c>
      <x:c r="B1606" t="str">
        <x:v>idTaller</x:v>
      </x:c>
      <x:c r="C1606" t="str">
        <x:v>E_Taller</x:v>
      </x:c>
      <x:c r="D1606" t="str">
        <x:v>C_ControlTaller</x:v>
      </x:c>
      <x:c r="E1606" t="str">
        <x:v>retorno</x:v>
      </x:c>
      <x:c r="F1606" t="n">
        <x:v>1</x:v>
      </x:c>
      <x:c r="G1606" t="str">
        <x:v>RF34</x:v>
      </x:c>
      <x:c r="H1606" t="str">
        <x:v>RF034-EF1!F30</x:v>
      </x:c>
    </x:row>
    <x:row r="1607">
      <x:c r="A1607" t="str">
        <x:v>retornarTallerValidadoSiCorresponde</x:v>
      </x:c>
      <x:c r="B1607" t="str">
        <x:v>datos_taller</x:v>
      </x:c>
      <x:c r="C1607" t="str">
        <x:v>E_Taller</x:v>
      </x:c>
      <x:c r="D1607" t="str">
        <x:v>C_ControlTaller</x:v>
      </x:c>
      <x:c r="E1607" t="str">
        <x:v>retorno</x:v>
      </x:c>
      <x:c r="F1607" t="n">
        <x:v>2</x:v>
      </x:c>
      <x:c r="G1607" t="str">
        <x:v>RF17, RF24</x:v>
      </x:c>
      <x:c r="H1607" t="str">
        <x:v>RF17!F66</x:v>
      </x:c>
    </x:row>
    <x:row r="1608">
      <x:c r="A1608" t="str">
        <x:v>retornarTalleresActivos</x:v>
      </x:c>
      <x:c r="B1608" t="str">
        <x:v>lista_talleres</x:v>
      </x:c>
      <x:c r="C1608" t="str">
        <x:v>E_Taller</x:v>
      </x:c>
      <x:c r="D1608" t="str">
        <x:v>C_ControlTaller</x:v>
      </x:c>
      <x:c r="E1608" t="str">
        <x:v>retorno</x:v>
      </x:c>
      <x:c r="F1608" t="n">
        <x:v>3</x:v>
      </x:c>
      <x:c r="G1608" t="str">
        <x:v>RF17, RF24, RF25</x:v>
      </x:c>
      <x:c r="H1608" t="str">
        <x:v>RF17!F36</x:v>
      </x:c>
    </x:row>
    <x:row r="1609">
      <x:c r="A1609" t="str">
        <x:v>retornarTalleresDisponibles</x:v>
      </x:c>
      <x:c r="B1609" t="str">
        <x:v>lista_talleres</x:v>
      </x:c>
      <x:c r="C1609" t="str">
        <x:v>E_Taller</x:v>
      </x:c>
      <x:c r="D1609" t="str">
        <x:v>C_ControlTaller</x:v>
      </x:c>
      <x:c r="E1609" t="str">
        <x:v>retorno</x:v>
      </x:c>
      <x:c r="F1609" t="n">
        <x:v>1</x:v>
      </x:c>
      <x:c r="G1609" t="str">
        <x:v>RF20</x:v>
      </x:c>
      <x:c r="H1609" t="str">
        <x:v>RF20!F21</x:v>
      </x:c>
    </x:row>
    <x:row r="1610">
      <x:c r="A1610" t="str">
        <x:v>retornarTipoActivo</x:v>
      </x:c>
      <x:c r="B1610" t="str">
        <x:v>datos_tipo,activo=true</x:v>
      </x:c>
      <x:c r="C1610" t="str">
        <x:v>E_TipoMantenimiento</x:v>
      </x:c>
      <x:c r="D1610" t="str">
        <x:v>C_ControlTipoMantenimiento</x:v>
      </x:c>
      <x:c r="E1610" t="str">
        <x:v>retorno</x:v>
      </x:c>
      <x:c r="F1610" t="n">
        <x:v>1</x:v>
      </x:c>
      <x:c r="G1610" t="str">
        <x:v>RF22</x:v>
      </x:c>
      <x:c r="H1610" t="str">
        <x:v>RF22!F79</x:v>
      </x:c>
    </x:row>
    <x:row r="1611">
      <x:c r="A1611" t="str">
        <x:v>retornarTipoMantenimientoActivo</x:v>
      </x:c>
      <x:c r="B1611" t="str">
        <x:v>datos_tipo</x:v>
      </x:c>
      <x:c r="C1611" t="str">
        <x:v>E_TipoMantenimiento</x:v>
      </x:c>
      <x:c r="D1611" t="str">
        <x:v>C_ControlTipoMantenimiento</x:v>
      </x:c>
      <x:c r="E1611" t="str">
        <x:v>retorno</x:v>
      </x:c>
      <x:c r="F1611" t="n">
        <x:v>1</x:v>
      </x:c>
      <x:c r="G1611" t="str">
        <x:v>RF22</x:v>
      </x:c>
      <x:c r="H1611" t="str">
        <x:v>RF22!F27</x:v>
      </x:c>
    </x:row>
    <x:row r="1612">
      <x:c r="A1612" t="str">
        <x:v>retornarTiposDisponiblesExportacion</x:v>
      </x:c>
      <x:c r="B1612" t="str">
        <x:v>lista_tipos</x:v>
      </x:c>
      <x:c r="C1612" t="str">
        <x:v>E_TipoMantenimiento</x:v>
      </x:c>
      <x:c r="D1612" t="str">
        <x:v>C_ControlTipoMantenimiento</x:v>
      </x:c>
      <x:c r="E1612" t="str">
        <x:v>retorno</x:v>
      </x:c>
      <x:c r="F1612" t="n">
        <x:v>1</x:v>
      </x:c>
      <x:c r="G1612" t="str">
        <x:v>RF27</x:v>
      </x:c>
      <x:c r="H1612" t="str">
        <x:v>RF27!F18</x:v>
      </x:c>
    </x:row>
    <x:row r="1613">
      <x:c r="A1613" t="str">
        <x:v>retornarTiposDisponiblesHistorial</x:v>
      </x:c>
      <x:c r="B1613" t="str">
        <x:v>lista_tipos</x:v>
      </x:c>
      <x:c r="C1613" t="str">
        <x:v>E_TipoMantenimiento</x:v>
      </x:c>
      <x:c r="D1613" t="str">
        <x:v>C_ControlTipoMantenimiento</x:v>
      </x:c>
      <x:c r="E1613" t="str">
        <x:v>retorno</x:v>
      </x:c>
      <x:c r="F1613" t="n">
        <x:v>1</x:v>
      </x:c>
      <x:c r="G1613" t="str">
        <x:v>RF26</x:v>
      </x:c>
      <x:c r="H1613" t="str">
        <x:v>RF26!F15</x:v>
      </x:c>
    </x:row>
    <x:row r="1614">
      <x:c r="A1614" t="str">
        <x:v>retornarTiposMantenimientoActivos</x:v>
      </x:c>
      <x:c r="B1614" t="str">
        <x:v>lista_tipos</x:v>
      </x:c>
      <x:c r="C1614" t="str">
        <x:v>E_TipoMantenimiento</x:v>
      </x:c>
      <x:c r="D1614" t="str">
        <x:v>C_ControlTipoMantenimiento</x:v>
      </x:c>
      <x:c r="E1614" t="str">
        <x:v>retorno</x:v>
      </x:c>
      <x:c r="F1614" t="n">
        <x:v>2</x:v>
      </x:c>
      <x:c r="G1614" t="str">
        <x:v>RF17, RF22</x:v>
      </x:c>
      <x:c r="H1614" t="str">
        <x:v>RF17!F27</x:v>
      </x:c>
    </x:row>
    <x:row r="1615">
      <x:c r="A1615" t="str">
        <x:v>retornarRol</x:v>
      </x:c>
      <x:c r="B1615" t="str">
        <x:v>ADMINISTRADOR</x:v>
      </x:c>
      <x:c r="C1615" t="str">
        <x:v>E_Usuario</x:v>
      </x:c>
      <x:c r="D1615" t="str">
        <x:v>C_Autorizacion</x:v>
      </x:c>
      <x:c r="E1615" t="str">
        <x:v>retorno</x:v>
      </x:c>
      <x:c r="F1615" t="n">
        <x:v>1</x:v>
      </x:c>
      <x:c r="G1615" t="str">
        <x:v>RF57</x:v>
      </x:c>
      <x:c r="H1615" t="str">
        <x:v>RF057_EXITOSO!F14</x:v>
      </x:c>
    </x:row>
    <x:row r="1616">
      <x:c r="A1616" t="str">
        <x:v>confirmarActualizacionContrasena</x:v>
      </x:c>
      <x:c r="B1616" t="str"/>
      <x:c r="C1616" t="str">
        <x:v>E_Usuario</x:v>
      </x:c>
      <x:c r="D1616" t="str">
        <x:v>C_CambioContrasena</x:v>
      </x:c>
      <x:c r="E1616" t="str">
        <x:v>otra</x:v>
      </x:c>
      <x:c r="F1616" t="n">
        <x:v>1</x:v>
      </x:c>
      <x:c r="G1616" t="str">
        <x:v>RF05</x:v>
      </x:c>
      <x:c r="H1616" t="str">
        <x:v>RF005-E1!F41</x:v>
      </x:c>
    </x:row>
    <x:row r="1617">
      <x:c r="A1617" t="str">
        <x:v>retornarCuentaSuspendida</x:v>
      </x:c>
      <x:c r="B1617" t="str"/>
      <x:c r="C1617" t="str">
        <x:v>E_Usuario</x:v>
      </x:c>
      <x:c r="D1617" t="str">
        <x:v>C_ControlCuenta</x:v>
      </x:c>
      <x:c r="E1617" t="str">
        <x:v>retorno</x:v>
      </x:c>
      <x:c r="F1617" t="n">
        <x:v>1</x:v>
      </x:c>
      <x:c r="G1617" t="str">
        <x:v>RF59</x:v>
      </x:c>
      <x:c r="H1617" t="str">
        <x:v>RF059_EXITOSO!F18</x:v>
      </x:c>
    </x:row>
    <x:row r="1618">
      <x:c r="A1618" t="str">
        <x:v>retornarEstadoCuenta</x:v>
      </x:c>
      <x:c r="B1618" t="str">
        <x:v>ACTIVA</x:v>
      </x:c>
      <x:c r="C1618" t="str">
        <x:v>E_Usuario</x:v>
      </x:c>
      <x:c r="D1618" t="str">
        <x:v>C_ControlCuenta</x:v>
      </x:c>
      <x:c r="E1618" t="str">
        <x:v>retorno</x:v>
      </x:c>
      <x:c r="F1618" t="n">
        <x:v>1</x:v>
      </x:c>
      <x:c r="G1618" t="str">
        <x:v>RF59</x:v>
      </x:c>
      <x:c r="H1618" t="str">
        <x:v>RF059_EXITOSO!F10</x:v>
      </x:c>
    </x:row>
    <x:row r="1619">
      <x:c r="A1619" t="str">
        <x:v>retornarIdentidad</x:v>
      </x:c>
      <x:c r="B1619" t="str">
        <x:v>nombre,correo,rol</x:v>
      </x:c>
      <x:c r="C1619" t="str">
        <x:v>E_Usuario</x:v>
      </x:c>
      <x:c r="D1619" t="str">
        <x:v>C_ControlIncidencia</x:v>
      </x:c>
      <x:c r="E1619" t="str">
        <x:v>retorno</x:v>
      </x:c>
      <x:c r="F1619" t="n">
        <x:v>1</x:v>
      </x:c>
      <x:c r="G1619" t="str">
        <x:v>RF61</x:v>
      </x:c>
      <x:c r="H1619" t="str">
        <x:v>RF061_EXITOSO!F15</x:v>
      </x:c>
    </x:row>
    <x:row r="1620">
      <x:c r="A1620" t="str">
        <x:v>retornarReportante</x:v>
      </x:c>
      <x:c r="B1620" t="str">
        <x:v>nombre,correo,rol</x:v>
      </x:c>
      <x:c r="C1620" t="str">
        <x:v>E_Usuario</x:v>
      </x:c>
      <x:c r="D1620" t="str">
        <x:v>C_ControlIncidencia</x:v>
      </x:c>
      <x:c r="E1620" t="str">
        <x:v>retorno</x:v>
      </x:c>
      <x:c r="F1620" t="n">
        <x:v>1</x:v>
      </x:c>
      <x:c r="G1620" t="str">
        <x:v>RF63</x:v>
      </x:c>
      <x:c r="H1620" t="str">
        <x:v>RF063_EXITOSO!F8</x:v>
      </x:c>
    </x:row>
    <x:row r="1621">
      <x:c r="A1621" t="str">
        <x:v>retornarDatosUsuario</x:v>
      </x:c>
      <x:c r="B1621" t="str">
        <x:v>datosUsuario</x:v>
      </x:c>
      <x:c r="C1621" t="str">
        <x:v>E_Usuario</x:v>
      </x:c>
      <x:c r="D1621" t="str">
        <x:v>C_ControlUsuario</x:v>
      </x:c>
      <x:c r="E1621" t="str">
        <x:v>retorno</x:v>
      </x:c>
      <x:c r="F1621" t="n">
        <x:v>1</x:v>
      </x:c>
      <x:c r="G1621" t="str">
        <x:v>RF50</x:v>
      </x:c>
      <x:c r="H1621" t="str">
        <x:v>RF050-EF1!F10</x:v>
      </x:c>
    </x:row>
    <x:row r="1622">
      <x:c r="A1622" t="str">
        <x:v>retornarEstadoCuenta</x:v>
      </x:c>
      <x:c r="B1622" t="str">
        <x:v>estadoCuenta</x:v>
      </x:c>
      <x:c r="C1622" t="str">
        <x:v>E_Usuario</x:v>
      </x:c>
      <x:c r="D1622" t="str">
        <x:v>C_ControlUsuario</x:v>
      </x:c>
      <x:c r="E1622" t="str">
        <x:v>retorno</x:v>
      </x:c>
      <x:c r="F1622" t="n">
        <x:v>1</x:v>
      </x:c>
      <x:c r="G1622" t="str">
        <x:v>RF23</x:v>
      </x:c>
      <x:c r="H1622" t="str">
        <x:v>RF23!F89</x:v>
      </x:c>
    </x:row>
    <x:row r="1623">
      <x:c r="A1623" t="str">
        <x:v>retornarEstadosCuentas</x:v>
      </x:c>
      <x:c r="B1623" t="str">
        <x:v>estadosCuenta</x:v>
      </x:c>
      <x:c r="C1623" t="str">
        <x:v>E_Usuario</x:v>
      </x:c>
      <x:c r="D1623" t="str">
        <x:v>C_ControlUsuario</x:v>
      </x:c>
      <x:c r="E1623" t="str">
        <x:v>retorno</x:v>
      </x:c>
      <x:c r="F1623" t="n">
        <x:v>1</x:v>
      </x:c>
      <x:c r="G1623" t="str">
        <x:v>RF23</x:v>
      </x:c>
      <x:c r="H1623" t="str">
        <x:v>RF23!F57</x:v>
      </x:c>
    </x:row>
    <x:row r="1624">
      <x:c r="A1624" t="str">
        <x:v>retornarCoincidencias</x:v>
      </x:c>
      <x:c r="B1624" t="str">
        <x:v>lista</x:v>
      </x:c>
      <x:c r="C1624" t="str">
        <x:v>E_Usuario</x:v>
      </x:c>
      <x:c r="D1624" t="str">
        <x:v>C_ControlUsuariosAdmin</x:v>
      </x:c>
      <x:c r="E1624" t="str">
        <x:v>retorno</x:v>
      </x:c>
      <x:c r="F1624" t="n">
        <x:v>1</x:v>
      </x:c>
      <x:c r="G1624" t="str">
        <x:v>RF58</x:v>
      </x:c>
      <x:c r="H1624" t="str">
        <x:v>RF058_EXITOSO!F17</x:v>
      </x:c>
    </x:row>
    <x:row r="1625">
      <x:c r="A1625" t="str">
        <x:v>retornarDatosCuenta</x:v>
      </x:c>
      <x:c r="B1625" t="str">
        <x:v>datos</x:v>
      </x:c>
      <x:c r="C1625" t="str">
        <x:v>E_Usuario</x:v>
      </x:c>
      <x:c r="D1625" t="str">
        <x:v>C_ControlUsuariosAdmin</x:v>
      </x:c>
      <x:c r="E1625" t="str">
        <x:v>retorno</x:v>
      </x:c>
      <x:c r="F1625" t="n">
        <x:v>1</x:v>
      </x:c>
      <x:c r="G1625" t="str">
        <x:v>RF58</x:v>
      </x:c>
      <x:c r="H1625" t="str">
        <x:v>RF058_EXITOSO!F23</x:v>
      </x:c>
    </x:row>
    <x:row r="1626">
      <x:c r="A1626" t="str">
        <x:v>retornarUsuarios</x:v>
      </x:c>
      <x:c r="B1626" t="str">
        <x:v>lista</x:v>
      </x:c>
      <x:c r="C1626" t="str">
        <x:v>E_Usuario</x:v>
      </x:c>
      <x:c r="D1626" t="str">
        <x:v>C_ControlUsuariosAdmin</x:v>
      </x:c>
      <x:c r="E1626" t="str">
        <x:v>retorno</x:v>
      </x:c>
      <x:c r="F1626" t="n">
        <x:v>1</x:v>
      </x:c>
      <x:c r="G1626" t="str">
        <x:v>RF58</x:v>
      </x:c>
      <x:c r="H1626" t="str">
        <x:v>RF058_EXITOSO!F10</x:v>
      </x:c>
    </x:row>
    <x:row r="1627">
      <x:c r="A1627" t="str">
        <x:v>retornarCuentaPendiente</x:v>
      </x:c>
      <x:c r="B1627" t="str"/>
      <x:c r="C1627" t="str">
        <x:v>E_Usuario</x:v>
      </x:c>
      <x:c r="D1627" t="str">
        <x:v>C_EliminarCuenta</x:v>
      </x:c>
      <x:c r="E1627" t="str">
        <x:v>retorno</x:v>
      </x:c>
      <x:c r="F1627" t="n">
        <x:v>1</x:v>
      </x:c>
      <x:c r="G1627" t="str">
        <x:v>RF07</x:v>
      </x:c>
      <x:c r="H1627" t="str">
        <x:v>RF007-E1!F58</x:v>
      </x:c>
    </x:row>
    <x:row r="1628">
      <x:c r="A1628" t="str">
        <x:v>confirmarActualizacionFoto</x:v>
      </x:c>
      <x:c r="B1628" t="str">
        <x:v>resultado</x:v>
      </x:c>
      <x:c r="C1628" t="str">
        <x:v>E_Usuario</x:v>
      </x:c>
      <x:c r="D1628" t="str">
        <x:v>C_FotoPerfil</x:v>
      </x:c>
      <x:c r="E1628" t="str">
        <x:v>otra</x:v>
      </x:c>
      <x:c r="F1628" t="n">
        <x:v>1</x:v>
      </x:c>
      <x:c r="G1628" t="str">
        <x:v>RF39</x:v>
      </x:c>
      <x:c r="H1628" t="str">
        <x:v>RF039-E1!F35</x:v>
      </x:c>
    </x:row>
    <x:row r="1629">
      <x:c r="A1629" t="str">
        <x:v>confirmarEliminacionFoto</x:v>
      </x:c>
      <x:c r="B1629" t="str">
        <x:v>resultado</x:v>
      </x:c>
      <x:c r="C1629" t="str">
        <x:v>E_Usuario</x:v>
      </x:c>
      <x:c r="D1629" t="str">
        <x:v>C_FotoPerfil</x:v>
      </x:c>
      <x:c r="E1629" t="str">
        <x:v>otra</x:v>
      </x:c>
      <x:c r="F1629" t="n">
        <x:v>1</x:v>
      </x:c>
      <x:c r="G1629" t="str">
        <x:v>RF40</x:v>
      </x:c>
      <x:c r="H1629" t="str">
        <x:v>RF040-E1!F30</x:v>
      </x:c>
    </x:row>
    <x:row r="1630">
      <x:c r="A1630" t="str">
        <x:v>confirmarRegistroFoto</x:v>
      </x:c>
      <x:c r="B1630" t="str">
        <x:v>resultado</x:v>
      </x:c>
      <x:c r="C1630" t="str">
        <x:v>E_Usuario</x:v>
      </x:c>
      <x:c r="D1630" t="str">
        <x:v>C_FotoPerfil</x:v>
      </x:c>
      <x:c r="E1630" t="str">
        <x:v>otra</x:v>
      </x:c>
      <x:c r="F1630" t="n">
        <x:v>1</x:v>
      </x:c>
      <x:c r="G1630" t="str">
        <x:v>RF38</x:v>
      </x:c>
      <x:c r="H1630" t="str">
        <x:v>RF038-E1!F35</x:v>
      </x:c>
    </x:row>
    <x:row r="1631">
      <x:c r="A1631" t="str">
        <x:v>retornarFotoPerfil</x:v>
      </x:c>
      <x:c r="B1631" t="str">
        <x:v>fotoActual</x:v>
      </x:c>
      <x:c r="C1631" t="str">
        <x:v>E_Usuario</x:v>
      </x:c>
      <x:c r="D1631" t="str">
        <x:v>C_FotoPerfil</x:v>
      </x:c>
      <x:c r="E1631" t="str">
        <x:v>retorno</x:v>
      </x:c>
      <x:c r="F1631" t="n">
        <x:v>2</x:v>
      </x:c>
      <x:c r="G1631" t="str">
        <x:v>RF39, RF40</x:v>
      </x:c>
      <x:c r="H1631" t="str">
        <x:v>RF039-E1!F31</x:v>
      </x:c>
    </x:row>
    <x:row r="1632">
      <x:c r="A1632" t="str">
        <x:v>retornarFotoPerfil</x:v>
      </x:c>
      <x:c r="B1632" t="str">
        <x:v>fotoPerfil</x:v>
      </x:c>
      <x:c r="C1632" t="str">
        <x:v>E_Usuario</x:v>
      </x:c>
      <x:c r="D1632" t="str">
        <x:v>C_FotoPerfil</x:v>
      </x:c>
      <x:c r="E1632" t="str">
        <x:v>retorno</x:v>
      </x:c>
      <x:c r="F1632" t="n">
        <x:v>1</x:v>
      </x:c>
      <x:c r="G1632" t="str">
        <x:v>RF38</x:v>
      </x:c>
      <x:c r="H1632" t="str">
        <x:v>RF038-E1!F31</x:v>
      </x:c>
    </x:row>
    <x:row r="1633">
      <x:c r="A1633" t="str">
        <x:v>retornarUsuarioYHash</x:v>
      </x:c>
      <x:c r="B1633" t="str">
        <x:v>datosUsuario</x:v>
      </x:c>
      <x:c r="C1633" t="str">
        <x:v>E_Usuario</x:v>
      </x:c>
      <x:c r="D1633" t="str">
        <x:v>C_InicioSesion</x:v>
      </x:c>
      <x:c r="E1633" t="str">
        <x:v>retorno</x:v>
      </x:c>
      <x:c r="F1633" t="n">
        <x:v>1</x:v>
      </x:c>
      <x:c r="G1633" t="str">
        <x:v>RF57</x:v>
      </x:c>
      <x:c r="H1633" t="str">
        <x:v>RF057_EXITOSO!F9</x:v>
      </x:c>
    </x:row>
    <x:row r="1634">
      <x:c r="A1634" t="str">
        <x:v>retornarDatosPresentacionPerfil</x:v>
      </x:c>
      <x:c r="B1634" t="str">
        <x:v>nombre,correo,fotoPerfil</x:v>
      </x:c>
      <x:c r="C1634" t="str">
        <x:v>E_Usuario</x:v>
      </x:c>
      <x:c r="D1634" t="str">
        <x:v>C_PerfilUsuario</x:v>
      </x:c>
      <x:c r="E1634" t="str">
        <x:v>retorno</x:v>
      </x:c>
      <x:c r="F1634" t="n">
        <x:v>9</x:v>
      </x:c>
      <x:c r="G1634" t="str">
        <x:v>RF04, RF05, RF06, RF07, RF28, RF29, RF38, RF39, RF40</x:v>
      </x:c>
      <x:c r="H1634" t="str">
        <x:v>RF004-E1!F9</x:v>
      </x:c>
    </x:row>
    <x:row r="1635">
      <x:c r="A1635" t="str">
        <x:v>retornarDatosPresentacionUsuario</x:v>
      </x:c>
      <x:c r="B1635" t="str">
        <x:v>nombre,fotoPerfil</x:v>
      </x:c>
      <x:c r="C1635" t="str">
        <x:v>E_Usuario</x:v>
      </x:c>
      <x:c r="D1635" t="str">
        <x:v>C_PerfilUsuario</x:v>
      </x:c>
      <x:c r="E1635" t="str">
        <x:v>retorno</x:v>
      </x:c>
      <x:c r="F1635" t="n">
        <x:v>1</x:v>
      </x:c>
      <x:c r="G1635" t="str">
        <x:v>RF02</x:v>
      </x:c>
      <x:c r="H1635" t="str">
        <x:v>RF002-E1!F37</x:v>
      </x:c>
    </x:row>
    <x:row r="1636">
      <x:c r="A1636" t="str">
        <x:v>retornarDatosUsuario</x:v>
      </x:c>
      <x:c r="B1636" t="str">
        <x:v>nombre,correo,fechaNacimiento</x:v>
      </x:c>
      <x:c r="C1636" t="str">
        <x:v>E_Usuario</x:v>
      </x:c>
      <x:c r="D1636" t="str">
        <x:v>C_PerfilUsuario</x:v>
      </x:c>
      <x:c r="E1636" t="str">
        <x:v>retorno</x:v>
      </x:c>
      <x:c r="F1636" t="n">
        <x:v>1</x:v>
      </x:c>
      <x:c r="G1636" t="str">
        <x:v>RF04</x:v>
      </x:c>
      <x:c r="H1636" t="str">
        <x:v>RF004-E1!F17</x:v>
      </x:c>
    </x:row>
    <x:row r="1637">
      <x:c r="A1637" t="str">
        <x:v>retornarDatosUsuarioActualizados</x:v>
      </x:c>
      <x:c r="B1637" t="str">
        <x:v>nombre,correo,fechaNacimiento,fotoPerfil</x:v>
      </x:c>
      <x:c r="C1637" t="str">
        <x:v>E_Usuario</x:v>
      </x:c>
      <x:c r="D1637" t="str">
        <x:v>C_PerfilUsuario</x:v>
      </x:c>
      <x:c r="E1637" t="str">
        <x:v>retorno</x:v>
      </x:c>
      <x:c r="F1637" t="n">
        <x:v>1</x:v>
      </x:c>
      <x:c r="G1637" t="str">
        <x:v>RF04</x:v>
      </x:c>
      <x:c r="H1637" t="str">
        <x:v>RF004-E1!F38</x:v>
      </x:c>
    </x:row>
    <x:row r="1638">
      <x:c r="A1638" t="str">
        <x:v>confirmarActualizacionContrasena</x:v>
      </x:c>
      <x:c r="B1638" t="str"/>
      <x:c r="C1638" t="str">
        <x:v>E_Usuario</x:v>
      </x:c>
      <x:c r="D1638" t="str">
        <x:v>C_RecuperacionCuenta</x:v>
      </x:c>
      <x:c r="E1638" t="str">
        <x:v>otra</x:v>
      </x:c>
      <x:c r="F1638" t="n">
        <x:v>1</x:v>
      </x:c>
      <x:c r="G1638" t="str">
        <x:v>RF03</x:v>
      </x:c>
      <x:c r="H1638" t="str">
        <x:v>RF003-E1!F66</x:v>
      </x:c>
    </x:row>
    <x:row r="1639">
      <x:c r="A1639" t="str">
        <x:v>retornarCuentaReactivada</x:v>
      </x:c>
      <x:c r="B1639" t="str"/>
      <x:c r="C1639" t="str">
        <x:v>E_Usuario</x:v>
      </x:c>
      <x:c r="D1639" t="str">
        <x:v>C_RecuperarCuenta</x:v>
      </x:c>
      <x:c r="E1639" t="str">
        <x:v>retorno</x:v>
      </x:c>
      <x:c r="F1639" t="n">
        <x:v>1</x:v>
      </x:c>
      <x:c r="G1639" t="str">
        <x:v>RF53</x:v>
      </x:c>
      <x:c r="H1639" t="str">
        <x:v>RF053-EF1!F49</x:v>
      </x:c>
    </x:row>
    <x:row r="1640">
      <x:c r="A1640" t="str">
        <x:v>retornarUsuarioRegistrado</x:v>
      </x:c>
      <x:c r="B1640" t="str">
        <x:v>idUsuario,datosUsuario</x:v>
      </x:c>
      <x:c r="C1640" t="str">
        <x:v>E_Usuario</x:v>
      </x:c>
      <x:c r="D1640" t="str">
        <x:v>C_RegistroUsuario</x:v>
      </x:c>
      <x:c r="E1640" t="str">
        <x:v>retorno</x:v>
      </x:c>
      <x:c r="F1640" t="n">
        <x:v>1</x:v>
      </x:c>
      <x:c r="G1640" t="str">
        <x:v>RF01</x:v>
      </x:c>
      <x:c r="H1640" t="str">
        <x:v>RF001-E1!F36</x:v>
      </x:c>
    </x:row>
    <x:row r="1641">
      <x:c r="A1641" t="str">
        <x:v>retornarCredencialUsuario</x:v>
      </x:c>
      <x:c r="B1641" t="str">
        <x:v>hashContrasena</x:v>
      </x:c>
      <x:c r="C1641" t="str">
        <x:v>E_Usuario</x:v>
      </x:c>
      <x:c r="D1641" t="str">
        <x:v>C_ValidacionContrasena</x:v>
      </x:c>
      <x:c r="E1641" t="str">
        <x:v>retorno</x:v>
      </x:c>
      <x:c r="F1641" t="n">
        <x:v>1</x:v>
      </x:c>
      <x:c r="G1641" t="str">
        <x:v>RF05</x:v>
      </x:c>
      <x:c r="H1641" t="str">
        <x:v>RF005-E1!F32</x:v>
      </x:c>
    </x:row>
    <x:row r="1642">
      <x:c r="A1642" t="str">
        <x:v>retornarCuentaYCorreo</x:v>
      </x:c>
      <x:c r="B1642" t="str">
        <x:v>ACTIVA,correo</x:v>
      </x:c>
      <x:c r="C1642" t="str">
        <x:v>E_Usuario</x:v>
      </x:c>
      <x:c r="D1642" t="str">
        <x:v>C_ValidacionCuenta</x:v>
      </x:c>
      <x:c r="E1642" t="str">
        <x:v>retorno</x:v>
      </x:c>
      <x:c r="F1642" t="n">
        <x:v>1</x:v>
      </x:c>
      <x:c r="G1642" t="str">
        <x:v>RF07</x:v>
      </x:c>
      <x:c r="H1642" t="str">
        <x:v>RF007-E1!F33</x:v>
      </x:c>
    </x:row>
    <x:row r="1643">
      <x:c r="A1643" t="str">
        <x:v>retornarDatosAutenticacion</x:v>
      </x:c>
      <x:c r="B1643" t="str">
        <x:v>idUsuario,hashContrasena,estado</x:v>
      </x:c>
      <x:c r="C1643" t="str">
        <x:v>E_Usuario</x:v>
      </x:c>
      <x:c r="D1643" t="str">
        <x:v>C_ValidacionCuenta</x:v>
      </x:c>
      <x:c r="E1643" t="str">
        <x:v>retorno</x:v>
      </x:c>
      <x:c r="F1643" t="n">
        <x:v>1</x:v>
      </x:c>
      <x:c r="G1643" t="str">
        <x:v>RF53</x:v>
      </x:c>
      <x:c r="H1643" t="str">
        <x:v>RF053-EF1!F20</x:v>
      </x:c>
    </x:row>
    <x:row r="1644">
      <x:c r="A1644" t="str">
        <x:v>retornarDatosAutenticacion</x:v>
      </x:c>
      <x:c r="B1644" t="str">
        <x:v>existeUsuario,idUsuario,hashContrasena,estadoUsuario</x:v>
      </x:c>
      <x:c r="C1644" t="str">
        <x:v>E_Usuario</x:v>
      </x:c>
      <x:c r="D1644" t="str">
        <x:v>C_ValidacionInicioSesion</x:v>
      </x:c>
      <x:c r="E1644" t="str">
        <x:v>retorno</x:v>
      </x:c>
      <x:c r="F1644" t="n">
        <x:v>1</x:v>
      </x:c>
      <x:c r="G1644" t="str">
        <x:v>RF02</x:v>
      </x:c>
      <x:c r="H1644" t="str">
        <x:v>RF002-E1!F25</x:v>
      </x:c>
    </x:row>
    <x:row r="1645">
      <x:c r="A1645" t="str">
        <x:v>retornarDatosUsuario</x:v>
      </x:c>
      <x:c r="B1645" t="str">
        <x:v>existeUsuario,idUsuario,correo,estadoUsuario</x:v>
      </x:c>
      <x:c r="C1645" t="str">
        <x:v>E_Usuario</x:v>
      </x:c>
      <x:c r="D1645" t="str">
        <x:v>C_ValidacionRecuperacion</x:v>
      </x:c>
      <x:c r="E1645" t="str">
        <x:v>retorno</x:v>
      </x:c>
      <x:c r="F1645" t="n">
        <x:v>1</x:v>
      </x:c>
      <x:c r="G1645" t="str">
        <x:v>RF03</x:v>
      </x:c>
      <x:c r="H1645" t="str">
        <x:v>RF003-E1!F21</x:v>
      </x:c>
    </x:row>
    <x:row r="1646">
      <x:c r="A1646" t="str">
        <x:v>retornarDisponibilidadCorreo</x:v>
      </x:c>
      <x:c r="B1646" t="str">
        <x:v>disponible</x:v>
      </x:c>
      <x:c r="C1646" t="str">
        <x:v>E_Usuario</x:v>
      </x:c>
      <x:c r="D1646" t="str">
        <x:v>C_ValidacionRegistroUsuarios</x:v>
      </x:c>
      <x:c r="E1646" t="str">
        <x:v>retorno</x:v>
      </x:c>
      <x:c r="F1646" t="n">
        <x:v>1</x:v>
      </x:c>
      <x:c r="G1646" t="str">
        <x:v>RF01</x:v>
      </x:c>
      <x:c r="H1646" t="str">
        <x:v>RF001-E1!F31</x:v>
      </x:c>
    </x:row>
    <x:row r="1647">
      <x:c r="A1647" t="str">
        <x:v>retornarDatosPublicosVehiculo</x:v>
      </x:c>
      <x:c r="B1647" t="str">
        <x:v>marca,modelo,anioFabricacion,tipoCombustible</x:v>
      </x:c>
      <x:c r="C1647" t="str">
        <x:v>E_Vehiculo</x:v>
      </x:c>
      <x:c r="D1647" t="str">
        <x:v>C_ControlCompartirVehiculo</x:v>
      </x:c>
      <x:c r="E1647" t="str">
        <x:v>retorno</x:v>
      </x:c>
      <x:c r="F1647" t="n">
        <x:v>1</x:v>
      </x:c>
      <x:c r="G1647" t="str">
        <x:v>RF41</x:v>
      </x:c>
      <x:c r="H1647" t="str">
        <x:v>RF041-EF1!F9</x:v>
      </x:c>
    </x:row>
    <x:row r="1648">
      <x:c r="A1648" t="str">
        <x:v>retornarDatosVehiculo</x:v>
      </x:c>
      <x:c r="B1648" t="str">
        <x:v>datosVehiculo</x:v>
      </x:c>
      <x:c r="C1648" t="str">
        <x:v>E_Vehiculo</x:v>
      </x:c>
      <x:c r="D1648" t="str">
        <x:v>C_ControlDetalleVehiculo</x:v>
      </x:c>
      <x:c r="E1648" t="str">
        <x:v>retorno</x:v>
      </x:c>
      <x:c r="F1648" t="n">
        <x:v>1</x:v>
      </x:c>
      <x:c r="G1648" t="str">
        <x:v>RF10</x:v>
      </x:c>
      <x:c r="H1648" t="str">
        <x:v>RF010-EF1!F8</x:v>
      </x:c>
    </x:row>
    <x:row r="1649">
      <x:c r="A1649" t="str">
        <x:v>retornarActualizacionVehiculo</x:v>
      </x:c>
      <x:c r="B1649" t="str">
        <x:v>datosVehiculoActualizado</x:v>
      </x:c>
      <x:c r="C1649" t="str">
        <x:v>E_Vehiculo</x:v>
      </x:c>
      <x:c r="D1649" t="str">
        <x:v>C_ControlEdicionVehiculo</x:v>
      </x:c>
      <x:c r="E1649" t="str">
        <x:v>retorno</x:v>
      </x:c>
      <x:c r="F1649" t="n">
        <x:v>1</x:v>
      </x:c>
      <x:c r="G1649" t="str">
        <x:v>RF11</x:v>
      </x:c>
      <x:c r="H1649" t="str">
        <x:v>RF011-EF1!F35</x:v>
      </x:c>
    </x:row>
    <x:row r="1650">
      <x:c r="A1650" t="str">
        <x:v>retornarDatosVehiculo</x:v>
      </x:c>
      <x:c r="B1650" t="str">
        <x:v>datosVehiculo</x:v>
      </x:c>
      <x:c r="C1650" t="str">
        <x:v>E_Vehiculo</x:v>
      </x:c>
      <x:c r="D1650" t="str">
        <x:v>C_ControlEdicionVehiculo</x:v>
      </x:c>
      <x:c r="E1650" t="str">
        <x:v>retorno</x:v>
      </x:c>
      <x:c r="F1650" t="n">
        <x:v>1</x:v>
      </x:c>
      <x:c r="G1650" t="str">
        <x:v>RF11</x:v>
      </x:c>
      <x:c r="H1650" t="str">
        <x:v>RF011-EF1!F8</x:v>
      </x:c>
    </x:row>
    <x:row r="1651">
      <x:c r="A1651" t="str">
        <x:v>retornarDisponibilidadVIN</x:v>
      </x:c>
      <x:c r="B1651" t="str">
        <x:v>disponible</x:v>
      </x:c>
      <x:c r="C1651" t="str">
        <x:v>E_Vehiculo</x:v>
      </x:c>
      <x:c r="D1651" t="str">
        <x:v>C_ControlEdicionVehiculo</x:v>
      </x:c>
      <x:c r="E1651" t="str">
        <x:v>retorno</x:v>
      </x:c>
      <x:c r="F1651" t="n">
        <x:v>1</x:v>
      </x:c>
      <x:c r="G1651" t="str">
        <x:v>RF11</x:v>
      </x:c>
      <x:c r="H1651" t="str">
        <x:v>RF011-EF1!F31</x:v>
      </x:c>
    </x:row>
    <x:row r="1652">
      <x:c r="A1652" t="str">
        <x:v>retornarCambioEstadoAtomico</x:v>
      </x:c>
      <x:c r="B1652" t="str">
        <x:v>datosEstadoActualizado</x:v>
      </x:c>
      <x:c r="C1652" t="str">
        <x:v>E_Vehiculo</x:v>
      </x:c>
      <x:c r="D1652" t="str">
        <x:v>C_ControlEstadoVehiculo</x:v>
      </x:c>
      <x:c r="E1652" t="str">
        <x:v>retorno</x:v>
      </x:c>
      <x:c r="F1652" t="n">
        <x:v>1</x:v>
      </x:c>
      <x:c r="G1652" t="str">
        <x:v>RF12</x:v>
      </x:c>
      <x:c r="H1652" t="str">
        <x:v>RF012-EF1!F32</x:v>
      </x:c>
    </x:row>
    <x:row r="1653">
      <x:c r="A1653" t="str">
        <x:v>retornarCantidadVehiculosActivos</x:v>
      </x:c>
      <x:c r="B1653" t="str">
        <x:v>cantidadActivos</x:v>
      </x:c>
      <x:c r="C1653" t="str">
        <x:v>E_Vehiculo</x:v>
      </x:c>
      <x:c r="D1653" t="str">
        <x:v>C_ControlEstadoVehiculo</x:v>
      </x:c>
      <x:c r="E1653" t="str">
        <x:v>retorno</x:v>
      </x:c>
      <x:c r="F1653" t="n">
        <x:v>1</x:v>
      </x:c>
      <x:c r="G1653" t="str">
        <x:v>RF12</x:v>
      </x:c>
      <x:c r="H1653" t="str">
        <x:v>RF012-EF1!F18</x:v>
      </x:c>
    </x:row>
    <x:row r="1654">
      <x:c r="A1654" t="str">
        <x:v>retornarDatosEstado</x:v>
      </x:c>
      <x:c r="B1654" t="str">
        <x:v>estadoActual,esPrincipal</x:v>
      </x:c>
      <x:c r="C1654" t="str">
        <x:v>E_Vehiculo</x:v>
      </x:c>
      <x:c r="D1654" t="str">
        <x:v>C_ControlEstadoVehiculo</x:v>
      </x:c>
      <x:c r="E1654" t="str">
        <x:v>retorno</x:v>
      </x:c>
      <x:c r="F1654" t="n">
        <x:v>1</x:v>
      </x:c>
      <x:c r="G1654" t="str">
        <x:v>RF12</x:v>
      </x:c>
      <x:c r="H1654" t="str">
        <x:v>RF012-EF1!F9</x:v>
      </x:c>
    </x:row>
    <x:row r="1655">
      <x:c r="A1655" t="str">
        <x:v>retornarVehiculosActivosAlternativos</x:v>
      </x:c>
      <x:c r="B1655" t="str">
        <x:v>listaActivos</x:v>
      </x:c>
      <x:c r="C1655" t="str">
        <x:v>E_Vehiculo</x:v>
      </x:c>
      <x:c r="D1655" t="str">
        <x:v>C_ControlEstadoVehiculo</x:v>
      </x:c>
      <x:c r="E1655" t="str">
        <x:v>retorno</x:v>
      </x:c>
      <x:c r="F1655" t="n">
        <x:v>1</x:v>
      </x:c>
      <x:c r="G1655" t="str">
        <x:v>RF12</x:v>
      </x:c>
      <x:c r="H1655" t="str">
        <x:v>RF012-EF1!F23</x:v>
      </x:c>
    </x:row>
    <x:row r="1656">
      <x:c r="A1656" t="str">
        <x:v>retornarDatosVehiculos</x:v>
      </x:c>
      <x:c r="B1656" t="str">
        <x:v>listaVehiculos</x:v>
      </x:c>
      <x:c r="C1656" t="str">
        <x:v>E_Vehiculo</x:v>
      </x:c>
      <x:c r="D1656" t="str">
        <x:v>C_ControlListadoVehiculos</x:v>
      </x:c>
      <x:c r="E1656" t="str">
        <x:v>retorno</x:v>
      </x:c>
      <x:c r="F1656" t="n">
        <x:v>4</x:v>
      </x:c>
      <x:c r="G1656" t="str">
        <x:v>RF09, RF12, RF13, RF23</x:v>
      </x:c>
      <x:c r="H1656" t="str">
        <x:v>RF009-EF1!F11</x:v>
      </x:c>
    </x:row>
    <x:row r="1657">
      <x:c r="A1657" t="str">
        <x:v>retornarVehiculosActivosYPrincipal</x:v>
      </x:c>
      <x:c r="B1657" t="str">
        <x:v>lista_vehiculos,vehiculo_principal</x:v>
      </x:c>
      <x:c r="C1657" t="str">
        <x:v>E_Vehiculo</x:v>
      </x:c>
      <x:c r="D1657" t="str">
        <x:v>C_ControlListadoVehiculos</x:v>
      </x:c>
      <x:c r="E1657" t="str">
        <x:v>retorno</x:v>
      </x:c>
      <x:c r="F1657" t="n">
        <x:v>1</x:v>
      </x:c>
      <x:c r="G1657" t="str">
        <x:v>RF22</x:v>
      </x:c>
      <x:c r="H1657" t="str">
        <x:v>RF22!F9</x:v>
      </x:c>
    </x:row>
    <x:row r="1658">
      <x:c r="A1658" t="str">
        <x:v>retornarVehiculosFiltrados</x:v>
      </x:c>
      <x:c r="B1658" t="str">
        <x:v>listaVehiculos</x:v>
      </x:c>
      <x:c r="C1658" t="str">
        <x:v>E_Vehiculo</x:v>
      </x:c>
      <x:c r="D1658" t="str">
        <x:v>C_ControlListadoVehiculos</x:v>
      </x:c>
      <x:c r="E1658" t="str">
        <x:v>retorno</x:v>
      </x:c>
      <x:c r="F1658" t="n">
        <x:v>1</x:v>
      </x:c>
      <x:c r="G1658" t="str">
        <x:v>RF09</x:v>
      </x:c>
      <x:c r="H1658" t="str">
        <x:v>RF009-EF1!F37</x:v>
      </x:c>
    </x:row>
    <x:row r="1659">
      <x:c r="A1659" t="str">
        <x:v>retornarActualizacionPrincipal</x:v>
      </x:c>
      <x:c r="B1659" t="str"/>
      <x:c r="C1659" t="str">
        <x:v>E_Vehiculo</x:v>
      </x:c>
      <x:c r="D1659" t="str">
        <x:v>C_ControlRegistroVehiculo</x:v>
      </x:c>
      <x:c r="E1659" t="str">
        <x:v>retorno</x:v>
      </x:c>
      <x:c r="F1659" t="n">
        <x:v>1</x:v>
      </x:c>
      <x:c r="G1659" t="str">
        <x:v>RF08</x:v>
      </x:c>
      <x:c r="H1659" t="str">
        <x:v>RF008-EF1!F45</x:v>
      </x:c>
    </x:row>
    <x:row r="1660">
      <x:c r="A1660" t="str">
        <x:v>retornarCantidadVehiculosRegistrados</x:v>
      </x:c>
      <x:c r="B1660" t="str">
        <x:v>cantidadRegistrados</x:v>
      </x:c>
      <x:c r="C1660" t="str">
        <x:v>E_Vehiculo</x:v>
      </x:c>
      <x:c r="D1660" t="str">
        <x:v>C_ControlRegistroVehiculo</x:v>
      </x:c>
      <x:c r="E1660" t="str">
        <x:v>retorno</x:v>
      </x:c>
      <x:c r="F1660" t="n">
        <x:v>1</x:v>
      </x:c>
      <x:c r="G1660" t="str">
        <x:v>RF08</x:v>
      </x:c>
      <x:c r="H1660" t="str">
        <x:v>RF008-EF1!F16</x:v>
      </x:c>
    </x:row>
    <x:row r="1661">
      <x:c r="A1661" t="str">
        <x:v>retornarDisponibilidadPlaca</x:v>
      </x:c>
      <x:c r="B1661" t="str"/>
      <x:c r="C1661" t="str">
        <x:v>E_Vehiculo</x:v>
      </x:c>
      <x:c r="D1661" t="str">
        <x:v>C_ControlRegistroVehiculo</x:v>
      </x:c>
      <x:c r="E1661" t="str">
        <x:v>retorno</x:v>
      </x:c>
      <x:c r="F1661" t="n">
        <x:v>1</x:v>
      </x:c>
      <x:c r="G1661" t="str">
        <x:v>RF08</x:v>
      </x:c>
      <x:c r="H1661" t="str">
        <x:v>RF008-EF1!F34</x:v>
      </x:c>
    </x:row>
    <x:row r="1662">
      <x:c r="A1662" t="str">
        <x:v>retornarDisponibilidadVIN</x:v>
      </x:c>
      <x:c r="B1662" t="str">
        <x:v>disponible</x:v>
      </x:c>
      <x:c r="C1662" t="str">
        <x:v>E_Vehiculo</x:v>
      </x:c>
      <x:c r="D1662" t="str">
        <x:v>C_ControlRegistroVehiculo</x:v>
      </x:c>
      <x:c r="E1662" t="str">
        <x:v>retorno</x:v>
      </x:c>
      <x:c r="F1662" t="n">
        <x:v>1</x:v>
      </x:c>
      <x:c r="G1662" t="str">
        <x:v>RF08</x:v>
      </x:c>
      <x:c r="H1662" t="str">
        <x:v>RF008-EF1!F36</x:v>
      </x:c>
    </x:row>
    <x:row r="1663">
      <x:c r="A1663" t="str">
        <x:v>retornarIdVehiculo</x:v>
      </x:c>
      <x:c r="B1663" t="str">
        <x:v>idVehiculo</x:v>
      </x:c>
      <x:c r="C1663" t="str">
        <x:v>E_Vehiculo</x:v>
      </x:c>
      <x:c r="D1663" t="str">
        <x:v>C_ControlRegistroVehiculo</x:v>
      </x:c>
      <x:c r="E1663" t="str">
        <x:v>retorno</x:v>
      </x:c>
      <x:c r="F1663" t="n">
        <x:v>1</x:v>
      </x:c>
      <x:c r="G1663" t="str">
        <x:v>RF08</x:v>
      </x:c>
      <x:c r="H1663" t="str">
        <x:v>RF008-EF1!F40</x:v>
      </x:c>
    </x:row>
    <x:row r="1664">
      <x:c r="A1664" t="str">
        <x:v>retornarResumenVehiculos</x:v>
      </x:c>
      <x:c r="B1664" t="str">
        <x:v>activos,inactivos</x:v>
      </x:c>
      <x:c r="C1664" t="str">
        <x:v>E_Vehiculo</x:v>
      </x:c>
      <x:c r="D1664" t="str">
        <x:v>C_ControlSuscripcionAdmin</x:v>
      </x:c>
      <x:c r="E1664" t="str">
        <x:v>retorno</x:v>
      </x:c>
      <x:c r="F1664" t="n">
        <x:v>1</x:v>
      </x:c>
      <x:c r="G1664" t="str">
        <x:v>RF60</x:v>
      </x:c>
      <x:c r="H1664" t="str">
        <x:v>RF060_EXITOSO!F23</x:v>
      </x:c>
    </x:row>
    <x:row r="1665">
      <x:c r="A1665" t="str">
        <x:v>retornarDatosVehiculo</x:v>
      </x:c>
      <x:c r="B1665" t="str">
        <x:v>datosVehiculo</x:v>
      </x:c>
      <x:c r="C1665" t="str">
        <x:v>E_Vehiculo</x:v>
      </x:c>
      <x:c r="D1665" t="str">
        <x:v>C_ControlVehiculo</x:v>
      </x:c>
      <x:c r="E1665" t="str">
        <x:v>retorno</x:v>
      </x:c>
      <x:c r="F1665" t="n">
        <x:v>10</x:v>
      </x:c>
      <x:c r="G1665" t="str">
        <x:v>RF14, RF15, RF16, RF31, RF32, RF33, RF54, RF55, RF56</x:v>
      </x:c>
      <x:c r="H1665" t="str">
        <x:v>RF014-EF1!F9</x:v>
      </x:c>
    </x:row>
    <x:row r="1666">
      <x:c r="A1666" t="str">
        <x:v>retornarDatosVehiculo</x:v>
      </x:c>
      <x:c r="B1666" t="str">
        <x:v>datos_vehiculo</x:v>
      </x:c>
      <x:c r="C1666" t="str">
        <x:v>E_Vehiculo</x:v>
      </x:c>
      <x:c r="D1666" t="str">
        <x:v>C_ControlVehiculo</x:v>
      </x:c>
      <x:c r="E1666" t="str">
        <x:v>retorno</x:v>
      </x:c>
      <x:c r="F1666" t="n">
        <x:v>4</x:v>
      </x:c>
      <x:c r="G1666" t="str">
        <x:v>RF18, RF19, RF24</x:v>
      </x:c>
      <x:c r="H1666" t="str">
        <x:v>RF18!F15</x:v>
      </x:c>
    </x:row>
    <x:row r="1667">
      <x:c r="A1667" t="str">
        <x:v>retornarEstadosVehiculos</x:v>
      </x:c>
      <x:c r="B1667" t="str">
        <x:v>estadosVehiculo</x:v>
      </x:c>
      <x:c r="C1667" t="str">
        <x:v>E_Vehiculo</x:v>
      </x:c>
      <x:c r="D1667" t="str">
        <x:v>C_ControlVehiculo</x:v>
      </x:c>
      <x:c r="E1667" t="str">
        <x:v>retorno</x:v>
      </x:c>
      <x:c r="F1667" t="n">
        <x:v>3</x:v>
      </x:c>
      <x:c r="G1667" t="str">
        <x:v>RF23, RF44, RF46</x:v>
      </x:c>
      <x:c r="H1667" t="str">
        <x:v>RF23!F53</x:v>
      </x:c>
    </x:row>
    <x:row r="1668">
      <x:c r="A1668" t="str">
        <x:v>retornarVehiculoUsuario</x:v>
      </x:c>
      <x:c r="B1668" t="str">
        <x:v>datosVehiculo,estado</x:v>
      </x:c>
      <x:c r="C1668" t="str">
        <x:v>E_Vehiculo</x:v>
      </x:c>
      <x:c r="D1668" t="str">
        <x:v>C_ControlVehiculo</x:v>
      </x:c>
      <x:c r="E1668" t="str">
        <x:v>retorno</x:v>
      </x:c>
      <x:c r="F1668" t="n">
        <x:v>2</x:v>
      </x:c>
      <x:c r="G1668" t="str">
        <x:v>RF31, RF32</x:v>
      </x:c>
      <x:c r="H1668" t="str">
        <x:v>RF031-EF1!F19</x:v>
      </x:c>
    </x:row>
    <x:row r="1669">
      <x:c r="A1669" t="str">
        <x:v>retornarVehiculoValidado</x:v>
      </x:c>
      <x:c r="B1669" t="str">
        <x:v>datos_vehiculo</x:v>
      </x:c>
      <x:c r="C1669" t="str">
        <x:v>E_Vehiculo</x:v>
      </x:c>
      <x:c r="D1669" t="str">
        <x:v>C_ControlVehiculo</x:v>
      </x:c>
      <x:c r="E1669" t="str">
        <x:v>retorno</x:v>
      </x:c>
      <x:c r="F1669" t="n">
        <x:v>13</x:v>
      </x:c>
      <x:c r="G1669" t="str">
        <x:v>RF17, RF20, RF21, RF22, RF24, RF25, RF26, RF27</x:v>
      </x:c>
      <x:c r="H1669" t="str">
        <x:v>RF17!F62</x:v>
      </x:c>
    </x:row>
    <x:row r="1670">
      <x:c r="A1670" t="str">
        <x:v>retornarVehiculoValidado</x:v>
      </x:c>
      <x:c r="B1670" t="str">
        <x:v>datos_vehiculo,tipo_aceite_registrado</x:v>
      </x:c>
      <x:c r="C1670" t="str">
        <x:v>E_Vehiculo</x:v>
      </x:c>
      <x:c r="D1670" t="str">
        <x:v>C_ControlVehiculo</x:v>
      </x:c>
      <x:c r="E1670" t="str">
        <x:v>retorno</x:v>
      </x:c>
      <x:c r="F1670" t="n">
        <x:v>1</x:v>
      </x:c>
      <x:c r="G1670" t="str">
        <x:v>RF17</x:v>
      </x:c>
      <x:c r="H1670" t="str">
        <x:v>RF17!F23</x:v>
      </x:c>
    </x:row>
    <x:row r="1671">
      <x:c r="A1671" t="str">
        <x:v>retornarVehiculosActivos</x:v>
      </x:c>
      <x:c r="B1671" t="str">
        <x:v>listaVehiculos</x:v>
      </x:c>
      <x:c r="C1671" t="str">
        <x:v>E_Vehiculo</x:v>
      </x:c>
      <x:c r="D1671" t="str">
        <x:v>C_ControlVehiculo</x:v>
      </x:c>
      <x:c r="E1671" t="str">
        <x:v>retorno</x:v>
      </x:c>
      <x:c r="F1671" t="n">
        <x:v>2</x:v>
      </x:c>
      <x:c r="G1671" t="str">
        <x:v>RF44, RF50</x:v>
      </x:c>
      <x:c r="H1671" t="str">
        <x:v>RF044-EF1!F26</x:v>
      </x:c>
    </x:row>
    <x:row r="1672">
      <x:c r="A1672" t="str">
        <x:v>retornarVehiculosYPrincipal</x:v>
      </x:c>
      <x:c r="B1672" t="str">
        <x:v>listaVehiculos,datosVehiculoPrincipal</x:v>
      </x:c>
      <x:c r="C1672" t="str">
        <x:v>E_Vehiculo</x:v>
      </x:c>
      <x:c r="D1672" t="str">
        <x:v>C_ControlVehiculo</x:v>
      </x:c>
      <x:c r="E1672" t="str">
        <x:v>retorno</x:v>
      </x:c>
      <x:c r="F1672" t="n">
        <x:v>1</x:v>
      </x:c>
      <x:c r="G1672" t="str">
        <x:v>RF15</x:v>
      </x:c>
      <x:c r="H1672" t="str">
        <x:v>RF015-EF1!F14</x:v>
      </x:c>
    </x:row>
    <x:row r="1673">
      <x:c r="A1673" t="str">
        <x:v>retornarVehiculosYPrincipal</x:v>
      </x:c>
      <x:c r="B1673" t="str">
        <x:v>lista_vehiculos,datos_vehiculo_principal</x:v>
      </x:c>
      <x:c r="C1673" t="str">
        <x:v>E_Vehiculo</x:v>
      </x:c>
      <x:c r="D1673" t="str">
        <x:v>C_ControlVehiculo</x:v>
      </x:c>
      <x:c r="E1673" t="str">
        <x:v>retorno</x:v>
      </x:c>
      <x:c r="F1673" t="n">
        <x:v>1</x:v>
      </x:c>
      <x:c r="G1673" t="str">
        <x:v>RF25</x:v>
      </x:c>
      <x:c r="H1673" t="str">
        <x:v>RF25!F10</x:v>
      </x:c>
    </x:row>
    <x:row r="1674">
      <x:c r="A1674" t="str">
        <x:v>retornarVehiculosYPrincipal</x:v>
      </x:c>
      <x:c r="B1674" t="str">
        <x:v>lista_vehiculos,vehiculo_principal</x:v>
      </x:c>
      <x:c r="C1674" t="str">
        <x:v>E_Vehiculo</x:v>
      </x:c>
      <x:c r="D1674" t="str">
        <x:v>C_ControlVehiculo</x:v>
      </x:c>
      <x:c r="E1674" t="str">
        <x:v>retorno</x:v>
      </x:c>
      <x:c r="F1674" t="n">
        <x:v>2</x:v>
      </x:c>
      <x:c r="G1674" t="str">
        <x:v>RF17, RF18</x:v>
      </x:c>
      <x:c r="H1674" t="str">
        <x:v>RF17!F10</x:v>
      </x:c>
    </x:row>
    <x:row r="1675">
      <x:c r="A1675" t="str">
        <x:v>retornarDatosVehiculo</x:v>
      </x:c>
      <x:c r="B1675" t="str">
        <x:v>datosVehiculo</x:v>
      </x:c>
      <x:c r="C1675" t="str">
        <x:v>E_Vehiculo</x:v>
      </x:c>
      <x:c r="D1675" t="str">
        <x:v>C_ControlVehiculoPrincipal</x:v>
      </x:c>
      <x:c r="E1675" t="str">
        <x:v>retorno</x:v>
      </x:c>
      <x:c r="F1675" t="n">
        <x:v>1</x:v>
      </x:c>
      <x:c r="G1675" t="str">
        <x:v>RF13</x:v>
      </x:c>
      <x:c r="H1675" t="str">
        <x:v>RF013-EF1!F9</x:v>
      </x:c>
    </x:row>
    <x:row r="1676">
      <x:c r="A1676" t="str">
        <x:v>retornarEstadoActualCandidato</x:v>
      </x:c>
      <x:c r="B1676" t="str">
        <x:v>datosVehiculoActual</x:v>
      </x:c>
      <x:c r="C1676" t="str">
        <x:v>E_Vehiculo</x:v>
      </x:c>
      <x:c r="D1676" t="str">
        <x:v>C_ControlVehiculoPrincipal</x:v>
      </x:c>
      <x:c r="E1676" t="str">
        <x:v>retorno</x:v>
      </x:c>
      <x:c r="F1676" t="n">
        <x:v>1</x:v>
      </x:c>
      <x:c r="G1676" t="str">
        <x:v>RF13</x:v>
      </x:c>
      <x:c r="H1676" t="str">
        <x:v>RF013-EF1!F21</x:v>
      </x:c>
    </x:row>
    <x:row r="1677">
      <x:c r="A1677" t="str">
        <x:v>retornarPrincipalActual</x:v>
      </x:c>
      <x:c r="B1677" t="str">
        <x:v>datosPrincipalActual</x:v>
      </x:c>
      <x:c r="C1677" t="str">
        <x:v>E_Vehiculo</x:v>
      </x:c>
      <x:c r="D1677" t="str">
        <x:v>C_ControlVehiculoPrincipal</x:v>
      </x:c>
      <x:c r="E1677" t="str">
        <x:v>retorno</x:v>
      </x:c>
      <x:c r="F1677" t="n">
        <x:v>1</x:v>
      </x:c>
      <x:c r="G1677" t="str">
        <x:v>RF13</x:v>
      </x:c>
      <x:c r="H1677" t="str">
        <x:v>RF013-EF1!F12</x:v>
      </x:c>
    </x:row>
    <x:row r="1678">
      <x:c r="A1678" t="str">
        <x:v>retornarPrincipalActualizado</x:v>
      </x:c>
      <x:c r="B1678" t="str">
        <x:v>datosPrincipalNuevo</x:v>
      </x:c>
      <x:c r="C1678" t="str">
        <x:v>E_Vehiculo</x:v>
      </x:c>
      <x:c r="D1678" t="str">
        <x:v>C_ControlVehiculoPrincipal</x:v>
      </x:c>
      <x:c r="E1678" t="str">
        <x:v>retorno</x:v>
      </x:c>
      <x:c r="F1678" t="n">
        <x:v>1</x:v>
      </x:c>
      <x:c r="G1678" t="str">
        <x:v>RF13</x:v>
      </x:c>
      <x:c r="H1678" t="str">
        <x:v>RF013-EF1!F24</x:v>
      </x:c>
    </x:row>
    <x:row r="1679">
      <x:c r="A1679" t="str">
        <x:v>retornarVehiculoPrincipal</x:v>
      </x:c>
      <x:c r="B1679" t="str">
        <x:v>datosVehiculoPrincipal</x:v>
      </x:c>
      <x:c r="C1679" t="str">
        <x:v>E_Vehiculo</x:v>
      </x:c>
      <x:c r="D1679" t="str">
        <x:v>C_ControlVehiculoPrincipal</x:v>
      </x:c>
      <x:c r="E1679" t="str">
        <x:v>retorno</x:v>
      </x:c>
      <x:c r="F1679" t="n">
        <x:v>1</x:v>
      </x:c>
      <x:c r="G1679" t="str">
        <x:v>RF02</x:v>
      </x:c>
      <x:c r="H1679" t="str">
        <x:v>RF002-E1!F42</x:v>
      </x:c>
    </x:row>
    <x:row r="1680">
      <x:c r="A1680" t="str">
        <x:v>cambiarEstado</x:v>
      </x:c>
      <x:c r="B1680" t="str">
        <x:v>idIncidencia,EN_PROCESO,motivo,idAdmin</x:v>
      </x:c>
      <x:c r="C1680" t="str">
        <x:v>I_ActualizarEstadoIncidencia</x:v>
      </x:c>
      <x:c r="D1680" t="str">
        <x:v>C_ControlIncidencia</x:v>
      </x:c>
      <x:c r="E1680" t="str">
        <x:v>otra</x:v>
      </x:c>
      <x:c r="F1680" t="n">
        <x:v>1</x:v>
      </x:c>
      <x:c r="G1680" t="str">
        <x:v>RF61</x:v>
      </x:c>
      <x:c r="H1680" t="str">
        <x:v>RF061_EXITOSO!F22</x:v>
      </x:c>
    </x:row>
    <x:row r="1681">
      <x:c r="A1681" t="str">
        <x:v>cambiarEstado</x:v>
      </x:c>
      <x:c r="B1681" t="str">
        <x:v>idIncidencia,RESUELTA,motivo,idAdmin</x:v>
      </x:c>
      <x:c r="C1681" t="str">
        <x:v>I_ActualizarEstadoIncidencia</x:v>
      </x:c>
      <x:c r="D1681" t="str">
        <x:v>C_ControlIncidencia</x:v>
      </x:c>
      <x:c r="E1681" t="str">
        <x:v>otra</x:v>
      </x:c>
      <x:c r="F1681" t="n">
        <x:v>1</x:v>
      </x:c>
      <x:c r="G1681" t="str">
        <x:v>RF61</x:v>
      </x:c>
      <x:c r="H1681" t="str">
        <x:v>RF061_EXITOSO!F58</x:v>
      </x:c>
    </x:row>
    <x:row r="1682">
      <x:c r="A1682" t="str">
        <x:v>visualizarGestionActualizacion</x:v>
      </x:c>
      <x:c r="B1682" t="str"/>
      <x:c r="C1682" t="str">
        <x:v>I_ActualizarImagenVehiculo</x:v>
      </x:c>
      <x:c r="D1682" t="str">
        <x:v>AS_Usuario</x:v>
      </x:c>
      <x:c r="E1682" t="str">
        <x:v>presentación/navegación</x:v>
      </x:c>
      <x:c r="F1682" t="n">
        <x:v>1</x:v>
      </x:c>
      <x:c r="G1682" t="str">
        <x:v>RF43</x:v>
      </x:c>
      <x:c r="H1682" t="str">
        <x:v>RF043-EF1!F11</x:v>
      </x:c>
    </x:row>
    <x:row r="1683">
      <x:c r="A1683" t="str">
        <x:v>solicitarSeleccionNuevaImagen</x:v>
      </x:c>
      <x:c r="B1683" t="str"/>
      <x:c r="C1683" t="str">
        <x:v>I_ActualizarImagenVehiculo</x:v>
      </x:c>
      <x:c r="D1683" t="str">
        <x:v>C_ControlImagenVehiculo</x:v>
      </x:c>
      <x:c r="E1683" t="str">
        <x:v>presentación/navegación</x:v>
      </x:c>
      <x:c r="F1683" t="n">
        <x:v>1</x:v>
      </x:c>
      <x:c r="G1683" t="str">
        <x:v>RF43</x:v>
      </x:c>
      <x:c r="H1683" t="str">
        <x:v>RF043-EF1!F14</x:v>
      </x:c>
    </x:row>
    <x:row r="1684">
      <x:c r="A1684" t="str">
        <x:v>visualizarFormularioActualizarKilometraje</x:v>
      </x:c>
      <x:c r="B1684" t="str"/>
      <x:c r="C1684" t="str">
        <x:v>I_ActualizarKilometraje</x:v>
      </x:c>
      <x:c r="D1684" t="str">
        <x:v>AS_Usuario</x:v>
      </x:c>
      <x:c r="E1684" t="str">
        <x:v>presentación/navegación</x:v>
      </x:c>
      <x:c r="F1684" t="n">
        <x:v>1</x:v>
      </x:c>
      <x:c r="G1684" t="str">
        <x:v>RF47</x:v>
      </x:c>
      <x:c r="H1684" t="str">
        <x:v>RF047-EF1!F24</x:v>
      </x:c>
    </x:row>
    <x:row r="1685">
      <x:c r="A1685" t="str">
        <x:v>visualizarFormularioCorreccion</x:v>
      </x:c>
      <x:c r="B1685" t="str">
        <x:v>kmPrevio</x:v>
      </x:c>
      <x:c r="C1685" t="str">
        <x:v>I_ActualizarKilometraje</x:v>
      </x:c>
      <x:c r="D1685" t="str">
        <x:v>AS_Usuario</x:v>
      </x:c>
      <x:c r="E1685" t="str">
        <x:v>presentación/navegación</x:v>
      </x:c>
      <x:c r="F1685" t="n">
        <x:v>1</x:v>
      </x:c>
      <x:c r="G1685" t="str">
        <x:v>RF16</x:v>
      </x:c>
      <x:c r="H1685" t="str">
        <x:v>RF016-EF1!F14</x:v>
      </x:c>
    </x:row>
    <x:row r="1686">
      <x:c r="A1686" t="str">
        <x:v>visualizarFormularioKm</x:v>
      </x:c>
      <x:c r="B1686" t="str"/>
      <x:c r="C1686" t="str">
        <x:v>I_ActualizarKilometraje</x:v>
      </x:c>
      <x:c r="D1686" t="str">
        <x:v>AS_Usuario</x:v>
      </x:c>
      <x:c r="E1686" t="str">
        <x:v>presentación/navegación</x:v>
      </x:c>
      <x:c r="F1686" t="n">
        <x:v>1</x:v>
      </x:c>
      <x:c r="G1686" t="str">
        <x:v>RF14</x:v>
      </x:c>
      <x:c r="H1686" t="str">
        <x:v>RF014-EF1!F14</x:v>
      </x:c>
    </x:row>
    <x:row r="1687">
      <x:c r="A1687" t="str">
        <x:v>visualizarKilometrajeActualizado</x:v>
      </x:c>
      <x:c r="B1687" t="str"/>
      <x:c r="C1687" t="str">
        <x:v>I_ActualizarKilometraje</x:v>
      </x:c>
      <x:c r="D1687" t="str">
        <x:v>AS_Usuario</x:v>
      </x:c>
      <x:c r="E1687" t="str">
        <x:v>presentación/navegación</x:v>
      </x:c>
      <x:c r="F1687" t="n">
        <x:v>1</x:v>
      </x:c>
      <x:c r="G1687" t="str">
        <x:v>RF14</x:v>
      </x:c>
      <x:c r="H1687" t="str">
        <x:v>RF014-EF1!F52</x:v>
      </x:c>
    </x:row>
    <x:row r="1688">
      <x:c r="A1688" t="str">
        <x:v>visualizarKilometrajeCorregido</x:v>
      </x:c>
      <x:c r="B1688" t="str">
        <x:v>kmNuevo</x:v>
      </x:c>
      <x:c r="C1688" t="str">
        <x:v>I_ActualizarKilometraje</x:v>
      </x:c>
      <x:c r="D1688" t="str">
        <x:v>AS_Usuario</x:v>
      </x:c>
      <x:c r="E1688" t="str">
        <x:v>presentación/navegación</x:v>
      </x:c>
      <x:c r="F1688" t="n">
        <x:v>1</x:v>
      </x:c>
      <x:c r="G1688" t="str">
        <x:v>RF16</x:v>
      </x:c>
      <x:c r="H1688" t="str">
        <x:v>RF016-EF1!F47</x:v>
      </x:c>
    </x:row>
    <x:row r="1689">
      <x:c r="A1689" t="str">
        <x:v>visualizarKilometrajeVigente</x:v>
      </x:c>
      <x:c r="B1689" t="str">
        <x:v>kmActual</x:v>
      </x:c>
      <x:c r="C1689" t="str">
        <x:v>I_ActualizarKilometraje</x:v>
      </x:c>
      <x:c r="D1689" t="str">
        <x:v>AS_Usuario</x:v>
      </x:c>
      <x:c r="E1689" t="str">
        <x:v>presentación/navegación</x:v>
      </x:c>
      <x:c r="F1689" t="n">
        <x:v>1</x:v>
      </x:c>
      <x:c r="G1689" t="str">
        <x:v>RF14</x:v>
      </x:c>
      <x:c r="H1689" t="str">
        <x:v>RF014-EF1!F58</x:v>
      </x:c>
    </x:row>
    <x:row r="1690">
      <x:c r="A1690" t="str">
        <x:v>solicitarInicioCorreccion</x:v>
      </x:c>
      <x:c r="B1690" t="str">
        <x:v>idVehiculo</x:v>
      </x:c>
      <x:c r="C1690" t="str">
        <x:v>I_ActualizarKilometraje</x:v>
      </x:c>
      <x:c r="D1690" t="str">
        <x:v>C_ControlKilometraje</x:v>
      </x:c>
      <x:c r="E1690" t="str">
        <x:v>presentación/navegación</x:v>
      </x:c>
      <x:c r="F1690" t="n">
        <x:v>1</x:v>
      </x:c>
      <x:c r="G1690" t="str">
        <x:v>RF16</x:v>
      </x:c>
      <x:c r="H1690" t="str">
        <x:v>RF016-EF1!F6</x:v>
      </x:c>
    </x:row>
    <x:row r="1691">
      <x:c r="A1691" t="str">
        <x:v>solicitarPrevalidacionCorreccion</x:v>
      </x:c>
      <x:c r="B1691" t="str">
        <x:v>idVehiculo,kmPrevio,kmNuevo,version</x:v>
      </x:c>
      <x:c r="C1691" t="str">
        <x:v>I_ActualizarKilometraje</x:v>
      </x:c>
      <x:c r="D1691" t="str">
        <x:v>C_ControlKilometraje</x:v>
      </x:c>
      <x:c r="E1691" t="str">
        <x:v>presentación/navegación</x:v>
      </x:c>
      <x:c r="F1691" t="n">
        <x:v>1</x:v>
      </x:c>
      <x:c r="G1691" t="str">
        <x:v>RF16</x:v>
      </x:c>
      <x:c r="H1691" t="str">
        <x:v>RF016-EF1!F17</x:v>
      </x:c>
    </x:row>
    <x:row r="1692">
      <x:c r="A1692" t="str">
        <x:v>solicitarPrevalidacionKm</x:v>
      </x:c>
      <x:c r="B1692" t="str">
        <x:v>idVehiculo,kmPrevio,kmNuevo,version</x:v>
      </x:c>
      <x:c r="C1692" t="str">
        <x:v>I_ActualizarKilometraje</x:v>
      </x:c>
      <x:c r="D1692" t="str">
        <x:v>C_ControlKilometraje</x:v>
      </x:c>
      <x:c r="E1692" t="str">
        <x:v>presentación/navegación</x:v>
      </x:c>
      <x:c r="F1692" t="n">
        <x:v>1</x:v>
      </x:c>
      <x:c r="G1692" t="str">
        <x:v>RF14</x:v>
      </x:c>
      <x:c r="H1692" t="str">
        <x:v>RF014-EF1!F17</x:v>
      </x:c>
    </x:row>
    <x:row r="1693">
      <x:c r="A1693" t="str">
        <x:v>solicitarRefrescoKm</x:v>
      </x:c>
      <x:c r="B1693" t="str">
        <x:v>idVehiculo</x:v>
      </x:c>
      <x:c r="C1693" t="str">
        <x:v>I_ActualizarKilometraje</x:v>
      </x:c>
      <x:c r="D1693" t="str">
        <x:v>C_ControlKilometraje</x:v>
      </x:c>
      <x:c r="E1693" t="str">
        <x:v>presentación/navegación</x:v>
      </x:c>
      <x:c r="F1693" t="n">
        <x:v>1</x:v>
      </x:c>
      <x:c r="G1693" t="str">
        <x:v>RF14</x:v>
      </x:c>
      <x:c r="H1693" t="str">
        <x:v>RF014-EF1!F54</x:v>
      </x:c>
    </x:row>
    <x:row r="1694">
      <x:c r="A1694" t="str">
        <x:v>guardarAvance</x:v>
      </x:c>
      <x:c r="B1694" t="str">
        <x:v>idIncidencia,idAdmin,descripcion</x:v>
      </x:c>
      <x:c r="C1694" t="str">
        <x:v>I_AgregarAvanceIncidencia</x:v>
      </x:c>
      <x:c r="D1694" t="str">
        <x:v>C_ControlIncidencia</x:v>
      </x:c>
      <x:c r="E1694" t="str">
        <x:v>otra</x:v>
      </x:c>
      <x:c r="F1694" t="n">
        <x:v>1</x:v>
      </x:c>
      <x:c r="G1694" t="str">
        <x:v>RF61</x:v>
      </x:c>
      <x:c r="H1694" t="str">
        <x:v>RF061_EXITOSO!F37</x:v>
      </x:c>
    </x:row>
    <x:row r="1695">
      <x:c r="A1695" t="str">
        <x:v>registrarSolucionFinal</x:v>
      </x:c>
      <x:c r="B1695" t="str">
        <x:v>idIncidencia,idAdmin,textoSolucion</x:v>
      </x:c>
      <x:c r="C1695" t="str">
        <x:v>I_AgregarAvanceIncidencia</x:v>
      </x:c>
      <x:c r="D1695" t="str">
        <x:v>C_ControlIncidencia</x:v>
      </x:c>
      <x:c r="E1695" t="str">
        <x:v>escritura</x:v>
      </x:c>
      <x:c r="F1695" t="n">
        <x:v>1</x:v>
      </x:c>
      <x:c r="G1695" t="str">
        <x:v>RF61</x:v>
      </x:c>
      <x:c r="H1695" t="str">
        <x:v>RF061_EXITOSO!F49</x:v>
      </x:c>
    </x:row>
    <x:row r="1696">
      <x:c r="A1696" t="str">
        <x:v>visualizarAlertaProgramada</x:v>
      </x:c>
      <x:c r="B1696" t="str"/>
      <x:c r="C1696" t="str">
        <x:v>I_AlertaProgramada</x:v>
      </x:c>
      <x:c r="D1696" t="str">
        <x:v>AS_Usuario</x:v>
      </x:c>
      <x:c r="E1696" t="str">
        <x:v>presentación/navegación</x:v>
      </x:c>
      <x:c r="F1696" t="n">
        <x:v>1</x:v>
      </x:c>
      <x:c r="G1696" t="str">
        <x:v>RF22</x:v>
      </x:c>
      <x:c r="H1696" t="str">
        <x:v>RF22!F105</x:v>
      </x:c>
    </x:row>
    <x:row r="1697">
      <x:c r="A1697" t="str">
        <x:v>solicitarAlertasActualizadas</x:v>
      </x:c>
      <x:c r="B1697" t="str">
        <x:v>id_usuario,id_vehiculo,TODAS</x:v>
      </x:c>
      <x:c r="C1697" t="str">
        <x:v>I_AlertaProgramada</x:v>
      </x:c>
      <x:c r="D1697" t="str">
        <x:v>C_ControlAlerta</x:v>
      </x:c>
      <x:c r="E1697" t="str">
        <x:v>presentación/navegación</x:v>
      </x:c>
      <x:c r="F1697" t="n">
        <x:v>1</x:v>
      </x:c>
      <x:c r="G1697" t="str">
        <x:v>RF22</x:v>
      </x:c>
      <x:c r="H1697" t="str">
        <x:v>RF22!F108</x:v>
      </x:c>
    </x:row>
    <x:row r="1698">
      <x:c r="A1698" t="str">
        <x:v>visualizarAlertasPersonalesLicencia</x:v>
      </x:c>
      <x:c r="B1698" t="str"/>
      <x:c r="C1698" t="str">
        <x:v>I_Alertas</x:v>
      </x:c>
      <x:c r="D1698" t="str">
        <x:v>AS_Usuario</x:v>
      </x:c>
      <x:c r="E1698" t="str">
        <x:v>presentación/navegación</x:v>
      </x:c>
      <x:c r="F1698" t="n">
        <x:v>1</x:v>
      </x:c>
      <x:c r="G1698" t="str">
        <x:v>RF23</x:v>
      </x:c>
      <x:c r="H1698" t="str">
        <x:v>RF23!F103</x:v>
      </x:c>
    </x:row>
    <x:row r="1699">
      <x:c r="A1699" t="str">
        <x:v>visualizarAlertasVehiculo</x:v>
      </x:c>
      <x:c r="B1699" t="str"/>
      <x:c r="C1699" t="str">
        <x:v>I_Alertas</x:v>
      </x:c>
      <x:c r="D1699" t="str">
        <x:v>AS_Usuario</x:v>
      </x:c>
      <x:c r="E1699" t="str">
        <x:v>presentación/navegación</x:v>
      </x:c>
      <x:c r="F1699" t="n">
        <x:v>1</x:v>
      </x:c>
      <x:c r="G1699" t="str">
        <x:v>RF23</x:v>
      </x:c>
      <x:c r="H1699" t="str">
        <x:v>RF23!F46</x:v>
      </x:c>
    </x:row>
    <x:row r="1700">
      <x:c r="A1700" t="str">
        <x:v>visualizarNuevaAlerta</x:v>
      </x:c>
      <x:c r="B1700" t="str"/>
      <x:c r="C1700" t="str">
        <x:v>I_Alertas</x:v>
      </x:c>
      <x:c r="D1700" t="str">
        <x:v>AS_Usuario</x:v>
      </x:c>
      <x:c r="E1700" t="str">
        <x:v>presentación/navegación</x:v>
      </x:c>
      <x:c r="F1700" t="n">
        <x:v>1</x:v>
      </x:c>
      <x:c r="G1700" t="str">
        <x:v>RF22</x:v>
      </x:c>
      <x:c r="H1700" t="str">
        <x:v>RF22!F113</x:v>
      </x:c>
    </x:row>
    <x:row r="1701">
      <x:c r="A1701" t="str">
        <x:v>consultarDetalleAlertaUsuario</x:v>
      </x:c>
      <x:c r="B1701" t="str">
        <x:v>id_usuario,id_alerta</x:v>
      </x:c>
      <x:c r="C1701" t="str">
        <x:v>I_Alertas</x:v>
      </x:c>
      <x:c r="D1701" t="str">
        <x:v>C_ControlAlerta</x:v>
      </x:c>
      <x:c r="E1701" t="str">
        <x:v>consulta</x:v>
      </x:c>
      <x:c r="F1701" t="n">
        <x:v>1</x:v>
      </x:c>
      <x:c r="G1701" t="str">
        <x:v>RF24</x:v>
      </x:c>
      <x:c r="H1701" t="str">
        <x:v>RF24!F6</x:v>
      </x:c>
    </x:row>
    <x:row r="1702">
      <x:c r="A1702" t="str">
        <x:v>inicializarVistaAlertasPorPestana</x:v>
      </x:c>
      <x:c r="B1702" t="str">
        <x:v>idUsuarioAutenticado,pestanaInicial,vehiculoContextoOpcional</x:v>
      </x:c>
      <x:c r="C1702" t="str">
        <x:v>I_Alertas</x:v>
      </x:c>
      <x:c r="D1702" t="str">
        <x:v>C_ControlAlerta</x:v>
      </x:c>
      <x:c r="E1702" t="str">
        <x:v>otra</x:v>
      </x:c>
      <x:c r="F1702" t="n">
        <x:v>1</x:v>
      </x:c>
      <x:c r="G1702" t="str">
        <x:v>RF23</x:v>
      </x:c>
      <x:c r="H1702" t="str">
        <x:v>RF23!F8</x:v>
      </x:c>
    </x:row>
    <x:row r="1703">
      <x:c r="A1703" t="str">
        <x:v>solicitarAlertasLicenciaDeUsuarioAutenticado</x:v>
      </x:c>
      <x:c r="B1703" t="str">
        <x:v>filtroEstado=TODAS</x:v>
      </x:c>
      <x:c r="C1703" t="str">
        <x:v>I_Alertas</x:v>
      </x:c>
      <x:c r="D1703" t="str">
        <x:v>C_ControlAlerta</x:v>
      </x:c>
      <x:c r="E1703" t="str">
        <x:v>presentación/navegación</x:v>
      </x:c>
      <x:c r="F1703" t="n">
        <x:v>1</x:v>
      </x:c>
      <x:c r="G1703" t="str">
        <x:v>RF23</x:v>
      </x:c>
      <x:c r="H1703" t="str">
        <x:v>RF23!F86</x:v>
      </x:c>
    </x:row>
    <x:row r="1704">
      <x:c r="A1704" t="str">
        <x:v>solicitarAlertasVehiculoSeleccionado</x:v>
      </x:c>
      <x:c r="B1704" t="str">
        <x:v>idUsuario,idVehiculo</x:v>
      </x:c>
      <x:c r="C1704" t="str">
        <x:v>I_Alertas</x:v>
      </x:c>
      <x:c r="D1704" t="str">
        <x:v>C_ControlAlerta</x:v>
      </x:c>
      <x:c r="E1704" t="str">
        <x:v>presentación/navegación</x:v>
      </x:c>
      <x:c r="F1704" t="n">
        <x:v>1</x:v>
      </x:c>
      <x:c r="G1704" t="str">
        <x:v>RF23</x:v>
      </x:c>
      <x:c r="H1704" t="str">
        <x:v>RF23!F19</x:v>
      </x:c>
    </x:row>
    <x:row r="1705">
      <x:c r="A1705" t="str">
        <x:v>solicitarProgramacionManual</x:v>
      </x:c>
      <x:c r="B1705" t="str">
        <x:v>id_usuario,id_vehiculo_contexto</x:v>
      </x:c>
      <x:c r="C1705" t="str">
        <x:v>I_Alertas</x:v>
      </x:c>
      <x:c r="D1705" t="str">
        <x:v>C_ControlAlerta</x:v>
      </x:c>
      <x:c r="E1705" t="str">
        <x:v>presentación/navegación</x:v>
      </x:c>
      <x:c r="F1705" t="n">
        <x:v>1</x:v>
      </x:c>
      <x:c r="G1705" t="str">
        <x:v>RF22</x:v>
      </x:c>
      <x:c r="H1705" t="str">
        <x:v>RF22!F6</x:v>
      </x:c>
    </x:row>
    <x:row r="1706">
      <x:c r="A1706" t="str">
        <x:v>visualizarConfiguracionActualizada</x:v>
      </x:c>
      <x:c r="B1706" t="str"/>
      <x:c r="C1706" t="str">
        <x:v>I_AlertasSOAT</x:v>
      </x:c>
      <x:c r="D1706" t="str">
        <x:v>AS_Usuario</x:v>
      </x:c>
      <x:c r="E1706" t="str">
        <x:v>presentación/navegación</x:v>
      </x:c>
      <x:c r="F1706" t="n">
        <x:v>1</x:v>
      </x:c>
      <x:c r="G1706" t="str">
        <x:v>RF33</x:v>
      </x:c>
      <x:c r="H1706" t="str">
        <x:v>RF033-EF1!F64</x:v>
      </x:c>
    </x:row>
    <x:row r="1707">
      <x:c r="A1707" t="str">
        <x:v>visualizarConfiguracionRecordatorio</x:v>
      </x:c>
      <x:c r="B1707" t="str"/>
      <x:c r="C1707" t="str">
        <x:v>I_AlertasSOAT</x:v>
      </x:c>
      <x:c r="D1707" t="str">
        <x:v>AS_Usuario</x:v>
      </x:c>
      <x:c r="E1707" t="str">
        <x:v>presentación/navegación</x:v>
      </x:c>
      <x:c r="F1707" t="n">
        <x:v>1</x:v>
      </x:c>
      <x:c r="G1707" t="str">
        <x:v>RF33</x:v>
      </x:c>
      <x:c r="H1707" t="str">
        <x:v>RF033-EF1!F34</x:v>
      </x:c>
    </x:row>
    <x:row r="1708">
      <x:c r="A1708" t="str">
        <x:v>visualizarOpcionActivarRecordatorio</x:v>
      </x:c>
      <x:c r="B1708" t="str"/>
      <x:c r="C1708" t="str">
        <x:v>I_AlertasSOAT</x:v>
      </x:c>
      <x:c r="D1708" t="str">
        <x:v>AS_Usuario</x:v>
      </x:c>
      <x:c r="E1708" t="str">
        <x:v>presentación/navegación</x:v>
      </x:c>
      <x:c r="F1708" t="n">
        <x:v>1</x:v>
      </x:c>
      <x:c r="G1708" t="str">
        <x:v>RF31</x:v>
      </x:c>
      <x:c r="H1708" t="str">
        <x:v>RF031-EF1!F37</x:v>
      </x:c>
    </x:row>
    <x:row r="1709">
      <x:c r="A1709" t="str">
        <x:v>activarRecordatorioSOAT</x:v>
      </x:c>
      <x:c r="B1709" t="str">
        <x:v>idUsuario,idVehiculo,idSOAT,fechaVencimiento</x:v>
      </x:c>
      <x:c r="C1709" t="str">
        <x:v>I_AlertasSOAT</x:v>
      </x:c>
      <x:c r="D1709" t="str">
        <x:v>C_ControlSOAT</x:v>
      </x:c>
      <x:c r="E1709" t="str">
        <x:v>otra</x:v>
      </x:c>
      <x:c r="F1709" t="n">
        <x:v>1</x:v>
      </x:c>
      <x:c r="G1709" t="str">
        <x:v>RF31</x:v>
      </x:c>
      <x:c r="H1709" t="str">
        <x:v>RF031-EF1!F39</x:v>
      </x:c>
    </x:row>
    <x:row r="1710">
      <x:c r="A1710" t="str">
        <x:v>enviarAccionRecordatorio</x:v>
      </x:c>
      <x:c r="B1710" t="str">
        <x:v>idSOAT,accion</x:v>
      </x:c>
      <x:c r="C1710" t="str">
        <x:v>I_AlertasSOAT</x:v>
      </x:c>
      <x:c r="D1710" t="str">
        <x:v>C_ControlSOAT</x:v>
      </x:c>
      <x:c r="E1710" t="str">
        <x:v>otra</x:v>
      </x:c>
      <x:c r="F1710" t="n">
        <x:v>1</x:v>
      </x:c>
      <x:c r="G1710" t="str">
        <x:v>RF33</x:v>
      </x:c>
      <x:c r="H1710" t="str">
        <x:v>RF033-EF1!F37</x:v>
      </x:c>
    </x:row>
    <x:row r="1711">
      <x:c r="A1711" t="str">
        <x:v>visualizarConfirmacionAnulacion</x:v>
      </x:c>
      <x:c r="B1711" t="str"/>
      <x:c r="C1711" t="str">
        <x:v>I_AnulacionMantenimiento</x:v>
      </x:c>
      <x:c r="D1711" t="str">
        <x:v>AS_Usuario</x:v>
      </x:c>
      <x:c r="E1711" t="str">
        <x:v>presentación/navegación</x:v>
      </x:c>
      <x:c r="F1711" t="n">
        <x:v>1</x:v>
      </x:c>
      <x:c r="G1711" t="str">
        <x:v>RF21</x:v>
      </x:c>
      <x:c r="H1711" t="str">
        <x:v>RF21!F16</x:v>
      </x:c>
    </x:row>
    <x:row r="1712">
      <x:c r="A1712" t="str">
        <x:v>confirmarAnulacionMantenimiento</x:v>
      </x:c>
      <x:c r="B1712" t="str">
        <x:v>id_usuario,id_mantenimiento</x:v>
      </x:c>
      <x:c r="C1712" t="str">
        <x:v>I_AnulacionMantenimiento</x:v>
      </x:c>
      <x:c r="D1712" t="str">
        <x:v>C_ControlMantenimiento</x:v>
      </x:c>
      <x:c r="E1712" t="str">
        <x:v>otra</x:v>
      </x:c>
      <x:c r="F1712" t="n">
        <x:v>1</x:v>
      </x:c>
      <x:c r="G1712" t="str">
        <x:v>RF21</x:v>
      </x:c>
      <x:c r="H1712" t="str">
        <x:v>RF21!F18</x:v>
      </x:c>
    </x:row>
    <x:row r="1713">
      <x:c r="A1713" t="str">
        <x:v>visualizarAutos</x:v>
      </x:c>
      <x:c r="B1713" t="str"/>
      <x:c r="C1713" t="str">
        <x:v>I_Autos</x:v>
      </x:c>
      <x:c r="D1713" t="str">
        <x:v>AS_Usuario</x:v>
      </x:c>
      <x:c r="E1713" t="str">
        <x:v>presentación/navegación</x:v>
      </x:c>
      <x:c r="F1713" t="n">
        <x:v>1</x:v>
      </x:c>
      <x:c r="G1713" t="str">
        <x:v>RF41</x:v>
      </x:c>
      <x:c r="H1713" t="str">
        <x:v>RF041-EF1!F27</x:v>
      </x:c>
    </x:row>
    <x:row r="1714">
      <x:c r="A1714" t="str">
        <x:v>visualizarListadoVehiculos</x:v>
      </x:c>
      <x:c r="B1714" t="str"/>
      <x:c r="C1714" t="str">
        <x:v>I_Autos</x:v>
      </x:c>
      <x:c r="D1714" t="str">
        <x:v>AS_Usuario</x:v>
      </x:c>
      <x:c r="E1714" t="str">
        <x:v>presentación/navegación</x:v>
      </x:c>
      <x:c r="F1714" t="n">
        <x:v>1</x:v>
      </x:c>
      <x:c r="G1714" t="str">
        <x:v>RF09</x:v>
      </x:c>
      <x:c r="H1714" t="str">
        <x:v>RF009-EF1!F31</x:v>
      </x:c>
    </x:row>
    <x:row r="1715">
      <x:c r="A1715" t="str">
        <x:v>visualizarListadoVehiculosActualizado</x:v>
      </x:c>
      <x:c r="B1715" t="str"/>
      <x:c r="C1715" t="str">
        <x:v>I_Autos</x:v>
      </x:c>
      <x:c r="D1715" t="str">
        <x:v>AS_Usuario</x:v>
      </x:c>
      <x:c r="E1715" t="str">
        <x:v>presentación/navegación</x:v>
      </x:c>
      <x:c r="F1715" t="n">
        <x:v>1</x:v>
      </x:c>
      <x:c r="G1715" t="str">
        <x:v>RF12</x:v>
      </x:c>
      <x:c r="H1715" t="str">
        <x:v>RF012-EF1!F74</x:v>
      </x:c>
    </x:row>
    <x:row r="1716">
      <x:c r="A1716" t="str">
        <x:v>visualizarVehiculosActualizados</x:v>
      </x:c>
      <x:c r="B1716" t="str"/>
      <x:c r="C1716" t="str">
        <x:v>I_Autos</x:v>
      </x:c>
      <x:c r="D1716" t="str">
        <x:v>AS_Usuario</x:v>
      </x:c>
      <x:c r="E1716" t="str">
        <x:v>presentación/navegación</x:v>
      </x:c>
      <x:c r="F1716" t="n">
        <x:v>1</x:v>
      </x:c>
      <x:c r="G1716" t="str">
        <x:v>RF13</x:v>
      </x:c>
      <x:c r="H1716" t="str">
        <x:v>RF013-EF1!F53</x:v>
      </x:c>
    </x:row>
    <x:row r="1717">
      <x:c r="A1717" t="str">
        <x:v>visualizarVehiculosFiltrados</x:v>
      </x:c>
      <x:c r="B1717" t="str"/>
      <x:c r="C1717" t="str">
        <x:v>I_Autos</x:v>
      </x:c>
      <x:c r="D1717" t="str">
        <x:v>AS_Usuario</x:v>
      </x:c>
      <x:c r="E1717" t="str">
        <x:v>presentación/navegación</x:v>
      </x:c>
      <x:c r="F1717" t="n">
        <x:v>1</x:v>
      </x:c>
      <x:c r="G1717" t="str">
        <x:v>RF09</x:v>
      </x:c>
      <x:c r="H1717" t="str">
        <x:v>RF009-EF1!F56</x:v>
      </x:c>
    </x:row>
    <x:row r="1718">
      <x:c r="A1718" t="str">
        <x:v>visualizarVistaAutos</x:v>
      </x:c>
      <x:c r="B1718" t="str"/>
      <x:c r="C1718" t="str">
        <x:v>I_Autos</x:v>
      </x:c>
      <x:c r="D1718" t="str">
        <x:v>AS_Usuario</x:v>
      </x:c>
      <x:c r="E1718" t="str">
        <x:v>presentación/navegación</x:v>
      </x:c>
      <x:c r="F1718" t="n">
        <x:v>4</x:v>
      </x:c>
      <x:c r="G1718" t="str">
        <x:v>RF08, RF31, RF32, RF33</x:v>
      </x:c>
      <x:c r="H1718" t="str">
        <x:v>RF008-EF1!F8</x:v>
      </x:c>
    </x:row>
    <x:row r="1719">
      <x:c r="A1719" t="str">
        <x:v>solicitarCompartirVehiculo</x:v>
      </x:c>
      <x:c r="B1719" t="str">
        <x:v>idUsuario,idVehiculo</x:v>
      </x:c>
      <x:c r="C1719" t="str">
        <x:v>I_Autos</x:v>
      </x:c>
      <x:c r="D1719" t="str">
        <x:v>C_ControlCompartirVehiculo</x:v>
      </x:c>
      <x:c r="E1719" t="str">
        <x:v>presentación/navegación</x:v>
      </x:c>
      <x:c r="F1719" t="n">
        <x:v>1</x:v>
      </x:c>
      <x:c r="G1719" t="str">
        <x:v>RF41</x:v>
      </x:c>
      <x:c r="H1719" t="str">
        <x:v>RF041-EF1!F6</x:v>
      </x:c>
    </x:row>
    <x:row r="1720">
      <x:c r="A1720" t="str">
        <x:v>solicitarDetalleVehiculo</x:v>
      </x:c>
      <x:c r="B1720" t="str">
        <x:v>idUsuario,idVehiculo</x:v>
      </x:c>
      <x:c r="C1720" t="str">
        <x:v>I_Autos</x:v>
      </x:c>
      <x:c r="D1720" t="str">
        <x:v>C_ControlDetalleVehiculo</x:v>
      </x:c>
      <x:c r="E1720" t="str">
        <x:v>presentación/navegación</x:v>
      </x:c>
      <x:c r="F1720" t="n">
        <x:v>1</x:v>
      </x:c>
      <x:c r="G1720" t="str">
        <x:v>RF10</x:v>
      </x:c>
      <x:c r="H1720" t="str">
        <x:v>RF010-EF1!F6</x:v>
      </x:c>
    </x:row>
    <x:row r="1721">
      <x:c r="A1721" t="str">
        <x:v>solicitarConsultaVehiculos</x:v>
      </x:c>
      <x:c r="B1721" t="str">
        <x:v>idUsuario,textoBusqueda,estadoFiltro</x:v>
      </x:c>
      <x:c r="C1721" t="str">
        <x:v>I_Autos</x:v>
      </x:c>
      <x:c r="D1721" t="str">
        <x:v>C_ControlListadoVehiculos</x:v>
      </x:c>
      <x:c r="E1721" t="str">
        <x:v>presentación/navegación</x:v>
      </x:c>
      <x:c r="F1721" t="n">
        <x:v>1</x:v>
      </x:c>
      <x:c r="G1721" t="str">
        <x:v>RF09</x:v>
      </x:c>
      <x:c r="H1721" t="str">
        <x:v>RF009-EF1!F34</x:v>
      </x:c>
    </x:row>
    <x:row r="1722">
      <x:c r="A1722" t="str">
        <x:v>solicitarListadoVehiculos</x:v>
      </x:c>
      <x:c r="B1722" t="str">
        <x:v>idUsuario</x:v>
      </x:c>
      <x:c r="C1722" t="str">
        <x:v>I_Autos</x:v>
      </x:c>
      <x:c r="D1722" t="str">
        <x:v>C_ControlListadoVehiculos</x:v>
      </x:c>
      <x:c r="E1722" t="str">
        <x:v>presentación/navegación</x:v>
      </x:c>
      <x:c r="F1722" t="n">
        <x:v>1</x:v>
      </x:c>
      <x:c r="G1722" t="str">
        <x:v>RF09</x:v>
      </x:c>
      <x:c r="H1722" t="str">
        <x:v>RF009-EF1!F9</x:v>
      </x:c>
    </x:row>
    <x:row r="1723">
      <x:c r="A1723" t="str">
        <x:v>validarDisponibilidadRegistro</x:v>
      </x:c>
      <x:c r="B1723" t="str"/>
      <x:c r="C1723" t="str">
        <x:v>I_Autos</x:v>
      </x:c>
      <x:c r="D1723" t="str">
        <x:v>C_ControlRegistroVehiculo</x:v>
      </x:c>
      <x:c r="E1723" t="str">
        <x:v>validación</x:v>
      </x:c>
      <x:c r="F1723" t="n">
        <x:v>1</x:v>
      </x:c>
      <x:c r="G1723" t="str">
        <x:v>RF08</x:v>
      </x:c>
      <x:c r="H1723" t="str">
        <x:v>RF008-EF1!F10</x:v>
      </x:c>
    </x:row>
    <x:row r="1724">
      <x:c r="A1724" t="str">
        <x:v>solicitarDetalleVehiculo</x:v>
      </x:c>
      <x:c r="B1724" t="str">
        <x:v>idVehiculo</x:v>
      </x:c>
      <x:c r="C1724" t="str">
        <x:v>I_Autos</x:v>
      </x:c>
      <x:c r="D1724" t="str">
        <x:v>C_ControlVehiculo</x:v>
      </x:c>
      <x:c r="E1724" t="str">
        <x:v>presentación/navegación</x:v>
      </x:c>
      <x:c r="F1724" t="n">
        <x:v>3</x:v>
      </x:c>
      <x:c r="G1724" t="str">
        <x:v>RF31, RF32, RF33</x:v>
      </x:c>
      <x:c r="H1724" t="str">
        <x:v>RF031-EF1!F10</x:v>
      </x:c>
    </x:row>
    <x:row r="1725">
      <x:c r="A1725" t="str">
        <x:v>visualizarAccesoSistema</x:v>
      </x:c>
      <x:c r="B1725" t="str"/>
      <x:c r="C1725" t="str">
        <x:v>I_Bienvenida</x:v>
      </x:c>
      <x:c r="D1725" t="str">
        <x:v>AS_Usuario</x:v>
      </x:c>
      <x:c r="E1725" t="str">
        <x:v>presentación/navegación</x:v>
      </x:c>
      <x:c r="F1725" t="n">
        <x:v>1</x:v>
      </x:c>
      <x:c r="G1725" t="str">
        <x:v>RF06</x:v>
      </x:c>
      <x:c r="H1725" t="str">
        <x:v>RF006-E1!F30</x:v>
      </x:c>
    </x:row>
    <x:row r="1726">
      <x:c r="A1726" t="str">
        <x:v>solicitarInicioSesion</x:v>
      </x:c>
      <x:c r="B1726" t="str"/>
      <x:c r="C1726" t="str">
        <x:v>I_Bienvenida</x:v>
      </x:c>
      <x:c r="D1726" t="str">
        <x:v>C_InicioSesion</x:v>
      </x:c>
      <x:c r="E1726" t="str">
        <x:v>presentación/navegación</x:v>
      </x:c>
      <x:c r="F1726" t="n">
        <x:v>2</x:v>
      </x:c>
      <x:c r="G1726" t="str">
        <x:v>RF02, RF03</x:v>
      </x:c>
      <x:c r="H1726" t="str">
        <x:v>RF002-E1!F6</x:v>
      </x:c>
    </x:row>
    <x:row r="1727">
      <x:c r="A1727" t="str">
        <x:v>solicitarRegistroUsuario</x:v>
      </x:c>
      <x:c r="B1727" t="str"/>
      <x:c r="C1727" t="str">
        <x:v>I_Bienvenida</x:v>
      </x:c>
      <x:c r="D1727" t="str">
        <x:v>C_RegistroUsuario</x:v>
      </x:c>
      <x:c r="E1727" t="str">
        <x:v>presentación/navegación</x:v>
      </x:c>
      <x:c r="F1727" t="n">
        <x:v>1</x:v>
      </x:c>
      <x:c r="G1727" t="str">
        <x:v>RF01</x:v>
      </x:c>
      <x:c r="H1727" t="str">
        <x:v>RF001-E1!F6</x:v>
      </x:c>
    </x:row>
    <x:row r="1728">
      <x:c r="A1728" t="str">
        <x:v>visualizarContrasena</x:v>
      </x:c>
      <x:c r="B1728" t="str">
        <x:v>estadoVisual</x:v>
      </x:c>
      <x:c r="C1728" t="str">
        <x:v>I_CambiarContrasena</x:v>
      </x:c>
      <x:c r="D1728" t="str">
        <x:v>AS_Usuario</x:v>
      </x:c>
      <x:c r="E1728" t="str">
        <x:v>presentación/navegación</x:v>
      </x:c>
      <x:c r="F1728" t="n">
        <x:v>1</x:v>
      </x:c>
      <x:c r="G1728" t="str">
        <x:v>RF05</x:v>
      </x:c>
      <x:c r="H1728" t="str">
        <x:v>RF005-E1!F25</x:v>
      </x:c>
    </x:row>
    <x:row r="1729">
      <x:c r="A1729" t="str">
        <x:v>visualizarFormularioCambioContrasena</x:v>
      </x:c>
      <x:c r="B1729" t="str"/>
      <x:c r="C1729" t="str">
        <x:v>I_CambiarContrasena</x:v>
      </x:c>
      <x:c r="D1729" t="str">
        <x:v>AS_Usuario</x:v>
      </x:c>
      <x:c r="E1729" t="str">
        <x:v>presentación/navegación</x:v>
      </x:c>
      <x:c r="F1729" t="n">
        <x:v>1</x:v>
      </x:c>
      <x:c r="G1729" t="str">
        <x:v>RF05</x:v>
      </x:c>
      <x:c r="H1729" t="str">
        <x:v>RF005-E1!F19</x:v>
      </x:c>
    </x:row>
    <x:row r="1730">
      <x:c r="A1730" t="str">
        <x:v>enviarDatosCambioContrasena</x:v>
      </x:c>
      <x:c r="B1730" t="str">
        <x:v>datosContrasena</x:v>
      </x:c>
      <x:c r="C1730" t="str">
        <x:v>I_CambiarContrasena</x:v>
      </x:c>
      <x:c r="D1730" t="str">
        <x:v>C_CambioContrasena</x:v>
      </x:c>
      <x:c r="E1730" t="str">
        <x:v>otra</x:v>
      </x:c>
      <x:c r="F1730" t="n">
        <x:v>1</x:v>
      </x:c>
      <x:c r="G1730" t="str">
        <x:v>RF05</x:v>
      </x:c>
      <x:c r="H1730" t="str">
        <x:v>RF005-E1!F27</x:v>
      </x:c>
    </x:row>
    <x:row r="1731">
      <x:c r="A1731" t="str">
        <x:v>solicitarCambioVisibilidad</x:v>
      </x:c>
      <x:c r="B1731" t="str">
        <x:v>campo</x:v>
      </x:c>
      <x:c r="C1731" t="str">
        <x:v>I_CambiarContrasena</x:v>
      </x:c>
      <x:c r="D1731" t="str">
        <x:v>C_CambioContrasena</x:v>
      </x:c>
      <x:c r="E1731" t="str">
        <x:v>presentación/navegación</x:v>
      </x:c>
      <x:c r="F1731" t="n">
        <x:v>1</x:v>
      </x:c>
      <x:c r="G1731" t="str">
        <x:v>RF05</x:v>
      </x:c>
      <x:c r="H1731" t="str">
        <x:v>RF005-E1!F22</x:v>
      </x:c>
    </x:row>
    <x:row r="1732">
      <x:c r="A1732" t="str">
        <x:v>consultarElementos</x:v>
      </x:c>
      <x:c r="B1732" t="str">
        <x:v>TIPOS_MANTENIMIENTO</x:v>
      </x:c>
      <x:c r="C1732" t="str">
        <x:v>I_CatalogosAdmin</x:v>
      </x:c>
      <x:c r="D1732" t="str">
        <x:v>C_ControlCatalogo</x:v>
      </x:c>
      <x:c r="E1732" t="str">
        <x:v>consulta</x:v>
      </x:c>
      <x:c r="F1732" t="n">
        <x:v>1</x:v>
      </x:c>
      <x:c r="G1732" t="str">
        <x:v>RF62</x:v>
      </x:c>
      <x:c r="H1732" t="str">
        <x:v>RF062_EXITOSO!F14</x:v>
      </x:c>
    </x:row>
    <x:row r="1733">
      <x:c r="A1733" t="str">
        <x:v>visualizarCentroNotificaciones</x:v>
      </x:c>
      <x:c r="B1733" t="str"/>
      <x:c r="C1733" t="str">
        <x:v>I_CentroNotificaciones</x:v>
      </x:c>
      <x:c r="D1733" t="str">
        <x:v>AS_Usuario</x:v>
      </x:c>
      <x:c r="E1733" t="str">
        <x:v>presentación/navegación</x:v>
      </x:c>
      <x:c r="F1733" t="n">
        <x:v>1</x:v>
      </x:c>
      <x:c r="G1733" t="str">
        <x:v>RF46</x:v>
      </x:c>
      <x:c r="H1733" t="str">
        <x:v>RF046-EF1!F22</x:v>
      </x:c>
    </x:row>
    <x:row r="1734">
      <x:c r="A1734" t="str">
        <x:v>visualizarPestana</x:v>
      </x:c>
      <x:c r="B1734" t="str"/>
      <x:c r="C1734" t="str">
        <x:v>I_CentroNotificaciones</x:v>
      </x:c>
      <x:c r="D1734" t="str">
        <x:v>AS_Usuario</x:v>
      </x:c>
      <x:c r="E1734" t="str">
        <x:v>presentación/navegación</x:v>
      </x:c>
      <x:c r="F1734" t="n">
        <x:v>1</x:v>
      </x:c>
      <x:c r="G1734" t="str">
        <x:v>RF46</x:v>
      </x:c>
      <x:c r="H1734" t="str">
        <x:v>RF046-EF1!F29</x:v>
      </x:c>
    </x:row>
    <x:row r="1735">
      <x:c r="A1735" t="str">
        <x:v>visualizarPestanaFiltrada</x:v>
      </x:c>
      <x:c r="B1735" t="str"/>
      <x:c r="C1735" t="str">
        <x:v>I_CentroNotificaciones</x:v>
      </x:c>
      <x:c r="D1735" t="str">
        <x:v>AS_Usuario</x:v>
      </x:c>
      <x:c r="E1735" t="str">
        <x:v>presentación/navegación</x:v>
      </x:c>
      <x:c r="F1735" t="n">
        <x:v>1</x:v>
      </x:c>
      <x:c r="G1735" t="str">
        <x:v>RF49</x:v>
      </x:c>
      <x:c r="H1735" t="str">
        <x:v>RF049-EF1!F19</x:v>
      </x:c>
    </x:row>
    <x:row r="1736">
      <x:c r="A1736" t="str">
        <x:v>visualizarResultadosFiltrados</x:v>
      </x:c>
      <x:c r="B1736" t="str"/>
      <x:c r="C1736" t="str">
        <x:v>I_CentroNotificaciones</x:v>
      </x:c>
      <x:c r="D1736" t="str">
        <x:v>AS_Usuario</x:v>
      </x:c>
      <x:c r="E1736" t="str">
        <x:v>presentación/navegación</x:v>
      </x:c>
      <x:c r="F1736" t="n">
        <x:v>1</x:v>
      </x:c>
      <x:c r="G1736" t="str">
        <x:v>RF49</x:v>
      </x:c>
      <x:c r="H1736" t="str">
        <x:v>RF049-EF1!F11</x:v>
      </x:c>
    </x:row>
    <x:row r="1737">
      <x:c r="A1737" t="str">
        <x:v>filtrarNotificaciones</x:v>
      </x:c>
      <x:c r="B1737" t="str">
        <x:v>idUsuario,categoria,pestanaActual</x:v>
      </x:c>
      <x:c r="C1737" t="str">
        <x:v>I_CentroNotificaciones</x:v>
      </x:c>
      <x:c r="D1737" t="str">
        <x:v>C_ControlNotificacion</x:v>
      </x:c>
      <x:c r="E1737" t="str">
        <x:v>otra</x:v>
      </x:c>
      <x:c r="F1737" t="n">
        <x:v>1</x:v>
      </x:c>
      <x:c r="G1737" t="str">
        <x:v>RF49</x:v>
      </x:c>
      <x:c r="H1737" t="str">
        <x:v>RF049-EF1!F6</x:v>
      </x:c>
    </x:row>
    <x:row r="1738">
      <x:c r="A1738" t="str">
        <x:v>filtrarNotificaciones</x:v>
      </x:c>
      <x:c r="B1738" t="str">
        <x:v>idUsuario,categoria,pestanaDestino</x:v>
      </x:c>
      <x:c r="C1738" t="str">
        <x:v>I_CentroNotificaciones</x:v>
      </x:c>
      <x:c r="D1738" t="str">
        <x:v>C_ControlNotificacion</x:v>
      </x:c>
      <x:c r="E1738" t="str">
        <x:v>otra</x:v>
      </x:c>
      <x:c r="F1738" t="n">
        <x:v>1</x:v>
      </x:c>
      <x:c r="G1738" t="str">
        <x:v>RF49</x:v>
      </x:c>
      <x:c r="H1738" t="str">
        <x:v>RF049-EF1!F14</x:v>
      </x:c>
    </x:row>
    <x:row r="1739">
      <x:c r="A1739" t="str">
        <x:v>solicitarAccesoDestino</x:v>
      </x:c>
      <x:c r="B1739" t="str">
        <x:v>idUsuario,idNotificacion</x:v>
      </x:c>
      <x:c r="C1739" t="str">
        <x:v>I_CentroNotificaciones</x:v>
      </x:c>
      <x:c r="D1739" t="str">
        <x:v>C_ControlNotificacion</x:v>
      </x:c>
      <x:c r="E1739" t="str">
        <x:v>presentación/navegación</x:v>
      </x:c>
      <x:c r="F1739" t="n">
        <x:v>1</x:v>
      </x:c>
      <x:c r="G1739" t="str">
        <x:v>RF47</x:v>
      </x:c>
      <x:c r="H1739" t="str">
        <x:v>RF047-EF1!F6</x:v>
      </x:c>
    </x:row>
    <x:row r="1740">
      <x:c r="A1740" t="str">
        <x:v>solicitarPestana</x:v>
      </x:c>
      <x:c r="B1740" t="str">
        <x:v>idUsuario,pestanaDestino</x:v>
      </x:c>
      <x:c r="C1740" t="str">
        <x:v>I_CentroNotificaciones</x:v>
      </x:c>
      <x:c r="D1740" t="str">
        <x:v>C_ControlNotificacion</x:v>
      </x:c>
      <x:c r="E1740" t="str">
        <x:v>presentación/navegación</x:v>
      </x:c>
      <x:c r="F1740" t="n">
        <x:v>1</x:v>
      </x:c>
      <x:c r="G1740" t="str">
        <x:v>RF46</x:v>
      </x:c>
      <x:c r="H1740" t="str">
        <x:v>RF046-EF1!F25</x:v>
      </x:c>
    </x:row>
    <x:row r="1741">
      <x:c r="A1741" t="str">
        <x:v>visualizarPreferenciasExternas</x:v>
      </x:c>
      <x:c r="B1741" t="str"/>
      <x:c r="C1741" t="str">
        <x:v>I_ConfigNotificaciones</x:v>
      </x:c>
      <x:c r="D1741" t="str">
        <x:v>AS_Usuario</x:v>
      </x:c>
      <x:c r="E1741" t="str">
        <x:v>presentación/navegación</x:v>
      </x:c>
      <x:c r="F1741" t="n">
        <x:v>1</x:v>
      </x:c>
      <x:c r="G1741" t="str">
        <x:v>RF48</x:v>
      </x:c>
      <x:c r="H1741" t="str">
        <x:v>RF048-EF1!F17</x:v>
      </x:c>
    </x:row>
    <x:row r="1742">
      <x:c r="A1742" t="str">
        <x:v>visualizarPreferenciasGuardadas</x:v>
      </x:c>
      <x:c r="B1742" t="str"/>
      <x:c r="C1742" t="str">
        <x:v>I_ConfigNotificaciones</x:v>
      </x:c>
      <x:c r="D1742" t="str">
        <x:v>AS_Usuario</x:v>
      </x:c>
      <x:c r="E1742" t="str">
        <x:v>presentación/navegación</x:v>
      </x:c>
      <x:c r="F1742" t="n">
        <x:v>1</x:v>
      </x:c>
      <x:c r="G1742" t="str">
        <x:v>RF48</x:v>
      </x:c>
      <x:c r="H1742" t="str">
        <x:v>RF048-EF1!F29</x:v>
      </x:c>
    </x:row>
    <x:row r="1743">
      <x:c r="A1743" t="str">
        <x:v>guardarPreferenciasExternas</x:v>
      </x:c>
      <x:c r="B1743" t="str">
        <x:v>idUsuario,preferencias</x:v>
      </x:c>
      <x:c r="C1743" t="str">
        <x:v>I_ConfigNotificaciones</x:v>
      </x:c>
      <x:c r="D1743" t="str">
        <x:v>C_ControlNotificacion</x:v>
      </x:c>
      <x:c r="E1743" t="str">
        <x:v>otra</x:v>
      </x:c>
      <x:c r="F1743" t="n">
        <x:v>1</x:v>
      </x:c>
      <x:c r="G1743" t="str">
        <x:v>RF48</x:v>
      </x:c>
      <x:c r="H1743" t="str">
        <x:v>RF048-EF1!F20</x:v>
      </x:c>
    </x:row>
    <x:row r="1744">
      <x:c r="A1744" t="str">
        <x:v>obtenerPreferenciasEnvioExterno</x:v>
      </x:c>
      <x:c r="B1744" t="str">
        <x:v>idUsuario</x:v>
      </x:c>
      <x:c r="C1744" t="str">
        <x:v>I_ConfigNotificaciones</x:v>
      </x:c>
      <x:c r="D1744" t="str">
        <x:v>C_ControlNotificacion</x:v>
      </x:c>
      <x:c r="E1744" t="str">
        <x:v>consulta</x:v>
      </x:c>
      <x:c r="F1744" t="n">
        <x:v>1</x:v>
      </x:c>
      <x:c r="G1744" t="str">
        <x:v>RF48</x:v>
      </x:c>
      <x:c r="H1744" t="str">
        <x:v>RF048-EF1!F13</x:v>
      </x:c>
    </x:row>
    <x:row r="1745">
      <x:c r="A1745" t="str">
        <x:v>visualizarConfiguracionActualizada</x:v>
      </x:c>
      <x:c r="B1745" t="str"/>
      <x:c r="C1745" t="str">
        <x:v>I_ConfigurarRecordatorioKm</x:v>
      </x:c>
      <x:c r="D1745" t="str">
        <x:v>AS_Usuario</x:v>
      </x:c>
      <x:c r="E1745" t="str">
        <x:v>presentación/navegación</x:v>
      </x:c>
      <x:c r="F1745" t="n">
        <x:v>1</x:v>
      </x:c>
      <x:c r="G1745" t="str">
        <x:v>RF44</x:v>
      </x:c>
      <x:c r="H1745" t="str">
        <x:v>RF044-EF1!F51</x:v>
      </x:c>
    </x:row>
    <x:row r="1746">
      <x:c r="A1746" t="str">
        <x:v>visualizarListaRecordatorios</x:v>
      </x:c>
      <x:c r="B1746" t="str"/>
      <x:c r="C1746" t="str">
        <x:v>I_ConfigurarRecordatorioKm</x:v>
      </x:c>
      <x:c r="D1746" t="str">
        <x:v>AS_Usuario</x:v>
      </x:c>
      <x:c r="E1746" t="str">
        <x:v>presentación/navegación</x:v>
      </x:c>
      <x:c r="F1746" t="n">
        <x:v>1</x:v>
      </x:c>
      <x:c r="G1746" t="str">
        <x:v>RF44</x:v>
      </x:c>
      <x:c r="H1746" t="str">
        <x:v>RF044-EF1!F36</x:v>
      </x:c>
    </x:row>
    <x:row r="1747">
      <x:c r="A1747" t="str">
        <x:v>visualizarSelectorFrecuencia</x:v>
      </x:c>
      <x:c r="B1747" t="str"/>
      <x:c r="C1747" t="str">
        <x:v>I_ConfigurarRecordatorioKm</x:v>
      </x:c>
      <x:c r="D1747" t="str">
        <x:v>AS_Usuario</x:v>
      </x:c>
      <x:c r="E1747" t="str">
        <x:v>presentación/navegación</x:v>
      </x:c>
      <x:c r="F1747" t="n">
        <x:v>1</x:v>
      </x:c>
      <x:c r="G1747" t="str">
        <x:v>RF44</x:v>
      </x:c>
      <x:c r="H1747" t="str">
        <x:v>RF044-EF1!F43</x:v>
      </x:c>
    </x:row>
    <x:row r="1748">
      <x:c r="A1748" t="str">
        <x:v>guardarFrecuenciaCicloKm</x:v>
      </x:c>
      <x:c r="B1748" t="str">
        <x:v>idUsuario,idVehiculo,frecuencia</x:v>
      </x:c>
      <x:c r="C1748" t="str">
        <x:v>I_ConfigurarRecordatorioKm</x:v>
      </x:c>
      <x:c r="D1748" t="str">
        <x:v>C_RecordatorioKm</x:v>
      </x:c>
      <x:c r="E1748" t="str">
        <x:v>otra</x:v>
      </x:c>
      <x:c r="F1748" t="n">
        <x:v>1</x:v>
      </x:c>
      <x:c r="G1748" t="str">
        <x:v>RF44</x:v>
      </x:c>
      <x:c r="H1748" t="str">
        <x:v>RF044-EF1!F46</x:v>
      </x:c>
    </x:row>
    <x:row r="1749">
      <x:c r="A1749" t="str">
        <x:v>obtenerConfiguracionesCicloKm</x:v>
      </x:c>
      <x:c r="B1749" t="str">
        <x:v>idUsuario</x:v>
      </x:c>
      <x:c r="C1749" t="str">
        <x:v>I_ConfigurarRecordatorioKm</x:v>
      </x:c>
      <x:c r="D1749" t="str">
        <x:v>C_RecordatorioKm</x:v>
      </x:c>
      <x:c r="E1749" t="str">
        <x:v>consulta</x:v>
      </x:c>
      <x:c r="F1749" t="n">
        <x:v>1</x:v>
      </x:c>
      <x:c r="G1749" t="str">
        <x:v>RF44</x:v>
      </x:c>
      <x:c r="H1749" t="str">
        <x:v>RF044-EF1!F23</x:v>
      </x:c>
    </x:row>
    <x:row r="1750">
      <x:c r="A1750" t="str">
        <x:v>solicitarSelectorFrecuencia</x:v>
      </x:c>
      <x:c r="B1750" t="str">
        <x:v>idUsuario,idVehiculo</x:v>
      </x:c>
      <x:c r="C1750" t="str">
        <x:v>I_ConfigurarRecordatorioKm</x:v>
      </x:c>
      <x:c r="D1750" t="str">
        <x:v>C_RecordatorioKm</x:v>
      </x:c>
      <x:c r="E1750" t="str">
        <x:v>presentación/navegación</x:v>
      </x:c>
      <x:c r="F1750" t="n">
        <x:v>1</x:v>
      </x:c>
      <x:c r="G1750" t="str">
        <x:v>RF44</x:v>
      </x:c>
      <x:c r="H1750" t="str">
        <x:v>RF044-EF1!F38</x:v>
      </x:c>
    </x:row>
    <x:row r="1751">
      <x:c r="A1751" t="str">
        <x:v>visualizarConfirmacion</x:v>
      </x:c>
      <x:c r="B1751" t="str"/>
      <x:c r="C1751" t="str">
        <x:v>I_ConfirmacionCatalogo</x:v>
      </x:c>
      <x:c r="D1751" t="str">
        <x:v>AS_Administrador</x:v>
      </x:c>
      <x:c r="E1751" t="str">
        <x:v>presentación/navegación</x:v>
      </x:c>
      <x:c r="F1751" t="n">
        <x:v>1</x:v>
      </x:c>
      <x:c r="G1751" t="str">
        <x:v>RF62</x:v>
      </x:c>
      <x:c r="H1751" t="str">
        <x:v>RF062_EXITOSO!F33</x:v>
      </x:c>
    </x:row>
    <x:row r="1752">
      <x:c r="A1752" t="str">
        <x:v>solicitarListadoActualizado</x:v>
      </x:c>
      <x:c r="B1752" t="str">
        <x:v>catalogoId</x:v>
      </x:c>
      <x:c r="C1752" t="str">
        <x:v>I_ConfirmacionCatalogo</x:v>
      </x:c>
      <x:c r="D1752" t="str">
        <x:v>C_ControlCatalogo</x:v>
      </x:c>
      <x:c r="E1752" t="str">
        <x:v>presentación/navegación</x:v>
      </x:c>
      <x:c r="F1752" t="n">
        <x:v>1</x:v>
      </x:c>
      <x:c r="G1752" t="str">
        <x:v>RF62</x:v>
      </x:c>
      <x:c r="H1752" t="str">
        <x:v>RF062_EXITOSO!F35</x:v>
      </x:c>
    </x:row>
    <x:row r="1753">
      <x:c r="A1753" t="str">
        <x:v>visualizarExitoEdicionTIVE</x:v>
      </x:c>
      <x:c r="B1753" t="str"/>
      <x:c r="C1753" t="str">
        <x:v>I_ConfirmacionEdicionTIVE</x:v>
      </x:c>
      <x:c r="D1753" t="str">
        <x:v>AS_Usuario</x:v>
      </x:c>
      <x:c r="E1753" t="str">
        <x:v>presentación/navegación</x:v>
      </x:c>
      <x:c r="F1753" t="n">
        <x:v>1</x:v>
      </x:c>
      <x:c r="G1753" t="str">
        <x:v>RF56</x:v>
      </x:c>
      <x:c r="H1753" t="str">
        <x:v>RF056-EF1!F36</x:v>
      </x:c>
    </x:row>
    <x:row r="1754">
      <x:c r="A1754" t="str">
        <x:v>solicitarConsultaTIVEActualizada</x:v>
      </x:c>
      <x:c r="B1754" t="str">
        <x:v>idUsuario,idVehiculo</x:v>
      </x:c>
      <x:c r="C1754" t="str">
        <x:v>I_ConfirmacionEdicionTIVE</x:v>
      </x:c>
      <x:c r="D1754" t="str">
        <x:v>C_ControlTIVE</x:v>
      </x:c>
      <x:c r="E1754" t="str">
        <x:v>presentación/navegación</x:v>
      </x:c>
      <x:c r="F1754" t="n">
        <x:v>1</x:v>
      </x:c>
      <x:c r="G1754" t="str">
        <x:v>RF56</x:v>
      </x:c>
      <x:c r="H1754" t="str">
        <x:v>RF056-EF1!F38</x:v>
      </x:c>
    </x:row>
    <x:row r="1755">
      <x:c r="A1755" t="str">
        <x:v>visualizarConfirmacionEliminarFoto</x:v>
      </x:c>
      <x:c r="B1755" t="str"/>
      <x:c r="C1755" t="str">
        <x:v>I_ConfirmacionEliminarFoto</x:v>
      </x:c>
      <x:c r="D1755" t="str">
        <x:v>AS_Usuario</x:v>
      </x:c>
      <x:c r="E1755" t="str">
        <x:v>presentación/navegación</x:v>
      </x:c>
      <x:c r="F1755" t="n">
        <x:v>1</x:v>
      </x:c>
      <x:c r="G1755" t="str">
        <x:v>RF40</x:v>
      </x:c>
      <x:c r="H1755" t="str">
        <x:v>RF040-E1!F25</x:v>
      </x:c>
    </x:row>
    <x:row r="1756">
      <x:c r="A1756" t="str">
        <x:v>enviarConfirmacionEliminacion</x:v>
      </x:c>
      <x:c r="B1756" t="str"/>
      <x:c r="C1756" t="str">
        <x:v>I_ConfirmacionEliminarFoto</x:v>
      </x:c>
      <x:c r="D1756" t="str">
        <x:v>C_FotoPerfil</x:v>
      </x:c>
      <x:c r="E1756" t="str">
        <x:v>otra</x:v>
      </x:c>
      <x:c r="F1756" t="n">
        <x:v>1</x:v>
      </x:c>
      <x:c r="G1756" t="str">
        <x:v>RF40</x:v>
      </x:c>
      <x:c r="H1756" t="str">
        <x:v>RF040-E1!F28</x:v>
      </x:c>
    </x:row>
    <x:row r="1757">
      <x:c r="A1757" t="str">
        <x:v>confirmarSuspension</x:v>
      </x:c>
      <x:c r="B1757" t="str">
        <x:v>idAdmin,idUsuarioObjetivo,motivo</x:v>
      </x:c>
      <x:c r="C1757" t="str">
        <x:v>I_ConfirmacionEstadoCuenta</x:v>
      </x:c>
      <x:c r="D1757" t="str">
        <x:v>C_ControlCuenta</x:v>
      </x:c>
      <x:c r="E1757" t="str">
        <x:v>otra</x:v>
      </x:c>
      <x:c r="F1757" t="n">
        <x:v>1</x:v>
      </x:c>
      <x:c r="G1757" t="str">
        <x:v>RF59</x:v>
      </x:c>
      <x:c r="H1757" t="str">
        <x:v>RF059_EXITOSO!F14</x:v>
      </x:c>
    </x:row>
    <x:row r="1758">
      <x:c r="A1758" t="str">
        <x:v>solicitarVolverDetalleCuenta</x:v>
      </x:c>
      <x:c r="B1758" t="str">
        <x:v>idUsuarioObjetivo</x:v>
      </x:c>
      <x:c r="C1758" t="str">
        <x:v>I_ConfirmacionEstadoCuenta</x:v>
      </x:c>
      <x:c r="D1758" t="str">
        <x:v>C_ControlCuenta</x:v>
      </x:c>
      <x:c r="E1758" t="str">
        <x:v>presentación/navegación</x:v>
      </x:c>
      <x:c r="F1758" t="n">
        <x:v>1</x:v>
      </x:c>
      <x:c r="G1758" t="str">
        <x:v>RF59</x:v>
      </x:c>
      <x:c r="H1758" t="str">
        <x:v>RF059_EXITOSO!F25</x:v>
      </x:c>
    </x:row>
    <x:row r="1759">
      <x:c r="A1759" t="str">
        <x:v>visualizarConsecuenciasCambio</x:v>
      </x:c>
      <x:c r="B1759" t="str"/>
      <x:c r="C1759" t="str">
        <x:v>I_ConfirmacionEstadoVehiculo</x:v>
      </x:c>
      <x:c r="D1759" t="str">
        <x:v>AS_Usuario</x:v>
      </x:c>
      <x:c r="E1759" t="str">
        <x:v>presentación/navegación</x:v>
      </x:c>
      <x:c r="F1759" t="n">
        <x:v>1</x:v>
      </x:c>
      <x:c r="G1759" t="str">
        <x:v>RF12</x:v>
      </x:c>
      <x:c r="H1759" t="str">
        <x:v>RF012-EF1!F27</x:v>
      </x:c>
    </x:row>
    <x:row r="1760">
      <x:c r="A1760" t="str">
        <x:v>enviarConfirmacionCambio</x:v>
      </x:c>
      <x:c r="B1760" t="str"/>
      <x:c r="C1760" t="str">
        <x:v>I_ConfirmacionEstadoVehiculo</x:v>
      </x:c>
      <x:c r="D1760" t="str">
        <x:v>C_ControlEstadoVehiculo</x:v>
      </x:c>
      <x:c r="E1760" t="str">
        <x:v>otra</x:v>
      </x:c>
      <x:c r="F1760" t="n">
        <x:v>1</x:v>
      </x:c>
      <x:c r="G1760" t="str">
        <x:v>RF12</x:v>
      </x:c>
      <x:c r="H1760" t="str">
        <x:v>RF012-EF1!F29</x:v>
      </x:c>
    </x:row>
    <x:row r="1761">
      <x:c r="A1761" t="str">
        <x:v>visualizarConfirmacionYCreador</x:v>
      </x:c>
      <x:c r="B1761" t="str"/>
      <x:c r="C1761" t="str">
        <x:v>I_ConfirmacionIncidenciaEnviada</x:v>
      </x:c>
      <x:c r="D1761" t="str">
        <x:v>AS_Usuario</x:v>
      </x:c>
      <x:c r="E1761" t="str">
        <x:v>presentación/navegación</x:v>
      </x:c>
      <x:c r="F1761" t="n">
        <x:v>1</x:v>
      </x:c>
      <x:c r="G1761" t="str">
        <x:v>RF63</x:v>
      </x:c>
      <x:c r="H1761" t="str">
        <x:v>RF063_EXITOSO!F33</x:v>
      </x:c>
    </x:row>
    <x:row r="1762">
      <x:c r="A1762" t="str">
        <x:v>solicitarMisIncidencias</x:v>
      </x:c>
      <x:c r="B1762" t="str">
        <x:v>idUsuarioSesion</x:v>
      </x:c>
      <x:c r="C1762" t="str">
        <x:v>I_ConfirmacionIncidenciaEnviada</x:v>
      </x:c>
      <x:c r="D1762" t="str">
        <x:v>C_ControlIncidencia</x:v>
      </x:c>
      <x:c r="E1762" t="str">
        <x:v>presentación/navegación</x:v>
      </x:c>
      <x:c r="F1762" t="n">
        <x:v>1</x:v>
      </x:c>
      <x:c r="G1762" t="str">
        <x:v>RF63</x:v>
      </x:c>
      <x:c r="H1762" t="str">
        <x:v>RF063_EXITOSO!F35</x:v>
      </x:c>
    </x:row>
    <x:row r="1763">
      <x:c r="A1763" t="str">
        <x:v>visualizarActualizacionImagenExitosa</x:v>
      </x:c>
      <x:c r="B1763" t="str"/>
      <x:c r="C1763" t="str">
        <x:v>I_ConfirmacionOperacion</x:v>
      </x:c>
      <x:c r="D1763" t="str">
        <x:v>AS_Usuario</x:v>
      </x:c>
      <x:c r="E1763" t="str">
        <x:v>presentación/navegación</x:v>
      </x:c>
      <x:c r="F1763" t="n">
        <x:v>1</x:v>
      </x:c>
      <x:c r="G1763" t="str">
        <x:v>RF43</x:v>
      </x:c>
      <x:c r="H1763" t="str">
        <x:v>RF043-EF1!F29</x:v>
      </x:c>
    </x:row>
    <x:row r="1764">
      <x:c r="A1764" t="str">
        <x:v>visualizarCambioEstadoExitoso</x:v>
      </x:c>
      <x:c r="B1764" t="str"/>
      <x:c r="C1764" t="str">
        <x:v>I_ConfirmacionOperacion</x:v>
      </x:c>
      <x:c r="D1764" t="str">
        <x:v>AS_Usuario</x:v>
      </x:c>
      <x:c r="E1764" t="str">
        <x:v>presentación/navegación</x:v>
      </x:c>
      <x:c r="F1764" t="n">
        <x:v>1</x:v>
      </x:c>
      <x:c r="G1764" t="str">
        <x:v>RF12</x:v>
      </x:c>
      <x:c r="H1764" t="str">
        <x:v>RF012-EF1!F50</x:v>
      </x:c>
    </x:row>
    <x:row r="1765">
      <x:c r="A1765" t="str">
        <x:v>visualizarCambioExitoso</x:v>
      </x:c>
      <x:c r="B1765" t="str"/>
      <x:c r="C1765" t="str">
        <x:v>I_ConfirmacionOperacion</x:v>
      </x:c>
      <x:c r="D1765" t="str">
        <x:v>AS_Usuario</x:v>
      </x:c>
      <x:c r="E1765" t="str">
        <x:v>presentación/navegación</x:v>
      </x:c>
      <x:c r="F1765" t="n">
        <x:v>2</x:v>
      </x:c>
      <x:c r="G1765" t="str">
        <x:v>RF03, RF05</x:v>
      </x:c>
      <x:c r="H1765" t="str">
        <x:v>RF003-E1!F71</x:v>
      </x:c>
    </x:row>
    <x:row r="1766">
      <x:c r="A1766" t="str">
        <x:v>visualizarCambioPrincipalExitoso</x:v>
      </x:c>
      <x:c r="B1766" t="str"/>
      <x:c r="C1766" t="str">
        <x:v>I_ConfirmacionOperacion</x:v>
      </x:c>
      <x:c r="D1766" t="str">
        <x:v>AS_Usuario</x:v>
      </x:c>
      <x:c r="E1766" t="str">
        <x:v>presentación/navegación</x:v>
      </x:c>
      <x:c r="F1766" t="n">
        <x:v>1</x:v>
      </x:c>
      <x:c r="G1766" t="str">
        <x:v>RF13</x:v>
      </x:c>
      <x:c r="H1766" t="str">
        <x:v>RF013-EF1!F27</x:v>
      </x:c>
    </x:row>
    <x:row r="1767">
      <x:c r="A1767" t="str">
        <x:v>visualizarConfirmacionActualizacion</x:v>
      </x:c>
      <x:c r="B1767" t="str"/>
      <x:c r="C1767" t="str">
        <x:v>I_ConfirmacionOperacion</x:v>
      </x:c>
      <x:c r="D1767" t="str">
        <x:v>AS_Usuario</x:v>
      </x:c>
      <x:c r="E1767" t="str">
        <x:v>presentación/navegación</x:v>
      </x:c>
      <x:c r="F1767" t="n">
        <x:v>1</x:v>
      </x:c>
      <x:c r="G1767" t="str">
        <x:v>RF04</x:v>
      </x:c>
      <x:c r="H1767" t="str">
        <x:v>RF004-E1!F43</x:v>
      </x:c>
    </x:row>
    <x:row r="1768">
      <x:c r="A1768" t="str">
        <x:v>visualizarConfirmacionCerrarSesion</x:v>
      </x:c>
      <x:c r="B1768" t="str"/>
      <x:c r="C1768" t="str">
        <x:v>I_ConfirmacionOperacion</x:v>
      </x:c>
      <x:c r="D1768" t="str">
        <x:v>AS_Usuario</x:v>
      </x:c>
      <x:c r="E1768" t="str">
        <x:v>presentación/navegación</x:v>
      </x:c>
      <x:c r="F1768" t="n">
        <x:v>1</x:v>
      </x:c>
      <x:c r="G1768" t="str">
        <x:v>RF06</x:v>
      </x:c>
      <x:c r="H1768" t="str">
        <x:v>RF006-E1!F19</x:v>
      </x:c>
    </x:row>
    <x:row r="1769">
      <x:c r="A1769" t="str">
        <x:v>visualizarConfirmacionEliminacionTaller</x:v>
      </x:c>
      <x:c r="B1769" t="str"/>
      <x:c r="C1769" t="str">
        <x:v>I_ConfirmacionOperacion</x:v>
      </x:c>
      <x:c r="D1769" t="str">
        <x:v>AS_Usuario</x:v>
      </x:c>
      <x:c r="E1769" t="str">
        <x:v>presentación/navegación</x:v>
      </x:c>
      <x:c r="F1769" t="n">
        <x:v>1</x:v>
      </x:c>
      <x:c r="G1769" t="str">
        <x:v>RF36</x:v>
      </x:c>
      <x:c r="H1769" t="str">
        <x:v>RF036-EF1!F24</x:v>
      </x:c>
    </x:row>
    <x:row r="1770">
      <x:c r="A1770" t="str">
        <x:v>visualizarConfirmacionEliminarImagen</x:v>
      </x:c>
      <x:c r="B1770" t="str"/>
      <x:c r="C1770" t="str">
        <x:v>I_ConfirmacionOperacion</x:v>
      </x:c>
      <x:c r="D1770" t="str">
        <x:v>AS_Usuario</x:v>
      </x:c>
      <x:c r="E1770" t="str">
        <x:v>presentación/navegación</x:v>
      </x:c>
      <x:c r="F1770" t="n">
        <x:v>1</x:v>
      </x:c>
      <x:c r="G1770" t="str">
        <x:v>RF45</x:v>
      </x:c>
      <x:c r="H1770" t="str">
        <x:v>RF045-EF1!F16</x:v>
      </x:c>
    </x:row>
    <x:row r="1771">
      <x:c r="A1771" t="str">
        <x:v>visualizarConfirmacionFinal</x:v>
      </x:c>
      <x:c r="B1771" t="str"/>
      <x:c r="C1771" t="str">
        <x:v>I_ConfirmacionOperacion</x:v>
      </x:c>
      <x:c r="D1771" t="str">
        <x:v>AS_Usuario</x:v>
      </x:c>
      <x:c r="E1771" t="str">
        <x:v>presentación/navegación</x:v>
      </x:c>
      <x:c r="F1771" t="n">
        <x:v>1</x:v>
      </x:c>
      <x:c r="G1771" t="str">
        <x:v>RF07</x:v>
      </x:c>
      <x:c r="H1771" t="str">
        <x:v>RF007-E1!F52</x:v>
      </x:c>
    </x:row>
    <x:row r="1772">
      <x:c r="A1772" t="str">
        <x:v>visualizarConfirmacionPrevia</x:v>
      </x:c>
      <x:c r="B1772" t="str"/>
      <x:c r="C1772" t="str">
        <x:v>I_ConfirmacionOperacion</x:v>
      </x:c>
      <x:c r="D1772" t="str">
        <x:v>AS_Usuario</x:v>
      </x:c>
      <x:c r="E1772" t="str">
        <x:v>presentación/navegación</x:v>
      </x:c>
      <x:c r="F1772" t="n">
        <x:v>1</x:v>
      </x:c>
      <x:c r="G1772" t="str">
        <x:v>RF07</x:v>
      </x:c>
      <x:c r="H1772" t="str">
        <x:v>RF007-E1!F28</x:v>
      </x:c>
    </x:row>
    <x:row r="1773">
      <x:c r="A1773" t="str">
        <x:v>visualizarContratacionPremiumExitosa</x:v>
      </x:c>
      <x:c r="B1773" t="str"/>
      <x:c r="C1773" t="str">
        <x:v>I_ConfirmacionOperacion</x:v>
      </x:c>
      <x:c r="D1773" t="str">
        <x:v>AS_Usuario</x:v>
      </x:c>
      <x:c r="E1773" t="str">
        <x:v>presentación/navegación</x:v>
      </x:c>
      <x:c r="F1773" t="n">
        <x:v>1</x:v>
      </x:c>
      <x:c r="G1773" t="str">
        <x:v>RF29</x:v>
      </x:c>
      <x:c r="H1773" t="str">
        <x:v>RF029-E1!F52</x:v>
      </x:c>
    </x:row>
    <x:row r="1774">
      <x:c r="A1774" t="str">
        <x:v>visualizarEliminacionImagenExitosa</x:v>
      </x:c>
      <x:c r="B1774" t="str"/>
      <x:c r="C1774" t="str">
        <x:v>I_ConfirmacionOperacion</x:v>
      </x:c>
      <x:c r="D1774" t="str">
        <x:v>AS_Usuario</x:v>
      </x:c>
      <x:c r="E1774" t="str">
        <x:v>presentación/navegación</x:v>
      </x:c>
      <x:c r="F1774" t="n">
        <x:v>1</x:v>
      </x:c>
      <x:c r="G1774" t="str">
        <x:v>RF45</x:v>
      </x:c>
      <x:c r="H1774" t="str">
        <x:v>RF045-EF1!F24</x:v>
      </x:c>
    </x:row>
    <x:row r="1775">
      <x:c r="A1775" t="str">
        <x:v>visualizarEliminacionProgramada</x:v>
      </x:c>
      <x:c r="B1775" t="str"/>
      <x:c r="C1775" t="str">
        <x:v>I_ConfirmacionOperacion</x:v>
      </x:c>
      <x:c r="D1775" t="str">
        <x:v>AS_Usuario</x:v>
      </x:c>
      <x:c r="E1775" t="str">
        <x:v>presentación/navegación</x:v>
      </x:c>
      <x:c r="F1775" t="n">
        <x:v>1</x:v>
      </x:c>
      <x:c r="G1775" t="str">
        <x:v>RF07</x:v>
      </x:c>
      <x:c r="H1775" t="str">
        <x:v>RF007-E1!F82</x:v>
      </x:c>
    </x:row>
    <x:row r="1776">
      <x:c r="A1776" t="str">
        <x:v>visualizarMensajeExito</x:v>
      </x:c>
      <x:c r="B1776" t="str"/>
      <x:c r="C1776" t="str">
        <x:v>I_ConfirmacionOperacion</x:v>
      </x:c>
      <x:c r="D1776" t="str">
        <x:v>AS_Usuario</x:v>
      </x:c>
      <x:c r="E1776" t="str">
        <x:v>presentación/navegación</x:v>
      </x:c>
      <x:c r="F1776" t="n">
        <x:v>1</x:v>
      </x:c>
      <x:c r="G1776" t="str">
        <x:v>RF08</x:v>
      </x:c>
      <x:c r="H1776" t="str">
        <x:v>RF008-EF1!F57</x:v>
      </x:c>
    </x:row>
    <x:row r="1777">
      <x:c r="A1777" t="str">
        <x:v>visualizarOperacionExitosa</x:v>
      </x:c>
      <x:c r="B1777" t="str"/>
      <x:c r="C1777" t="str">
        <x:v>I_ConfirmacionOperacion</x:v>
      </x:c>
      <x:c r="D1777" t="str">
        <x:v>AS_Usuario</x:v>
      </x:c>
      <x:c r="E1777" t="str">
        <x:v>presentación/navegación</x:v>
      </x:c>
      <x:c r="F1777" t="n">
        <x:v>1</x:v>
      </x:c>
      <x:c r="G1777" t="str">
        <x:v>RF20</x:v>
      </x:c>
      <x:c r="H1777" t="str">
        <x:v>RF20!F43</x:v>
      </x:c>
    </x:row>
    <x:row r="1778">
      <x:c r="A1778" t="str">
        <x:v>visualizarRegistroExitoso</x:v>
      </x:c>
      <x:c r="B1778" t="str"/>
      <x:c r="C1778" t="str">
        <x:v>I_ConfirmacionOperacion</x:v>
      </x:c>
      <x:c r="D1778" t="str">
        <x:v>AS_Usuario</x:v>
      </x:c>
      <x:c r="E1778" t="str">
        <x:v>presentación/navegación</x:v>
      </x:c>
      <x:c r="F1778" t="n">
        <x:v>1</x:v>
      </x:c>
      <x:c r="G1778" t="str">
        <x:v>RF01</x:v>
      </x:c>
      <x:c r="H1778" t="str">
        <x:v>RF001-E1!F51</x:v>
      </x:c>
    </x:row>
    <x:row r="1779">
      <x:c r="A1779" t="str">
        <x:v>visualizarRegistroImagenExitoso</x:v>
      </x:c>
      <x:c r="B1779" t="str"/>
      <x:c r="C1779" t="str">
        <x:v>I_ConfirmacionOperacion</x:v>
      </x:c>
      <x:c r="D1779" t="str">
        <x:v>AS_Usuario</x:v>
      </x:c>
      <x:c r="E1779" t="str">
        <x:v>presentación/navegación</x:v>
      </x:c>
      <x:c r="F1779" t="n">
        <x:v>1</x:v>
      </x:c>
      <x:c r="G1779" t="str">
        <x:v>RF42</x:v>
      </x:c>
      <x:c r="H1779" t="str">
        <x:v>RF042-EF1!F30</x:v>
      </x:c>
    </x:row>
    <x:row r="1780">
      <x:c r="A1780" t="str">
        <x:v>visualizarRegistroLicenciaExitoso</x:v>
      </x:c>
      <x:c r="B1780" t="str"/>
      <x:c r="C1780" t="str">
        <x:v>I_ConfirmacionOperacion</x:v>
      </x:c>
      <x:c r="D1780" t="str">
        <x:v>AS_Usuario</x:v>
      </x:c>
      <x:c r="E1780" t="str">
        <x:v>presentación/navegación</x:v>
      </x:c>
      <x:c r="F1780" t="n">
        <x:v>1</x:v>
      </x:c>
      <x:c r="G1780" t="str">
        <x:v>RF51</x:v>
      </x:c>
      <x:c r="H1780" t="str">
        <x:v>RF051-EF1!F61</x:v>
      </x:c>
    </x:row>
    <x:row r="1781">
      <x:c r="A1781" t="str">
        <x:v>visualizarRegistroSOATExitoso</x:v>
      </x:c>
      <x:c r="B1781" t="str"/>
      <x:c r="C1781" t="str">
        <x:v>I_ConfirmacionOperacion</x:v>
      </x:c>
      <x:c r="D1781" t="str">
        <x:v>AS_Usuario</x:v>
      </x:c>
      <x:c r="E1781" t="str">
        <x:v>presentación/navegación</x:v>
      </x:c>
      <x:c r="F1781" t="n">
        <x:v>1</x:v>
      </x:c>
      <x:c r="G1781" t="str">
        <x:v>RF31</x:v>
      </x:c>
      <x:c r="H1781" t="str">
        <x:v>RF031-EF1!F55</x:v>
      </x:c>
    </x:row>
    <x:row r="1782">
      <x:c r="A1782" t="str">
        <x:v>visualizarRegistroTallerExitoso</x:v>
      </x:c>
      <x:c r="B1782" t="str"/>
      <x:c r="C1782" t="str">
        <x:v>I_ConfirmacionOperacion</x:v>
      </x:c>
      <x:c r="D1782" t="str">
        <x:v>AS_Usuario</x:v>
      </x:c>
      <x:c r="E1782" t="str">
        <x:v>presentación/navegación</x:v>
      </x:c>
      <x:c r="F1782" t="n">
        <x:v>1</x:v>
      </x:c>
      <x:c r="G1782" t="str">
        <x:v>RF34</x:v>
      </x:c>
      <x:c r="H1782" t="str">
        <x:v>RF034-EF1!F32</x:v>
      </x:c>
    </x:row>
    <x:row r="1783">
      <x:c r="A1783" t="str">
        <x:v>visualizarRenovacionSOATExitosa</x:v>
      </x:c>
      <x:c r="B1783" t="str"/>
      <x:c r="C1783" t="str">
        <x:v>I_ConfirmacionOperacion</x:v>
      </x:c>
      <x:c r="D1783" t="str">
        <x:v>AS_Usuario</x:v>
      </x:c>
      <x:c r="E1783" t="str">
        <x:v>presentación/navegación</x:v>
      </x:c>
      <x:c r="F1783" t="n">
        <x:v>1</x:v>
      </x:c>
      <x:c r="G1783" t="str">
        <x:v>RF32</x:v>
      </x:c>
      <x:c r="H1783" t="str">
        <x:v>RF032-EF1!F85</x:v>
      </x:c>
    </x:row>
    <x:row r="1784">
      <x:c r="A1784" t="str">
        <x:v>enviarConfirmacionCerrarSesion</x:v>
      </x:c>
      <x:c r="B1784" t="str"/>
      <x:c r="C1784" t="str">
        <x:v>I_ConfirmacionOperacion</x:v>
      </x:c>
      <x:c r="D1784" t="str">
        <x:v>C_CerrarSesion</x:v>
      </x:c>
      <x:c r="E1784" t="str">
        <x:v>otra</x:v>
      </x:c>
      <x:c r="F1784" t="n">
        <x:v>1</x:v>
      </x:c>
      <x:c r="G1784" t="str">
        <x:v>RF06</x:v>
      </x:c>
      <x:c r="H1784" t="str">
        <x:v>RF006-E1!F21</x:v>
      </x:c>
    </x:row>
    <x:row r="1785">
      <x:c r="A1785" t="str">
        <x:v>solicitarRetornoAutos</x:v>
      </x:c>
      <x:c r="B1785" t="str">
        <x:v>idUsuario</x:v>
      </x:c>
      <x:c r="C1785" t="str">
        <x:v>I_ConfirmacionOperacion</x:v>
      </x:c>
      <x:c r="D1785" t="str">
        <x:v>C_ControlEstadoVehiculo</x:v>
      </x:c>
      <x:c r="E1785" t="str">
        <x:v>presentación/navegación</x:v>
      </x:c>
      <x:c r="F1785" t="n">
        <x:v>1</x:v>
      </x:c>
      <x:c r="G1785" t="str">
        <x:v>RF12</x:v>
      </x:c>
      <x:c r="H1785" t="str">
        <x:v>RF012-EF1!F52</x:v>
      </x:c>
    </x:row>
    <x:row r="1786">
      <x:c r="A1786" t="str">
        <x:v>enviarConfirmacionEliminacion</x:v>
      </x:c>
      <x:c r="B1786" t="str">
        <x:v>idUsuario,idVehiculo</x:v>
      </x:c>
      <x:c r="C1786" t="str">
        <x:v>I_ConfirmacionOperacion</x:v>
      </x:c>
      <x:c r="D1786" t="str">
        <x:v>C_ControlImagenVehiculo</x:v>
      </x:c>
      <x:c r="E1786" t="str">
        <x:v>otra</x:v>
      </x:c>
      <x:c r="F1786" t="n">
        <x:v>1</x:v>
      </x:c>
      <x:c r="G1786" t="str">
        <x:v>RF45</x:v>
      </x:c>
      <x:c r="H1786" t="str">
        <x:v>RF045-EF1!F18</x:v>
      </x:c>
    </x:row>
    <x:row r="1787">
      <x:c r="A1787" t="str">
        <x:v>solicitarRetornoDetalle</x:v>
      </x:c>
      <x:c r="B1787" t="str">
        <x:v>idUsuario,idVehiculo</x:v>
      </x:c>
      <x:c r="C1787" t="str">
        <x:v>I_ConfirmacionOperacion</x:v>
      </x:c>
      <x:c r="D1787" t="str">
        <x:v>C_ControlImagenVehiculo</x:v>
      </x:c>
      <x:c r="E1787" t="str">
        <x:v>presentación/navegación</x:v>
      </x:c>
      <x:c r="F1787" t="n">
        <x:v>3</x:v>
      </x:c>
      <x:c r="G1787" t="str">
        <x:v>RF42, RF43, RF45</x:v>
      </x:c>
      <x:c r="H1787" t="str">
        <x:v>RF042-EF1!F32</x:v>
      </x:c>
    </x:row>
    <x:row r="1788">
      <x:c r="A1788" t="str">
        <x:v>enviarConfirmacionEliminacion</x:v>
      </x:c>
      <x:c r="B1788" t="str">
        <x:v>idTaller,versionTaller</x:v>
      </x:c>
      <x:c r="C1788" t="str">
        <x:v>I_ConfirmacionOperacion</x:v>
      </x:c>
      <x:c r="D1788" t="str">
        <x:v>C_ControlTaller</x:v>
      </x:c>
      <x:c r="E1788" t="str">
        <x:v>otra</x:v>
      </x:c>
      <x:c r="F1788" t="n">
        <x:v>1</x:v>
      </x:c>
      <x:c r="G1788" t="str">
        <x:v>RF36</x:v>
      </x:c>
      <x:c r="H1788" t="str">
        <x:v>RF036-EF1!F27</x:v>
      </x:c>
    </x:row>
    <x:row r="1789">
      <x:c r="A1789" t="str">
        <x:v>solicitarRetornoAutos</x:v>
      </x:c>
      <x:c r="B1789" t="str">
        <x:v>idUsuario</x:v>
      </x:c>
      <x:c r="C1789" t="str">
        <x:v>I_ConfirmacionOperacion</x:v>
      </x:c>
      <x:c r="D1789" t="str">
        <x:v>C_ControlVehiculoPrincipal</x:v>
      </x:c>
      <x:c r="E1789" t="str">
        <x:v>presentación/navegación</x:v>
      </x:c>
      <x:c r="F1789" t="n">
        <x:v>1</x:v>
      </x:c>
      <x:c r="G1789" t="str">
        <x:v>RF13</x:v>
      </x:c>
      <x:c r="H1789" t="str">
        <x:v>RF013-EF1!F29</x:v>
      </x:c>
    </x:row>
    <x:row r="1790">
      <x:c r="A1790" t="str">
        <x:v>enviarConfirmacionPrevia</x:v>
      </x:c>
      <x:c r="B1790" t="str">
        <x:v>idUsuario</x:v>
      </x:c>
      <x:c r="C1790" t="str">
        <x:v>I_ConfirmacionOperacion</x:v>
      </x:c>
      <x:c r="D1790" t="str">
        <x:v>C_EliminarCuenta</x:v>
      </x:c>
      <x:c r="E1790" t="str">
        <x:v>otra</x:v>
      </x:c>
      <x:c r="F1790" t="n">
        <x:v>1</x:v>
      </x:c>
      <x:c r="G1790" t="str">
        <x:v>RF07</x:v>
      </x:c>
      <x:c r="H1790" t="str">
        <x:v>RF007-E1!F30</x:v>
      </x:c>
    </x:row>
    <x:row r="1791">
      <x:c r="A1791" t="str">
        <x:v>solicitarProgramacionEliminacion</x:v>
      </x:c>
      <x:c r="B1791" t="str">
        <x:v>idUsuario</x:v>
      </x:c>
      <x:c r="C1791" t="str">
        <x:v>I_ConfirmacionOperacion</x:v>
      </x:c>
      <x:c r="D1791" t="str">
        <x:v>C_EliminarCuenta</x:v>
      </x:c>
      <x:c r="E1791" t="str">
        <x:v>presentación/navegación</x:v>
      </x:c>
      <x:c r="F1791" t="n">
        <x:v>1</x:v>
      </x:c>
      <x:c r="G1791" t="str">
        <x:v>RF07</x:v>
      </x:c>
      <x:c r="H1791" t="str">
        <x:v>RF007-E1!F54</x:v>
      </x:c>
    </x:row>
    <x:row r="1792">
      <x:c r="A1792" t="str">
        <x:v>solicitarVistaAutos</x:v>
      </x:c>
      <x:c r="B1792" t="str"/>
      <x:c r="C1792" t="str">
        <x:v>I_ConfirmacionOperacion</x:v>
      </x:c>
      <x:c r="D1792" t="str">
        <x:v>C_Navegacion</x:v>
      </x:c>
      <x:c r="E1792" t="str">
        <x:v>presentación/navegación</x:v>
      </x:c>
      <x:c r="F1792" t="n">
        <x:v>1</x:v>
      </x:c>
      <x:c r="G1792" t="str">
        <x:v>RF08</x:v>
      </x:c>
      <x:c r="H1792" t="str">
        <x:v>RF008-EF1!F59</x:v>
      </x:c>
    </x:row>
    <x:row r="1793">
      <x:c r="A1793" t="str">
        <x:v>solicitarVistaInicio</x:v>
      </x:c>
      <x:c r="B1793" t="str"/>
      <x:c r="C1793" t="str">
        <x:v>I_ConfirmacionOperacion</x:v>
      </x:c>
      <x:c r="D1793" t="str">
        <x:v>C_Navegacion</x:v>
      </x:c>
      <x:c r="E1793" t="str">
        <x:v>presentación/navegación</x:v>
      </x:c>
      <x:c r="F1793" t="n">
        <x:v>1</x:v>
      </x:c>
      <x:c r="G1793" t="str">
        <x:v>RF08</x:v>
      </x:c>
      <x:c r="H1793" t="str">
        <x:v>RF008-EF1!F66</x:v>
      </x:c>
    </x:row>
    <x:row r="1794">
      <x:c r="A1794" t="str">
        <x:v>solicitarRedireccionInicioSesion</x:v>
      </x:c>
      <x:c r="B1794" t="str"/>
      <x:c r="C1794" t="str">
        <x:v>I_ConfirmacionOperacion</x:v>
      </x:c>
      <x:c r="D1794" t="str">
        <x:v>C_RegistroUsuario</x:v>
      </x:c>
      <x:c r="E1794" t="str">
        <x:v>presentación/navegación</x:v>
      </x:c>
      <x:c r="F1794" t="n">
        <x:v>1</x:v>
      </x:c>
      <x:c r="G1794" t="str">
        <x:v>RF01</x:v>
      </x:c>
      <x:c r="H1794" t="str">
        <x:v>RF001-E1!F53</x:v>
      </x:c>
    </x:row>
    <x:row r="1795">
      <x:c r="A1795" t="str">
        <x:v>visualizarConfirmacionPrincipal</x:v>
      </x:c>
      <x:c r="B1795" t="str"/>
      <x:c r="C1795" t="str">
        <x:v>I_ConfirmacionPrincipal</x:v>
      </x:c>
      <x:c r="D1795" t="str">
        <x:v>AS_Usuario</x:v>
      </x:c>
      <x:c r="E1795" t="str">
        <x:v>presentación/navegación</x:v>
      </x:c>
      <x:c r="F1795" t="n">
        <x:v>1</x:v>
      </x:c>
      <x:c r="G1795" t="str">
        <x:v>RF13</x:v>
      </x:c>
      <x:c r="H1795" t="str">
        <x:v>RF013-EF1!F16</x:v>
      </x:c>
    </x:row>
    <x:row r="1796">
      <x:c r="A1796" t="str">
        <x:v>enviarConfirmacionPrincipal</x:v>
      </x:c>
      <x:c r="B1796" t="str">
        <x:v>idUsuario,idVehiculo</x:v>
      </x:c>
      <x:c r="C1796" t="str">
        <x:v>I_ConfirmacionPrincipal</x:v>
      </x:c>
      <x:c r="D1796" t="str">
        <x:v>C_ControlVehiculoPrincipal</x:v>
      </x:c>
      <x:c r="E1796" t="str">
        <x:v>otra</x:v>
      </x:c>
      <x:c r="F1796" t="n">
        <x:v>1</x:v>
      </x:c>
      <x:c r="G1796" t="str">
        <x:v>RF13</x:v>
      </x:c>
      <x:c r="H1796" t="str">
        <x:v>RF013-EF1!F18</x:v>
      </x:c>
    </x:row>
    <x:row r="1797">
      <x:c r="A1797" t="str">
        <x:v>visualizarResumenProgramacion</x:v>
      </x:c>
      <x:c r="B1797" t="str"/>
      <x:c r="C1797" t="str">
        <x:v>I_ConfirmacionProgramacion</x:v>
      </x:c>
      <x:c r="D1797" t="str">
        <x:v>AS_Usuario</x:v>
      </x:c>
      <x:c r="E1797" t="str">
        <x:v>presentación/navegación</x:v>
      </x:c>
      <x:c r="F1797" t="n">
        <x:v>1</x:v>
      </x:c>
      <x:c r="G1797" t="str">
        <x:v>RF22</x:v>
      </x:c>
      <x:c r="H1797" t="str">
        <x:v>RF22!F69</x:v>
      </x:c>
    </x:row>
    <x:row r="1798">
      <x:c r="A1798" t="str">
        <x:v>confirmarRegistroAlertaManual</x:v>
      </x:c>
      <x:c r="B1798" t="str">
        <x:v>id_usuario,datos_confirmados,fecha_base_revision,km_base_revision_o_NULL,servicio_otro_o_NULL,id_mantenimiento_referencia_o_NULL</x:v>
      </x:c>
      <x:c r="C1798" t="str">
        <x:v>I_ConfirmacionProgramacion</x:v>
      </x:c>
      <x:c r="D1798" t="str">
        <x:v>C_ControlAlerta</x:v>
      </x:c>
      <x:c r="E1798" t="str">
        <x:v>otra</x:v>
      </x:c>
      <x:c r="F1798" t="n">
        <x:v>1</x:v>
      </x:c>
      <x:c r="G1798" t="str">
        <x:v>RF22</x:v>
      </x:c>
      <x:c r="H1798" t="str">
        <x:v>RF22!F71</x:v>
      </x:c>
    </x:row>
    <x:row r="1799">
      <x:c r="A1799" t="str">
        <x:v>visualizarRegistroMantenimientoExitoso</x:v>
      </x:c>
      <x:c r="B1799" t="str"/>
      <x:c r="C1799" t="str">
        <x:v>I_ConfirmacionRegistroMantenimiento</x:v>
      </x:c>
      <x:c r="D1799" t="str">
        <x:v>AS_Usuario</x:v>
      </x:c>
      <x:c r="E1799" t="str">
        <x:v>presentación/navegación</x:v>
      </x:c>
      <x:c r="F1799" t="n">
        <x:v>1</x:v>
      </x:c>
      <x:c r="G1799" t="str">
        <x:v>RF17</x:v>
      </x:c>
      <x:c r="H1799" t="str">
        <x:v>RF17!F86</x:v>
      </x:c>
    </x:row>
    <x:row r="1800">
      <x:c r="A1800" t="str">
        <x:v>visualizarConfirmacionRegistroTIVE</x:v>
      </x:c>
      <x:c r="B1800" t="str"/>
      <x:c r="C1800" t="str">
        <x:v>I_ConfirmacionRegistroTIVE</x:v>
      </x:c>
      <x:c r="D1800" t="str">
        <x:v>AS_Usuario</x:v>
      </x:c>
      <x:c r="E1800" t="str">
        <x:v>presentación/navegación</x:v>
      </x:c>
      <x:c r="F1800" t="n">
        <x:v>1</x:v>
      </x:c>
      <x:c r="G1800" t="str">
        <x:v>RF54</x:v>
      </x:c>
      <x:c r="H1800" t="str">
        <x:v>RF054-EF1!F47</x:v>
      </x:c>
    </x:row>
    <x:row r="1801">
      <x:c r="A1801" t="str">
        <x:v>solicitarRetornoDetalleVehiculo</x:v>
      </x:c>
      <x:c r="B1801" t="str">
        <x:v>idUsuario,idVehiculo</x:v>
      </x:c>
      <x:c r="C1801" t="str">
        <x:v>I_ConfirmacionRegistroTIVE</x:v>
      </x:c>
      <x:c r="D1801" t="str">
        <x:v>C_ControlTIVE</x:v>
      </x:c>
      <x:c r="E1801" t="str">
        <x:v>presentación/navegación</x:v>
      </x:c>
      <x:c r="F1801" t="n">
        <x:v>1</x:v>
      </x:c>
      <x:c r="G1801" t="str">
        <x:v>RF54</x:v>
      </x:c>
      <x:c r="H1801" t="str">
        <x:v>RF054-EF1!F49</x:v>
      </x:c>
    </x:row>
    <x:row r="1802">
      <x:c r="A1802" t="str">
        <x:v>visualizarDatosYConfirmacion</x:v>
      </x:c>
      <x:c r="B1802" t="str"/>
      <x:c r="C1802" t="str">
        <x:v>I_ConfirmarLicencia</x:v>
      </x:c>
      <x:c r="D1802" t="str">
        <x:v>AS_Usuario</x:v>
      </x:c>
      <x:c r="E1802" t="str">
        <x:v>presentación/navegación</x:v>
      </x:c>
      <x:c r="F1802" t="n">
        <x:v>1</x:v>
      </x:c>
      <x:c r="G1802" t="str">
        <x:v>RF51</x:v>
      </x:c>
      <x:c r="H1802" t="str">
        <x:v>RF051-EF1!F40</x:v>
      </x:c>
    </x:row>
    <x:row r="1803">
      <x:c r="A1803" t="str">
        <x:v>solicitarRegistroLicencia</x:v>
      </x:c>
      <x:c r="B1803" t="str">
        <x:v>datosConfirmados</x:v>
      </x:c>
      <x:c r="C1803" t="str">
        <x:v>I_ConfirmarLicencia</x:v>
      </x:c>
      <x:c r="D1803" t="str">
        <x:v>C_ControlLicencia</x:v>
      </x:c>
      <x:c r="E1803" t="str">
        <x:v>presentación/navegación</x:v>
      </x:c>
      <x:c r="F1803" t="n">
        <x:v>1</x:v>
      </x:c>
      <x:c r="G1803" t="str">
        <x:v>RF51</x:v>
      </x:c>
      <x:c r="H1803" t="str">
        <x:v>RF051-EF1!F43</x:v>
      </x:c>
    </x:row>
    <x:row r="1804">
      <x:c r="A1804" t="str">
        <x:v>visualizarFormularioCredenciales</x:v>
      </x:c>
      <x:c r="B1804" t="str"/>
      <x:c r="C1804" t="str">
        <x:v>I_CredencialesRecuperacion</x:v>
      </x:c>
      <x:c r="D1804" t="str">
        <x:v>AS_Usuario</x:v>
      </x:c>
      <x:c r="E1804" t="str">
        <x:v>presentación/navegación</x:v>
      </x:c>
      <x:c r="F1804" t="n">
        <x:v>1</x:v>
      </x:c>
      <x:c r="G1804" t="str">
        <x:v>RF53</x:v>
      </x:c>
      <x:c r="H1804" t="str">
        <x:v>RF053-EF1!F14</x:v>
      </x:c>
    </x:row>
    <x:row r="1805">
      <x:c r="A1805" t="str">
        <x:v>enviarCredencialesRecuperacion</x:v>
      </x:c>
      <x:c r="B1805" t="str">
        <x:v>datos</x:v>
      </x:c>
      <x:c r="C1805" t="str">
        <x:v>I_CredencialesRecuperacion</x:v>
      </x:c>
      <x:c r="D1805" t="str">
        <x:v>C_RecuperarCuenta</x:v>
      </x:c>
      <x:c r="E1805" t="str">
        <x:v>otra</x:v>
      </x:c>
      <x:c r="F1805" t="n">
        <x:v>1</x:v>
      </x:c>
      <x:c r="G1805" t="str">
        <x:v>RF53</x:v>
      </x:c>
      <x:c r="H1805" t="str">
        <x:v>RF053-EF1!F16</x:v>
      </x:c>
    </x:row>
    <x:row r="1806">
      <x:c r="A1806" t="str">
        <x:v>visualizarRecuperacionExitosa</x:v>
      </x:c>
      <x:c r="B1806" t="str"/>
      <x:c r="C1806" t="str">
        <x:v>I_CuentaRecuperada</x:v>
      </x:c>
      <x:c r="D1806" t="str">
        <x:v>AS_Usuario</x:v>
      </x:c>
      <x:c r="E1806" t="str">
        <x:v>presentación/navegación</x:v>
      </x:c>
      <x:c r="F1806" t="n">
        <x:v>1</x:v>
      </x:c>
      <x:c r="G1806" t="str">
        <x:v>RF53</x:v>
      </x:c>
      <x:c r="H1806" t="str">
        <x:v>RF053-EF1!F57</x:v>
      </x:c>
    </x:row>
    <x:row r="1807">
      <x:c r="A1807" t="str">
        <x:v>solicitarPantallaInicioSesion</x:v>
      </x:c>
      <x:c r="B1807" t="str"/>
      <x:c r="C1807" t="str">
        <x:v>I_CuentaRecuperada</x:v>
      </x:c>
      <x:c r="D1807" t="str">
        <x:v>C_Navegacion</x:v>
      </x:c>
      <x:c r="E1807" t="str">
        <x:v>presentación/navegación</x:v>
      </x:c>
      <x:c r="F1807" t="n">
        <x:v>1</x:v>
      </x:c>
      <x:c r="G1807" t="str">
        <x:v>RF53</x:v>
      </x:c>
      <x:c r="H1807" t="str">
        <x:v>RF053-EF1!F59</x:v>
      </x:c>
    </x:row>
    <x:row r="1808">
      <x:c r="A1808" t="str">
        <x:v>visualizarDetalleAlerta</x:v>
      </x:c>
      <x:c r="B1808" t="str"/>
      <x:c r="C1808" t="str">
        <x:v>I_DetalleAlerta</x:v>
      </x:c>
      <x:c r="D1808" t="str">
        <x:v>AS_Usuario</x:v>
      </x:c>
      <x:c r="E1808" t="str">
        <x:v>presentación/navegación</x:v>
      </x:c>
      <x:c r="F1808" t="n">
        <x:v>1</x:v>
      </x:c>
      <x:c r="G1808" t="str">
        <x:v>RF47</x:v>
      </x:c>
      <x:c r="H1808" t="str">
        <x:v>RF047-EF1!F32</x:v>
      </x:c>
    </x:row>
    <x:row r="1809">
      <x:c r="A1809" t="str">
        <x:v>visualizarDetalleAlertaRealizada</x:v>
      </x:c>
      <x:c r="B1809" t="str"/>
      <x:c r="C1809" t="str">
        <x:v>I_DetalleAlerta</x:v>
      </x:c>
      <x:c r="D1809" t="str">
        <x:v>AS_Usuario</x:v>
      </x:c>
      <x:c r="E1809" t="str">
        <x:v>presentación/navegación</x:v>
      </x:c>
      <x:c r="F1809" t="n">
        <x:v>1</x:v>
      </x:c>
      <x:c r="G1809" t="str">
        <x:v>RF24</x:v>
      </x:c>
      <x:c r="H1809" t="str">
        <x:v>RF24!F96</x:v>
      </x:c>
    </x:row>
    <x:row r="1810">
      <x:c r="A1810" t="str">
        <x:v>iniciarRegistroComoRealizadoDesdeAlerta</x:v>
      </x:c>
      <x:c r="B1810" t="str">
        <x:v>id_alerta</x:v>
      </x:c>
      <x:c r="C1810" t="str">
        <x:v>I_DetalleAlerta</x:v>
      </x:c>
      <x:c r="D1810" t="str">
        <x:v>C_ControlAlerta</x:v>
      </x:c>
      <x:c r="E1810" t="str">
        <x:v>otra</x:v>
      </x:c>
      <x:c r="F1810" t="n">
        <x:v>1</x:v>
      </x:c>
      <x:c r="G1810" t="str">
        <x:v>RF24</x:v>
      </x:c>
      <x:c r="H1810" t="str">
        <x:v>RF24!F33</x:v>
      </x:c>
    </x:row>
    <x:row r="1811">
      <x:c r="A1811" t="str">
        <x:v>solicitarCambioEstado</x:v>
      </x:c>
      <x:c r="B1811" t="str">
        <x:v>EN_PROCESO</x:v>
      </x:c>
      <x:c r="C1811" t="str">
        <x:v>I_DetalleIncidenciaAdmin</x:v>
      </x:c>
      <x:c r="D1811" t="str">
        <x:v>C_ControlIncidencia</x:v>
      </x:c>
      <x:c r="E1811" t="str">
        <x:v>presentación/navegación</x:v>
      </x:c>
      <x:c r="F1811" t="n">
        <x:v>1</x:v>
      </x:c>
      <x:c r="G1811" t="str">
        <x:v>RF61</x:v>
      </x:c>
      <x:c r="H1811" t="str">
        <x:v>RF061_EXITOSO!F19</x:v>
      </x:c>
    </x:row>
    <x:row r="1812">
      <x:c r="A1812" t="str">
        <x:v>solicitarFormularioAvance</x:v>
      </x:c>
      <x:c r="B1812" t="str"/>
      <x:c r="C1812" t="str">
        <x:v>I_DetalleIncidenciaAdmin</x:v>
      </x:c>
      <x:c r="D1812" t="str">
        <x:v>C_ControlIncidencia</x:v>
      </x:c>
      <x:c r="E1812" t="str">
        <x:v>presentación/navegación</x:v>
      </x:c>
      <x:c r="F1812" t="n">
        <x:v>1</x:v>
      </x:c>
      <x:c r="G1812" t="str">
        <x:v>RF61</x:v>
      </x:c>
      <x:c r="H1812" t="str">
        <x:v>RF061_EXITOSO!F33</x:v>
      </x:c>
    </x:row>
    <x:row r="1813">
      <x:c r="A1813" t="str">
        <x:v>solicitarFormularioAvanceFinal</x:v>
      </x:c>
      <x:c r="B1813" t="str">
        <x:v>idIncidencia</x:v>
      </x:c>
      <x:c r="C1813" t="str">
        <x:v>I_DetalleIncidenciaAdmin</x:v>
      </x:c>
      <x:c r="D1813" t="str">
        <x:v>C_ControlIncidencia</x:v>
      </x:c>
      <x:c r="E1813" t="str">
        <x:v>presentación/navegación</x:v>
      </x:c>
      <x:c r="F1813" t="n">
        <x:v>1</x:v>
      </x:c>
      <x:c r="G1813" t="str">
        <x:v>RF61</x:v>
      </x:c>
      <x:c r="H1813" t="str">
        <x:v>RF061_EXITOSO!F46</x:v>
      </x:c>
    </x:row>
    <x:row r="1814">
      <x:c r="A1814" t="str">
        <x:v>solicitarFormularioCambioEstado</x:v>
      </x:c>
      <x:c r="B1814" t="str">
        <x:v>idIncidencia</x:v>
      </x:c>
      <x:c r="C1814" t="str">
        <x:v>I_DetalleIncidenciaAdmin</x:v>
      </x:c>
      <x:c r="D1814" t="str">
        <x:v>C_ControlIncidencia</x:v>
      </x:c>
      <x:c r="E1814" t="str">
        <x:v>presentación/navegación</x:v>
      </x:c>
      <x:c r="F1814" t="n">
        <x:v>1</x:v>
      </x:c>
      <x:c r="G1814" t="str">
        <x:v>RF61</x:v>
      </x:c>
      <x:c r="H1814" t="str">
        <x:v>RF061_EXITOSO!F55</x:v>
      </x:c>
    </x:row>
    <x:row r="1815">
      <x:c r="A1815" t="str">
        <x:v>visualizarSeguimiento</x:v>
      </x:c>
      <x:c r="B1815" t="str"/>
      <x:c r="C1815" t="str">
        <x:v>I_DetalleIncidenciaUsuario</x:v>
      </x:c>
      <x:c r="D1815" t="str">
        <x:v>AS_Usuario</x:v>
      </x:c>
      <x:c r="E1815" t="str">
        <x:v>presentación/navegación</x:v>
      </x:c>
      <x:c r="F1815" t="n">
        <x:v>1</x:v>
      </x:c>
      <x:c r="G1815" t="str">
        <x:v>RF64</x:v>
      </x:c>
      <x:c r="H1815" t="str">
        <x:v>RF064_EXITOSO!F26</x:v>
      </x:c>
    </x:row>
    <x:row r="1816">
      <x:c r="A1816" t="str">
        <x:v>solicitarRetornoMisIncidencias</x:v>
      </x:c>
      <x:c r="B1816" t="str">
        <x:v>idUsuarioSesion</x:v>
      </x:c>
      <x:c r="C1816" t="str">
        <x:v>I_DetalleIncidenciaUsuario</x:v>
      </x:c>
      <x:c r="D1816" t="str">
        <x:v>C_ControlIncidencia</x:v>
      </x:c>
      <x:c r="E1816" t="str">
        <x:v>presentación/navegación</x:v>
      </x:c>
      <x:c r="F1816" t="n">
        <x:v>1</x:v>
      </x:c>
      <x:c r="G1816" t="str">
        <x:v>RF64</x:v>
      </x:c>
      <x:c r="H1816" t="str">
        <x:v>RF064_EXITOSO!F29</x:v>
      </x:c>
    </x:row>
    <x:row r="1817">
      <x:c r="A1817" t="str">
        <x:v>visualizarDetalleLicenciaSoloLectura</x:v>
      </x:c>
      <x:c r="B1817" t="str"/>
      <x:c r="C1817" t="str">
        <x:v>I_DetalleLicencia</x:v>
      </x:c>
      <x:c r="D1817" t="str">
        <x:v>AS_Usuario</x:v>
      </x:c>
      <x:c r="E1817" t="str">
        <x:v>presentación/navegación</x:v>
      </x:c>
      <x:c r="F1817" t="n">
        <x:v>1</x:v>
      </x:c>
      <x:c r="G1817" t="str">
        <x:v>RF52</x:v>
      </x:c>
      <x:c r="H1817" t="str">
        <x:v>RF052-EF1!F26</x:v>
      </x:c>
    </x:row>
    <x:row r="1818">
      <x:c r="A1818" t="str">
        <x:v>visualizarDetalleMantenimiento</x:v>
      </x:c>
      <x:c r="B1818" t="str"/>
      <x:c r="C1818" t="str">
        <x:v>I_DetalleMantenimiento</x:v>
      </x:c>
      <x:c r="D1818" t="str">
        <x:v>AS_Usuario</x:v>
      </x:c>
      <x:c r="E1818" t="str">
        <x:v>presentación/navegación</x:v>
      </x:c>
      <x:c r="F1818" t="n">
        <x:v>1</x:v>
      </x:c>
      <x:c r="G1818" t="str">
        <x:v>RF19</x:v>
      </x:c>
      <x:c r="H1818" t="str">
        <x:v>RF19!F31</x:v>
      </x:c>
    </x:row>
    <x:row r="1819">
      <x:c r="A1819" t="str">
        <x:v>solicitarAnulacionMantenimiento</x:v>
      </x:c>
      <x:c r="B1819" t="str">
        <x:v>id_usuario,id_mantenimiento</x:v>
      </x:c>
      <x:c r="C1819" t="str">
        <x:v>I_DetalleMantenimiento</x:v>
      </x:c>
      <x:c r="D1819" t="str">
        <x:v>C_ControlMantenimiento</x:v>
      </x:c>
      <x:c r="E1819" t="str">
        <x:v>presentación/navegación</x:v>
      </x:c>
      <x:c r="F1819" t="n">
        <x:v>1</x:v>
      </x:c>
      <x:c r="G1819" t="str">
        <x:v>RF21</x:v>
      </x:c>
      <x:c r="H1819" t="str">
        <x:v>RF21!F6</x:v>
      </x:c>
    </x:row>
    <x:row r="1820">
      <x:c r="A1820" t="str">
        <x:v>solicitarEdicionMantenimiento</x:v>
      </x:c>
      <x:c r="B1820" t="str">
        <x:v>id_usuario,id_mantenimiento</x:v>
      </x:c>
      <x:c r="C1820" t="str">
        <x:v>I_DetalleMantenimiento</x:v>
      </x:c>
      <x:c r="D1820" t="str">
        <x:v>C_ControlMantenimiento</x:v>
      </x:c>
      <x:c r="E1820" t="str">
        <x:v>presentación/navegación</x:v>
      </x:c>
      <x:c r="F1820" t="n">
        <x:v>1</x:v>
      </x:c>
      <x:c r="G1820" t="str">
        <x:v>RF20</x:v>
      </x:c>
      <x:c r="H1820" t="str">
        <x:v>RF20!F6</x:v>
      </x:c>
    </x:row>
    <x:row r="1821">
      <x:c r="A1821" t="str">
        <x:v>visualizarDetalleSOAT</x:v>
      </x:c>
      <x:c r="B1821" t="str"/>
      <x:c r="C1821" t="str">
        <x:v>I_DetalleSOAT</x:v>
      </x:c>
      <x:c r="D1821" t="str">
        <x:v>AS_Usuario</x:v>
      </x:c>
      <x:c r="E1821" t="str">
        <x:v>presentación/navegación</x:v>
      </x:c>
      <x:c r="F1821" t="n">
        <x:v>3</x:v>
      </x:c>
      <x:c r="G1821" t="str">
        <x:v>RF32, RF33, RF47</x:v>
      </x:c>
      <x:c r="H1821" t="str">
        <x:v>RF032-EF1!F24</x:v>
      </x:c>
    </x:row>
    <x:row r="1822">
      <x:c r="A1822" t="str">
        <x:v>visualizarDetalleSOATActualizado</x:v>
      </x:c>
      <x:c r="B1822" t="str"/>
      <x:c r="C1822" t="str">
        <x:v>I_DetalleSOAT</x:v>
      </x:c>
      <x:c r="D1822" t="str">
        <x:v>AS_Usuario</x:v>
      </x:c>
      <x:c r="E1822" t="str">
        <x:v>presentación/navegación</x:v>
      </x:c>
      <x:c r="F1822" t="n">
        <x:v>1</x:v>
      </x:c>
      <x:c r="G1822" t="str">
        <x:v>RF32</x:v>
      </x:c>
      <x:c r="H1822" t="str">
        <x:v>RF032-EF1!F54</x:v>
      </x:c>
    </x:row>
    <x:row r="1823">
      <x:c r="A1823" t="str">
        <x:v>solicitarConfiguracionRecordatorio</x:v>
      </x:c>
      <x:c r="B1823" t="str">
        <x:v>idSOAT</x:v>
      </x:c>
      <x:c r="C1823" t="str">
        <x:v>I_DetalleSOAT</x:v>
      </x:c>
      <x:c r="D1823" t="str">
        <x:v>C_ControlSOAT</x:v>
      </x:c>
      <x:c r="E1823" t="str">
        <x:v>presentación/navegación</x:v>
      </x:c>
      <x:c r="F1823" t="n">
        <x:v>1</x:v>
      </x:c>
      <x:c r="G1823" t="str">
        <x:v>RF33</x:v>
      </x:c>
      <x:c r="H1823" t="str">
        <x:v>RF033-EF1!F28</x:v>
      </x:c>
    </x:row>
    <x:row r="1824">
      <x:c r="A1824" t="str">
        <x:v>solicitarOpcionesActualizacion</x:v>
      </x:c>
      <x:c r="B1824" t="str">
        <x:v>idSOAT</x:v>
      </x:c>
      <x:c r="C1824" t="str">
        <x:v>I_DetalleSOAT</x:v>
      </x:c>
      <x:c r="D1824" t="str">
        <x:v>C_ControlSOAT</x:v>
      </x:c>
      <x:c r="E1824" t="str">
        <x:v>presentación/navegación</x:v>
      </x:c>
      <x:c r="F1824" t="n">
        <x:v>1</x:v>
      </x:c>
      <x:c r="G1824" t="str">
        <x:v>RF32</x:v>
      </x:c>
      <x:c r="H1824" t="str">
        <x:v>RF032-EF1!F27</x:v>
      </x:c>
    </x:row>
    <x:row r="1825">
      <x:c r="A1825" t="str">
        <x:v>solicitarVerificacionSuscripcion</x:v>
      </x:c>
      <x:c r="B1825" t="str">
        <x:v>idUsuario</x:v>
      </x:c>
      <x:c r="C1825" t="str">
        <x:v>I_DetalleSuscripcionAdmin</x:v>
      </x:c>
      <x:c r="D1825" t="str">
        <x:v>C_ControlSuscripcion</x:v>
      </x:c>
      <x:c r="E1825" t="str">
        <x:v>presentación/navegación</x:v>
      </x:c>
      <x:c r="F1825" t="n">
        <x:v>1</x:v>
      </x:c>
      <x:c r="G1825" t="str">
        <x:v>RF60</x:v>
      </x:c>
      <x:c r="H1825" t="str">
        <x:v>RF060_EXITOSO!F27</x:v>
      </x:c>
    </x:row>
    <x:row r="1826">
      <x:c r="A1826" t="str">
        <x:v>solicitarHistorialSuscripcion</x:v>
      </x:c>
      <x:c r="B1826" t="str">
        <x:v>idUsuario</x:v>
      </x:c>
      <x:c r="C1826" t="str">
        <x:v>I_DetalleSuscripcionAdmin</x:v>
      </x:c>
      <x:c r="D1826" t="str">
        <x:v>C_ControlSuscripcionAdmin</x:v>
      </x:c>
      <x:c r="E1826" t="str">
        <x:v>presentación/navegación</x:v>
      </x:c>
      <x:c r="F1826" t="n">
        <x:v>1</x:v>
      </x:c>
      <x:c r="G1826" t="str">
        <x:v>RF60</x:v>
      </x:c>
      <x:c r="H1826" t="str">
        <x:v>RF060_EXITOSO!F39</x:v>
      </x:c>
    </x:row>
    <x:row r="1827">
      <x:c r="A1827" t="str">
        <x:v>visualizarConsultaTIVERestaurada</x:v>
      </x:c>
      <x:c r="B1827" t="str"/>
      <x:c r="C1827" t="str">
        <x:v>I_DetalleTIVE</x:v>
      </x:c>
      <x:c r="D1827" t="str">
        <x:v>AS_Usuario</x:v>
      </x:c>
      <x:c r="E1827" t="str">
        <x:v>presentación/navegación</x:v>
      </x:c>
      <x:c r="F1827" t="n">
        <x:v>1</x:v>
      </x:c>
      <x:c r="G1827" t="str">
        <x:v>RF55</x:v>
      </x:c>
      <x:c r="H1827" t="str">
        <x:v>RF055-EF1!F29</x:v>
      </x:c>
    </x:row>
    <x:row r="1828">
      <x:c r="A1828" t="str">
        <x:v>visualizarInformacionTIVE</x:v>
      </x:c>
      <x:c r="B1828" t="str"/>
      <x:c r="C1828" t="str">
        <x:v>I_DetalleTIVE</x:v>
      </x:c>
      <x:c r="D1828" t="str">
        <x:v>AS_Usuario</x:v>
      </x:c>
      <x:c r="E1828" t="str">
        <x:v>presentación/navegación</x:v>
      </x:c>
      <x:c r="F1828" t="n">
        <x:v>1</x:v>
      </x:c>
      <x:c r="G1828" t="str">
        <x:v>RF55</x:v>
      </x:c>
      <x:c r="H1828" t="str">
        <x:v>RF055-EF1!F22</x:v>
      </x:c>
    </x:row>
    <x:row r="1829">
      <x:c r="A1829" t="str">
        <x:v>visualizarInformacionTIVEActualizada</x:v>
      </x:c>
      <x:c r="B1829" t="str"/>
      <x:c r="C1829" t="str">
        <x:v>I_DetalleTIVE</x:v>
      </x:c>
      <x:c r="D1829" t="str">
        <x:v>AS_Usuario</x:v>
      </x:c>
      <x:c r="E1829" t="str">
        <x:v>presentación/navegación</x:v>
      </x:c>
      <x:c r="F1829" t="n">
        <x:v>1</x:v>
      </x:c>
      <x:c r="G1829" t="str">
        <x:v>RF56</x:v>
      </x:c>
      <x:c r="H1829" t="str">
        <x:v>RF056-EF1!F46</x:v>
      </x:c>
    </x:row>
    <x:row r="1830">
      <x:c r="A1830" t="str">
        <x:v>abrirVisorImagenTIVE</x:v>
      </x:c>
      <x:c r="B1830" t="str">
        <x:v>referenciaImagen</x:v>
      </x:c>
      <x:c r="C1830" t="str">
        <x:v>I_DetalleTIVE</x:v>
      </x:c>
      <x:c r="D1830" t="str">
        <x:v>C_Navegacion</x:v>
      </x:c>
      <x:c r="E1830" t="str">
        <x:v>presentación/navegación</x:v>
      </x:c>
      <x:c r="F1830" t="n">
        <x:v>1</x:v>
      </x:c>
      <x:c r="G1830" t="str">
        <x:v>RF55</x:v>
      </x:c>
      <x:c r="H1830" t="str">
        <x:v>RF055-EF1!F25</x:v>
      </x:c>
    </x:row>
    <x:row r="1831">
      <x:c r="A1831" t="str">
        <x:v>visualizarDetalleCuenta</x:v>
      </x:c>
      <x:c r="B1831" t="str"/>
      <x:c r="C1831" t="str">
        <x:v>I_DetalleUsuarioAdmin</x:v>
      </x:c>
      <x:c r="D1831" t="str">
        <x:v>AS_Administrador</x:v>
      </x:c>
      <x:c r="E1831" t="str">
        <x:v>presentación/navegación</x:v>
      </x:c>
      <x:c r="F1831" t="n">
        <x:v>1</x:v>
      </x:c>
      <x:c r="G1831" t="str">
        <x:v>RF58</x:v>
      </x:c>
      <x:c r="H1831" t="str">
        <x:v>RF058_EXITOSO!F27</x:v>
      </x:c>
    </x:row>
    <x:row r="1832">
      <x:c r="A1832" t="str">
        <x:v>solicitarSuspension</x:v>
      </x:c>
      <x:c r="B1832" t="str">
        <x:v>idAdmin,idUsuarioObjetivo</x:v>
      </x:c>
      <x:c r="C1832" t="str">
        <x:v>I_DetalleUsuarioAdmin</x:v>
      </x:c>
      <x:c r="D1832" t="str">
        <x:v>C_ControlCuenta</x:v>
      </x:c>
      <x:c r="E1832" t="str">
        <x:v>presentación/navegación</x:v>
      </x:c>
      <x:c r="F1832" t="n">
        <x:v>1</x:v>
      </x:c>
      <x:c r="G1832" t="str">
        <x:v>RF59</x:v>
      </x:c>
      <x:c r="H1832" t="str">
        <x:v>RF059_EXITOSO!F6</x:v>
      </x:c>
    </x:row>
    <x:row r="1833">
      <x:c r="A1833" t="str">
        <x:v>solicitarHistorialEstados</x:v>
      </x:c>
      <x:c r="B1833" t="str">
        <x:v>idUsuarioObjetivo</x:v>
      </x:c>
      <x:c r="C1833" t="str">
        <x:v>I_DetalleUsuarioAdmin</x:v>
      </x:c>
      <x:c r="D1833" t="str">
        <x:v>C_ControlUsuariosAdmin</x:v>
      </x:c>
      <x:c r="E1833" t="str">
        <x:v>presentación/navegación</x:v>
      </x:c>
      <x:c r="F1833" t="n">
        <x:v>1</x:v>
      </x:c>
      <x:c r="G1833" t="str">
        <x:v>RF58</x:v>
      </x:c>
      <x:c r="H1833" t="str">
        <x:v>RF058_EXITOSO!F30</x:v>
      </x:c>
    </x:row>
    <x:row r="1834">
      <x:c r="A1834" t="str">
        <x:v>visualizarCambiosActualizados</x:v>
      </x:c>
      <x:c r="B1834" t="str"/>
      <x:c r="C1834" t="str">
        <x:v>I_DetalleVehiculo</x:v>
      </x:c>
      <x:c r="D1834" t="str">
        <x:v>AS_Usuario</x:v>
      </x:c>
      <x:c r="E1834" t="str">
        <x:v>presentación/navegación</x:v>
      </x:c>
      <x:c r="F1834" t="n">
        <x:v>1</x:v>
      </x:c>
      <x:c r="G1834" t="str">
        <x:v>RF11</x:v>
      </x:c>
      <x:c r="H1834" t="str">
        <x:v>RF011-EF1!F40</x:v>
      </x:c>
    </x:row>
    <x:row r="1835">
      <x:c r="A1835" t="str">
        <x:v>visualizarDetalleCompleto</x:v>
      </x:c>
      <x:c r="B1835" t="str"/>
      <x:c r="C1835" t="str">
        <x:v>I_DetalleVehiculo</x:v>
      </x:c>
      <x:c r="D1835" t="str">
        <x:v>AS_Usuario</x:v>
      </x:c>
      <x:c r="E1835" t="str">
        <x:v>presentación/navegación</x:v>
      </x:c>
      <x:c r="F1835" t="n">
        <x:v>1</x:v>
      </x:c>
      <x:c r="G1835" t="str">
        <x:v>RF10</x:v>
      </x:c>
      <x:c r="H1835" t="str">
        <x:v>RF010-EF1!F33</x:v>
      </x:c>
    </x:row>
    <x:row r="1836">
      <x:c r="A1836" t="str">
        <x:v>visualizarDetalleConImagenActualizada</x:v>
      </x:c>
      <x:c r="B1836" t="str"/>
      <x:c r="C1836" t="str">
        <x:v>I_DetalleVehiculo</x:v>
      </x:c>
      <x:c r="D1836" t="str">
        <x:v>AS_Usuario</x:v>
      </x:c>
      <x:c r="E1836" t="str">
        <x:v>presentación/navegación</x:v>
      </x:c>
      <x:c r="F1836" t="n">
        <x:v>1</x:v>
      </x:c>
      <x:c r="G1836" t="str">
        <x:v>RF43</x:v>
      </x:c>
      <x:c r="H1836" t="str">
        <x:v>RF043-EF1!F35</x:v>
      </x:c>
    </x:row>
    <x:row r="1837">
      <x:c r="A1837" t="str">
        <x:v>visualizarDetalleConImagenPredeterminada</x:v>
      </x:c>
      <x:c r="B1837" t="str"/>
      <x:c r="C1837" t="str">
        <x:v>I_DetalleVehiculo</x:v>
      </x:c>
      <x:c r="D1837" t="str">
        <x:v>AS_Usuario</x:v>
      </x:c>
      <x:c r="E1837" t="str">
        <x:v>presentación/navegación</x:v>
      </x:c>
      <x:c r="F1837" t="n">
        <x:v>1</x:v>
      </x:c>
      <x:c r="G1837" t="str">
        <x:v>RF45</x:v>
      </x:c>
      <x:c r="H1837" t="str">
        <x:v>RF045-EF1!F31</x:v>
      </x:c>
    </x:row>
    <x:row r="1838">
      <x:c r="A1838" t="str">
        <x:v>visualizarDetalleConImagenRegistrada</x:v>
      </x:c>
      <x:c r="B1838" t="str"/>
      <x:c r="C1838" t="str">
        <x:v>I_DetalleVehiculo</x:v>
      </x:c>
      <x:c r="D1838" t="str">
        <x:v>AS_Usuario</x:v>
      </x:c>
      <x:c r="E1838" t="str">
        <x:v>presentación/navegación</x:v>
      </x:c>
      <x:c r="F1838" t="n">
        <x:v>1</x:v>
      </x:c>
      <x:c r="G1838" t="str">
        <x:v>RF42</x:v>
      </x:c>
      <x:c r="H1838" t="str">
        <x:v>RF042-EF1!F36</x:v>
      </x:c>
    </x:row>
    <x:row r="1839">
      <x:c r="A1839" t="str">
        <x:v>visualizarDetalleConTIVERegistrada</x:v>
      </x:c>
      <x:c r="B1839" t="str"/>
      <x:c r="C1839" t="str">
        <x:v>I_DetalleVehiculo</x:v>
      </x:c>
      <x:c r="D1839" t="str">
        <x:v>AS_Usuario</x:v>
      </x:c>
      <x:c r="E1839" t="str">
        <x:v>presentación/navegación</x:v>
      </x:c>
      <x:c r="F1839" t="n">
        <x:v>1</x:v>
      </x:c>
      <x:c r="G1839" t="str">
        <x:v>RF54</x:v>
      </x:c>
      <x:c r="H1839" t="str">
        <x:v>RF054-EF1!F53</x:v>
      </x:c>
    </x:row>
    <x:row r="1840">
      <x:c r="A1840" t="str">
        <x:v>visualizarDetalleVehiculo</x:v>
      </x:c>
      <x:c r="B1840" t="str"/>
      <x:c r="C1840" t="str">
        <x:v>I_DetalleVehiculo</x:v>
      </x:c>
      <x:c r="D1840" t="str">
        <x:v>AS_Usuario</x:v>
      </x:c>
      <x:c r="E1840" t="str">
        <x:v>presentación/navegación</x:v>
      </x:c>
      <x:c r="F1840" t="n">
        <x:v>3</x:v>
      </x:c>
      <x:c r="G1840" t="str">
        <x:v>RF31, RF32, RF33</x:v>
      </x:c>
      <x:c r="H1840" t="str">
        <x:v>RF031-EF1!F14</x:v>
      </x:c>
    </x:row>
    <x:row r="1841">
      <x:c r="A1841" t="str">
        <x:v>solicitarEdicionVehiculo</x:v>
      </x:c>
      <x:c r="B1841" t="str">
        <x:v>idUsuario,idVehiculo</x:v>
      </x:c>
      <x:c r="C1841" t="str">
        <x:v>I_DetalleVehiculo</x:v>
      </x:c>
      <x:c r="D1841" t="str">
        <x:v>C_ControlEdicionVehiculo</x:v>
      </x:c>
      <x:c r="E1841" t="str">
        <x:v>presentación/navegación</x:v>
      </x:c>
      <x:c r="F1841" t="n">
        <x:v>1</x:v>
      </x:c>
      <x:c r="G1841" t="str">
        <x:v>RF11</x:v>
      </x:c>
      <x:c r="H1841" t="str">
        <x:v>RF011-EF1!F6</x:v>
      </x:c>
    </x:row>
    <x:row r="1842">
      <x:c r="A1842" t="str">
        <x:v>solicitarCambioEstado</x:v>
      </x:c>
      <x:c r="B1842" t="str">
        <x:v>idUsuario,idVehiculo</x:v>
      </x:c>
      <x:c r="C1842" t="str">
        <x:v>I_DetalleVehiculo</x:v>
      </x:c>
      <x:c r="D1842" t="str">
        <x:v>C_ControlEstadoVehiculo</x:v>
      </x:c>
      <x:c r="E1842" t="str">
        <x:v>presentación/navegación</x:v>
      </x:c>
      <x:c r="F1842" t="n">
        <x:v>1</x:v>
      </x:c>
      <x:c r="G1842" t="str">
        <x:v>RF12</x:v>
      </x:c>
      <x:c r="H1842" t="str">
        <x:v>RF012-EF1!F7</x:v>
      </x:c>
    </x:row>
    <x:row r="1843">
      <x:c r="A1843" t="str">
        <x:v>solicitarActualizacionImagen</x:v>
      </x:c>
      <x:c r="B1843" t="str">
        <x:v>idUsuario,idVehiculo</x:v>
      </x:c>
      <x:c r="C1843" t="str">
        <x:v>I_DetalleVehiculo</x:v>
      </x:c>
      <x:c r="D1843" t="str">
        <x:v>C_ControlImagenVehiculo</x:v>
      </x:c>
      <x:c r="E1843" t="str">
        <x:v>presentación/navegación</x:v>
      </x:c>
      <x:c r="F1843" t="n">
        <x:v>1</x:v>
      </x:c>
      <x:c r="G1843" t="str">
        <x:v>RF43</x:v>
      </x:c>
      <x:c r="H1843" t="str">
        <x:v>RF043-EF1!F6</x:v>
      </x:c>
    </x:row>
    <x:row r="1844">
      <x:c r="A1844" t="str">
        <x:v>solicitarGestionImagen</x:v>
      </x:c>
      <x:c r="B1844" t="str">
        <x:v>idUsuario,idVehiculo</x:v>
      </x:c>
      <x:c r="C1844" t="str">
        <x:v>I_DetalleVehiculo</x:v>
      </x:c>
      <x:c r="D1844" t="str">
        <x:v>C_ControlImagenVehiculo</x:v>
      </x:c>
      <x:c r="E1844" t="str">
        <x:v>presentación/navegación</x:v>
      </x:c>
      <x:c r="F1844" t="n">
        <x:v>1</x:v>
      </x:c>
      <x:c r="G1844" t="str">
        <x:v>RF45</x:v>
      </x:c>
      <x:c r="H1844" t="str">
        <x:v>RF045-EF1!F6</x:v>
      </x:c>
    </x:row>
    <x:row r="1845">
      <x:c r="A1845" t="str">
        <x:v>solicitarRegistroImagen</x:v>
      </x:c>
      <x:c r="B1845" t="str">
        <x:v>idUsuario,idVehiculo</x:v>
      </x:c>
      <x:c r="C1845" t="str">
        <x:v>I_DetalleVehiculo</x:v>
      </x:c>
      <x:c r="D1845" t="str">
        <x:v>C_ControlImagenVehiculo</x:v>
      </x:c>
      <x:c r="E1845" t="str">
        <x:v>presentación/navegación</x:v>
      </x:c>
      <x:c r="F1845" t="n">
        <x:v>1</x:v>
      </x:c>
      <x:c r="G1845" t="str">
        <x:v>RF42</x:v>
      </x:c>
      <x:c r="H1845" t="str">
        <x:v>RF042-EF1!F6</x:v>
      </x:c>
    </x:row>
    <x:row r="1846">
      <x:c r="A1846" t="str">
        <x:v>solicitarActualizacionKilometraje</x:v>
      </x:c>
      <x:c r="B1846" t="str">
        <x:v>idVehiculo</x:v>
      </x:c>
      <x:c r="C1846" t="str">
        <x:v>I_DetalleVehiculo</x:v>
      </x:c>
      <x:c r="D1846" t="str">
        <x:v>C_ControlKilometraje</x:v>
      </x:c>
      <x:c r="E1846" t="str">
        <x:v>presentación/navegación</x:v>
      </x:c>
      <x:c r="F1846" t="n">
        <x:v>1</x:v>
      </x:c>
      <x:c r="G1846" t="str">
        <x:v>RF14</x:v>
      </x:c>
      <x:c r="H1846" t="str">
        <x:v>RF014-EF1!F6</x:v>
      </x:c>
    </x:row>
    <x:row r="1847">
      <x:c r="A1847" t="str">
        <x:v>solicitarDetalleSOAT</x:v>
      </x:c>
      <x:c r="B1847" t="str">
        <x:v>idUsuario,idVehiculo</x:v>
      </x:c>
      <x:c r="C1847" t="str">
        <x:v>I_DetalleVehiculo</x:v>
      </x:c>
      <x:c r="D1847" t="str">
        <x:v>C_ControlSOAT</x:v>
      </x:c>
      <x:c r="E1847" t="str">
        <x:v>presentación/navegación</x:v>
      </x:c>
      <x:c r="F1847" t="n">
        <x:v>2</x:v>
      </x:c>
      <x:c r="G1847" t="str">
        <x:v>RF32, RF33</x:v>
      </x:c>
      <x:c r="H1847" t="str">
        <x:v>RF032-EF1!F16</x:v>
      </x:c>
    </x:row>
    <x:row r="1848">
      <x:c r="A1848" t="str">
        <x:v>solicitarRegistroSOAT</x:v>
      </x:c>
      <x:c r="B1848" t="str">
        <x:v>idUsuario,idVehiculo</x:v>
      </x:c>
      <x:c r="C1848" t="str">
        <x:v>I_DetalleVehiculo</x:v>
      </x:c>
      <x:c r="D1848" t="str">
        <x:v>C_ControlSOAT</x:v>
      </x:c>
      <x:c r="E1848" t="str">
        <x:v>presentación/navegación</x:v>
      </x:c>
      <x:c r="F1848" t="n">
        <x:v>1</x:v>
      </x:c>
      <x:c r="G1848" t="str">
        <x:v>RF31</x:v>
      </x:c>
      <x:c r="H1848" t="str">
        <x:v>RF031-EF1!F16</x:v>
      </x:c>
    </x:row>
    <x:row r="1849">
      <x:c r="A1849" t="str">
        <x:v>solicitarConsultaTIVE</x:v>
      </x:c>
      <x:c r="B1849" t="str">
        <x:v>idUsuario,idVehiculo</x:v>
      </x:c>
      <x:c r="C1849" t="str">
        <x:v>I_DetalleVehiculo</x:v>
      </x:c>
      <x:c r="D1849" t="str">
        <x:v>C_ControlTIVE</x:v>
      </x:c>
      <x:c r="E1849" t="str">
        <x:v>presentación/navegación</x:v>
      </x:c>
      <x:c r="F1849" t="n">
        <x:v>1</x:v>
      </x:c>
      <x:c r="G1849" t="str">
        <x:v>RF55</x:v>
      </x:c>
      <x:c r="H1849" t="str">
        <x:v>RF055-EF1!F6</x:v>
      </x:c>
    </x:row>
    <x:row r="1850">
      <x:c r="A1850" t="str">
        <x:v>solicitarEdicionTIVE</x:v>
      </x:c>
      <x:c r="B1850" t="str">
        <x:v>idUsuario,idVehiculo</x:v>
      </x:c>
      <x:c r="C1850" t="str">
        <x:v>I_DetalleVehiculo</x:v>
      </x:c>
      <x:c r="D1850" t="str">
        <x:v>C_ControlTIVE</x:v>
      </x:c>
      <x:c r="E1850" t="str">
        <x:v>presentación/navegación</x:v>
      </x:c>
      <x:c r="F1850" t="n">
        <x:v>1</x:v>
      </x:c>
      <x:c r="G1850" t="str">
        <x:v>RF56</x:v>
      </x:c>
      <x:c r="H1850" t="str">
        <x:v>RF056-EF1!F6</x:v>
      </x:c>
    </x:row>
    <x:row r="1851">
      <x:c r="A1851" t="str">
        <x:v>solicitarRegistroTIVE</x:v>
      </x:c>
      <x:c r="B1851" t="str">
        <x:v>idUsuario,idVehiculo</x:v>
      </x:c>
      <x:c r="C1851" t="str">
        <x:v>I_DetalleVehiculo</x:v>
      </x:c>
      <x:c r="D1851" t="str">
        <x:v>C_ControlTIVE</x:v>
      </x:c>
      <x:c r="E1851" t="str">
        <x:v>presentación/navegación</x:v>
      </x:c>
      <x:c r="F1851" t="n">
        <x:v>1</x:v>
      </x:c>
      <x:c r="G1851" t="str">
        <x:v>RF54</x:v>
      </x:c>
      <x:c r="H1851" t="str">
        <x:v>RF054-EF1!F6</x:v>
      </x:c>
    </x:row>
    <x:row r="1852">
      <x:c r="A1852" t="str">
        <x:v>solicitarEstablecerPrincipal</x:v>
      </x:c>
      <x:c r="B1852" t="str">
        <x:v>idUsuario,idVehiculo</x:v>
      </x:c>
      <x:c r="C1852" t="str">
        <x:v>I_DetalleVehiculo</x:v>
      </x:c>
      <x:c r="D1852" t="str">
        <x:v>C_ControlVehiculoPrincipal</x:v>
      </x:c>
      <x:c r="E1852" t="str">
        <x:v>presentación/navegación</x:v>
      </x:c>
      <x:c r="F1852" t="n">
        <x:v>1</x:v>
      </x:c>
      <x:c r="G1852" t="str">
        <x:v>RF13</x:v>
      </x:c>
      <x:c r="H1852" t="str">
        <x:v>RF013-EF1!F7</x:v>
      </x:c>
    </x:row>
    <x:row r="1853">
      <x:c r="A1853" t="str">
        <x:v>habilitarGuardarCambios</x:v>
      </x:c>
      <x:c r="B1853" t="str"/>
      <x:c r="C1853" t="str">
        <x:v>I_EdicionVehiculo</x:v>
      </x:c>
      <x:c r="D1853" t="str">
        <x:v>AS_Usuario</x:v>
      </x:c>
      <x:c r="E1853" t="str">
        <x:v>otra</x:v>
      </x:c>
      <x:c r="F1853" t="n">
        <x:v>1</x:v>
      </x:c>
      <x:c r="G1853" t="str">
        <x:v>RF11</x:v>
      </x:c>
      <x:c r="H1853" t="str">
        <x:v>RF011-EF1!F21</x:v>
      </x:c>
    </x:row>
    <x:row r="1854">
      <x:c r="A1854" t="str">
        <x:v>mostrarCamposEdicion</x:v>
      </x:c>
      <x:c r="B1854" t="str"/>
      <x:c r="C1854" t="str">
        <x:v>I_EdicionVehiculo</x:v>
      </x:c>
      <x:c r="D1854" t="str">
        <x:v>AS_Usuario</x:v>
      </x:c>
      <x:c r="E1854" t="str">
        <x:v>presentación/navegación</x:v>
      </x:c>
      <x:c r="F1854" t="n">
        <x:v>1</x:v>
      </x:c>
      <x:c r="G1854" t="str">
        <x:v>RF11</x:v>
      </x:c>
      <x:c r="H1854" t="str">
        <x:v>RF011-EF1!F18</x:v>
      </x:c>
    </x:row>
    <x:row r="1855">
      <x:c r="A1855" t="str">
        <x:v>enviarCambiosVehiculo</x:v>
      </x:c>
      <x:c r="B1855" t="str">
        <x:v>idVehiculo,datosModificados</x:v>
      </x:c>
      <x:c r="C1855" t="str">
        <x:v>I_EdicionVehiculo</x:v>
      </x:c>
      <x:c r="D1855" t="str">
        <x:v>C_ControlEdicionVehiculo</x:v>
      </x:c>
      <x:c r="E1855" t="str">
        <x:v>otra</x:v>
      </x:c>
      <x:c r="F1855" t="n">
        <x:v>1</x:v>
      </x:c>
      <x:c r="G1855" t="str">
        <x:v>RF11</x:v>
      </x:c>
      <x:c r="H1855" t="str">
        <x:v>RF011-EF1!F23</x:v>
      </x:c>
    </x:row>
    <x:row r="1856">
      <x:c r="A1856" t="str">
        <x:v>visualizarFormularioEdicion</x:v>
      </x:c>
      <x:c r="B1856" t="str"/>
      <x:c r="C1856" t="str">
        <x:v>I_EditarMantenimiento</x:v>
      </x:c>
      <x:c r="D1856" t="str">
        <x:v>AS_Usuario</x:v>
      </x:c>
      <x:c r="E1856" t="str">
        <x:v>presentación/navegación</x:v>
      </x:c>
      <x:c r="F1856" t="n">
        <x:v>1</x:v>
      </x:c>
      <x:c r="G1856" t="str">
        <x:v>RF20</x:v>
      </x:c>
      <x:c r="H1856" t="str">
        <x:v>RF20!F24</x:v>
      </x:c>
    </x:row>
    <x:row r="1857">
      <x:c r="A1857" t="str">
        <x:v>enviarCambiosPermitidos</x:v>
      </x:c>
      <x:c r="B1857" t="str">
        <x:v>id_mantenimiento,id_taller_nuevo,costo,observaciones</x:v>
      </x:c>
      <x:c r="C1857" t="str">
        <x:v>I_EditarMantenimiento</x:v>
      </x:c>
      <x:c r="D1857" t="str">
        <x:v>C_ControlMantenimiento</x:v>
      </x:c>
      <x:c r="E1857" t="str">
        <x:v>otra</x:v>
      </x:c>
      <x:c r="F1857" t="n">
        <x:v>1</x:v>
      </x:c>
      <x:c r="G1857" t="str">
        <x:v>RF20</x:v>
      </x:c>
      <x:c r="H1857" t="str">
        <x:v>RF20!F27</x:v>
      </x:c>
    </x:row>
    <x:row r="1858">
      <x:c r="A1858" t="str">
        <x:v>mostrarCamposEditables</x:v>
      </x:c>
      <x:c r="B1858" t="str"/>
      <x:c r="C1858" t="str">
        <x:v>I_EditarPerfil</x:v>
      </x:c>
      <x:c r="D1858" t="str">
        <x:v>AS_Usuario</x:v>
      </x:c>
      <x:c r="E1858" t="str">
        <x:v>presentación/navegación</x:v>
      </x:c>
      <x:c r="F1858" t="n">
        <x:v>1</x:v>
      </x:c>
      <x:c r="G1858" t="str">
        <x:v>RF04</x:v>
      </x:c>
      <x:c r="H1858" t="str">
        <x:v>RF004-E1!F24</x:v>
      </x:c>
    </x:row>
    <x:row r="1859">
      <x:c r="A1859" t="str">
        <x:v>enviarCambiosPerfil</x:v>
      </x:c>
      <x:c r="B1859" t="str">
        <x:v>nombre,fechaNacimiento</x:v>
      </x:c>
      <x:c r="C1859" t="str">
        <x:v>I_EditarPerfil</x:v>
      </x:c>
      <x:c r="D1859" t="str">
        <x:v>C_PerfilUsuario</x:v>
      </x:c>
      <x:c r="E1859" t="str">
        <x:v>otra</x:v>
      </x:c>
      <x:c r="F1859" t="n">
        <x:v>1</x:v>
      </x:c>
      <x:c r="G1859" t="str">
        <x:v>RF04</x:v>
      </x:c>
      <x:c r="H1859" t="str">
        <x:v>RF004-E1!F27</x:v>
      </x:c>
    </x:row>
    <x:row r="1860">
      <x:c r="A1860" t="str">
        <x:v>mostrarFormularioEditado</x:v>
      </x:c>
      <x:c r="B1860" t="str">
        <x:v>datosModificados,referenciaImagenActual</x:v>
      </x:c>
      <x:c r="C1860" t="str">
        <x:v>I_EditarTIVE</x:v>
      </x:c>
      <x:c r="D1860" t="str">
        <x:v>AS_Usuario</x:v>
      </x:c>
      <x:c r="E1860" t="str">
        <x:v>presentación/navegación</x:v>
      </x:c>
      <x:c r="F1860" t="n">
        <x:v>1</x:v>
      </x:c>
      <x:c r="G1860" t="str">
        <x:v>RF56</x:v>
      </x:c>
      <x:c r="H1860" t="str">
        <x:v>RF056-EF1!F22</x:v>
      </x:c>
    </x:row>
    <x:row r="1861">
      <x:c r="A1861" t="str">
        <x:v>visualizarFormularioEdicionTIVE</x:v>
      </x:c>
      <x:c r="B1861" t="str"/>
      <x:c r="C1861" t="str">
        <x:v>I_EditarTIVE</x:v>
      </x:c>
      <x:c r="D1861" t="str">
        <x:v>AS_Usuario</x:v>
      </x:c>
      <x:c r="E1861" t="str">
        <x:v>presentación/navegación</x:v>
      </x:c>
      <x:c r="F1861" t="n">
        <x:v>1</x:v>
      </x:c>
      <x:c r="G1861" t="str">
        <x:v>RF56</x:v>
      </x:c>
      <x:c r="H1861" t="str">
        <x:v>RF056-EF1!F19</x:v>
      </x:c>
    </x:row>
    <x:row r="1862">
      <x:c r="A1862" t="str">
        <x:v>enviarEdicionTIVE</x:v>
      </x:c>
      <x:c r="B1862" t="str">
        <x:v>idVehiculo,codigoVerificacionAnterior,datosModificados</x:v>
      </x:c>
      <x:c r="C1862" t="str">
        <x:v>I_EditarTIVE</x:v>
      </x:c>
      <x:c r="D1862" t="str">
        <x:v>C_ControlTIVE</x:v>
      </x:c>
      <x:c r="E1862" t="str">
        <x:v>otra</x:v>
      </x:c>
      <x:c r="F1862" t="n">
        <x:v>1</x:v>
      </x:c>
      <x:c r="G1862" t="str">
        <x:v>RF56</x:v>
      </x:c>
      <x:c r="H1862" t="str">
        <x:v>RF056-EF1!F25</x:v>
      </x:c>
    </x:row>
    <x:row r="1863">
      <x:c r="A1863" t="str">
        <x:v>habilitarBotonGuardarCambios</x:v>
      </x:c>
      <x:c r="B1863" t="str"/>
      <x:c r="C1863" t="str">
        <x:v>I_EditarTaller</x:v>
      </x:c>
      <x:c r="D1863" t="str">
        <x:v>AS_Usuario</x:v>
      </x:c>
      <x:c r="E1863" t="str">
        <x:v>otra</x:v>
      </x:c>
      <x:c r="F1863" t="n">
        <x:v>1</x:v>
      </x:c>
      <x:c r="G1863" t="str">
        <x:v>RF35</x:v>
      </x:c>
      <x:c r="H1863" t="str">
        <x:v>RF035-EF1!F27</x:v>
      </x:c>
    </x:row>
    <x:row r="1864">
      <x:c r="A1864" t="str">
        <x:v>visualizarFormularioEdicion</x:v>
      </x:c>
      <x:c r="B1864" t="str"/>
      <x:c r="C1864" t="str">
        <x:v>I_EditarTaller</x:v>
      </x:c>
      <x:c r="D1864" t="str">
        <x:v>AS_Usuario</x:v>
      </x:c>
      <x:c r="E1864" t="str">
        <x:v>presentación/navegación</x:v>
      </x:c>
      <x:c r="F1864" t="n">
        <x:v>1</x:v>
      </x:c>
      <x:c r="G1864" t="str">
        <x:v>RF35</x:v>
      </x:c>
      <x:c r="H1864" t="str">
        <x:v>RF035-EF1!F24</x:v>
      </x:c>
    </x:row>
    <x:row r="1865">
      <x:c r="A1865" t="str">
        <x:v>enviarDatosActualizadosTaller</x:v>
      </x:c>
      <x:c r="B1865" t="str">
        <x:v>idTaller,versionTaller,nombre,telefono,correo,direccion,notas</x:v>
      </x:c>
      <x:c r="C1865" t="str">
        <x:v>I_EditarTaller</x:v>
      </x:c>
      <x:c r="D1865" t="str">
        <x:v>C_ControlTaller</x:v>
      </x:c>
      <x:c r="E1865" t="str">
        <x:v>otra</x:v>
      </x:c>
      <x:c r="F1865" t="n">
        <x:v>1</x:v>
      </x:c>
      <x:c r="G1865" t="str">
        <x:v>RF35</x:v>
      </x:c>
      <x:c r="H1865" t="str">
        <x:v>RF035-EF1!F29</x:v>
      </x:c>
    </x:row>
    <x:row r="1866">
      <x:c r="A1866" t="str">
        <x:v>visualizarImagenActual</x:v>
      </x:c>
      <x:c r="B1866" t="str"/>
      <x:c r="C1866" t="str">
        <x:v>I_EliminarImagenVehiculo</x:v>
      </x:c>
      <x:c r="D1866" t="str">
        <x:v>AS_Usuario</x:v>
      </x:c>
      <x:c r="E1866" t="str">
        <x:v>presentación/navegación</x:v>
      </x:c>
      <x:c r="F1866" t="n">
        <x:v>1</x:v>
      </x:c>
      <x:c r="G1866" t="str">
        <x:v>RF45</x:v>
      </x:c>
      <x:c r="H1866" t="str">
        <x:v>RF045-EF1!F11</x:v>
      </x:c>
    </x:row>
    <x:row r="1867">
      <x:c r="A1867" t="str">
        <x:v>solicitarEliminacionImagen</x:v>
      </x:c>
      <x:c r="B1867" t="str">
        <x:v>idUsuario,idVehiculo</x:v>
      </x:c>
      <x:c r="C1867" t="str">
        <x:v>I_EliminarImagenVehiculo</x:v>
      </x:c>
      <x:c r="D1867" t="str">
        <x:v>C_ControlImagenVehiculo</x:v>
      </x:c>
      <x:c r="E1867" t="str">
        <x:v>presentación/navegación</x:v>
      </x:c>
      <x:c r="F1867" t="n">
        <x:v>1</x:v>
      </x:c>
      <x:c r="G1867" t="str">
        <x:v>RF45</x:v>
      </x:c>
      <x:c r="H1867" t="str">
        <x:v>RF045-EF1!F14</x:v>
      </x:c>
    </x:row>
    <x:row r="1868">
      <x:c r="A1868" t="str">
        <x:v>visualizarEstadoSuscripcion</x:v>
      </x:c>
      <x:c r="B1868" t="str"/>
      <x:c r="C1868" t="str">
        <x:v>I_EstadoSuscripcion</x:v>
      </x:c>
      <x:c r="D1868" t="str">
        <x:v>AS_Usuario</x:v>
      </x:c>
      <x:c r="E1868" t="str">
        <x:v>presentación/navegación</x:v>
      </x:c>
      <x:c r="F1868" t="n">
        <x:v>1</x:v>
      </x:c>
      <x:c r="G1868" t="str">
        <x:v>RF30</x:v>
      </x:c>
      <x:c r="H1868" t="str">
        <x:v>RF030-E1!F22</x:v>
      </x:c>
    </x:row>
    <x:row r="1869">
      <x:c r="A1869" t="str">
        <x:v>visualizarConfiguracionExportacion</x:v>
      </x:c>
      <x:c r="B1869" t="str"/>
      <x:c r="C1869" t="str">
        <x:v>I_ExportarHistorial</x:v>
      </x:c>
      <x:c r="D1869" t="str">
        <x:v>AS_Usuario</x:v>
      </x:c>
      <x:c r="E1869" t="str">
        <x:v>presentación/navegación</x:v>
      </x:c>
      <x:c r="F1869" t="n">
        <x:v>1</x:v>
      </x:c>
      <x:c r="G1869" t="str">
        <x:v>RF27</x:v>
      </x:c>
      <x:c r="H1869" t="str">
        <x:v>RF27!F21</x:v>
      </x:c>
    </x:row>
    <x:row r="1870">
      <x:c r="A1870" t="str">
        <x:v>visualizarVistaPreviaPDF</x:v>
      </x:c>
      <x:c r="B1870" t="str">
        <x:v>nombre_archivo</x:v>
      </x:c>
      <x:c r="C1870" t="str">
        <x:v>I_ExportarHistorial</x:v>
      </x:c>
      <x:c r="D1870" t="str">
        <x:v>AS_Usuario</x:v>
      </x:c>
      <x:c r="E1870" t="str">
        <x:v>presentación/navegación</x:v>
      </x:c>
      <x:c r="F1870" t="n">
        <x:v>1</x:v>
      </x:c>
      <x:c r="G1870" t="str">
        <x:v>RF27</x:v>
      </x:c>
      <x:c r="H1870" t="str">
        <x:v>RF27!F60</x:v>
      </x:c>
    </x:row>
    <x:row r="1871">
      <x:c r="A1871" t="str">
        <x:v>solicitarCompartirWhatsApp</x:v>
      </x:c>
      <x:c r="B1871" t="str">
        <x:v>archivo_pdf,nombre_archivo</x:v>
      </x:c>
      <x:c r="C1871" t="str">
        <x:v>I_ExportarHistorial</x:v>
      </x:c>
      <x:c r="D1871" t="str">
        <x:v>C_ReporteHistorial</x:v>
      </x:c>
      <x:c r="E1871" t="str">
        <x:v>presentación/navegación</x:v>
      </x:c>
      <x:c r="F1871" t="n">
        <x:v>1</x:v>
      </x:c>
      <x:c r="G1871" t="str">
        <x:v>RF27</x:v>
      </x:c>
      <x:c r="H1871" t="str">
        <x:v>RF27!F63</x:v>
      </x:c>
    </x:row>
    <x:row r="1872">
      <x:c r="A1872" t="str">
        <x:v>solicitarGeneracionPDF</x:v>
      </x:c>
      <x:c r="B1872" t="str">
        <x:v>id_usuario,id_vehiculo,fecha_desde,fecha_hasta,criterio_tipo_mantenimiento,incluir_anulados</x:v>
      </x:c>
      <x:c r="C1872" t="str">
        <x:v>I_ExportarHistorial</x:v>
      </x:c>
      <x:c r="D1872" t="str">
        <x:v>C_ReporteHistorial</x:v>
      </x:c>
      <x:c r="E1872" t="str">
        <x:v>presentación/navegación</x:v>
      </x:c>
      <x:c r="F1872" t="n">
        <x:v>1</x:v>
      </x:c>
      <x:c r="G1872" t="str">
        <x:v>RF27</x:v>
      </x:c>
      <x:c r="H1872" t="str">
        <x:v>RF27!F23</x:v>
      </x:c>
    </x:row>
    <x:row r="1873">
      <x:c r="A1873" t="str">
        <x:v>visualizarFiltrosKilometraje</x:v>
      </x:c>
      <x:c r="B1873" t="str"/>
      <x:c r="C1873" t="str">
        <x:v>I_FiltrosHistorial</x:v>
      </x:c>
      <x:c r="D1873" t="str">
        <x:v>AS_Usuario</x:v>
      </x:c>
      <x:c r="E1873" t="str">
        <x:v>presentación/navegación</x:v>
      </x:c>
      <x:c r="F1873" t="n">
        <x:v>1</x:v>
      </x:c>
      <x:c r="G1873" t="str">
        <x:v>RF15</x:v>
      </x:c>
      <x:c r="H1873" t="str">
        <x:v>RF015-EF1!F33</x:v>
      </x:c>
    </x:row>
    <x:row r="1874">
      <x:c r="A1874" t="str">
        <x:v>visualizarOpcionesFiltroMantenimiento</x:v>
      </x:c>
      <x:c r="B1874" t="str"/>
      <x:c r="C1874" t="str">
        <x:v>I_FiltrosHistorial</x:v>
      </x:c>
      <x:c r="D1874" t="str">
        <x:v>AS_Usuario</x:v>
      </x:c>
      <x:c r="E1874" t="str">
        <x:v>presentación/navegación</x:v>
      </x:c>
      <x:c r="F1874" t="n">
        <x:v>1</x:v>
      </x:c>
      <x:c r="G1874" t="str">
        <x:v>RF26</x:v>
      </x:c>
      <x:c r="H1874" t="str">
        <x:v>RF26!F18</x:v>
      </x:c>
    </x:row>
    <x:row r="1875">
      <x:c r="A1875" t="str">
        <x:v>visualizarOpcionesOrdenKilometraje</x:v>
      </x:c>
      <x:c r="B1875" t="str"/>
      <x:c r="C1875" t="str">
        <x:v>I_FiltrosHistorial</x:v>
      </x:c>
      <x:c r="D1875" t="str">
        <x:v>AS_Usuario</x:v>
      </x:c>
      <x:c r="E1875" t="str">
        <x:v>presentación/navegación</x:v>
      </x:c>
      <x:c r="F1875" t="n">
        <x:v>1</x:v>
      </x:c>
      <x:c r="G1875" t="str">
        <x:v>RF26</x:v>
      </x:c>
      <x:c r="H1875" t="str">
        <x:v>RF26!F34</x:v>
      </x:c>
    </x:row>
    <x:row r="1876">
      <x:c r="A1876" t="str">
        <x:v>filtrarHistorialKilometraje</x:v>
      </x:c>
      <x:c r="B1876" t="str">
        <x:v>idUsuario,idVehiculo,criterioOrden</x:v>
      </x:c>
      <x:c r="C1876" t="str">
        <x:v>I_FiltrosHistorial</x:v>
      </x:c>
      <x:c r="D1876" t="str">
        <x:v>C_ControlHistorial</x:v>
      </x:c>
      <x:c r="E1876" t="str">
        <x:v>otra</x:v>
      </x:c>
      <x:c r="F1876" t="n">
        <x:v>1</x:v>
      </x:c>
      <x:c r="G1876" t="str">
        <x:v>RF15</x:v>
      </x:c>
      <x:c r="H1876" t="str">
        <x:v>RF015-EF1!F36</x:v>
      </x:c>
    </x:row>
    <x:row r="1877">
      <x:c r="A1877" t="str">
        <x:v>filtrarHistorialMantenimiento</x:v>
      </x:c>
      <x:c r="B1877" t="str">
        <x:v>id_usuario,id_vehiculo,id_tipo_mantenimiento,orden</x:v>
      </x:c>
      <x:c r="C1877" t="str">
        <x:v>I_FiltrosHistorial</x:v>
      </x:c>
      <x:c r="D1877" t="str">
        <x:v>C_ControlHistorial</x:v>
      </x:c>
      <x:c r="E1877" t="str">
        <x:v>otra</x:v>
      </x:c>
      <x:c r="F1877" t="n">
        <x:v>1</x:v>
      </x:c>
      <x:c r="G1877" t="str">
        <x:v>RF26</x:v>
      </x:c>
      <x:c r="H1877" t="str">
        <x:v>RF26!F20</x:v>
      </x:c>
    </x:row>
    <x:row r="1878">
      <x:c r="A1878" t="str">
        <x:v>solicitarOpcionesFiltro</x:v>
      </x:c>
      <x:c r="B1878" t="str">
        <x:v>id_usuario,id_vehiculo,seccion_actual</x:v>
      </x:c>
      <x:c r="C1878" t="str">
        <x:v>I_FiltrosHistorial</x:v>
      </x:c>
      <x:c r="D1878" t="str">
        <x:v>C_ControlHistorial</x:v>
      </x:c>
      <x:c r="E1878" t="str">
        <x:v>presentación/navegación</x:v>
      </x:c>
      <x:c r="F1878" t="n">
        <x:v>1</x:v>
      </x:c>
      <x:c r="G1878" t="str">
        <x:v>RF26</x:v>
      </x:c>
      <x:c r="H1878" t="str">
        <x:v>RF26!F6</x:v>
      </x:c>
    </x:row>
    <x:row r="1879">
      <x:c r="A1879" t="str">
        <x:v>solicitarOrdenacionHistorialKilometraje</x:v>
      </x:c>
      <x:c r="B1879" t="str">
        <x:v>id_usuario,id_vehiculo,orden</x:v>
      </x:c>
      <x:c r="C1879" t="str">
        <x:v>I_FiltrosHistorial</x:v>
      </x:c>
      <x:c r="D1879" t="str">
        <x:v>C_ControlHistorial</x:v>
      </x:c>
      <x:c r="E1879" t="str">
        <x:v>presentación/navegación</x:v>
      </x:c>
      <x:c r="F1879" t="n">
        <x:v>1</x:v>
      </x:c>
      <x:c r="G1879" t="str">
        <x:v>RF26</x:v>
      </x:c>
      <x:c r="H1879" t="str">
        <x:v>RF26!F36</x:v>
      </x:c>
    </x:row>
    <x:row r="1880">
      <x:c r="A1880" t="str">
        <x:v>registrarElemento</x:v>
      </x:c>
      <x:c r="B1880" t="str">
        <x:v>catalogoId,nombre,ACTIVO</x:v>
      </x:c>
      <x:c r="C1880" t="str">
        <x:v>I_FormularioCatalogo</x:v>
      </x:c>
      <x:c r="D1880" t="str">
        <x:v>C_ControlCatalogo</x:v>
      </x:c>
      <x:c r="E1880" t="str">
        <x:v>escritura</x:v>
      </x:c>
      <x:c r="F1880" t="n">
        <x:v>1</x:v>
      </x:c>
      <x:c r="G1880" t="str">
        <x:v>RF62</x:v>
      </x:c>
      <x:c r="H1880" t="str">
        <x:v>RF062_EXITOSO!F25</x:v>
      </x:c>
    </x:row>
    <x:row r="1881">
      <x:c r="A1881" t="str">
        <x:v>visualizarHistorialEstados</x:v>
      </x:c>
      <x:c r="B1881" t="str"/>
      <x:c r="C1881" t="str">
        <x:v>I_HistorialEstadoCuenta</x:v>
      </x:c>
      <x:c r="D1881" t="str">
        <x:v>AS_Administrador</x:v>
      </x:c>
      <x:c r="E1881" t="str">
        <x:v>presentación/navegación</x:v>
      </x:c>
      <x:c r="F1881" t="n">
        <x:v>1</x:v>
      </x:c>
      <x:c r="G1881" t="str">
        <x:v>RF58</x:v>
      </x:c>
      <x:c r="H1881" t="str">
        <x:v>RF058_EXITOSO!F34</x:v>
      </x:c>
    </x:row>
    <x:row r="1882">
      <x:c r="A1882" t="str">
        <x:v>visualizarHistorialFiltrado</x:v>
      </x:c>
      <x:c r="B1882" t="str"/>
      <x:c r="C1882" t="str">
        <x:v>I_HistorialKilometraje</x:v>
      </x:c>
      <x:c r="D1882" t="str">
        <x:v>AS_Usuario</x:v>
      </x:c>
      <x:c r="E1882" t="str">
        <x:v>presentación/navegación</x:v>
      </x:c>
      <x:c r="F1882" t="n">
        <x:v>1</x:v>
      </x:c>
      <x:c r="G1882" t="str">
        <x:v>RF15</x:v>
      </x:c>
      <x:c r="H1882" t="str">
        <x:v>RF015-EF1!F54</x:v>
      </x:c>
    </x:row>
    <x:row r="1883">
      <x:c r="A1883" t="str">
        <x:v>visualizarHistorialKilometraje</x:v>
      </x:c>
      <x:c r="B1883" t="str"/>
      <x:c r="C1883" t="str">
        <x:v>I_HistorialKilometraje</x:v>
      </x:c>
      <x:c r="D1883" t="str">
        <x:v>AS_Usuario</x:v>
      </x:c>
      <x:c r="E1883" t="str">
        <x:v>presentación/navegación</x:v>
      </x:c>
      <x:c r="F1883" t="n">
        <x:v>1</x:v>
      </x:c>
      <x:c r="G1883" t="str">
        <x:v>RF15</x:v>
      </x:c>
      <x:c r="H1883" t="str">
        <x:v>RF015-EF1!F28</x:v>
      </x:c>
    </x:row>
    <x:row r="1884">
      <x:c r="A1884" t="str">
        <x:v>solicitarFiltrosKilometraje</x:v>
      </x:c>
      <x:c r="B1884" t="str">
        <x:v>listaVehiculos,idVehiculoActual,criterioOrdenActual</x:v>
      </x:c>
      <x:c r="C1884" t="str">
        <x:v>I_HistorialKilometraje</x:v>
      </x:c>
      <x:c r="D1884" t="str">
        <x:v>C_ControlHistorial</x:v>
      </x:c>
      <x:c r="E1884" t="str">
        <x:v>presentación/navegación</x:v>
      </x:c>
      <x:c r="F1884" t="n">
        <x:v>1</x:v>
      </x:c>
      <x:c r="G1884" t="str">
        <x:v>RF15</x:v>
      </x:c>
      <x:c r="H1884" t="str">
        <x:v>RF015-EF1!F31</x:v>
      </x:c>
    </x:row>
    <x:row r="1885">
      <x:c r="A1885" t="str">
        <x:v>solicitarHistorialKilometraje</x:v>
      </x:c>
      <x:c r="B1885" t="str">
        <x:v>idUsuario,idVehiculoPrincipal,FECHA_DESC</x:v>
      </x:c>
      <x:c r="C1885" t="str">
        <x:v>I_HistorialKilometraje</x:v>
      </x:c>
      <x:c r="D1885" t="str">
        <x:v>C_ControlHistorial</x:v>
      </x:c>
      <x:c r="E1885" t="str">
        <x:v>presentación/navegación</x:v>
      </x:c>
      <x:c r="F1885" t="n">
        <x:v>1</x:v>
      </x:c>
      <x:c r="G1885" t="str">
        <x:v>RF15</x:v>
      </x:c>
      <x:c r="H1885" t="str">
        <x:v>RF015-EF1!F17</x:v>
      </x:c>
    </x:row>
    <x:row r="1886">
      <x:c r="A1886" t="str">
        <x:v>solicitarVehiculosUsuarioYPrincipal</x:v>
      </x:c>
      <x:c r="B1886" t="str">
        <x:v>idUsuario</x:v>
      </x:c>
      <x:c r="C1886" t="str">
        <x:v>I_HistorialKilometraje</x:v>
      </x:c>
      <x:c r="D1886" t="str">
        <x:v>C_ControlVehiculo</x:v>
      </x:c>
      <x:c r="E1886" t="str">
        <x:v>presentación/navegación</x:v>
      </x:c>
      <x:c r="F1886" t="n">
        <x:v>1</x:v>
      </x:c>
      <x:c r="G1886" t="str">
        <x:v>RF15</x:v>
      </x:c>
      <x:c r="H1886" t="str">
        <x:v>RF015-EF1!F12</x:v>
      </x:c>
    </x:row>
    <x:row r="1887">
      <x:c r="A1887" t="str">
        <x:v>visualizarHistorialConMantenimientoAnulado</x:v>
      </x:c>
      <x:c r="B1887" t="str"/>
      <x:c r="C1887" t="str">
        <x:v>I_HistorialMantenimiento</x:v>
      </x:c>
      <x:c r="D1887" t="str">
        <x:v>AS_Usuario</x:v>
      </x:c>
      <x:c r="E1887" t="str">
        <x:v>presentación/navegación</x:v>
      </x:c>
      <x:c r="F1887" t="n">
        <x:v>1</x:v>
      </x:c>
      <x:c r="G1887" t="str">
        <x:v>RF21</x:v>
      </x:c>
      <x:c r="H1887" t="str">
        <x:v>RF21!F51</x:v>
      </x:c>
    </x:row>
    <x:row r="1888">
      <x:c r="A1888" t="str">
        <x:v>visualizarHistorialMantenimiento</x:v>
      </x:c>
      <x:c r="B1888" t="str"/>
      <x:c r="C1888" t="str">
        <x:v>I_HistorialMantenimiento</x:v>
      </x:c>
      <x:c r="D1888" t="str">
        <x:v>AS_Usuario</x:v>
      </x:c>
      <x:c r="E1888" t="str">
        <x:v>presentación/navegación</x:v>
      </x:c>
      <x:c r="F1888" t="n">
        <x:v>1</x:v>
      </x:c>
      <x:c r="G1888" t="str">
        <x:v>RF18</x:v>
      </x:c>
      <x:c r="H1888" t="str">
        <x:v>RF18!F31</x:v>
      </x:c>
    </x:row>
    <x:row r="1889">
      <x:c r="A1889" t="str">
        <x:v>visualizarHistorialVehiculoSeleccionado</x:v>
      </x:c>
      <x:c r="B1889" t="str"/>
      <x:c r="C1889" t="str">
        <x:v>I_HistorialMantenimiento</x:v>
      </x:c>
      <x:c r="D1889" t="str">
        <x:v>AS_Usuario</x:v>
      </x:c>
      <x:c r="E1889" t="str">
        <x:v>presentación/navegación</x:v>
      </x:c>
      <x:c r="F1889" t="n">
        <x:v>1</x:v>
      </x:c>
      <x:c r="G1889" t="str">
        <x:v>RF18</x:v>
      </x:c>
      <x:c r="H1889" t="str">
        <x:v>RF18!F49</x:v>
      </x:c>
    </x:row>
    <x:row r="1890">
      <x:c r="A1890" t="str">
        <x:v>visualizarMantenimientosYRegistrar</x:v>
      </x:c>
      <x:c r="B1890" t="str">
        <x:v>lista_mantenimientos,estado_vehiculo</x:v>
      </x:c>
      <x:c r="C1890" t="str">
        <x:v>I_HistorialMantenimiento</x:v>
      </x:c>
      <x:c r="D1890" t="str">
        <x:v>AS_Usuario</x:v>
      </x:c>
      <x:c r="E1890" t="str">
        <x:v>presentación/navegación</x:v>
      </x:c>
      <x:c r="F1890" t="n">
        <x:v>1</x:v>
      </x:c>
      <x:c r="G1890" t="str">
        <x:v>RF17</x:v>
      </x:c>
      <x:c r="H1890" t="str">
        <x:v>RF17!F17</x:v>
      </x:c>
    </x:row>
    <x:row r="1891">
      <x:c r="A1891" t="str">
        <x:v>solicitarDetalleMantenimiento</x:v>
      </x:c>
      <x:c r="B1891" t="str">
        <x:v>id_usuario,id_vehiculo,id_mantenimiento</x:v>
      </x:c>
      <x:c r="C1891" t="str">
        <x:v>I_HistorialMantenimiento</x:v>
      </x:c>
      <x:c r="D1891" t="str">
        <x:v>C_ControlHistorial</x:v>
      </x:c>
      <x:c r="E1891" t="str">
        <x:v>presentación/navegación</x:v>
      </x:c>
      <x:c r="F1891" t="n">
        <x:v>1</x:v>
      </x:c>
      <x:c r="G1891" t="str">
        <x:v>RF19</x:v>
      </x:c>
      <x:c r="H1891" t="str">
        <x:v>RF19!F6</x:v>
      </x:c>
    </x:row>
    <x:row r="1892">
      <x:c r="A1892" t="str">
        <x:v>solicitarHistorialMantenimiento</x:v>
      </x:c>
      <x:c r="B1892" t="str">
        <x:v>id_usuario,id_vehiculo</x:v>
      </x:c>
      <x:c r="C1892" t="str">
        <x:v>I_HistorialMantenimiento</x:v>
      </x:c>
      <x:c r="D1892" t="str">
        <x:v>C_ControlHistorial</x:v>
      </x:c>
      <x:c r="E1892" t="str">
        <x:v>presentación/navegación</x:v>
      </x:c>
      <x:c r="F1892" t="n">
        <x:v>1</x:v>
      </x:c>
      <x:c r="G1892" t="str">
        <x:v>RF18</x:v>
      </x:c>
      <x:c r="H1892" t="str">
        <x:v>RF18!F20</x:v>
      </x:c>
    </x:row>
    <x:row r="1893">
      <x:c r="A1893" t="str">
        <x:v>solicitarRegistroMantenimiento</x:v>
      </x:c>
      <x:c r="B1893" t="str">
        <x:v>id_usuario,id_vehiculo</x:v>
      </x:c>
      <x:c r="C1893" t="str">
        <x:v>I_HistorialMantenimiento</x:v>
      </x:c>
      <x:c r="D1893" t="str">
        <x:v>C_ControlMantenimiento</x:v>
      </x:c>
      <x:c r="E1893" t="str">
        <x:v>presentación/navegación</x:v>
      </x:c>
      <x:c r="F1893" t="n">
        <x:v>1</x:v>
      </x:c>
      <x:c r="G1893" t="str">
        <x:v>RF17</x:v>
      </x:c>
      <x:c r="H1893" t="str">
        <x:v>RF17!F19</x:v>
      </x:c>
    </x:row>
    <x:row r="1894">
      <x:c r="A1894" t="str">
        <x:v>visualizarHistorial</x:v>
      </x:c>
      <x:c r="B1894" t="str"/>
      <x:c r="C1894" t="str">
        <x:v>I_HistorialSuscripcion</x:v>
      </x:c>
      <x:c r="D1894" t="str">
        <x:v>AS_Administrador</x:v>
      </x:c>
      <x:c r="E1894" t="str">
        <x:v>presentación/navegación</x:v>
      </x:c>
      <x:c r="F1894" t="n">
        <x:v>1</x:v>
      </x:c>
      <x:c r="G1894" t="str">
        <x:v>RF60</x:v>
      </x:c>
      <x:c r="H1894" t="str">
        <x:v>RF060_EXITOSO!F43</x:v>
      </x:c>
    </x:row>
    <x:row r="1895">
      <x:c r="A1895" t="str">
        <x:v>mostrarSelectorConPrincipalPreseleccionado</x:v>
      </x:c>
      <x:c r="B1895" t="str"/>
      <x:c r="C1895" t="str">
        <x:v>I_HistorialVehiculo</x:v>
      </x:c>
      <x:c r="D1895" t="str">
        <x:v>AS_Usuario</x:v>
      </x:c>
      <x:c r="E1895" t="str">
        <x:v>presentación/navegación</x:v>
      </x:c>
      <x:c r="F1895" t="n">
        <x:v>1</x:v>
      </x:c>
      <x:c r="G1895" t="str">
        <x:v>RF25</x:v>
      </x:c>
      <x:c r="H1895" t="str">
        <x:v>RF25!F13</x:v>
      </x:c>
    </x:row>
    <x:row r="1896">
      <x:c r="A1896" t="str">
        <x:v>visualizarKilometrajeOrdenado</x:v>
      </x:c>
      <x:c r="B1896" t="str"/>
      <x:c r="C1896" t="str">
        <x:v>I_HistorialVehiculo</x:v>
      </x:c>
      <x:c r="D1896" t="str">
        <x:v>AS_Usuario</x:v>
      </x:c>
      <x:c r="E1896" t="str">
        <x:v>presentación/navegación</x:v>
      </x:c>
      <x:c r="F1896" t="n">
        <x:v>1</x:v>
      </x:c>
      <x:c r="G1896" t="str">
        <x:v>RF26</x:v>
      </x:c>
      <x:c r="H1896" t="str">
        <x:v>RF26!F47</x:v>
      </x:c>
    </x:row>
    <x:row r="1897">
      <x:c r="A1897" t="str">
        <x:v>visualizarMantenimientosFiltrados</x:v>
      </x:c>
      <x:c r="B1897" t="str"/>
      <x:c r="C1897" t="str">
        <x:v>I_HistorialVehiculo</x:v>
      </x:c>
      <x:c r="D1897" t="str">
        <x:v>AS_Usuario</x:v>
      </x:c>
      <x:c r="E1897" t="str">
        <x:v>presentación/navegación</x:v>
      </x:c>
      <x:c r="F1897" t="n">
        <x:v>1</x:v>
      </x:c>
      <x:c r="G1897" t="str">
        <x:v>RF26</x:v>
      </x:c>
      <x:c r="H1897" t="str">
        <x:v>RF26!F31</x:v>
      </x:c>
    </x:row>
    <x:row r="1898">
      <x:c r="A1898" t="str">
        <x:v>visualizarSeccionKilometraje</x:v>
      </x:c>
      <x:c r="B1898" t="str"/>
      <x:c r="C1898" t="str">
        <x:v>I_HistorialVehiculo</x:v>
      </x:c>
      <x:c r="D1898" t="str">
        <x:v>AS_Usuario</x:v>
      </x:c>
      <x:c r="E1898" t="str">
        <x:v>presentación/navegación</x:v>
      </x:c>
      <x:c r="F1898" t="n">
        <x:v>1</x:v>
      </x:c>
      <x:c r="G1898" t="str">
        <x:v>RF25</x:v>
      </x:c>
      <x:c r="H1898" t="str">
        <x:v>RF25!F43</x:v>
      </x:c>
    </x:row>
    <x:row r="1899">
      <x:c r="A1899" t="str">
        <x:v>visualizarSeccionMantenimientos</x:v>
      </x:c>
      <x:c r="B1899" t="str"/>
      <x:c r="C1899" t="str">
        <x:v>I_HistorialVehiculo</x:v>
      </x:c>
      <x:c r="D1899" t="str">
        <x:v>AS_Usuario</x:v>
      </x:c>
      <x:c r="E1899" t="str">
        <x:v>presentación/navegación</x:v>
      </x:c>
      <x:c r="F1899" t="n">
        <x:v>1</x:v>
      </x:c>
      <x:c r="G1899" t="str">
        <x:v>RF25</x:v>
      </x:c>
      <x:c r="H1899" t="str">
        <x:v>RF25!F40</x:v>
      </x:c>
    </x:row>
    <x:row r="1900">
      <x:c r="A1900" t="str">
        <x:v>visualizarSeccionTalleres</x:v>
      </x:c>
      <x:c r="B1900" t="str"/>
      <x:c r="C1900" t="str">
        <x:v>I_HistorialVehiculo</x:v>
      </x:c>
      <x:c r="D1900" t="str">
        <x:v>AS_Usuario</x:v>
      </x:c>
      <x:c r="E1900" t="str">
        <x:v>presentación/navegación</x:v>
      </x:c>
      <x:c r="F1900" t="n">
        <x:v>1</x:v>
      </x:c>
      <x:c r="G1900" t="str">
        <x:v>RF25</x:v>
      </x:c>
      <x:c r="H1900" t="str">
        <x:v>RF25!F50</x:v>
      </x:c>
    </x:row>
    <x:row r="1901">
      <x:c r="A1901" t="str">
        <x:v>visualizarSeccionesHistorial</x:v>
      </x:c>
      <x:c r="B1901" t="str"/>
      <x:c r="C1901" t="str">
        <x:v>I_HistorialVehiculo</x:v>
      </x:c>
      <x:c r="D1901" t="str">
        <x:v>AS_Usuario</x:v>
      </x:c>
      <x:c r="E1901" t="str">
        <x:v>presentación/navegación</x:v>
      </x:c>
      <x:c r="F1901" t="n">
        <x:v>1</x:v>
      </x:c>
      <x:c r="G1901" t="str">
        <x:v>RF15</x:v>
      </x:c>
      <x:c r="H1901" t="str">
        <x:v>RF015-EF1!F8</x:v>
      </x:c>
    </x:row>
    <x:row r="1902">
      <x:c r="A1902" t="str">
        <x:v>visualizarSelectorVehiculo</x:v>
      </x:c>
      <x:c r="B1902" t="str">
        <x:v>lista_vehiculos,vehiculo_principal</x:v>
      </x:c>
      <x:c r="C1902" t="str">
        <x:v>I_HistorialVehiculo</x:v>
      </x:c>
      <x:c r="D1902" t="str">
        <x:v>AS_Usuario</x:v>
      </x:c>
      <x:c r="E1902" t="str">
        <x:v>presentación/navegación</x:v>
      </x:c>
      <x:c r="F1902" t="n">
        <x:v>1</x:v>
      </x:c>
      <x:c r="G1902" t="str">
        <x:v>RF17</x:v>
      </x:c>
      <x:c r="H1902" t="str">
        <x:v>RF17!F12</x:v>
      </x:c>
    </x:row>
    <x:row r="1903">
      <x:c r="A1903" t="str">
        <x:v>visualizarVehiculoSeleccionado</x:v>
      </x:c>
      <x:c r="B1903" t="str"/>
      <x:c r="C1903" t="str">
        <x:v>I_HistorialVehiculo</x:v>
      </x:c>
      <x:c r="D1903" t="str">
        <x:v>AS_Usuario</x:v>
      </x:c>
      <x:c r="E1903" t="str">
        <x:v>presentación/navegación</x:v>
      </x:c>
      <x:c r="F1903" t="n">
        <x:v>1</x:v>
      </x:c>
      <x:c r="G1903" t="str">
        <x:v>RF18</x:v>
      </x:c>
      <x:c r="H1903" t="str">
        <x:v>RF18!F12</x:v>
      </x:c>
    </x:row>
    <x:row r="1904">
      <x:c r="A1904" t="str">
        <x:v>visualizarVistaHistorialVehiculo</x:v>
      </x:c>
      <x:c r="B1904" t="str"/>
      <x:c r="C1904" t="str">
        <x:v>I_HistorialVehiculo</x:v>
      </x:c>
      <x:c r="D1904" t="str">
        <x:v>AS_Usuario</x:v>
      </x:c>
      <x:c r="E1904" t="str">
        <x:v>presentación/navegación</x:v>
      </x:c>
      <x:c r="F1904" t="n">
        <x:v>4</x:v>
      </x:c>
      <x:c r="G1904" t="str">
        <x:v>RF34, RF35, RF36, RF37</x:v>
      </x:c>
      <x:c r="H1904" t="str">
        <x:v>RF034-EF1!F8</x:v>
      </x:c>
    </x:row>
    <x:row r="1905">
      <x:c r="A1905" t="str">
        <x:v>solicitarHistorialVehiculoAutomatico</x:v>
      </x:c>
      <x:c r="B1905" t="str">
        <x:v>id_usuario,id_vehiculo_principal</x:v>
      </x:c>
      <x:c r="C1905" t="str">
        <x:v>I_HistorialVehiculo</x:v>
      </x:c>
      <x:c r="D1905" t="str">
        <x:v>C_ControlHistorial</x:v>
      </x:c>
      <x:c r="E1905" t="str">
        <x:v>presentación/navegación</x:v>
      </x:c>
      <x:c r="F1905" t="n">
        <x:v>1</x:v>
      </x:c>
      <x:c r="G1905" t="str">
        <x:v>RF25</x:v>
      </x:c>
      <x:c r="H1905" t="str">
        <x:v>RF25!F14</x:v>
      </x:c>
    </x:row>
    <x:row r="1906">
      <x:c r="A1906" t="str">
        <x:v>solicitarRecargaHistorial</x:v>
      </x:c>
      <x:c r="B1906" t="str">
        <x:v>id_usuario,id_vehiculo_nuevo</x:v>
      </x:c>
      <x:c r="C1906" t="str">
        <x:v>I_HistorialVehiculo</x:v>
      </x:c>
      <x:c r="D1906" t="str">
        <x:v>C_ControlHistorial</x:v>
      </x:c>
      <x:c r="E1906" t="str">
        <x:v>presentación/navegación</x:v>
      </x:c>
      <x:c r="F1906" t="n">
        <x:v>1</x:v>
      </x:c>
      <x:c r="G1906" t="str">
        <x:v>RF18</x:v>
      </x:c>
      <x:c r="H1906" t="str">
        <x:v>RF18!F38</x:v>
      </x:c>
    </x:row>
    <x:row r="1907">
      <x:c r="A1907" t="str">
        <x:v>solicitarSeccionKilometraje</x:v>
      </x:c>
      <x:c r="B1907" t="str"/>
      <x:c r="C1907" t="str">
        <x:v>I_HistorialVehiculo</x:v>
      </x:c>
      <x:c r="D1907" t="str">
        <x:v>C_ControlHistorial</x:v>
      </x:c>
      <x:c r="E1907" t="str">
        <x:v>presentación/navegación</x:v>
      </x:c>
      <x:c r="F1907" t="n">
        <x:v>1</x:v>
      </x:c>
      <x:c r="G1907" t="str">
        <x:v>RF15</x:v>
      </x:c>
      <x:c r="H1907" t="str">
        <x:v>RF015-EF1!F10</x:v>
      </x:c>
    </x:row>
    <x:row r="1908">
      <x:c r="A1908" t="str">
        <x:v>solicitarSeccionMantenimiento</x:v>
      </x:c>
      <x:c r="B1908" t="str">
        <x:v>id_usuario,id_vehiculo,estado_vehiculo</x:v>
      </x:c>
      <x:c r="C1908" t="str">
        <x:v>I_HistorialVehiculo</x:v>
      </x:c>
      <x:c r="D1908" t="str">
        <x:v>C_ControlHistorial</x:v>
      </x:c>
      <x:c r="E1908" t="str">
        <x:v>presentación/navegación</x:v>
      </x:c>
      <x:c r="F1908" t="n">
        <x:v>1</x:v>
      </x:c>
      <x:c r="G1908" t="str">
        <x:v>RF17</x:v>
      </x:c>
      <x:c r="H1908" t="str">
        <x:v>RF17!F13</x:v>
      </x:c>
    </x:row>
    <x:row r="1909">
      <x:c r="A1909" t="str">
        <x:v>solicitarSeccionMantenimiento</x:v>
      </x:c>
      <x:c r="B1909" t="str">
        <x:v>id_vehiculo</x:v>
      </x:c>
      <x:c r="C1909" t="str">
        <x:v>I_HistorialVehiculo</x:v>
      </x:c>
      <x:c r="D1909" t="str">
        <x:v>C_ControlHistorial</x:v>
      </x:c>
      <x:c r="E1909" t="str">
        <x:v>presentación/navegación</x:v>
      </x:c>
      <x:c r="F1909" t="n">
        <x:v>1</x:v>
      </x:c>
      <x:c r="G1909" t="str">
        <x:v>RF18</x:v>
      </x:c>
      <x:c r="H1909" t="str">
        <x:v>RF18!F17</x:v>
      </x:c>
    </x:row>
    <x:row r="1910">
      <x:c r="A1910" t="str">
        <x:v>solicitarListaTalleres</x:v>
      </x:c>
      <x:c r="B1910" t="str">
        <x:v>idUsuario</x:v>
      </x:c>
      <x:c r="C1910" t="str">
        <x:v>I_HistorialVehiculo</x:v>
      </x:c>
      <x:c r="D1910" t="str">
        <x:v>C_ControlTaller</x:v>
      </x:c>
      <x:c r="E1910" t="str">
        <x:v>presentación/navegación</x:v>
      </x:c>
      <x:c r="F1910" t="n">
        <x:v>4</x:v>
      </x:c>
      <x:c r="G1910" t="str">
        <x:v>RF34, RF35, RF36, RF37</x:v>
      </x:c>
      <x:c r="H1910" t="str">
        <x:v>RF034-EF1!F10</x:v>
      </x:c>
    </x:row>
    <x:row r="1911">
      <x:c r="A1911" t="str">
        <x:v>solicitarTalleresActivosUsuario</x:v>
      </x:c>
      <x:c r="B1911" t="str">
        <x:v>id_usuario</x:v>
      </x:c>
      <x:c r="C1911" t="str">
        <x:v>I_HistorialVehiculo</x:v>
      </x:c>
      <x:c r="D1911" t="str">
        <x:v>C_ControlTaller</x:v>
      </x:c>
      <x:c r="E1911" t="str">
        <x:v>presentación/navegación</x:v>
      </x:c>
      <x:c r="F1911" t="n">
        <x:v>1</x:v>
      </x:c>
      <x:c r="G1911" t="str">
        <x:v>RF25</x:v>
      </x:c>
      <x:c r="H1911" t="str">
        <x:v>RF25!F45</x:v>
      </x:c>
    </x:row>
    <x:row r="1912">
      <x:c r="A1912" t="str">
        <x:v>solicitarVehiculosUsuarioYPrincipal</x:v>
      </x:c>
      <x:c r="B1912" t="str">
        <x:v>id_usuario</x:v>
      </x:c>
      <x:c r="C1912" t="str">
        <x:v>I_HistorialVehiculo</x:v>
      </x:c>
      <x:c r="D1912" t="str">
        <x:v>C_ControlVehiculo</x:v>
      </x:c>
      <x:c r="E1912" t="str">
        <x:v>presentación/navegación</x:v>
      </x:c>
      <x:c r="F1912" t="n">
        <x:v>3</x:v>
      </x:c>
      <x:c r="G1912" t="str">
        <x:v>RF17, RF18, RF25</x:v>
      </x:c>
      <x:c r="H1912" t="str">
        <x:v>RF17!F8</x:v>
      </x:c>
    </x:row>
    <x:row r="1913">
      <x:c r="A1913" t="str">
        <x:v>validarVehiculoSeleccionado</x:v>
      </x:c>
      <x:c r="B1913" t="str">
        <x:v>id_usuario,id_vehiculo</x:v>
      </x:c>
      <x:c r="C1913" t="str">
        <x:v>I_HistorialVehiculo</x:v>
      </x:c>
      <x:c r="D1913" t="str">
        <x:v>C_ControlVehiculo</x:v>
      </x:c>
      <x:c r="E1913" t="str">
        <x:v>validación</x:v>
      </x:c>
      <x:c r="F1913" t="n">
        <x:v>1</x:v>
      </x:c>
      <x:c r="G1913" t="str">
        <x:v>RF18</x:v>
      </x:c>
      <x:c r="H1913" t="str">
        <x:v>RF18!F13</x:v>
      </x:c>
    </x:row>
    <x:row r="1914">
      <x:c r="A1914" t="str">
        <x:v>validarVehiculoSeleccionado</x:v>
      </x:c>
      <x:c r="B1914" t="str">
        <x:v>id_usuario,id_vehiculo_nuevo</x:v>
      </x:c>
      <x:c r="C1914" t="str">
        <x:v>I_HistorialVehiculo</x:v>
      </x:c>
      <x:c r="D1914" t="str">
        <x:v>C_ControlVehiculo</x:v>
      </x:c>
      <x:c r="E1914" t="str">
        <x:v>validación</x:v>
      </x:c>
      <x:c r="F1914" t="n">
        <x:v>1</x:v>
      </x:c>
      <x:c r="G1914" t="str">
        <x:v>RF18</x:v>
      </x:c>
      <x:c r="H1914" t="str">
        <x:v>RF18!F34</x:v>
      </x:c>
    </x:row>
    <x:row r="1915">
      <x:c r="A1915" t="str">
        <x:v>solicitarExportacionHistorialMantenimientos</x:v>
      </x:c>
      <x:c r="B1915" t="str">
        <x:v>id_usuario,id_vehiculo</x:v>
      </x:c>
      <x:c r="C1915" t="str">
        <x:v>I_HistorialVehiculo</x:v>
      </x:c>
      <x:c r="D1915" t="str">
        <x:v>C_ReporteHistorial</x:v>
      </x:c>
      <x:c r="E1915" t="str">
        <x:v>presentación/navegación</x:v>
      </x:c>
      <x:c r="F1915" t="n">
        <x:v>1</x:v>
      </x:c>
      <x:c r="G1915" t="str">
        <x:v>RF27</x:v>
      </x:c>
      <x:c r="H1915" t="str">
        <x:v>RF27!F6</x:v>
      </x:c>
    </x:row>
    <x:row r="1916">
      <x:c r="A1916" t="str">
        <x:v>preseleccionarVehiculoPrincipal</x:v>
      </x:c>
      <x:c r="B1916" t="str">
        <x:v>datos_vehiculo_principal</x:v>
      </x:c>
      <x:c r="C1916" t="str">
        <x:v>I_HistorialVehiculo</x:v>
      </x:c>
      <x:c r="D1916" t="str">
        <x:v>I_HistorialVehiculo</x:v>
      </x:c>
      <x:c r="E1916" t="str">
        <x:v>otra</x:v>
      </x:c>
      <x:c r="F1916" t="n">
        <x:v>1</x:v>
      </x:c>
      <x:c r="G1916" t="str">
        <x:v>RF25</x:v>
      </x:c>
      <x:c r="H1916" t="str">
        <x:v>RF25!F12</x:v>
      </x:c>
    </x:row>
    <x:row r="1917">
      <x:c r="A1917" t="str">
        <x:v>consultarIncidencia</x:v>
      </x:c>
      <x:c r="B1917" t="str">
        <x:v>idIncidencia</x:v>
      </x:c>
      <x:c r="C1917" t="str">
        <x:v>I_IncidenciasAdmin</x:v>
      </x:c>
      <x:c r="D1917" t="str">
        <x:v>C_ControlIncidencia</x:v>
      </x:c>
      <x:c r="E1917" t="str">
        <x:v>consulta</x:v>
      </x:c>
      <x:c r="F1917" t="n">
        <x:v>1</x:v>
      </x:c>
      <x:c r="G1917" t="str">
        <x:v>RF61</x:v>
      </x:c>
      <x:c r="H1917" t="str">
        <x:v>RF061_EXITOSO!F11</x:v>
      </x:c>
    </x:row>
    <x:row r="1918">
      <x:c r="A1918" t="str">
        <x:v>visualizarAvisoLegalEliminacion</x:v>
      </x:c>
      <x:c r="B1918" t="str"/>
      <x:c r="C1918" t="str">
        <x:v>I_InformacionEliminacionCuenta</x:v>
      </x:c>
      <x:c r="D1918" t="str">
        <x:v>AS_Usuario</x:v>
      </x:c>
      <x:c r="E1918" t="str">
        <x:v>presentación/navegación</x:v>
      </x:c>
      <x:c r="F1918" t="n">
        <x:v>1</x:v>
      </x:c>
      <x:c r="G1918" t="str">
        <x:v>RF07</x:v>
      </x:c>
      <x:c r="H1918" t="str">
        <x:v>RF007-E1!F18</x:v>
      </x:c>
    </x:row>
    <x:row r="1919">
      <x:c r="A1919" t="str">
        <x:v>solicitarContinuarEliminacion</x:v>
      </x:c>
      <x:c r="B1919" t="str"/>
      <x:c r="C1919" t="str">
        <x:v>I_InformacionEliminacionCuenta</x:v>
      </x:c>
      <x:c r="D1919" t="str">
        <x:v>C_EliminarCuenta</x:v>
      </x:c>
      <x:c r="E1919" t="str">
        <x:v>presentación/navegación</x:v>
      </x:c>
      <x:c r="F1919" t="n">
        <x:v>1</x:v>
      </x:c>
      <x:c r="G1919" t="str">
        <x:v>RF07</x:v>
      </x:c>
      <x:c r="H1919" t="str">
        <x:v>RF007-E1!F20</x:v>
      </x:c>
    </x:row>
    <x:row r="1920">
      <x:c r="A1920" t="str">
        <x:v>visualizarInformacionRecuperacion</x:v>
      </x:c>
      <x:c r="B1920" t="str"/>
      <x:c r="C1920" t="str">
        <x:v>I_InformacionRecuperacionCuenta</x:v>
      </x:c>
      <x:c r="D1920" t="str">
        <x:v>AS_Usuario</x:v>
      </x:c>
      <x:c r="E1920" t="str">
        <x:v>presentación/navegación</x:v>
      </x:c>
      <x:c r="F1920" t="n">
        <x:v>1</x:v>
      </x:c>
      <x:c r="G1920" t="str">
        <x:v>RF53</x:v>
      </x:c>
      <x:c r="H1920" t="str">
        <x:v>RF053-EF1!F9</x:v>
      </x:c>
    </x:row>
    <x:row r="1921">
      <x:c r="A1921" t="str">
        <x:v>solicitarFormularioCredenciales</x:v>
      </x:c>
      <x:c r="B1921" t="str"/>
      <x:c r="C1921" t="str">
        <x:v>I_InformacionRecuperacionCuenta</x:v>
      </x:c>
      <x:c r="D1921" t="str">
        <x:v>C_RecuperarCuenta</x:v>
      </x:c>
      <x:c r="E1921" t="str">
        <x:v>presentación/navegación</x:v>
      </x:c>
      <x:c r="F1921" t="n">
        <x:v>1</x:v>
      </x:c>
      <x:c r="G1921" t="str">
        <x:v>RF53</x:v>
      </x:c>
      <x:c r="H1921" t="str">
        <x:v>RF053-EF1!F12</x:v>
      </x:c>
    </x:row>
    <x:row r="1922">
      <x:c r="A1922" t="str">
        <x:v>visualizarInicioUsuario</x:v>
      </x:c>
      <x:c r="B1922" t="str"/>
      <x:c r="C1922" t="str">
        <x:v>I_Inicio</x:v>
      </x:c>
      <x:c r="D1922" t="str">
        <x:v>AS_Usuario</x:v>
      </x:c>
      <x:c r="E1922" t="str">
        <x:v>presentación/navegación</x:v>
      </x:c>
      <x:c r="F1922" t="n">
        <x:v>1</x:v>
      </x:c>
      <x:c r="G1922" t="str">
        <x:v>RF02</x:v>
      </x:c>
      <x:c r="H1922" t="str">
        <x:v>RF002-E1!F45</x:v>
      </x:c>
    </x:row>
    <x:row r="1923">
      <x:c r="A1923" t="str">
        <x:v>visualizarResumenInicio</x:v>
      </x:c>
      <x:c r="B1923" t="str"/>
      <x:c r="C1923" t="str">
        <x:v>I_Inicio</x:v>
      </x:c>
      <x:c r="D1923" t="str">
        <x:v>AS_Usuario</x:v>
      </x:c>
      <x:c r="E1923" t="str">
        <x:v>presentación/navegación</x:v>
      </x:c>
      <x:c r="F1923" t="n">
        <x:v>1</x:v>
      </x:c>
      <x:c r="G1923" t="str">
        <x:v>RF50</x:v>
      </x:c>
      <x:c r="H1923" t="str">
        <x:v>RF050-EF1!F54</x:v>
      </x:c>
    </x:row>
    <x:row r="1924">
      <x:c r="A1924" t="str">
        <x:v>solicitarResumenInicio</x:v>
      </x:c>
      <x:c r="B1924" t="str">
        <x:v>contextoSesion</x:v>
      </x:c>
      <x:c r="C1924" t="str">
        <x:v>I_Inicio</x:v>
      </x:c>
      <x:c r="D1924" t="str">
        <x:v>C_ControlInicio</x:v>
      </x:c>
      <x:c r="E1924" t="str">
        <x:v>presentación/navegación</x:v>
      </x:c>
      <x:c r="F1924" t="n">
        <x:v>1</x:v>
      </x:c>
      <x:c r="G1924" t="str">
        <x:v>RF50</x:v>
      </x:c>
      <x:c r="H1924" t="str">
        <x:v>RF050-EF1!F6</x:v>
      </x:c>
    </x:row>
    <x:row r="1925">
      <x:c r="A1925" t="str">
        <x:v>solicitarCentroNotificaciones</x:v>
      </x:c>
      <x:c r="B1925" t="str">
        <x:v>idUsuario</x:v>
      </x:c>
      <x:c r="C1925" t="str">
        <x:v>I_Inicio</x:v>
      </x:c>
      <x:c r="D1925" t="str">
        <x:v>C_ControlNotificacion</x:v>
      </x:c>
      <x:c r="E1925" t="str">
        <x:v>presentación/navegación</x:v>
      </x:c>
      <x:c r="F1925" t="n">
        <x:v>1</x:v>
      </x:c>
      <x:c r="G1925" t="str">
        <x:v>RF46</x:v>
      </x:c>
      <x:c r="H1925" t="str">
        <x:v>RF046-EF1!F6</x:v>
      </x:c>
    </x:row>
    <x:row r="1926">
      <x:c r="A1926" t="str">
        <x:v>solicitarVistaAlertas</x:v>
      </x:c>
      <x:c r="B1926" t="str"/>
      <x:c r="C1926" t="str">
        <x:v>I_Inicio</x:v>
      </x:c>
      <x:c r="D1926" t="str">
        <x:v>C_Navegacion</x:v>
      </x:c>
      <x:c r="E1926" t="str">
        <x:v>presentación/navegación</x:v>
      </x:c>
      <x:c r="F1926" t="n">
        <x:v>1</x:v>
      </x:c>
      <x:c r="G1926" t="str">
        <x:v>RF23</x:v>
      </x:c>
      <x:c r="H1926" t="str">
        <x:v>RF23!F6</x:v>
      </x:c>
    </x:row>
    <x:row r="1927">
      <x:c r="A1927" t="str">
        <x:v>solicitarVistaAutos</x:v>
      </x:c>
      <x:c r="B1927" t="str"/>
      <x:c r="C1927" t="str">
        <x:v>I_Inicio</x:v>
      </x:c>
      <x:c r="D1927" t="str">
        <x:v>C_Navegacion</x:v>
      </x:c>
      <x:c r="E1927" t="str">
        <x:v>presentación/navegación</x:v>
      </x:c>
      <x:c r="F1927" t="n">
        <x:v>5</x:v>
      </x:c>
      <x:c r="G1927" t="str">
        <x:v>RF08, RF09, RF31, RF32, RF33</x:v>
      </x:c>
      <x:c r="H1927" t="str">
        <x:v>RF008-EF1!F6</x:v>
      </x:c>
    </x:row>
    <x:row r="1928">
      <x:c r="A1928" t="str">
        <x:v>solicitarVistaHistorial</x:v>
      </x:c>
      <x:c r="B1928" t="str"/>
      <x:c r="C1928" t="str">
        <x:v>I_Inicio</x:v>
      </x:c>
      <x:c r="D1928" t="str">
        <x:v>C_Navegacion</x:v>
      </x:c>
      <x:c r="E1928" t="str">
        <x:v>presentación/navegación</x:v>
      </x:c>
      <x:c r="F1928" t="n">
        <x:v>5</x:v>
      </x:c>
      <x:c r="G1928" t="str">
        <x:v>RF15, RF17, RF18, RF36, RF37</x:v>
      </x:c>
      <x:c r="H1928" t="str">
        <x:v>RF015-EF1!F6</x:v>
      </x:c>
    </x:row>
    <x:row r="1929">
      <x:c r="A1929" t="str">
        <x:v>solicitarVistaHistorialVehiculo</x:v>
      </x:c>
      <x:c r="B1929" t="str"/>
      <x:c r="C1929" t="str">
        <x:v>I_Inicio</x:v>
      </x:c>
      <x:c r="D1929" t="str">
        <x:v>C_Navegacion</x:v>
      </x:c>
      <x:c r="E1929" t="str">
        <x:v>presentación/navegación</x:v>
      </x:c>
      <x:c r="F1929" t="n">
        <x:v>3</x:v>
      </x:c>
      <x:c r="G1929" t="str">
        <x:v>RF25, RF34, RF35</x:v>
      </x:c>
      <x:c r="H1929" t="str">
        <x:v>RF25!F6</x:v>
      </x:c>
    </x:row>
    <x:row r="1930">
      <x:c r="A1930" t="str">
        <x:v>solicitarVistaPerfil</x:v>
      </x:c>
      <x:c r="B1930" t="str"/>
      <x:c r="C1930" t="str">
        <x:v>I_Inicio</x:v>
      </x:c>
      <x:c r="D1930" t="str">
        <x:v>C_Navegacion</x:v>
      </x:c>
      <x:c r="E1930" t="str">
        <x:v>presentación/navegación</x:v>
      </x:c>
      <x:c r="F1930" t="n">
        <x:v>14</x:v>
      </x:c>
      <x:c r="G1930" t="str">
        <x:v>RF04, RF05, RF06, RF07, RF28, RF29, RF30, RF38, RF39, RF40, RF44, RF48, RF51, RF52</x:v>
      </x:c>
      <x:c r="H1930" t="str">
        <x:v>RF004-E1!F6</x:v>
      </x:c>
    </x:row>
    <x:row r="1931">
      <x:c r="A1931" t="str">
        <x:v>visualizarContrasena</x:v>
      </x:c>
      <x:c r="B1931" t="str">
        <x:v>estadoVisual</x:v>
      </x:c>
      <x:c r="C1931" t="str">
        <x:v>I_InicioSesion</x:v>
      </x:c>
      <x:c r="D1931" t="str">
        <x:v>AS_Usuario</x:v>
      </x:c>
      <x:c r="E1931" t="str">
        <x:v>presentación/navegación</x:v>
      </x:c>
      <x:c r="F1931" t="n">
        <x:v>1</x:v>
      </x:c>
      <x:c r="G1931" t="str">
        <x:v>RF02</x:v>
      </x:c>
      <x:c r="H1931" t="str">
        <x:v>RF002-E1!F16</x:v>
      </x:c>
    </x:row>
    <x:row r="1932">
      <x:c r="A1932" t="str">
        <x:v>visualizarFormularioLogin</x:v>
      </x:c>
      <x:c r="B1932" t="str"/>
      <x:c r="C1932" t="str">
        <x:v>I_InicioSesion</x:v>
      </x:c>
      <x:c r="D1932" t="str">
        <x:v>AS_Usuario</x:v>
      </x:c>
      <x:c r="E1932" t="str">
        <x:v>presentación/navegación</x:v>
      </x:c>
      <x:c r="F1932" t="n">
        <x:v>2</x:v>
      </x:c>
      <x:c r="G1932" t="str">
        <x:v>RF02, RF03</x:v>
      </x:c>
      <x:c r="H1932" t="str">
        <x:v>RF002-E1!F10</x:v>
      </x:c>
    </x:row>
    <x:row r="1933">
      <x:c r="A1933" t="str">
        <x:v>visualizarInicioSesion</x:v>
      </x:c>
      <x:c r="B1933" t="str"/>
      <x:c r="C1933" t="str">
        <x:v>I_InicioSesion</x:v>
      </x:c>
      <x:c r="D1933" t="str">
        <x:v>AS_Usuario</x:v>
      </x:c>
      <x:c r="E1933" t="str">
        <x:v>presentación/navegación</x:v>
      </x:c>
      <x:c r="F1933" t="n">
        <x:v>2</x:v>
      </x:c>
      <x:c r="G1933" t="str">
        <x:v>RF01, RF53</x:v>
      </x:c>
      <x:c r="H1933" t="str">
        <x:v>RF001-E1!F55</x:v>
      </x:c>
    </x:row>
    <x:row r="1934">
      <x:c r="A1934" t="str">
        <x:v>autenticarCuenta</x:v>
      </x:c>
      <x:c r="B1934" t="str">
        <x:v>correo,clave</x:v>
      </x:c>
      <x:c r="C1934" t="str">
        <x:v>I_InicioSesion</x:v>
      </x:c>
      <x:c r="D1934" t="str">
        <x:v>C_InicioSesion</x:v>
      </x:c>
      <x:c r="E1934" t="str">
        <x:v>otra</x:v>
      </x:c>
      <x:c r="F1934" t="n">
        <x:v>1</x:v>
      </x:c>
      <x:c r="G1934" t="str">
        <x:v>RF57</x:v>
      </x:c>
      <x:c r="H1934" t="str">
        <x:v>RF057_EXITOSO!F7</x:v>
      </x:c>
    </x:row>
    <x:row r="1935">
      <x:c r="A1935" t="str">
        <x:v>enviarCredenciales</x:v>
      </x:c>
      <x:c r="B1935" t="str">
        <x:v>correo,contrasena</x:v>
      </x:c>
      <x:c r="C1935" t="str">
        <x:v>I_InicioSesion</x:v>
      </x:c>
      <x:c r="D1935" t="str">
        <x:v>C_InicioSesion</x:v>
      </x:c>
      <x:c r="E1935" t="str">
        <x:v>otra</x:v>
      </x:c>
      <x:c r="F1935" t="n">
        <x:v>1</x:v>
      </x:c>
      <x:c r="G1935" t="str">
        <x:v>RF02</x:v>
      </x:c>
      <x:c r="H1935" t="str">
        <x:v>RF002-E1!F18</x:v>
      </x:c>
    </x:row>
    <x:row r="1936">
      <x:c r="A1936" t="str">
        <x:v>solicitarCambioVisibilidad</x:v>
      </x:c>
      <x:c r="B1936" t="str">
        <x:v>campo</x:v>
      </x:c>
      <x:c r="C1936" t="str">
        <x:v>I_InicioSesion</x:v>
      </x:c>
      <x:c r="D1936" t="str">
        <x:v>C_InicioSesion</x:v>
      </x:c>
      <x:c r="E1936" t="str">
        <x:v>presentación/navegación</x:v>
      </x:c>
      <x:c r="F1936" t="n">
        <x:v>1</x:v>
      </x:c>
      <x:c r="G1936" t="str">
        <x:v>RF02</x:v>
      </x:c>
      <x:c r="H1936" t="str">
        <x:v>RF002-E1!F13</x:v>
      </x:c>
    </x:row>
    <x:row r="1937">
      <x:c r="A1937" t="str">
        <x:v>solicitarRecuperacionCuenta</x:v>
      </x:c>
      <x:c r="B1937" t="str"/>
      <x:c r="C1937" t="str">
        <x:v>I_InicioSesion</x:v>
      </x:c>
      <x:c r="D1937" t="str">
        <x:v>C_Navegacion</x:v>
      </x:c>
      <x:c r="E1937" t="str">
        <x:v>presentación/navegación</x:v>
      </x:c>
      <x:c r="F1937" t="n">
        <x:v>1</x:v>
      </x:c>
      <x:c r="G1937" t="str">
        <x:v>RF53</x:v>
      </x:c>
      <x:c r="H1937" t="str">
        <x:v>RF053-EF1!F6</x:v>
      </x:c>
    </x:row>
    <x:row r="1938">
      <x:c r="A1938" t="str">
        <x:v>solicitarRecuperacionCuenta</x:v>
      </x:c>
      <x:c r="B1938" t="str"/>
      <x:c r="C1938" t="str">
        <x:v>I_InicioSesion</x:v>
      </x:c>
      <x:c r="D1938" t="str">
        <x:v>C_RecuperacionCuenta</x:v>
      </x:c>
      <x:c r="E1938" t="str">
        <x:v>presentación/navegación</x:v>
      </x:c>
      <x:c r="F1938" t="n">
        <x:v>1</x:v>
      </x:c>
      <x:c r="G1938" t="str">
        <x:v>RF03</x:v>
      </x:c>
      <x:c r="H1938" t="str">
        <x:v>RF003-E1!F11</x:v>
      </x:c>
    </x:row>
    <x:row r="1939">
      <x:c r="A1939" t="str">
        <x:v>visualizarLista</x:v>
      </x:c>
      <x:c r="B1939" t="str"/>
      <x:c r="C1939" t="str">
        <x:v>I_ListaElementosCatalogo</x:v>
      </x:c>
      <x:c r="D1939" t="str">
        <x:v>AS_Administrador</x:v>
      </x:c>
      <x:c r="E1939" t="str">
        <x:v>presentación/navegación</x:v>
      </x:c>
      <x:c r="F1939" t="n">
        <x:v>1</x:v>
      </x:c>
      <x:c r="G1939" t="str">
        <x:v>RF62</x:v>
      </x:c>
      <x:c r="H1939" t="str">
        <x:v>RF062_EXITOSO!F18</x:v>
      </x:c>
    </x:row>
    <x:row r="1940">
      <x:c r="A1940" t="str">
        <x:v>solicitarFormularioNuevo</x:v>
      </x:c>
      <x:c r="B1940" t="str">
        <x:v>catalogoId</x:v>
      </x:c>
      <x:c r="C1940" t="str">
        <x:v>I_ListaElementosCatalogo</x:v>
      </x:c>
      <x:c r="D1940" t="str">
        <x:v>C_ControlCatalogo</x:v>
      </x:c>
      <x:c r="E1940" t="str">
        <x:v>presentación/navegación</x:v>
      </x:c>
      <x:c r="F1940" t="n">
        <x:v>1</x:v>
      </x:c>
      <x:c r="G1940" t="str">
        <x:v>RF62</x:v>
      </x:c>
      <x:c r="H1940" t="str">
        <x:v>RF062_EXITOSO!F21</x:v>
      </x:c>
    </x:row>
    <x:row r="1941">
      <x:c r="A1941" t="str">
        <x:v>buscarMisReportes</x:v>
      </x:c>
      <x:c r="B1941" t="str">
        <x:v>idUsuarioSesion,estado</x:v>
      </x:c>
      <x:c r="C1941" t="str">
        <x:v>I_MisIncidencias</x:v>
      </x:c>
      <x:c r="D1941" t="str">
        <x:v>C_ControlIncidencia</x:v>
      </x:c>
      <x:c r="E1941" t="str">
        <x:v>consulta</x:v>
      </x:c>
      <x:c r="F1941" t="n">
        <x:v>1</x:v>
      </x:c>
      <x:c r="G1941" t="str">
        <x:v>RF64</x:v>
      </x:c>
      <x:c r="H1941" t="str">
        <x:v>RF064_EXITOSO!F14</x:v>
      </x:c>
    </x:row>
    <x:row r="1942">
      <x:c r="A1942" t="str">
        <x:v>consultarDetallePropio</x:v>
      </x:c>
      <x:c r="B1942" t="str">
        <x:v>idIncidencia,idUsuarioSesion</x:v>
      </x:c>
      <x:c r="C1942" t="str">
        <x:v>I_MisIncidencias</x:v>
      </x:c>
      <x:c r="D1942" t="str">
        <x:v>C_ControlIncidencia</x:v>
      </x:c>
      <x:c r="E1942" t="str">
        <x:v>consulta</x:v>
      </x:c>
      <x:c r="F1942" t="n">
        <x:v>1</x:v>
      </x:c>
      <x:c r="G1942" t="str">
        <x:v>RF64</x:v>
      </x:c>
      <x:c r="H1942" t="str">
        <x:v>RF064_EXITOSO!F20</x:v>
      </x:c>
    </x:row>
    <x:row r="1943">
      <x:c r="A1943" t="str">
        <x:v>visualizarOpciones</x:v>
      </x:c>
      <x:c r="B1943" t="str"/>
      <x:c r="C1943" t="str">
        <x:v>I_ModulosAdministrativos</x:v>
      </x:c>
      <x:c r="D1943" t="str">
        <x:v>AS_Administrador</x:v>
      </x:c>
      <x:c r="E1943" t="str">
        <x:v>presentación/navegación</x:v>
      </x:c>
      <x:c r="F1943" t="n">
        <x:v>1</x:v>
      </x:c>
      <x:c r="G1943" t="str">
        <x:v>RF57</x:v>
      </x:c>
      <x:c r="H1943" t="str">
        <x:v>RF057_EXITOSO!F24</x:v>
      </x:c>
    </x:row>
    <x:row r="1944">
      <x:c r="A1944" t="str">
        <x:v>visualizarMotivosOpcionales</x:v>
      </x:c>
      <x:c r="B1944" t="str"/>
      <x:c r="C1944" t="str">
        <x:v>I_MotivoEliminacionCuenta</x:v>
      </x:c>
      <x:c r="D1944" t="str">
        <x:v>AS_Usuario</x:v>
      </x:c>
      <x:c r="E1944" t="str">
        <x:v>presentación/navegación</x:v>
      </x:c>
      <x:c r="F1944" t="n">
        <x:v>1</x:v>
      </x:c>
      <x:c r="G1944" t="str">
        <x:v>RF07</x:v>
      </x:c>
      <x:c r="H1944" t="str">
        <x:v>RF007-E1!F23</x:v>
      </x:c>
    </x:row>
    <x:row r="1945">
      <x:c r="A1945" t="str">
        <x:v>enviarMotivoOpcional</x:v>
      </x:c>
      <x:c r="B1945" t="str">
        <x:v>motivoOpcional</x:v>
      </x:c>
      <x:c r="C1945" t="str">
        <x:v>I_MotivoEliminacionCuenta</x:v>
      </x:c>
      <x:c r="D1945" t="str">
        <x:v>C_EliminarCuenta</x:v>
      </x:c>
      <x:c r="E1945" t="str">
        <x:v>otra</x:v>
      </x:c>
      <x:c r="F1945" t="n">
        <x:v>1</x:v>
      </x:c>
      <x:c r="G1945" t="str">
        <x:v>RF07</x:v>
      </x:c>
      <x:c r="H1945" t="str">
        <x:v>RF007-E1!F25</x:v>
      </x:c>
    </x:row>
    <x:row r="1946">
      <x:c r="A1946" t="str">
        <x:v>visualizarNotificacionPush</x:v>
      </x:c>
      <x:c r="B1946" t="str"/>
      <x:c r="C1946" t="str">
        <x:v>I_NotificacionDispositivo</x:v>
      </x:c>
      <x:c r="D1946" t="str">
        <x:v>AS_Usuario</x:v>
      </x:c>
      <x:c r="E1946" t="str">
        <x:v>presentación/navegación</x:v>
      </x:c>
      <x:c r="F1946" t="n">
        <x:v>1</x:v>
      </x:c>
      <x:c r="G1946" t="str">
        <x:v>RF46</x:v>
      </x:c>
      <x:c r="H1946" t="str">
        <x:v>RF046-EF1!F61</x:v>
      </x:c>
    </x:row>
    <x:row r="1947">
      <x:c r="A1947" t="str">
        <x:v>visualizarContrasena</x:v>
      </x:c>
      <x:c r="B1947" t="str">
        <x:v>estadoVisual</x:v>
      </x:c>
      <x:c r="C1947" t="str">
        <x:v>I_NuevaContrasena</x:v>
      </x:c>
      <x:c r="D1947" t="str">
        <x:v>AS_Usuario</x:v>
      </x:c>
      <x:c r="E1947" t="str">
        <x:v>presentación/navegación</x:v>
      </x:c>
      <x:c r="F1947" t="n">
        <x:v>1</x:v>
      </x:c>
      <x:c r="G1947" t="str">
        <x:v>RF03</x:v>
      </x:c>
      <x:c r="H1947" t="str">
        <x:v>RF003-E1!F55</x:v>
      </x:c>
    </x:row>
    <x:row r="1948">
      <x:c r="A1948" t="str">
        <x:v>visualizarFormularioNuevaContrasena</x:v>
      </x:c>
      <x:c r="B1948" t="str"/>
      <x:c r="C1948" t="str">
        <x:v>I_NuevaContrasena</x:v>
      </x:c>
      <x:c r="D1948" t="str">
        <x:v>AS_Usuario</x:v>
      </x:c>
      <x:c r="E1948" t="str">
        <x:v>presentación/navegación</x:v>
      </x:c>
      <x:c r="F1948" t="n">
        <x:v>1</x:v>
      </x:c>
      <x:c r="G1948" t="str">
        <x:v>RF03</x:v>
      </x:c>
      <x:c r="H1948" t="str">
        <x:v>RF003-E1!F50</x:v>
      </x:c>
    </x:row>
    <x:row r="1949">
      <x:c r="A1949" t="str">
        <x:v>enviarNuevaContrasena</x:v>
      </x:c>
      <x:c r="B1949" t="str">
        <x:v>datosContrasena</x:v>
      </x:c>
      <x:c r="C1949" t="str">
        <x:v>I_NuevaContrasena</x:v>
      </x:c>
      <x:c r="D1949" t="str">
        <x:v>C_RecuperacionCuenta</x:v>
      </x:c>
      <x:c r="E1949" t="str">
        <x:v>otra</x:v>
      </x:c>
      <x:c r="F1949" t="n">
        <x:v>1</x:v>
      </x:c>
      <x:c r="G1949" t="str">
        <x:v>RF03</x:v>
      </x:c>
      <x:c r="H1949" t="str">
        <x:v>RF003-E1!F57</x:v>
      </x:c>
    </x:row>
    <x:row r="1950">
      <x:c r="A1950" t="str">
        <x:v>solicitarCambioVisibilidad</x:v>
      </x:c>
      <x:c r="B1950" t="str">
        <x:v>campo</x:v>
      </x:c>
      <x:c r="C1950" t="str">
        <x:v>I_NuevaContrasena</x:v>
      </x:c>
      <x:c r="D1950" t="str">
        <x:v>C_RecuperacionCuenta</x:v>
      </x:c>
      <x:c r="E1950" t="str">
        <x:v>presentación/navegación</x:v>
      </x:c>
      <x:c r="F1950" t="n">
        <x:v>1</x:v>
      </x:c>
      <x:c r="G1950" t="str">
        <x:v>RF03</x:v>
      </x:c>
      <x:c r="H1950" t="str">
        <x:v>RF003-E1!F52</x:v>
      </x:c>
    </x:row>
    <x:row r="1951">
      <x:c r="A1951" t="str">
        <x:v>visualizarOpcionesFotoPerfil</x:v>
      </x:c>
      <x:c r="B1951" t="str"/>
      <x:c r="C1951" t="str">
        <x:v>I_OpcionesFotoPerfil</x:v>
      </x:c>
      <x:c r="D1951" t="str">
        <x:v>AS_Usuario</x:v>
      </x:c>
      <x:c r="E1951" t="str">
        <x:v>presentación/navegación</x:v>
      </x:c>
      <x:c r="F1951" t="n">
        <x:v>3</x:v>
      </x:c>
      <x:c r="G1951" t="str">
        <x:v>RF38, RF39, RF40</x:v>
      </x:c>
      <x:c r="H1951" t="str">
        <x:v>RF038-E1!F17</x:v>
      </x:c>
    </x:row>
    <x:row r="1952">
      <x:c r="A1952" t="str">
        <x:v>solicitarActualizarFoto</x:v>
      </x:c>
      <x:c r="B1952" t="str"/>
      <x:c r="C1952" t="str">
        <x:v>I_OpcionesFotoPerfil</x:v>
      </x:c>
      <x:c r="D1952" t="str">
        <x:v>C_FotoPerfil</x:v>
      </x:c>
      <x:c r="E1952" t="str">
        <x:v>presentación/navegación</x:v>
      </x:c>
      <x:c r="F1952" t="n">
        <x:v>2</x:v>
      </x:c>
      <x:c r="G1952" t="str">
        <x:v>RF38, RF39</x:v>
      </x:c>
      <x:c r="H1952" t="str">
        <x:v>RF038-E1!F19</x:v>
      </x:c>
    </x:row>
    <x:row r="1953">
      <x:c r="A1953" t="str">
        <x:v>solicitarEliminarFoto</x:v>
      </x:c>
      <x:c r="B1953" t="str"/>
      <x:c r="C1953" t="str">
        <x:v>I_OpcionesFotoPerfil</x:v>
      </x:c>
      <x:c r="D1953" t="str">
        <x:v>C_FotoPerfil</x:v>
      </x:c>
      <x:c r="E1953" t="str">
        <x:v>presentación/navegación</x:v>
      </x:c>
      <x:c r="F1953" t="n">
        <x:v>1</x:v>
      </x:c>
      <x:c r="G1953" t="str">
        <x:v>RF40</x:v>
      </x:c>
      <x:c r="H1953" t="str">
        <x:v>RF040-E1!F19</x:v>
      </x:c>
    </x:row>
    <x:row r="1954">
      <x:c r="A1954" t="str">
        <x:v>visualizarPanelYModulos</x:v>
      </x:c>
      <x:c r="B1954" t="str"/>
      <x:c r="C1954" t="str">
        <x:v>I_PanelAdministrador</x:v>
      </x:c>
      <x:c r="D1954" t="str">
        <x:v>AS_Administrador</x:v>
      </x:c>
      <x:c r="E1954" t="str">
        <x:v>presentación/navegación</x:v>
      </x:c>
      <x:c r="F1954" t="n">
        <x:v>1</x:v>
      </x:c>
      <x:c r="G1954" t="str">
        <x:v>RF57</x:v>
      </x:c>
      <x:c r="H1954" t="str">
        <x:v>RF057_EXITOSO!F20</x:v>
      </x:c>
    </x:row>
    <x:row r="1955">
      <x:c r="A1955" t="str">
        <x:v>solicitarCatalogosDisponibles</x:v>
      </x:c>
      <x:c r="B1955" t="str">
        <x:v>idAdmin</x:v>
      </x:c>
      <x:c r="C1955" t="str">
        <x:v>I_PanelAdministrador</x:v>
      </x:c>
      <x:c r="D1955" t="str">
        <x:v>C_ControlCatalogo</x:v>
      </x:c>
      <x:c r="E1955" t="str">
        <x:v>presentación/navegación</x:v>
      </x:c>
      <x:c r="F1955" t="n">
        <x:v>1</x:v>
      </x:c>
      <x:c r="G1955" t="str">
        <x:v>RF62</x:v>
      </x:c>
      <x:c r="H1955" t="str">
        <x:v>RF062_EXITOSO!F6</x:v>
      </x:c>
    </x:row>
    <x:row r="1956">
      <x:c r="A1956" t="str">
        <x:v>solicitarListadoAdmin</x:v>
      </x:c>
      <x:c r="B1956" t="str"/>
      <x:c r="C1956" t="str">
        <x:v>I_PanelAdministrador</x:v>
      </x:c>
      <x:c r="D1956" t="str">
        <x:v>C_ControlIncidencia</x:v>
      </x:c>
      <x:c r="E1956" t="str">
        <x:v>presentación/navegación</x:v>
      </x:c>
      <x:c r="F1956" t="n">
        <x:v>1</x:v>
      </x:c>
      <x:c r="G1956" t="str">
        <x:v>RF61</x:v>
      </x:c>
      <x:c r="H1956" t="str">
        <x:v>RF061_EXITOSO!F6</x:v>
      </x:c>
    </x:row>
    <x:row r="1957">
      <x:c r="A1957" t="str">
        <x:v>solicitarListadoSuscripciones</x:v>
      </x:c>
      <x:c r="B1957" t="str">
        <x:v>idAdmin</x:v>
      </x:c>
      <x:c r="C1957" t="str">
        <x:v>I_PanelAdministrador</x:v>
      </x:c>
      <x:c r="D1957" t="str">
        <x:v>C_ControlSuscripcionAdmin</x:v>
      </x:c>
      <x:c r="E1957" t="str">
        <x:v>presentación/navegación</x:v>
      </x:c>
      <x:c r="F1957" t="n">
        <x:v>1</x:v>
      </x:c>
      <x:c r="G1957" t="str">
        <x:v>RF60</x:v>
      </x:c>
      <x:c r="H1957" t="str">
        <x:v>RF060_EXITOSO!F6</x:v>
      </x:c>
    </x:row>
    <x:row r="1958">
      <x:c r="A1958" t="str">
        <x:v>solicitarListadoUsuarios</x:v>
      </x:c>
      <x:c r="B1958" t="str">
        <x:v>idAdmin</x:v>
      </x:c>
      <x:c r="C1958" t="str">
        <x:v>I_PanelAdministrador</x:v>
      </x:c>
      <x:c r="D1958" t="str">
        <x:v>C_ControlUsuariosAdmin</x:v>
      </x:c>
      <x:c r="E1958" t="str">
        <x:v>presentación/navegación</x:v>
      </x:c>
      <x:c r="F1958" t="n">
        <x:v>1</x:v>
      </x:c>
      <x:c r="G1958" t="str">
        <x:v>RF58</x:v>
      </x:c>
      <x:c r="H1958" t="str">
        <x:v>RF058_EXITOSO!F6</x:v>
      </x:c>
    </x:row>
    <x:row r="1959">
      <x:c r="A1959" t="str">
        <x:v>solicitarModulosAdmin</x:v>
      </x:c>
      <x:c r="B1959" t="str"/>
      <x:c r="C1959" t="str">
        <x:v>I_PanelAdministrador</x:v>
      </x:c>
      <x:c r="D1959" t="str">
        <x:v>C_Navegacion</x:v>
      </x:c>
      <x:c r="E1959" t="str">
        <x:v>presentación/navegación</x:v>
      </x:c>
      <x:c r="F1959" t="n">
        <x:v>1</x:v>
      </x:c>
      <x:c r="G1959" t="str">
        <x:v>RF57</x:v>
      </x:c>
      <x:c r="H1959" t="str">
        <x:v>RF057_EXITOSO!F22</x:v>
      </x:c>
    </x:row>
    <x:row r="1960">
      <x:c r="A1960" t="str">
        <x:v>visualizarDatosPersonales</x:v>
      </x:c>
      <x:c r="B1960" t="str"/>
      <x:c r="C1960" t="str">
        <x:v>I_Perfil</x:v>
      </x:c>
      <x:c r="D1960" t="str">
        <x:v>AS_Usuario</x:v>
      </x:c>
      <x:c r="E1960" t="str">
        <x:v>presentación/navegación</x:v>
      </x:c>
      <x:c r="F1960" t="n">
        <x:v>1</x:v>
      </x:c>
      <x:c r="G1960" t="str">
        <x:v>RF04</x:v>
      </x:c>
      <x:c r="H1960" t="str">
        <x:v>RF004-E1!F19</x:v>
      </x:c>
    </x:row>
    <x:row r="1961">
      <x:c r="A1961" t="str">
        <x:v>visualizarEstadoRecordatoriosKm</x:v>
      </x:c>
      <x:c r="B1961" t="str"/>
      <x:c r="C1961" t="str">
        <x:v>I_Perfil</x:v>
      </x:c>
      <x:c r="D1961" t="str">
        <x:v>AS_Usuario</x:v>
      </x:c>
      <x:c r="E1961" t="str">
        <x:v>presentación/navegación</x:v>
      </x:c>
      <x:c r="F1961" t="n">
        <x:v>1</x:v>
      </x:c>
      <x:c r="G1961" t="str">
        <x:v>RF44</x:v>
      </x:c>
      <x:c r="H1961" t="str">
        <x:v>RF044-EF1!F12</x:v>
      </x:c>
    </x:row>
    <x:row r="1962">
      <x:c r="A1962" t="str">
        <x:v>visualizarRecordatoriosKmActivados</x:v>
      </x:c>
      <x:c r="B1962" t="str"/>
      <x:c r="C1962" t="str">
        <x:v>I_Perfil</x:v>
      </x:c>
      <x:c r="D1962" t="str">
        <x:v>AS_Usuario</x:v>
      </x:c>
      <x:c r="E1962" t="str">
        <x:v>presentación/navegación</x:v>
      </x:c>
      <x:c r="F1962" t="n">
        <x:v>1</x:v>
      </x:c>
      <x:c r="G1962" t="str">
        <x:v>RF44</x:v>
      </x:c>
      <x:c r="H1962" t="str">
        <x:v>RF044-EF1!F19</x:v>
      </x:c>
    </x:row>
    <x:row r="1963">
      <x:c r="A1963" t="str">
        <x:v>visualizarVistaPerfil</x:v>
      </x:c>
      <x:c r="B1963" t="str"/>
      <x:c r="C1963" t="str">
        <x:v>I_Perfil</x:v>
      </x:c>
      <x:c r="D1963" t="str">
        <x:v>AS_Usuario</x:v>
      </x:c>
      <x:c r="E1963" t="str">
        <x:v>presentación/navegación</x:v>
      </x:c>
      <x:c r="F1963" t="n">
        <x:v>13</x:v>
      </x:c>
      <x:c r="G1963" t="str">
        <x:v>RF04, RF05, RF06, RF07, RF28, RF29, RF30, RF38, RF39, RF40, RF48, RF51, RF52</x:v>
      </x:c>
      <x:c r="H1963" t="str">
        <x:v>RF004-E1!F12</x:v>
      </x:c>
    </x:row>
    <x:row r="1964">
      <x:c r="A1964" t="str">
        <x:v>solicitarFormularioUsuario</x:v>
      </x:c>
      <x:c r="B1964" t="str">
        <x:v>idUsuarioSesion</x:v>
      </x:c>
      <x:c r="C1964" t="str">
        <x:v>I_Perfil</x:v>
      </x:c>
      <x:c r="D1964" t="str">
        <x:v>C_ControlIncidencia</x:v>
      </x:c>
      <x:c r="E1964" t="str">
        <x:v>presentación/navegación</x:v>
      </x:c>
      <x:c r="F1964" t="n">
        <x:v>1</x:v>
      </x:c>
      <x:c r="G1964" t="str">
        <x:v>RF63</x:v>
      </x:c>
      <x:c r="H1964" t="str">
        <x:v>RF063_EXITOSO!F6</x:v>
      </x:c>
    </x:row>
    <x:row r="1965">
      <x:c r="A1965" t="str">
        <x:v>solicitarListadoPersonal</x:v>
      </x:c>
      <x:c r="B1965" t="str">
        <x:v>idUsuarioSesion</x:v>
      </x:c>
      <x:c r="C1965" t="str">
        <x:v>I_Perfil</x:v>
      </x:c>
      <x:c r="D1965" t="str">
        <x:v>C_ControlIncidencia</x:v>
      </x:c>
      <x:c r="E1965" t="str">
        <x:v>presentación/navegación</x:v>
      </x:c>
      <x:c r="F1965" t="n">
        <x:v>1</x:v>
      </x:c>
      <x:c r="G1965" t="str">
        <x:v>RF64</x:v>
      </x:c>
      <x:c r="H1965" t="str">
        <x:v>RF064_EXITOSO!F6</x:v>
      </x:c>
    </x:row>
    <x:row r="1966">
      <x:c r="A1966" t="str">
        <x:v>solicitarAccesoRegistroLicencia</x:v>
      </x:c>
      <x:c r="B1966" t="str">
        <x:v>idUsuario</x:v>
      </x:c>
      <x:c r="C1966" t="str">
        <x:v>I_Perfil</x:v>
      </x:c>
      <x:c r="D1966" t="str">
        <x:v>C_ControlLicencia</x:v>
      </x:c>
      <x:c r="E1966" t="str">
        <x:v>presentación/navegación</x:v>
      </x:c>
      <x:c r="F1966" t="n">
        <x:v>1</x:v>
      </x:c>
      <x:c r="G1966" t="str">
        <x:v>RF51</x:v>
      </x:c>
      <x:c r="H1966" t="str">
        <x:v>RF051-EF1!F10</x:v>
      </x:c>
    </x:row>
    <x:row r="1967">
      <x:c r="A1967" t="str">
        <x:v>solicitarConsultaLicencia</x:v>
      </x:c>
      <x:c r="B1967" t="str">
        <x:v>idUsuario</x:v>
      </x:c>
      <x:c r="C1967" t="str">
        <x:v>I_Perfil</x:v>
      </x:c>
      <x:c r="D1967" t="str">
        <x:v>C_ControlLicencia</x:v>
      </x:c>
      <x:c r="E1967" t="str">
        <x:v>presentación/navegación</x:v>
      </x:c>
      <x:c r="F1967" t="n">
        <x:v>1</x:v>
      </x:c>
      <x:c r="G1967" t="str">
        <x:v>RF52</x:v>
      </x:c>
      <x:c r="H1967" t="str">
        <x:v>RF052-EF1!F10</x:v>
      </x:c>
    </x:row>
    <x:row r="1968">
      <x:c r="A1968" t="str">
        <x:v>solicitarMensajeResultado</x:v>
      </x:c>
      <x:c r="B1968" t="str">
        <x:v>tipo="éxito"</x:v>
      </x:c>
      <x:c r="C1968" t="str">
        <x:v>I_Perfil</x:v>
      </x:c>
      <x:c r="D1968" t="str">
        <x:v>C_FotoPerfil</x:v>
      </x:c>
      <x:c r="E1968" t="str">
        <x:v>presentación/navegación</x:v>
      </x:c>
      <x:c r="F1968" t="n">
        <x:v>3</x:v>
      </x:c>
      <x:c r="G1968" t="str">
        <x:v>RF38, RF39, RF40</x:v>
      </x:c>
      <x:c r="H1968" t="str">
        <x:v>RF038-E1!F37</x:v>
      </x:c>
    </x:row>
    <x:row r="1969">
      <x:c r="A1969" t="str">
        <x:v>solicitarVistaNotificacionesExternas</x:v>
      </x:c>
      <x:c r="B1969" t="str"/>
      <x:c r="C1969" t="str">
        <x:v>I_Perfil</x:v>
      </x:c>
      <x:c r="D1969" t="str">
        <x:v>C_Navegacion</x:v>
      </x:c>
      <x:c r="E1969" t="str">
        <x:v>presentación/navegación</x:v>
      </x:c>
      <x:c r="F1969" t="n">
        <x:v>1</x:v>
      </x:c>
      <x:c r="G1969" t="str">
        <x:v>RF48</x:v>
      </x:c>
      <x:c r="H1969" t="str">
        <x:v>RF048-EF1!F10</x:v>
      </x:c>
    </x:row>
    <x:row r="1970">
      <x:c r="A1970" t="str">
        <x:v>solicitarVistaPlanes</x:v>
      </x:c>
      <x:c r="B1970" t="str"/>
      <x:c r="C1970" t="str">
        <x:v>I_Perfil</x:v>
      </x:c>
      <x:c r="D1970" t="str">
        <x:v>C_Navegacion</x:v>
      </x:c>
      <x:c r="E1970" t="str">
        <x:v>presentación/navegación</x:v>
      </x:c>
      <x:c r="F1970" t="n">
        <x:v>3</x:v>
      </x:c>
      <x:c r="G1970" t="str">
        <x:v>RF28, RF29, RF30</x:v>
      </x:c>
      <x:c r="H1970" t="str">
        <x:v>RF028-E1!F14</x:v>
      </x:c>
    </x:row>
    <x:row r="1971">
      <x:c r="A1971" t="str">
        <x:v>solicitarVistaRecordatoriosKm</x:v>
      </x:c>
      <x:c r="B1971" t="str"/>
      <x:c r="C1971" t="str">
        <x:v>I_Perfil</x:v>
      </x:c>
      <x:c r="D1971" t="str">
        <x:v>C_Navegacion</x:v>
      </x:c>
      <x:c r="E1971" t="str">
        <x:v>presentación/navegación</x:v>
      </x:c>
      <x:c r="F1971" t="n">
        <x:v>1</x:v>
      </x:c>
      <x:c r="G1971" t="str">
        <x:v>RF44</x:v>
      </x:c>
      <x:c r="H1971" t="str">
        <x:v>RF044-EF1!F21</x:v>
      </x:c>
    </x:row>
    <x:row r="1972">
      <x:c r="A1972" t="str">
        <x:v>solicitarCambioContrasena</x:v>
      </x:c>
      <x:c r="B1972" t="str"/>
      <x:c r="C1972" t="str">
        <x:v>I_Perfil</x:v>
      </x:c>
      <x:c r="D1972" t="str">
        <x:v>C_PerfilUsuario</x:v>
      </x:c>
      <x:c r="E1972" t="str">
        <x:v>presentación/navegación</x:v>
      </x:c>
      <x:c r="F1972" t="n">
        <x:v>1</x:v>
      </x:c>
      <x:c r="G1972" t="str">
        <x:v>RF05</x:v>
      </x:c>
      <x:c r="H1972" t="str">
        <x:v>RF005-E1!F15</x:v>
      </x:c>
    </x:row>
    <x:row r="1973">
      <x:c r="A1973" t="str">
        <x:v>solicitarCerrarSesion</x:v>
      </x:c>
      <x:c r="B1973" t="str"/>
      <x:c r="C1973" t="str">
        <x:v>I_Perfil</x:v>
      </x:c>
      <x:c r="D1973" t="str">
        <x:v>C_PerfilUsuario</x:v>
      </x:c>
      <x:c r="E1973" t="str">
        <x:v>presentación/navegación</x:v>
      </x:c>
      <x:c r="F1973" t="n">
        <x:v>1</x:v>
      </x:c>
      <x:c r="G1973" t="str">
        <x:v>RF06</x:v>
      </x:c>
      <x:c r="H1973" t="str">
        <x:v>RF006-E1!F15</x:v>
      </x:c>
    </x:row>
    <x:row r="1974">
      <x:c r="A1974" t="str">
        <x:v>solicitarConfirmacionActualizacion</x:v>
      </x:c>
      <x:c r="B1974" t="str"/>
      <x:c r="C1974" t="str">
        <x:v>I_Perfil</x:v>
      </x:c>
      <x:c r="D1974" t="str">
        <x:v>C_PerfilUsuario</x:v>
      </x:c>
      <x:c r="E1974" t="str">
        <x:v>presentación/navegación</x:v>
      </x:c>
      <x:c r="F1974" t="n">
        <x:v>1</x:v>
      </x:c>
      <x:c r="G1974" t="str">
        <x:v>RF04</x:v>
      </x:c>
      <x:c r="H1974" t="str">
        <x:v>RF004-E1!F41</x:v>
      </x:c>
    </x:row>
    <x:row r="1975">
      <x:c r="A1975" t="str">
        <x:v>solicitarDatosPerfil</x:v>
      </x:c>
      <x:c r="B1975" t="str">
        <x:v>idUsuario</x:v>
      </x:c>
      <x:c r="C1975" t="str">
        <x:v>I_Perfil</x:v>
      </x:c>
      <x:c r="D1975" t="str">
        <x:v>C_PerfilUsuario</x:v>
      </x:c>
      <x:c r="E1975" t="str">
        <x:v>presentación/navegación</x:v>
      </x:c>
      <x:c r="F1975" t="n">
        <x:v>1</x:v>
      </x:c>
      <x:c r="G1975" t="str">
        <x:v>RF04</x:v>
      </x:c>
      <x:c r="H1975" t="str">
        <x:v>RF004-E1!F15</x:v>
      </x:c>
    </x:row>
    <x:row r="1976">
      <x:c r="A1976" t="str">
        <x:v>solicitarEdicionPerfil</x:v>
      </x:c>
      <x:c r="B1976" t="str"/>
      <x:c r="C1976" t="str">
        <x:v>I_Perfil</x:v>
      </x:c>
      <x:c r="D1976" t="str">
        <x:v>C_PerfilUsuario</x:v>
      </x:c>
      <x:c r="E1976" t="str">
        <x:v>presentación/navegación</x:v>
      </x:c>
      <x:c r="F1976" t="n">
        <x:v>1</x:v>
      </x:c>
      <x:c r="G1976" t="str">
        <x:v>RF04</x:v>
      </x:c>
      <x:c r="H1976" t="str">
        <x:v>RF004-E1!F22</x:v>
      </x:c>
    </x:row>
    <x:row r="1977">
      <x:c r="A1977" t="str">
        <x:v>solicitarEliminacionCuenta</x:v>
      </x:c>
      <x:c r="B1977" t="str">
        <x:v>idUsuario</x:v>
      </x:c>
      <x:c r="C1977" t="str">
        <x:v>I_Perfil</x:v>
      </x:c>
      <x:c r="D1977" t="str">
        <x:v>C_PerfilUsuario</x:v>
      </x:c>
      <x:c r="E1977" t="str">
        <x:v>presentación/navegación</x:v>
      </x:c>
      <x:c r="F1977" t="n">
        <x:v>1</x:v>
      </x:c>
      <x:c r="G1977" t="str">
        <x:v>RF07</x:v>
      </x:c>
      <x:c r="H1977" t="str">
        <x:v>RF007-E1!F15</x:v>
      </x:c>
    </x:row>
    <x:row r="1978">
      <x:c r="A1978" t="str">
        <x:v>solicitarOpcionesFotoPerfil</x:v>
      </x:c>
      <x:c r="B1978" t="str"/>
      <x:c r="C1978" t="str">
        <x:v>I_Perfil</x:v>
      </x:c>
      <x:c r="D1978" t="str">
        <x:v>C_PerfilUsuario</x:v>
      </x:c>
      <x:c r="E1978" t="str">
        <x:v>presentación/navegación</x:v>
      </x:c>
      <x:c r="F1978" t="n">
        <x:v>3</x:v>
      </x:c>
      <x:c r="G1978" t="str">
        <x:v>RF38, RF39, RF40</x:v>
      </x:c>
      <x:c r="H1978" t="str">
        <x:v>RF038-E1!F15</x:v>
      </x:c>
    </x:row>
    <x:row r="1979">
      <x:c r="A1979" t="str">
        <x:v>solicitarActivacionCicloKm</x:v>
      </x:c>
      <x:c r="B1979" t="str">
        <x:v>idUsuario</x:v>
      </x:c>
      <x:c r="C1979" t="str">
        <x:v>I_Perfil</x:v>
      </x:c>
      <x:c r="D1979" t="str">
        <x:v>C_RecordatorioKm</x:v>
      </x:c>
      <x:c r="E1979" t="str">
        <x:v>presentación/navegación</x:v>
      </x:c>
      <x:c r="F1979" t="n">
        <x:v>1</x:v>
      </x:c>
      <x:c r="G1979" t="str">
        <x:v>RF44</x:v>
      </x:c>
      <x:c r="H1979" t="str">
        <x:v>RF044-EF1!F14</x:v>
      </x:c>
    </x:row>
    <x:row r="1980">
      <x:c r="A1980" t="str">
        <x:v>solicitarEstadoCicloKm</x:v>
      </x:c>
      <x:c r="B1980" t="str">
        <x:v>idUsuario</x:v>
      </x:c>
      <x:c r="C1980" t="str">
        <x:v>I_Perfil</x:v>
      </x:c>
      <x:c r="D1980" t="str">
        <x:v>C_RecordatorioKm</x:v>
      </x:c>
      <x:c r="E1980" t="str">
        <x:v>presentación/navegación</x:v>
      </x:c>
      <x:c r="F1980" t="n">
        <x:v>1</x:v>
      </x:c>
      <x:c r="G1980" t="str">
        <x:v>RF44</x:v>
      </x:c>
      <x:c r="H1980" t="str">
        <x:v>RF044-EF1!F8</x:v>
      </x:c>
    </x:row>
    <x:row r="1981">
      <x:c r="A1981" t="str">
        <x:v>visualizarComparativaPlanes</x:v>
      </x:c>
      <x:c r="B1981" t="str"/>
      <x:c r="C1981" t="str">
        <x:v>I_Planes</x:v>
      </x:c>
      <x:c r="D1981" t="str">
        <x:v>AS_Usuario</x:v>
      </x:c>
      <x:c r="E1981" t="str">
        <x:v>presentación/navegación</x:v>
      </x:c>
      <x:c r="F1981" t="n">
        <x:v>2</x:v>
      </x:c>
      <x:c r="G1981" t="str">
        <x:v>RF28, RF29</x:v>
      </x:c>
      <x:c r="H1981" t="str">
        <x:v>RF028-E1!F24</x:v>
      </x:c>
    </x:row>
    <x:row r="1982">
      <x:c r="A1982" t="str">
        <x:v>obtenerEstadoSuscripcion</x:v>
      </x:c>
      <x:c r="B1982" t="str">
        <x:v>idUsuario</x:v>
      </x:c>
      <x:c r="C1982" t="str">
        <x:v>I_Planes</x:v>
      </x:c>
      <x:c r="D1982" t="str">
        <x:v>C_ControlSuscripcion</x:v>
      </x:c>
      <x:c r="E1982" t="str">
        <x:v>consulta</x:v>
      </x:c>
      <x:c r="F1982" t="n">
        <x:v>1</x:v>
      </x:c>
      <x:c r="G1982" t="str">
        <x:v>RF30</x:v>
      </x:c>
      <x:c r="H1982" t="str">
        <x:v>RF030-E1!F13</x:v>
      </x:c>
    </x:row>
    <x:row r="1983">
      <x:c r="A1983" t="str">
        <x:v>obtenerPlanesDisponibles</x:v>
      </x:c>
      <x:c r="B1983" t="str">
        <x:v>idUsuario</x:v>
      </x:c>
      <x:c r="C1983" t="str">
        <x:v>I_Planes</x:v>
      </x:c>
      <x:c r="D1983" t="str">
        <x:v>C_ControlSuscripcion</x:v>
      </x:c>
      <x:c r="E1983" t="str">
        <x:v>consulta</x:v>
      </x:c>
      <x:c r="F1983" t="n">
        <x:v>2</x:v>
      </x:c>
      <x:c r="G1983" t="str">
        <x:v>RF28, RF29</x:v>
      </x:c>
      <x:c r="H1983" t="str">
        <x:v>RF028-E1!F17</x:v>
      </x:c>
    </x:row>
    <x:row r="1984">
      <x:c r="A1984" t="str">
        <x:v>solicitarResumenContratacion</x:v>
      </x:c>
      <x:c r="B1984" t="str">
        <x:v>idUsuario,PREMIUM</x:v>
      </x:c>
      <x:c r="C1984" t="str">
        <x:v>I_Planes</x:v>
      </x:c>
      <x:c r="D1984" t="str">
        <x:v>C_ControlSuscripcion</x:v>
      </x:c>
      <x:c r="E1984" t="str">
        <x:v>presentación/navegación</x:v>
      </x:c>
      <x:c r="F1984" t="n">
        <x:v>1</x:v>
      </x:c>
      <x:c r="G1984" t="str">
        <x:v>RF29</x:v>
      </x:c>
      <x:c r="H1984" t="str">
        <x:v>RF029-E1!F27</x:v>
      </x:c>
    </x:row>
    <x:row r="1985">
      <x:c r="A1985" t="str">
        <x:v>mostrarSugerenciasServicioOtro</x:v>
      </x:c>
      <x:c r="B1985" t="str">
        <x:v>lista_sugerencias_filtradas</x:v>
      </x:c>
      <x:c r="C1985" t="str">
        <x:v>I_ProgramarAlerta</x:v>
      </x:c>
      <x:c r="D1985" t="str">
        <x:v>AS_Usuario</x:v>
      </x:c>
      <x:c r="E1985" t="str">
        <x:v>presentación/navegación</x:v>
      </x:c>
      <x:c r="F1985" t="n">
        <x:v>1</x:v>
      </x:c>
      <x:c r="G1985" t="str">
        <x:v>RF22</x:v>
      </x:c>
      <x:c r="H1985" t="str">
        <x:v>RF22!F47</x:v>
      </x:c>
    </x:row>
    <x:row r="1986">
      <x:c r="A1986" t="str">
        <x:v>visualizarFormularioBase</x:v>
      </x:c>
      <x:c r="B1986" t="str"/>
      <x:c r="C1986" t="str">
        <x:v>I_ProgramarAlerta</x:v>
      </x:c>
      <x:c r="D1986" t="str">
        <x:v>AS_Usuario</x:v>
      </x:c>
      <x:c r="E1986" t="str">
        <x:v>presentación/navegación</x:v>
      </x:c>
      <x:c r="F1986" t="n">
        <x:v>1</x:v>
      </x:c>
      <x:c r="G1986" t="str">
        <x:v>RF22</x:v>
      </x:c>
      <x:c r="H1986" t="str">
        <x:v>RF22!F17</x:v>
      </x:c>
    </x:row>
    <x:row r="1987">
      <x:c r="A1987" t="str">
        <x:v>visualizarFormularioConDatosActualesYServicioCondicional</x:v>
      </x:c>
      <x:c r="B1987" t="str"/>
      <x:c r="C1987" t="str">
        <x:v>I_ProgramarAlerta</x:v>
      </x:c>
      <x:c r="D1987" t="str">
        <x:v>AS_Usuario</x:v>
      </x:c>
      <x:c r="E1987" t="str">
        <x:v>presentación/navegación</x:v>
      </x:c>
      <x:c r="F1987" t="n">
        <x:v>1</x:v>
      </x:c>
      <x:c r="G1987" t="str">
        <x:v>RF22</x:v>
      </x:c>
      <x:c r="H1987" t="str">
        <x:v>RF22!F43</x:v>
      </x:c>
    </x:row>
    <x:row r="1988">
      <x:c r="A1988" t="str">
        <x:v>visualizarServicioAutocompletadoYReferencia</x:v>
      </x:c>
      <x:c r="B1988" t="str"/>
      <x:c r="C1988" t="str">
        <x:v>I_ProgramarAlerta</x:v>
      </x:c>
      <x:c r="D1988" t="str">
        <x:v>AS_Usuario</x:v>
      </x:c>
      <x:c r="E1988" t="str">
        <x:v>presentación/navegación</x:v>
      </x:c>
      <x:c r="F1988" t="n">
        <x:v>1</x:v>
      </x:c>
      <x:c r="G1988" t="str">
        <x:v>RF22</x:v>
      </x:c>
      <x:c r="H1988" t="str">
        <x:v>RF22!F56</x:v>
      </x:c>
    </x:row>
    <x:row r="1989">
      <x:c r="A1989" t="str">
        <x:v>procesarSeleccionBase</x:v>
      </x:c>
      <x:c r="B1989" t="str">
        <x:v>id_usuario,id_vehiculo,id_tipo_mantenimiento</x:v>
      </x:c>
      <x:c r="C1989" t="str">
        <x:v>I_ProgramarAlerta</x:v>
      </x:c>
      <x:c r="D1989" t="str">
        <x:v>C_ControlAlerta</x:v>
      </x:c>
      <x:c r="E1989" t="str">
        <x:v>otra</x:v>
      </x:c>
      <x:c r="F1989" t="n">
        <x:v>1</x:v>
      </x:c>
      <x:c r="G1989" t="str">
        <x:v>RF22</x:v>
      </x:c>
      <x:c r="H1989" t="str">
        <x:v>RF22!F20</x:v>
      </x:c>
    </x:row>
    <x:row r="1990">
      <x:c r="A1990" t="str">
        <x:v>solicitarReferenciaServicioOtroElegido</x:v>
      </x:c>
      <x:c r="B1990" t="str">
        <x:v>id_usuario,id_vehiculo,nombre_elegido</x:v>
      </x:c>
      <x:c r="C1990" t="str">
        <x:v>I_ProgramarAlerta</x:v>
      </x:c>
      <x:c r="D1990" t="str">
        <x:v>C_ControlAlerta</x:v>
      </x:c>
      <x:c r="E1990" t="str">
        <x:v>presentación/navegación</x:v>
      </x:c>
      <x:c r="F1990" t="n">
        <x:v>1</x:v>
      </x:c>
      <x:c r="G1990" t="str">
        <x:v>RF22</x:v>
      </x:c>
      <x:c r="H1990" t="str">
        <x:v>RF22!F50</x:v>
      </x:c>
    </x:row>
    <x:row r="1991">
      <x:c r="A1991" t="str">
        <x:v>solicitarRevisionProgramacion</x:v>
      </x:c>
      <x:c r="B1991" t="str">
        <x:v>datos_configuracion,servicio_otro_o_NULL,id_mantenimiento_referencia_o_NULL</x:v>
      </x:c>
      <x:c r="C1991" t="str">
        <x:v>I_ProgramarAlerta</x:v>
      </x:c>
      <x:c r="D1991" t="str">
        <x:v>C_ControlAlerta</x:v>
      </x:c>
      <x:c r="E1991" t="str">
        <x:v>presentación/navegación</x:v>
      </x:c>
      <x:c r="F1991" t="n">
        <x:v>1</x:v>
      </x:c>
      <x:c r="G1991" t="str">
        <x:v>RF22</x:v>
      </x:c>
      <x:c r="H1991" t="str">
        <x:v>RF22!F58</x:v>
      </x:c>
    </x:row>
    <x:row r="1992">
      <x:c r="A1992" t="str">
        <x:v>autocompletarServicioOtroYFijarSeleccion</x:v>
      </x:c>
      <x:c r="B1992" t="str">
        <x:v>nombre_elegido</x:v>
      </x:c>
      <x:c r="C1992" t="str">
        <x:v>I_ProgramarAlerta</x:v>
      </x:c>
      <x:c r="D1992" t="str">
        <x:v>I_ProgramarAlerta</x:v>
      </x:c>
      <x:c r="E1992" t="str">
        <x:v>otra</x:v>
      </x:c>
      <x:c r="F1992" t="n">
        <x:v>1</x:v>
      </x:c>
      <x:c r="G1992" t="str">
        <x:v>RF22</x:v>
      </x:c>
      <x:c r="H1992" t="str">
        <x:v>RF22!F49</x:v>
      </x:c>
    </x:row>
    <x:row r="1993">
      <x:c r="A1993" t="str">
        <x:v>filtrarSugerenciasLocales</x:v>
      </x:c>
      <x:c r="B1993" t="str">
        <x:v>texto_libre,lista_servicios_otro_o_vacia</x:v>
      </x:c>
      <x:c r="C1993" t="str">
        <x:v>I_ProgramarAlerta</x:v>
      </x:c>
      <x:c r="D1993" t="str">
        <x:v>I_ProgramarAlerta</x:v>
      </x:c>
      <x:c r="E1993" t="str">
        <x:v>otra</x:v>
      </x:c>
      <x:c r="F1993" t="n">
        <x:v>1</x:v>
      </x:c>
      <x:c r="G1993" t="str">
        <x:v>RF22</x:v>
      </x:c>
      <x:c r="H1993" t="str">
        <x:v>RF22!F46</x:v>
      </x:c>
    </x:row>
    <x:row r="1994">
      <x:c r="A1994" t="str">
        <x:v>mostrarCampoCorreo</x:v>
      </x:c>
      <x:c r="B1994" t="str"/>
      <x:c r="C1994" t="str">
        <x:v>I_RecuperacionContrasena</x:v>
      </x:c>
      <x:c r="D1994" t="str">
        <x:v>AS_Usuario</x:v>
      </x:c>
      <x:c r="E1994" t="str">
        <x:v>presentación/navegación</x:v>
      </x:c>
      <x:c r="F1994" t="n">
        <x:v>1</x:v>
      </x:c>
      <x:c r="G1994" t="str">
        <x:v>RF03</x:v>
      </x:c>
      <x:c r="H1994" t="str">
        <x:v>RF003-E1!F14</x:v>
      </x:c>
    </x:row>
    <x:row r="1995">
      <x:c r="A1995" t="str">
        <x:v>enviarCorreoRecuperacion</x:v>
      </x:c>
      <x:c r="B1995" t="str">
        <x:v>correo</x:v>
      </x:c>
      <x:c r="C1995" t="str">
        <x:v>I_RecuperacionContrasena</x:v>
      </x:c>
      <x:c r="D1995" t="str">
        <x:v>C_RecuperacionCuenta</x:v>
      </x:c>
      <x:c r="E1995" t="str">
        <x:v>otra</x:v>
      </x:c>
      <x:c r="F1995" t="n">
        <x:v>1</x:v>
      </x:c>
      <x:c r="G1995" t="str">
        <x:v>RF03</x:v>
      </x:c>
      <x:c r="H1995" t="str">
        <x:v>RF003-E1!F16</x:v>
      </x:c>
    </x:row>
    <x:row r="1996">
      <x:c r="A1996" t="str">
        <x:v>visualizarRegistroImagen</x:v>
      </x:c>
      <x:c r="B1996" t="str"/>
      <x:c r="C1996" t="str">
        <x:v>I_RegistrarImagenVehiculo</x:v>
      </x:c>
      <x:c r="D1996" t="str">
        <x:v>AS_Usuario</x:v>
      </x:c>
      <x:c r="E1996" t="str">
        <x:v>presentación/navegación</x:v>
      </x:c>
      <x:c r="F1996" t="n">
        <x:v>1</x:v>
      </x:c>
      <x:c r="G1996" t="str">
        <x:v>RF42</x:v>
      </x:c>
      <x:c r="H1996" t="str">
        <x:v>RF042-EF1!F11</x:v>
      </x:c>
    </x:row>
    <x:row r="1997">
      <x:c r="A1997" t="str">
        <x:v>solicitarSeleccionImagen</x:v>
      </x:c>
      <x:c r="B1997" t="str"/>
      <x:c r="C1997" t="str">
        <x:v>I_RegistrarImagenVehiculo</x:v>
      </x:c>
      <x:c r="D1997" t="str">
        <x:v>C_ControlImagenVehiculo</x:v>
      </x:c>
      <x:c r="E1997" t="str">
        <x:v>presentación/navegación</x:v>
      </x:c>
      <x:c r="F1997" t="n">
        <x:v>1</x:v>
      </x:c>
      <x:c r="G1997" t="str">
        <x:v>RF42</x:v>
      </x:c>
      <x:c r="H1997" t="str">
        <x:v>RF042-EF1!F14</x:v>
      </x:c>
    </x:row>
    <x:row r="1998">
      <x:c r="A1998" t="str">
        <x:v>visualizarFormularioDNIYPrivacidad</x:v>
      </x:c>
      <x:c r="B1998" t="str"/>
      <x:c r="C1998" t="str">
        <x:v>I_RegistrarLicencia</x:v>
      </x:c>
      <x:c r="D1998" t="str">
        <x:v>AS_Usuario</x:v>
      </x:c>
      <x:c r="E1998" t="str">
        <x:v>presentación/navegación</x:v>
      </x:c>
      <x:c r="F1998" t="n">
        <x:v>1</x:v>
      </x:c>
      <x:c r="G1998" t="str">
        <x:v>RF51</x:v>
      </x:c>
      <x:c r="H1998" t="str">
        <x:v>RF051-EF1!F21</x:v>
      </x:c>
    </x:row>
    <x:row r="1999">
      <x:c r="A1999" t="str">
        <x:v>solicitarValidacionDNI</x:v>
      </x:c>
      <x:c r="B1999" t="str">
        <x:v>dni,aceptacion</x:v>
      </x:c>
      <x:c r="C1999" t="str">
        <x:v>I_RegistrarLicencia</x:v>
      </x:c>
      <x:c r="D1999" t="str">
        <x:v>C_ControlLicencia</x:v>
      </x:c>
      <x:c r="E1999" t="str">
        <x:v>presentación/navegación</x:v>
      </x:c>
      <x:c r="F1999" t="n">
        <x:v>1</x:v>
      </x:c>
      <x:c r="G1999" t="str">
        <x:v>RF51</x:v>
      </x:c>
      <x:c r="H1999" t="str">
        <x:v>RF051-EF1!F24</x:v>
      </x:c>
    </x:row>
    <x:row r="2000">
      <x:c r="A2000" t="str">
        <x:v>mostrarFormularioConImagenYHabilitarGuardar</x:v>
      </x:c>
      <x:c r="B2000" t="str"/>
      <x:c r="C2000" t="str">
        <x:v>I_RegistrarTIVE</x:v>
      </x:c>
      <x:c r="D2000" t="str">
        <x:v>AS_Usuario</x:v>
      </x:c>
      <x:c r="E2000" t="str">
        <x:v>presentación/navegación</x:v>
      </x:c>
      <x:c r="F2000" t="n">
        <x:v>1</x:v>
      </x:c>
      <x:c r="G2000" t="str">
        <x:v>RF54</x:v>
      </x:c>
      <x:c r="H2000" t="str">
        <x:v>RF054-EF1!F27</x:v>
      </x:c>
    </x:row>
    <x:row r="2001">
      <x:c r="A2001" t="str">
        <x:v>visualizarFormularioRegistroTIVE</x:v>
      </x:c>
      <x:c r="B2001" t="str"/>
      <x:c r="C2001" t="str">
        <x:v>I_RegistrarTIVE</x:v>
      </x:c>
      <x:c r="D2001" t="str">
        <x:v>AS_Usuario</x:v>
      </x:c>
      <x:c r="E2001" t="str">
        <x:v>presentación/navegación</x:v>
      </x:c>
      <x:c r="F2001" t="n">
        <x:v>1</x:v>
      </x:c>
      <x:c r="G2001" t="str">
        <x:v>RF54</x:v>
      </x:c>
      <x:c r="H2001" t="str">
        <x:v>RF054-EF1!F16</x:v>
      </x:c>
    </x:row>
    <x:row r="2002">
      <x:c r="A2002" t="str">
        <x:v>enviarDatosTIVE</x:v>
      </x:c>
      <x:c r="B2002" t="str">
        <x:v>numeroVin,numeroTitulo,codigoVerificacion,fechaTitulo,datosRegistrales?,imagen?</x:v>
      </x:c>
      <x:c r="C2002" t="str">
        <x:v>I_RegistrarTIVE</x:v>
      </x:c>
      <x:c r="D2002" t="str">
        <x:v>C_ControlTIVE</x:v>
      </x:c>
      <x:c r="E2002" t="str">
        <x:v>otra</x:v>
      </x:c>
      <x:c r="F2002" t="n">
        <x:v>1</x:v>
      </x:c>
      <x:c r="G2002" t="str">
        <x:v>RF54</x:v>
      </x:c>
      <x:c r="H2002" t="str">
        <x:v>RF054-EF1!F30</x:v>
      </x:c>
    </x:row>
    <x:row r="2003">
      <x:c r="A2003" t="str">
        <x:v>mostrarSelectorCamaraGaleria</x:v>
      </x:c>
      <x:c r="B2003" t="str"/>
      <x:c r="C2003" t="str">
        <x:v>I_RegistrarTIVE</x:v>
      </x:c>
      <x:c r="D2003" t="str">
        <x:v>C_Navegacion</x:v>
      </x:c>
      <x:c r="E2003" t="str">
        <x:v>presentación/navegación</x:v>
      </x:c>
      <x:c r="F2003" t="n">
        <x:v>1</x:v>
      </x:c>
      <x:c r="G2003" t="str">
        <x:v>RF54</x:v>
      </x:c>
      <x:c r="H2003" t="str">
        <x:v>RF054-EF1!F20</x:v>
      </x:c>
    </x:row>
    <x:row r="2004">
      <x:c r="A2004" t="str">
        <x:v>registrarReporte</x:v>
      </x:c>
      <x:c r="B2004" t="str">
        <x:v>titulo,categoria,descripcion,archivo?</x:v>
      </x:c>
      <x:c r="C2004" t="str">
        <x:v>I_RegistroIncidenciaUsuario</x:v>
      </x:c>
      <x:c r="D2004" t="str">
        <x:v>C_ControlIncidencia</x:v>
      </x:c>
      <x:c r="E2004" t="str">
        <x:v>escritura</x:v>
      </x:c>
      <x:c r="F2004" t="n">
        <x:v>1</x:v>
      </x:c>
      <x:c r="G2004" t="str">
        <x:v>RF63</x:v>
      </x:c>
      <x:c r="H2004" t="str">
        <x:v>RF063_EXITOSO!F23</x:v>
      </x:c>
    </x:row>
    <x:row r="2005">
      <x:c r="A2005" t="str">
        <x:v>solicitarSelectorEvidencia</x:v>
      </x:c>
      <x:c r="B2005" t="str"/>
      <x:c r="C2005" t="str">
        <x:v>I_RegistroIncidenciaUsuario</x:v>
      </x:c>
      <x:c r="D2005" t="str">
        <x:v>C_ControlIncidencia</x:v>
      </x:c>
      <x:c r="E2005" t="str">
        <x:v>presentación/navegación</x:v>
      </x:c>
      <x:c r="F2005" t="n">
        <x:v>1</x:v>
      </x:c>
      <x:c r="G2005" t="str">
        <x:v>RF63</x:v>
      </x:c>
      <x:c r="H2005" t="str">
        <x:v>RF063_EXITOSO!F13</x:v>
      </x:c>
    </x:row>
    <x:row r="2006">
      <x:c r="A2006" t="str">
        <x:v>visualizarCamposCondicionales</x:v>
      </x:c>
      <x:c r="B2006" t="str"/>
      <x:c r="C2006" t="str">
        <x:v>I_RegistroMantenimiento</x:v>
      </x:c>
      <x:c r="D2006" t="str">
        <x:v>AS_Usuario</x:v>
      </x:c>
      <x:c r="E2006" t="str">
        <x:v>presentación/navegación</x:v>
      </x:c>
      <x:c r="F2006" t="n">
        <x:v>1</x:v>
      </x:c>
      <x:c r="G2006" t="str">
        <x:v>RF17</x:v>
      </x:c>
      <x:c r="H2006" t="str">
        <x:v>RF17!F46</x:v>
      </x:c>
    </x:row>
    <x:row r="2007">
      <x:c r="A2007" t="str">
        <x:v>visualizarDecisionConversionAlerta</x:v>
      </x:c>
      <x:c r="B2007" t="str"/>
      <x:c r="C2007" t="str">
        <x:v>I_RegistroMantenimiento</x:v>
      </x:c>
      <x:c r="D2007" t="str">
        <x:v>AS_Usuario</x:v>
      </x:c>
      <x:c r="E2007" t="str">
        <x:v>presentación/navegación</x:v>
      </x:c>
      <x:c r="F2007" t="n">
        <x:v>1</x:v>
      </x:c>
      <x:c r="G2007" t="str">
        <x:v>RF17</x:v>
      </x:c>
      <x:c r="H2007" t="str">
        <x:v>RF17!F70</x:v>
      </x:c>
    </x:row>
    <x:row r="2008">
      <x:c r="A2008" t="str">
        <x:v>visualizarFormularioRegistrarComoRealizado</x:v>
      </x:c>
      <x:c r="B2008" t="str"/>
      <x:c r="C2008" t="str">
        <x:v>I_RegistroMantenimiento</x:v>
      </x:c>
      <x:c r="D2008" t="str">
        <x:v>AS_Usuario</x:v>
      </x:c>
      <x:c r="E2008" t="str">
        <x:v>presentación/navegación</x:v>
      </x:c>
      <x:c r="F2008" t="n">
        <x:v>1</x:v>
      </x:c>
      <x:c r="G2008" t="str">
        <x:v>RF24</x:v>
      </x:c>
      <x:c r="H2008" t="str">
        <x:v>RF24!F51</x:v>
      </x:c>
    </x:row>
    <x:row r="2009">
      <x:c r="A2009" t="str">
        <x:v>visualizarFormularioRegistro</x:v>
      </x:c>
      <x:c r="B2009" t="str"/>
      <x:c r="C2009" t="str">
        <x:v>I_RegistroMantenimiento</x:v>
      </x:c>
      <x:c r="D2009" t="str">
        <x:v>AS_Usuario</x:v>
      </x:c>
      <x:c r="E2009" t="str">
        <x:v>presentación/navegación</x:v>
      </x:c>
      <x:c r="F2009" t="n">
        <x:v>1</x:v>
      </x:c>
      <x:c r="G2009" t="str">
        <x:v>RF17</x:v>
      </x:c>
      <x:c r="H2009" t="str">
        <x:v>RF17!F40</x:v>
      </x:c>
    </x:row>
    <x:row r="2010">
      <x:c r="A2010" t="str">
        <x:v>confirmarDecisionConversion</x:v>
      </x:c>
      <x:c r="B2010" t="str">
        <x:v>NO_SOLO_GUARDAR</x:v>
      </x:c>
      <x:c r="C2010" t="str">
        <x:v>I_RegistroMantenimiento</x:v>
      </x:c>
      <x:c r="D2010" t="str">
        <x:v>C_ControlMantenimiento</x:v>
      </x:c>
      <x:c r="E2010" t="str">
        <x:v>otra</x:v>
      </x:c>
      <x:c r="F2010" t="n">
        <x:v>1</x:v>
      </x:c>
      <x:c r="G2010" t="str">
        <x:v>RF17</x:v>
      </x:c>
      <x:c r="H2010" t="str">
        <x:v>RF17!F72</x:v>
      </x:c>
    </x:row>
    <x:row r="2011">
      <x:c r="A2011" t="str">
        <x:v>enviarDatosMantenimiento</x:v>
      </x:c>
      <x:c r="B2011" t="str">
        <x:v>datos_editables,id_vehiculo,referencia_km_servicio</x:v>
      </x:c>
      <x:c r="C2011" t="str">
        <x:v>I_RegistroMantenimiento</x:v>
      </x:c>
      <x:c r="D2011" t="str">
        <x:v>C_ControlMantenimiento</x:v>
      </x:c>
      <x:c r="E2011" t="str">
        <x:v>otra</x:v>
      </x:c>
      <x:c r="F2011" t="n">
        <x:v>1</x:v>
      </x:c>
      <x:c r="G2011" t="str">
        <x:v>RF17</x:v>
      </x:c>
      <x:c r="H2011" t="str">
        <x:v>RF17!F49</x:v>
      </x:c>
    </x:row>
    <x:row r="2012">
      <x:c r="A2012" t="str">
        <x:v>enviarRegistroDesdeAlerta</x:v>
      </x:c>
      <x:c r="B2012" t="str">
        <x:v>datos_editables,id_alerta,referencia_km_servicio</x:v>
      </x:c>
      <x:c r="C2012" t="str">
        <x:v>I_RegistroMantenimiento</x:v>
      </x:c>
      <x:c r="D2012" t="str">
        <x:v>C_ControlMantenimiento</x:v>
      </x:c>
      <x:c r="E2012" t="str">
        <x:v>otra</x:v>
      </x:c>
      <x:c r="F2012" t="n">
        <x:v>1</x:v>
      </x:c>
      <x:c r="G2012" t="str">
        <x:v>RF24</x:v>
      </x:c>
      <x:c r="H2012" t="str">
        <x:v>RF24!F54</x:v>
      </x:c>
    </x:row>
    <x:row r="2013">
      <x:c r="A2013" t="str">
        <x:v>solicitarCamposCondicionales</x:v>
      </x:c>
      <x:c r="B2013" t="str">
        <x:v>id_tipo</x:v>
      </x:c>
      <x:c r="C2013" t="str">
        <x:v>I_RegistroMantenimiento</x:v>
      </x:c>
      <x:c r="D2013" t="str">
        <x:v>C_ControlMantenimiento</x:v>
      </x:c>
      <x:c r="E2013" t="str">
        <x:v>presentación/navegación</x:v>
      </x:c>
      <x:c r="F2013" t="n">
        <x:v>1</x:v>
      </x:c>
      <x:c r="G2013" t="str">
        <x:v>RF17</x:v>
      </x:c>
      <x:c r="H2013" t="str">
        <x:v>RF17!F43</x:v>
      </x:c>
    </x:row>
    <x:row r="2014">
      <x:c r="A2014" t="str">
        <x:v>habilitarBotonRegistrarTaller</x:v>
      </x:c>
      <x:c r="B2014" t="str"/>
      <x:c r="C2014" t="str">
        <x:v>I_RegistroTaller</x:v>
      </x:c>
      <x:c r="D2014" t="str">
        <x:v>AS_Usuario</x:v>
      </x:c>
      <x:c r="E2014" t="str">
        <x:v>otra</x:v>
      </x:c>
      <x:c r="F2014" t="n">
        <x:v>1</x:v>
      </x:c>
      <x:c r="G2014" t="str">
        <x:v>RF34</x:v>
      </x:c>
      <x:c r="H2014" t="str">
        <x:v>RF034-EF1!F22</x:v>
      </x:c>
    </x:row>
    <x:row r="2015">
      <x:c r="A2015" t="str">
        <x:v>visualizarFormularioRegistroTaller</x:v>
      </x:c>
      <x:c r="B2015" t="str"/>
      <x:c r="C2015" t="str">
        <x:v>I_RegistroTaller</x:v>
      </x:c>
      <x:c r="D2015" t="str">
        <x:v>AS_Usuario</x:v>
      </x:c>
      <x:c r="E2015" t="str">
        <x:v>presentación/navegación</x:v>
      </x:c>
      <x:c r="F2015" t="n">
        <x:v>1</x:v>
      </x:c>
      <x:c r="G2015" t="str">
        <x:v>RF34</x:v>
      </x:c>
      <x:c r="H2015" t="str">
        <x:v>RF034-EF1!F19</x:v>
      </x:c>
    </x:row>
    <x:row r="2016">
      <x:c r="A2016" t="str">
        <x:v>enviarDatosTaller</x:v>
      </x:c>
      <x:c r="B2016" t="str">
        <x:v>idUsuario,nombre,telefono,correo,direccion,notas</x:v>
      </x:c>
      <x:c r="C2016" t="str">
        <x:v>I_RegistroTaller</x:v>
      </x:c>
      <x:c r="D2016" t="str">
        <x:v>C_ControlTaller</x:v>
      </x:c>
      <x:c r="E2016" t="str">
        <x:v>otra</x:v>
      </x:c>
      <x:c r="F2016" t="n">
        <x:v>1</x:v>
      </x:c>
      <x:c r="G2016" t="str">
        <x:v>RF34</x:v>
      </x:c>
      <x:c r="H2016" t="str">
        <x:v>RF034-EF1!F24</x:v>
      </x:c>
    </x:row>
    <x:row r="2017">
      <x:c r="A2017" t="str">
        <x:v>visualizarContrasena</x:v>
      </x:c>
      <x:c r="B2017" t="str">
        <x:v>estadoVisual</x:v>
      </x:c>
      <x:c r="C2017" t="str">
        <x:v>I_RegistroUsuario</x:v>
      </x:c>
      <x:c r="D2017" t="str">
        <x:v>AS_Usuario</x:v>
      </x:c>
      <x:c r="E2017" t="str">
        <x:v>presentación/navegación</x:v>
      </x:c>
      <x:c r="F2017" t="n">
        <x:v>1</x:v>
      </x:c>
      <x:c r="G2017" t="str">
        <x:v>RF01</x:v>
      </x:c>
      <x:c r="H2017" t="str">
        <x:v>RF001-E1!F15</x:v>
      </x:c>
    </x:row>
    <x:row r="2018">
      <x:c r="A2018" t="str">
        <x:v>visualizarFormularioRegistro</x:v>
      </x:c>
      <x:c r="B2018" t="str"/>
      <x:c r="C2018" t="str">
        <x:v>I_RegistroUsuario</x:v>
      </x:c>
      <x:c r="D2018" t="str">
        <x:v>AS_Usuario</x:v>
      </x:c>
      <x:c r="E2018" t="str">
        <x:v>presentación/navegación</x:v>
      </x:c>
      <x:c r="F2018" t="n">
        <x:v>1</x:v>
      </x:c>
      <x:c r="G2018" t="str">
        <x:v>RF01</x:v>
      </x:c>
      <x:c r="H2018" t="str">
        <x:v>RF001-E1!F9</x:v>
      </x:c>
    </x:row>
    <x:row r="2019">
      <x:c r="A2019" t="str">
        <x:v>enviarDatosRegistro</x:v>
      </x:c>
      <x:c r="B2019" t="str">
        <x:v>datosRegistro</x:v>
      </x:c>
      <x:c r="C2019" t="str">
        <x:v>I_RegistroUsuario</x:v>
      </x:c>
      <x:c r="D2019" t="str">
        <x:v>C_RegistroUsuario</x:v>
      </x:c>
      <x:c r="E2019" t="str">
        <x:v>otra</x:v>
      </x:c>
      <x:c r="F2019" t="n">
        <x:v>1</x:v>
      </x:c>
      <x:c r="G2019" t="str">
        <x:v>RF01</x:v>
      </x:c>
      <x:c r="H2019" t="str">
        <x:v>RF001-E1!F17</x:v>
      </x:c>
    </x:row>
    <x:row r="2020">
      <x:c r="A2020" t="str">
        <x:v>solicitarCambioVisibilidad</x:v>
      </x:c>
      <x:c r="B2020" t="str">
        <x:v>campo</x:v>
      </x:c>
      <x:c r="C2020" t="str">
        <x:v>I_RegistroUsuario</x:v>
      </x:c>
      <x:c r="D2020" t="str">
        <x:v>C_RegistroUsuario</x:v>
      </x:c>
      <x:c r="E2020" t="str">
        <x:v>presentación/navegación</x:v>
      </x:c>
      <x:c r="F2020" t="n">
        <x:v>1</x:v>
      </x:c>
      <x:c r="G2020" t="str">
        <x:v>RF01</x:v>
      </x:c>
      <x:c r="H2020" t="str">
        <x:v>RF001-E1!F12</x:v>
      </x:c>
    </x:row>
    <x:row r="2021">
      <x:c r="A2021" t="str">
        <x:v>formularioDesplegado</x:v>
      </x:c>
      <x:c r="B2021" t="str"/>
      <x:c r="C2021" t="str">
        <x:v>I_RegistroVehiculo</x:v>
      </x:c>
      <x:c r="D2021" t="str">
        <x:v>AS_Usuario</x:v>
      </x:c>
      <x:c r="E2021" t="str">
        <x:v>otra</x:v>
      </x:c>
      <x:c r="F2021" t="n">
        <x:v>1</x:v>
      </x:c>
      <x:c r="G2021" t="str">
        <x:v>RF08</x:v>
      </x:c>
      <x:c r="H2021" t="str">
        <x:v>RF008-EF1!F19</x:v>
      </x:c>
    </x:row>
    <x:row r="2022">
      <x:c r="A2022" t="str">
        <x:v>enviarDatosVehiculo</x:v>
      </x:c>
      <x:c r="B2022" t="str">
        <x:v>
marca,
modelo,
usoVehiculo,
placa,
anioFabricacion,
color,
tipoMotor,
combustible?,
kilometrajeInicial,
numeroVin?,
numeroSerie?,
numeroMotor?,
tipoAceite?,
especificacionTipoMotor?,
especificacionCombustible?,
especificacionTipoAceite?,
imagen?
</x:v>
      </x:c>
      <x:c r="C2022" t="str">
        <x:v>I_RegistroVehiculo</x:v>
      </x:c>
      <x:c r="D2022" t="str">
        <x:v>C_ControlRegistroVehiculo</x:v>
      </x:c>
      <x:c r="E2022" t="str">
        <x:v>otra</x:v>
      </x:c>
      <x:c r="F2022" t="n">
        <x:v>1</x:v>
      </x:c>
      <x:c r="G2022" t="str">
        <x:v>RF08</x:v>
      </x:c>
      <x:c r="H2022" t="str">
        <x:v>RF008-EF1!F22</x:v>
      </x:c>
    </x:row>
    <x:row r="2023">
      <x:c r="A2023" t="str">
        <x:v>visualizarMensajeResultado</x:v>
      </x:c>
      <x:c r="B2023" t="str"/>
      <x:c r="C2023" t="str">
        <x:v>I_ResultadoOperacion</x:v>
      </x:c>
      <x:c r="D2023" t="str">
        <x:v>AS_Usuario</x:v>
      </x:c>
      <x:c r="E2023" t="str">
        <x:v>presentación/navegación</x:v>
      </x:c>
      <x:c r="F2023" t="n">
        <x:v>3</x:v>
      </x:c>
      <x:c r="G2023" t="str">
        <x:v>RF38, RF39, RF40</x:v>
      </x:c>
      <x:c r="H2023" t="str">
        <x:v>RF038-E1!F39</x:v>
      </x:c>
    </x:row>
    <x:row r="2024">
      <x:c r="A2024" t="str">
        <x:v>solicitarRetornoDetalleSuscripcion</x:v>
      </x:c>
      <x:c r="B2024" t="str">
        <x:v>idUsuario</x:v>
      </x:c>
      <x:c r="C2024" t="str">
        <x:v>I_ResultadoVerificacion</x:v>
      </x:c>
      <x:c r="D2024" t="str">
        <x:v>C_ControlSuscripcionAdmin</x:v>
      </x:c>
      <x:c r="E2024" t="str">
        <x:v>presentación/navegación</x:v>
      </x:c>
      <x:c r="F2024" t="n">
        <x:v>1</x:v>
      </x:c>
      <x:c r="G2024" t="str">
        <x:v>RF60</x:v>
      </x:c>
      <x:c r="H2024" t="str">
        <x:v>RF060_EXITOSO!F36</x:v>
      </x:c>
    </x:row>
    <x:row r="2025">
      <x:c r="A2025" t="str">
        <x:v>habilitarBotonGuardarCambios</x:v>
      </x:c>
      <x:c r="B2025" t="str"/>
      <x:c r="C2025" t="str">
        <x:v>I_SOAT</x:v>
      </x:c>
      <x:c r="D2025" t="str">
        <x:v>AS_Usuario</x:v>
      </x:c>
      <x:c r="E2025" t="str">
        <x:v>otra</x:v>
      </x:c>
      <x:c r="F2025" t="n">
        <x:v>1</x:v>
      </x:c>
      <x:c r="G2025" t="str">
        <x:v>RF32</x:v>
      </x:c>
      <x:c r="H2025" t="str">
        <x:v>RF032-EF1!F36</x:v>
      </x:c>
    </x:row>
    <x:row r="2026">
      <x:c r="A2026" t="str">
        <x:v>habilitarBotonRegistrar</x:v>
      </x:c>
      <x:c r="B2026" t="str"/>
      <x:c r="C2026" t="str">
        <x:v>I_SOAT</x:v>
      </x:c>
      <x:c r="D2026" t="str">
        <x:v>AS_Usuario</x:v>
      </x:c>
      <x:c r="E2026" t="str">
        <x:v>otra</x:v>
      </x:c>
      <x:c r="F2026" t="n">
        <x:v>1</x:v>
      </x:c>
      <x:c r="G2026" t="str">
        <x:v>RF31</x:v>
      </x:c>
      <x:c r="H2026" t="str">
        <x:v>RF031-EF1!F27</x:v>
      </x:c>
    </x:row>
    <x:row r="2027">
      <x:c r="A2027" t="str">
        <x:v>habilitarBotonRenovar</x:v>
      </x:c>
      <x:c r="B2027" t="str"/>
      <x:c r="C2027" t="str">
        <x:v>I_SOAT</x:v>
      </x:c>
      <x:c r="D2027" t="str">
        <x:v>AS_Usuario</x:v>
      </x:c>
      <x:c r="E2027" t="str">
        <x:v>otra</x:v>
      </x:c>
      <x:c r="F2027" t="n">
        <x:v>1</x:v>
      </x:c>
      <x:c r="G2027" t="str">
        <x:v>RF32</x:v>
      </x:c>
      <x:c r="H2027" t="str">
        <x:v>RF032-EF1!F59</x:v>
      </x:c>
    </x:row>
    <x:row r="2028">
      <x:c r="A2028" t="str">
        <x:v>visualizarFormularioEdicion</x:v>
      </x:c>
      <x:c r="B2028" t="str"/>
      <x:c r="C2028" t="str">
        <x:v>I_SOAT</x:v>
      </x:c>
      <x:c r="D2028" t="str">
        <x:v>AS_Usuario</x:v>
      </x:c>
      <x:c r="E2028" t="str">
        <x:v>presentación/navegación</x:v>
      </x:c>
      <x:c r="F2028" t="n">
        <x:v>1</x:v>
      </x:c>
      <x:c r="G2028" t="str">
        <x:v>RF32</x:v>
      </x:c>
      <x:c r="H2028" t="str">
        <x:v>RF032-EF1!F34</x:v>
      </x:c>
    </x:row>
    <x:row r="2029">
      <x:c r="A2029" t="str">
        <x:v>visualizarFormularioRegistroSOAT</x:v>
      </x:c>
      <x:c r="B2029" t="str"/>
      <x:c r="C2029" t="str">
        <x:v>I_SOAT</x:v>
      </x:c>
      <x:c r="D2029" t="str">
        <x:v>AS_Usuario</x:v>
      </x:c>
      <x:c r="E2029" t="str">
        <x:v>presentación/navegación</x:v>
      </x:c>
      <x:c r="F2029" t="n">
        <x:v>1</x:v>
      </x:c>
      <x:c r="G2029" t="str">
        <x:v>RF31</x:v>
      </x:c>
      <x:c r="H2029" t="str">
        <x:v>RF031-EF1!F24</x:v>
      </x:c>
    </x:row>
    <x:row r="2030">
      <x:c r="A2030" t="str">
        <x:v>visualizarFormularioRenovacion</x:v>
      </x:c>
      <x:c r="B2030" t="str"/>
      <x:c r="C2030" t="str">
        <x:v>I_SOAT</x:v>
      </x:c>
      <x:c r="D2030" t="str">
        <x:v>AS_Usuario</x:v>
      </x:c>
      <x:c r="E2030" t="str">
        <x:v>presentación/navegación</x:v>
      </x:c>
      <x:c r="F2030" t="n">
        <x:v>1</x:v>
      </x:c>
      <x:c r="G2030" t="str">
        <x:v>RF32</x:v>
      </x:c>
      <x:c r="H2030" t="str">
        <x:v>RF032-EF1!F57</x:v>
      </x:c>
    </x:row>
    <x:row r="2031">
      <x:c r="A2031" t="str">
        <x:v>visualizarOpcionesActualizar</x:v>
      </x:c>
      <x:c r="B2031" t="str"/>
      <x:c r="C2031" t="str">
        <x:v>I_SOAT</x:v>
      </x:c>
      <x:c r="D2031" t="str">
        <x:v>AS_Usuario</x:v>
      </x:c>
      <x:c r="E2031" t="str">
        <x:v>presentación/navegación</x:v>
      </x:c>
      <x:c r="F2031" t="n">
        <x:v>1</x:v>
      </x:c>
      <x:c r="G2031" t="str">
        <x:v>RF32</x:v>
      </x:c>
      <x:c r="H2031" t="str">
        <x:v>RF032-EF1!F29</x:v>
      </x:c>
    </x:row>
    <x:row r="2032">
      <x:c r="A2032" t="str">
        <x:v>enviarDatosSOAT</x:v>
      </x:c>
      <x:c r="B2032" t="str">
        <x:v>idVehiculo,datosSOAT</x:v>
      </x:c>
      <x:c r="C2032" t="str">
        <x:v>I_SOAT</x:v>
      </x:c>
      <x:c r="D2032" t="str">
        <x:v>C_ControlSOAT</x:v>
      </x:c>
      <x:c r="E2032" t="str">
        <x:v>otra</x:v>
      </x:c>
      <x:c r="F2032" t="n">
        <x:v>1</x:v>
      </x:c>
      <x:c r="G2032" t="str">
        <x:v>RF31</x:v>
      </x:c>
      <x:c r="H2032" t="str">
        <x:v>RF031-EF1!F29</x:v>
      </x:c>
    </x:row>
    <x:row r="2033">
      <x:c r="A2033" t="str">
        <x:v>enviarEdicionVigenciaActual</x:v>
      </x:c>
      <x:c r="B2033" t="str">
        <x:v>idSOAT,aseguradora,numeroPoliza,fechaInicio,fechaVencimiento,importePrima?,fechaEmision?,nombreContratante?</x:v>
      </x:c>
      <x:c r="C2033" t="str">
        <x:v>I_SOAT</x:v>
      </x:c>
      <x:c r="D2033" t="str">
        <x:v>C_ControlSOAT</x:v>
      </x:c>
      <x:c r="E2033" t="str">
        <x:v>otra</x:v>
      </x:c>
      <x:c r="F2033" t="n">
        <x:v>1</x:v>
      </x:c>
      <x:c r="G2033" t="str">
        <x:v>RF32</x:v>
      </x:c>
      <x:c r="H2033" t="str">
        <x:v>RF032-EF1!F38</x:v>
      </x:c>
    </x:row>
    <x:row r="2034">
      <x:c r="A2034" t="str">
        <x:v>enviarRenovacionSOAT</x:v>
      </x:c>
      <x:c r="B2034" t="str">
        <x:v>idSOATAnterior,datosRenovacion</x:v>
      </x:c>
      <x:c r="C2034" t="str">
        <x:v>I_SOAT</x:v>
      </x:c>
      <x:c r="D2034" t="str">
        <x:v>C_ControlSOAT</x:v>
      </x:c>
      <x:c r="E2034" t="str">
        <x:v>otra</x:v>
      </x:c>
      <x:c r="F2034" t="n">
        <x:v>1</x:v>
      </x:c>
      <x:c r="G2034" t="str">
        <x:v>RF32</x:v>
      </x:c>
      <x:c r="H2034" t="str">
        <x:v>RF032-EF1!F61</x:v>
      </x:c>
    </x:row>
    <x:row r="2035">
      <x:c r="A2035" t="str">
        <x:v>procesarOperacionSOAT</x:v>
      </x:c>
      <x:c r="B2035" t="str">
        <x:v>tipoOperacion,soatActual</x:v>
      </x:c>
      <x:c r="C2035" t="str">
        <x:v>I_SOAT</x:v>
      </x:c>
      <x:c r="D2035" t="str">
        <x:v>C_ControlSOAT</x:v>
      </x:c>
      <x:c r="E2035" t="str">
        <x:v>otra</x:v>
      </x:c>
      <x:c r="F2035" t="n">
        <x:v>1</x:v>
      </x:c>
      <x:c r="G2035" t="str">
        <x:v>RF32</x:v>
      </x:c>
      <x:c r="H2035" t="str">
        <x:v>RF032-EF1!F31</x:v>
      </x:c>
    </x:row>
    <x:row r="2036">
      <x:c r="A2036" t="str">
        <x:v>visualizarGaleriaImagenes</x:v>
      </x:c>
      <x:c r="B2036" t="str"/>
      <x:c r="C2036" t="str">
        <x:v>I_SeleccionFoto</x:v>
      </x:c>
      <x:c r="D2036" t="str">
        <x:v>AS_Usuario</x:v>
      </x:c>
      <x:c r="E2036" t="str">
        <x:v>presentación/navegación</x:v>
      </x:c>
      <x:c r="F2036" t="n">
        <x:v>2</x:v>
      </x:c>
      <x:c r="G2036" t="str">
        <x:v>RF38, RF39</x:v>
      </x:c>
      <x:c r="H2036" t="str">
        <x:v>RF038-E1!F22</x:v>
      </x:c>
    </x:row>
    <x:row r="2037">
      <x:c r="A2037" t="str">
        <x:v>visualizarImagenSeleccionada</x:v>
      </x:c>
      <x:c r="B2037" t="str"/>
      <x:c r="C2037" t="str">
        <x:v>I_SeleccionFoto</x:v>
      </x:c>
      <x:c r="D2037" t="str">
        <x:v>AS_Usuario</x:v>
      </x:c>
      <x:c r="E2037" t="str">
        <x:v>presentación/navegación</x:v>
      </x:c>
      <x:c r="F2037" t="n">
        <x:v>2</x:v>
      </x:c>
      <x:c r="G2037" t="str">
        <x:v>RF38, RF39</x:v>
      </x:c>
      <x:c r="H2037" t="str">
        <x:v>RF038-E1!F24</x:v>
      </x:c>
    </x:row>
    <x:row r="2038">
      <x:c r="A2038" t="str">
        <x:v>enviarImagenSeleccionada</x:v>
      </x:c>
      <x:c r="B2038" t="str">
        <x:v>imagen</x:v>
      </x:c>
      <x:c r="C2038" t="str">
        <x:v>I_SeleccionFoto</x:v>
      </x:c>
      <x:c r="D2038" t="str">
        <x:v>C_FotoPerfil</x:v>
      </x:c>
      <x:c r="E2038" t="str">
        <x:v>otra</x:v>
      </x:c>
      <x:c r="F2038" t="n">
        <x:v>1</x:v>
      </x:c>
      <x:c r="G2038" t="str">
        <x:v>RF38</x:v>
      </x:c>
      <x:c r="H2038" t="str">
        <x:v>RF038-E1!F26</x:v>
      </x:c>
    </x:row>
    <x:row r="2039">
      <x:c r="A2039" t="str">
        <x:v>enviarImagenSeleccionada</x:v>
      </x:c>
      <x:c r="B2039" t="str">
        <x:v>nuevaImagen</x:v>
      </x:c>
      <x:c r="C2039" t="str">
        <x:v>I_SeleccionFoto</x:v>
      </x:c>
      <x:c r="D2039" t="str">
        <x:v>C_FotoPerfil</x:v>
      </x:c>
      <x:c r="E2039" t="str">
        <x:v>otra</x:v>
      </x:c>
      <x:c r="F2039" t="n">
        <x:v>1</x:v>
      </x:c>
      <x:c r="G2039" t="str">
        <x:v>RF39</x:v>
      </x:c>
      <x:c r="H2039" t="str">
        <x:v>RF039-E1!F26</x:v>
      </x:c>
    </x:row>
    <x:row r="2040">
      <x:c r="A2040" t="str">
        <x:v>solicitarAdjuntarEvidenciaTemporal</x:v>
      </x:c>
      <x:c r="B2040" t="str">
        <x:v>archivo</x:v>
      </x:c>
      <x:c r="C2040" t="str">
        <x:v>I_SeleccionarEvidenciaIncidencia</x:v>
      </x:c>
      <x:c r="D2040" t="str">
        <x:v>C_ControlIncidencia</x:v>
      </x:c>
      <x:c r="E2040" t="str">
        <x:v>presentación/navegación</x:v>
      </x:c>
      <x:c r="F2040" t="n">
        <x:v>1</x:v>
      </x:c>
      <x:c r="G2040" t="str">
        <x:v>RF63</x:v>
      </x:c>
      <x:c r="H2040" t="str">
        <x:v>RF063_EXITOSO!F19</x:v>
      </x:c>
    </x:row>
    <x:row r="2041">
      <x:c r="A2041" t="str">
        <x:v>abrirGaleria</x:v>
      </x:c>
      <x:c r="B2041" t="str"/>
      <x:c r="C2041" t="str">
        <x:v>I_SeleccionarEvidenciaIncidencia</x:v>
      </x:c>
      <x:c r="D2041" t="str">
        <x:v>ServicioMultimediaDispositivo</x:v>
      </x:c>
      <x:c r="E2041" t="str">
        <x:v>presentación/navegación</x:v>
      </x:c>
      <x:c r="F2041" t="n">
        <x:v>1</x:v>
      </x:c>
      <x:c r="G2041" t="str">
        <x:v>RF63</x:v>
      </x:c>
      <x:c r="H2041" t="str">
        <x:v>RF063_EXITOSO!F16</x:v>
      </x:c>
    </x:row>
    <x:row r="2042">
      <x:c r="A2042" t="str">
        <x:v>visualizarOpcionesImagen</x:v>
      </x:c>
      <x:c r="B2042" t="str"/>
      <x:c r="C2042" t="str">
        <x:v>I_SeleccionarImagenTIVE</x:v>
      </x:c>
      <x:c r="D2042" t="str">
        <x:v>AS_Usuario</x:v>
      </x:c>
      <x:c r="E2042" t="str">
        <x:v>presentación/navegación</x:v>
      </x:c>
      <x:c r="F2042" t="n">
        <x:v>1</x:v>
      </x:c>
      <x:c r="G2042" t="str">
        <x:v>RF54</x:v>
      </x:c>
      <x:c r="H2042" t="str">
        <x:v>RF054-EF1!F21</x:v>
      </x:c>
    </x:row>
    <x:row r="2043">
      <x:c r="A2043" t="str">
        <x:v>devolverImagenAlFormulario</x:v>
      </x:c>
      <x:c r="B2043" t="str">
        <x:v>imagen</x:v>
      </x:c>
      <x:c r="C2043" t="str">
        <x:v>I_SeleccionarImagenTIVE</x:v>
      </x:c>
      <x:c r="D2043" t="str">
        <x:v>C_Navegacion</x:v>
      </x:c>
      <x:c r="E2043" t="str">
        <x:v>otra</x:v>
      </x:c>
      <x:c r="F2043" t="n">
        <x:v>1</x:v>
      </x:c>
      <x:c r="G2043" t="str">
        <x:v>RF54</x:v>
      </x:c>
      <x:c r="H2043" t="str">
        <x:v>RF054-EF1!F26</x:v>
      </x:c>
    </x:row>
    <x:row r="2044">
      <x:c r="A2044" t="str">
        <x:v>abrirGaleria</x:v>
      </x:c>
      <x:c r="B2044" t="str"/>
      <x:c r="C2044" t="str">
        <x:v>I_SeleccionarImagenTIVE</x:v>
      </x:c>
      <x:c r="D2044" t="str">
        <x:v>ServicioMultimediaDispositivo</x:v>
      </x:c>
      <x:c r="E2044" t="str">
        <x:v>presentación/navegación</x:v>
      </x:c>
      <x:c r="F2044" t="n">
        <x:v>1</x:v>
      </x:c>
      <x:c r="G2044" t="str">
        <x:v>RF54</x:v>
      </x:c>
      <x:c r="H2044" t="str">
        <x:v>RF054-EF1!F23</x:v>
      </x:c>
    </x:row>
    <x:row r="2045">
      <x:c r="A2045" t="str">
        <x:v>visualizarResumenContratacion</x:v>
      </x:c>
      <x:c r="B2045" t="str"/>
      <x:c r="C2045" t="str">
        <x:v>I_Suscripcion</x:v>
      </x:c>
      <x:c r="D2045" t="str">
        <x:v>AS_Usuario</x:v>
      </x:c>
      <x:c r="E2045" t="str">
        <x:v>presentación/navegación</x:v>
      </x:c>
      <x:c r="F2045" t="n">
        <x:v>1</x:v>
      </x:c>
      <x:c r="G2045" t="str">
        <x:v>RF29</x:v>
      </x:c>
      <x:c r="H2045" t="str">
        <x:v>RF029-E1!F34</x:v>
      </x:c>
    </x:row>
    <x:row r="2046">
      <x:c r="A2046" t="str">
        <x:v>iniciarCompraGooglePlay</x:v>
      </x:c>
      <x:c r="B2046" t="str">
        <x:v>idUsuario,PREMIUM,idProductoGooglePlay</x:v>
      </x:c>
      <x:c r="C2046" t="str">
        <x:v>I_Suscripcion</x:v>
      </x:c>
      <x:c r="D2046" t="str">
        <x:v>C_ControlPago</x:v>
      </x:c>
      <x:c r="E2046" t="str">
        <x:v>otra</x:v>
      </x:c>
      <x:c r="F2046" t="n">
        <x:v>1</x:v>
      </x:c>
      <x:c r="G2046" t="str">
        <x:v>RF29</x:v>
      </x:c>
      <x:c r="H2046" t="str">
        <x:v>RF029-E1!F37</x:v>
      </x:c>
    </x:row>
    <x:row r="2047">
      <x:c r="A2047" t="str">
        <x:v>consultarDetalle</x:v>
      </x:c>
      <x:c r="B2047" t="str">
        <x:v>idUsuario</x:v>
      </x:c>
      <x:c r="C2047" t="str">
        <x:v>I_SuscripcionesAdmin</x:v>
      </x:c>
      <x:c r="D2047" t="str">
        <x:v>C_ControlSuscripcionAdmin</x:v>
      </x:c>
      <x:c r="E2047" t="str">
        <x:v>consulta</x:v>
      </x:c>
      <x:c r="F2047" t="n">
        <x:v>1</x:v>
      </x:c>
      <x:c r="G2047" t="str">
        <x:v>RF60</x:v>
      </x:c>
      <x:c r="H2047" t="str">
        <x:v>RF060_EXITOSO!F17</x:v>
      </x:c>
    </x:row>
    <x:row r="2048">
      <x:c r="A2048" t="str">
        <x:v>filtrarSuscripciones</x:v>
      </x:c>
      <x:c r="B2048" t="str">
        <x:v>criterio,tipoPlan</x:v>
      </x:c>
      <x:c r="C2048" t="str">
        <x:v>I_SuscripcionesAdmin</x:v>
      </x:c>
      <x:c r="D2048" t="str">
        <x:v>C_ControlSuscripcionAdmin</x:v>
      </x:c>
      <x:c r="E2048" t="str">
        <x:v>otra</x:v>
      </x:c>
      <x:c r="F2048" t="n">
        <x:v>1</x:v>
      </x:c>
      <x:c r="G2048" t="str">
        <x:v>RF60</x:v>
      </x:c>
      <x:c r="H2048" t="str">
        <x:v>RF060_EXITOSO!F11</x:v>
      </x:c>
    </x:row>
    <x:row r="2049">
      <x:c r="A2049" t="str">
        <x:v>mostrarMenuAccionesTaller</x:v>
      </x:c>
      <x:c r="B2049" t="str"/>
      <x:c r="C2049" t="str">
        <x:v>I_Taller</x:v>
      </x:c>
      <x:c r="D2049" t="str">
        <x:v>AS_Usuario</x:v>
      </x:c>
      <x:c r="E2049" t="str">
        <x:v>presentación/navegación</x:v>
      </x:c>
      <x:c r="F2049" t="n">
        <x:v>3</x:v>
      </x:c>
      <x:c r="G2049" t="str">
        <x:v>RF35, RF36, RF37</x:v>
      </x:c>
      <x:c r="H2049" t="str">
        <x:v>RF035-EF1!F17</x:v>
      </x:c>
    </x:row>
    <x:row r="2050">
      <x:c r="A2050" t="str">
        <x:v>visualizarListaTalleres</x:v>
      </x:c>
      <x:c r="B2050" t="str"/>
      <x:c r="C2050" t="str">
        <x:v>I_Taller</x:v>
      </x:c>
      <x:c r="D2050" t="str">
        <x:v>AS_Usuario</x:v>
      </x:c>
      <x:c r="E2050" t="str">
        <x:v>presentación/navegación</x:v>
      </x:c>
      <x:c r="F2050" t="n">
        <x:v>4</x:v>
      </x:c>
      <x:c r="G2050" t="str">
        <x:v>RF34, RF35, RF36, RF37</x:v>
      </x:c>
      <x:c r="H2050" t="str">
        <x:v>RF034-EF1!F14</x:v>
      </x:c>
    </x:row>
    <x:row r="2051">
      <x:c r="A2051" t="str">
        <x:v>visualizarListaTalleresActualizada</x:v>
      </x:c>
      <x:c r="B2051" t="str"/>
      <x:c r="C2051" t="str">
        <x:v>I_Taller</x:v>
      </x:c>
      <x:c r="D2051" t="str">
        <x:v>AS_Usuario</x:v>
      </x:c>
      <x:c r="E2051" t="str">
        <x:v>presentación/navegación</x:v>
      </x:c>
      <x:c r="F2051" t="n">
        <x:v>3</x:v>
      </x:c>
      <x:c r="G2051" t="str">
        <x:v>RF35, RF36, RF37</x:v>
      </x:c>
      <x:c r="H2051" t="str">
        <x:v>RF035-EF1!F37</x:v>
      </x:c>
    </x:row>
    <x:row r="2052">
      <x:c r="A2052" t="str">
        <x:v>establecerTallerFavorito</x:v>
      </x:c>
      <x:c r="B2052" t="str">
        <x:v>idUsuario,idTaller</x:v>
      </x:c>
      <x:c r="C2052" t="str">
        <x:v>I_Taller</x:v>
      </x:c>
      <x:c r="D2052" t="str">
        <x:v>C_ControlTaller</x:v>
      </x:c>
      <x:c r="E2052" t="str">
        <x:v>otra</x:v>
      </x:c>
      <x:c r="F2052" t="n">
        <x:v>1</x:v>
      </x:c>
      <x:c r="G2052" t="str">
        <x:v>RF37</x:v>
      </x:c>
      <x:c r="H2052" t="str">
        <x:v>RF037-EF1!F19</x:v>
      </x:c>
    </x:row>
    <x:row r="2053">
      <x:c r="A2053" t="str">
        <x:v>solicitarDatosTaller</x:v>
      </x:c>
      <x:c r="B2053" t="str">
        <x:v>idUsuario,idTaller</x:v>
      </x:c>
      <x:c r="C2053" t="str">
        <x:v>I_Taller</x:v>
      </x:c>
      <x:c r="D2053" t="str">
        <x:v>C_ControlTaller</x:v>
      </x:c>
      <x:c r="E2053" t="str">
        <x:v>presentación/navegación</x:v>
      </x:c>
      <x:c r="F2053" t="n">
        <x:v>1</x:v>
      </x:c>
      <x:c r="G2053" t="str">
        <x:v>RF35</x:v>
      </x:c>
      <x:c r="H2053" t="str">
        <x:v>RF035-EF1!F19</x:v>
      </x:c>
    </x:row>
    <x:row r="2054">
      <x:c r="A2054" t="str">
        <x:v>solicitarEliminacionTaller</x:v>
      </x:c>
      <x:c r="B2054" t="str">
        <x:v>idUsuario,idTaller</x:v>
      </x:c>
      <x:c r="C2054" t="str">
        <x:v>I_Taller</x:v>
      </x:c>
      <x:c r="D2054" t="str">
        <x:v>C_ControlTaller</x:v>
      </x:c>
      <x:c r="E2054" t="str">
        <x:v>presentación/navegación</x:v>
      </x:c>
      <x:c r="F2054" t="n">
        <x:v>1</x:v>
      </x:c>
      <x:c r="G2054" t="str">
        <x:v>RF36</x:v>
      </x:c>
      <x:c r="H2054" t="str">
        <x:v>RF036-EF1!F19</x:v>
      </x:c>
    </x:row>
    <x:row r="2055">
      <x:c r="A2055" t="str">
        <x:v>solicitarRegistroTaller</x:v>
      </x:c>
      <x:c r="B2055" t="str"/>
      <x:c r="C2055" t="str">
        <x:v>I_Taller</x:v>
      </x:c>
      <x:c r="D2055" t="str">
        <x:v>C_ControlTaller</x:v>
      </x:c>
      <x:c r="E2055" t="str">
        <x:v>presentación/navegación</x:v>
      </x:c>
      <x:c r="F2055" t="n">
        <x:v>1</x:v>
      </x:c>
      <x:c r="G2055" t="str">
        <x:v>RF34</x:v>
      </x:c>
      <x:c r="H2055" t="str">
        <x:v>RF034-EF1!F17</x:v>
      </x:c>
    </x:row>
    <x:row r="2056">
      <x:c r="A2056" t="str">
        <x:v>visualizarUsuarios</x:v>
      </x:c>
      <x:c r="B2056" t="str"/>
      <x:c r="C2056" t="str">
        <x:v>I_UsuariosAdmin</x:v>
      </x:c>
      <x:c r="D2056" t="str">
        <x:v>AS_Administrador</x:v>
      </x:c>
      <x:c r="E2056" t="str">
        <x:v>presentación/navegación</x:v>
      </x:c>
      <x:c r="F2056" t="n">
        <x:v>1</x:v>
      </x:c>
      <x:c r="G2056" t="str">
        <x:v>RF58</x:v>
      </x:c>
      <x:c r="H2056" t="str">
        <x:v>RF058_EXITOSO!F12</x:v>
      </x:c>
    </x:row>
    <x:row r="2057">
      <x:c r="A2057" t="str">
        <x:v>consultarDetalleAdministrativo</x:v>
      </x:c>
      <x:c r="B2057" t="str">
        <x:v>idUsuarioObjetivo</x:v>
      </x:c>
      <x:c r="C2057" t="str">
        <x:v>I_UsuariosAdmin</x:v>
      </x:c>
      <x:c r="D2057" t="str">
        <x:v>C_ControlUsuariosAdmin</x:v>
      </x:c>
      <x:c r="E2057" t="str">
        <x:v>consulta</x:v>
      </x:c>
      <x:c r="F2057" t="n">
        <x:v>1</x:v>
      </x:c>
      <x:c r="G2057" t="str">
        <x:v>RF58</x:v>
      </x:c>
      <x:c r="H2057" t="str">
        <x:v>RF058_EXITOSO!F21</x:v>
      </x:c>
    </x:row>
    <x:row r="2058">
      <x:c r="A2058" t="str">
        <x:v>solicitarBusquedaUsuarios</x:v>
      </x:c>
      <x:c r="B2058" t="str">
        <x:v>criterio,estado</x:v>
      </x:c>
      <x:c r="C2058" t="str">
        <x:v>I_UsuariosAdmin</x:v>
      </x:c>
      <x:c r="D2058" t="str">
        <x:v>C_ControlUsuariosAdmin</x:v>
      </x:c>
      <x:c r="E2058" t="str">
        <x:v>presentación/navegación</x:v>
      </x:c>
      <x:c r="F2058" t="n">
        <x:v>1</x:v>
      </x:c>
      <x:c r="G2058" t="str">
        <x:v>RF58</x:v>
      </x:c>
      <x:c r="H2058" t="str">
        <x:v>RF058_EXITOSO!F15</x:v>
      </x:c>
    </x:row>
    <x:row r="2059">
      <x:c r="A2059" t="str">
        <x:v>mostrarCampoCodigo</x:v>
      </x:c>
      <x:c r="B2059" t="str"/>
      <x:c r="C2059" t="str">
        <x:v>I_VerificarCodigo</x:v>
      </x:c>
      <x:c r="D2059" t="str">
        <x:v>AS_Usuario</x:v>
      </x:c>
      <x:c r="E2059" t="str">
        <x:v>presentación/navegación</x:v>
      </x:c>
      <x:c r="F2059" t="n">
        <x:v>1</x:v>
      </x:c>
      <x:c r="G2059" t="str">
        <x:v>RF03</x:v>
      </x:c>
      <x:c r="H2059" t="str">
        <x:v>RF003-E1!F35</x:v>
      </x:c>
    </x:row>
    <x:row r="2060">
      <x:c r="A2060" t="str">
        <x:v>enviarCodigoIngresado</x:v>
      </x:c>
      <x:c r="B2060" t="str">
        <x:v>codigo</x:v>
      </x:c>
      <x:c r="C2060" t="str">
        <x:v>I_VerificarCodigo</x:v>
      </x:c>
      <x:c r="D2060" t="str">
        <x:v>C_RecuperacionCuenta</x:v>
      </x:c>
      <x:c r="E2060" t="str">
        <x:v>otra</x:v>
      </x:c>
      <x:c r="F2060" t="n">
        <x:v>1</x:v>
      </x:c>
      <x:c r="G2060" t="str">
        <x:v>RF03</x:v>
      </x:c>
      <x:c r="H2060" t="str">
        <x:v>RF003-E1!F37</x:v>
      </x:c>
    </x:row>
    <x:row r="2061">
      <x:c r="A2061" t="str">
        <x:v>visualizarFormularioDigito</x:v>
      </x:c>
      <x:c r="B2061" t="str"/>
      <x:c r="C2061" t="str">
        <x:v>I_VerificarDigitoDNI</x:v>
      </x:c>
      <x:c r="D2061" t="str">
        <x:v>AS_Usuario</x:v>
      </x:c>
      <x:c r="E2061" t="str">
        <x:v>presentación/navegación</x:v>
      </x:c>
      <x:c r="F2061" t="n">
        <x:v>1</x:v>
      </x:c>
      <x:c r="G2061" t="str">
        <x:v>RF51</x:v>
      </x:c>
      <x:c r="H2061" t="str">
        <x:v>RF051-EF1!F30</x:v>
      </x:c>
    </x:row>
    <x:row r="2062">
      <x:c r="A2062" t="str">
        <x:v>solicitarVerificacionDigito</x:v>
      </x:c>
      <x:c r="B2062" t="str">
        <x:v>digito</x:v>
      </x:c>
      <x:c r="C2062" t="str">
        <x:v>I_VerificarDigitoDNI</x:v>
      </x:c>
      <x:c r="D2062" t="str">
        <x:v>C_ControlLicencia</x:v>
      </x:c>
      <x:c r="E2062" t="str">
        <x:v>presentación/navegación</x:v>
      </x:c>
      <x:c r="F2062" t="n">
        <x:v>1</x:v>
      </x:c>
      <x:c r="G2062" t="str">
        <x:v>RF51</x:v>
      </x:c>
      <x:c r="H2062" t="str">
        <x:v>RF051-EF1!F33</x:v>
      </x:c>
    </x:row>
    <x:row r="2063">
      <x:c r="A2063" t="str">
        <x:v>visualizarSolicitudCodigo</x:v>
      </x:c>
      <x:c r="B2063" t="str"/>
      <x:c r="C2063" t="str">
        <x:v>I_VerificarEliminacionCuenta</x:v>
      </x:c>
      <x:c r="D2063" t="str">
        <x:v>AS_Usuario</x:v>
      </x:c>
      <x:c r="E2063" t="str">
        <x:v>presentación/navegación</x:v>
      </x:c>
      <x:c r="F2063" t="n">
        <x:v>1</x:v>
      </x:c>
      <x:c r="G2063" t="str">
        <x:v>RF07</x:v>
      </x:c>
      <x:c r="H2063" t="str">
        <x:v>RF007-E1!F42</x:v>
      </x:c>
    </x:row>
    <x:row r="2064">
      <x:c r="A2064" t="str">
        <x:v>solicitarValidacionCodigo</x:v>
      </x:c>
      <x:c r="B2064" t="str">
        <x:v>codigo</x:v>
      </x:c>
      <x:c r="C2064" t="str">
        <x:v>I_VerificarEliminacionCuenta</x:v>
      </x:c>
      <x:c r="D2064" t="str">
        <x:v>C_EliminarCuenta</x:v>
      </x:c>
      <x:c r="E2064" t="str">
        <x:v>presentación/navegación</x:v>
      </x:c>
      <x:c r="F2064" t="n">
        <x:v>1</x:v>
      </x:c>
      <x:c r="G2064" t="str">
        <x:v>RF07</x:v>
      </x:c>
      <x:c r="H2064" t="str">
        <x:v>RF007-E1!F44</x:v>
      </x:c>
    </x:row>
    <x:row r="2065">
      <x:c r="A2065" t="str">
        <x:v>visualizarVerificacionOTP</x:v>
      </x:c>
      <x:c r="B2065" t="str"/>
      <x:c r="C2065" t="str">
        <x:v>I_VerificarRecuperacionCuenta</x:v>
      </x:c>
      <x:c r="D2065" t="str">
        <x:v>AS_Usuario</x:v>
      </x:c>
      <x:c r="E2065" t="str">
        <x:v>presentación/navegación</x:v>
      </x:c>
      <x:c r="F2065" t="n">
        <x:v>1</x:v>
      </x:c>
      <x:c r="G2065" t="str">
        <x:v>RF53</x:v>
      </x:c>
      <x:c r="H2065" t="str">
        <x:v>RF053-EF1!F35</x:v>
      </x:c>
    </x:row>
    <x:row r="2066">
      <x:c r="A2066" t="str">
        <x:v>solicitarValidacionOTP</x:v>
      </x:c>
      <x:c r="B2066" t="str">
        <x:v>codigo</x:v>
      </x:c>
      <x:c r="C2066" t="str">
        <x:v>I_VerificarRecuperacionCuenta</x:v>
      </x:c>
      <x:c r="D2066" t="str">
        <x:v>C_RecuperarCuenta</x:v>
      </x:c>
      <x:c r="E2066" t="str">
        <x:v>presentación/navegación</x:v>
      </x:c>
      <x:c r="F2066" t="n">
        <x:v>1</x:v>
      </x:c>
      <x:c r="G2066" t="str">
        <x:v>RF53</x:v>
      </x:c>
      <x:c r="H2066" t="str">
        <x:v>RF053-EF1!F38</x:v>
      </x:c>
    </x:row>
    <x:row r="2067">
      <x:c r="A2067" t="str">
        <x:v>mostrarImagenTIVECompleta</x:v>
      </x:c>
      <x:c r="B2067" t="str"/>
      <x:c r="C2067" t="str">
        <x:v>I_VisorImagenTIVE</x:v>
      </x:c>
      <x:c r="D2067" t="str">
        <x:v>AS_Usuario</x:v>
      </x:c>
      <x:c r="E2067" t="str">
        <x:v>presentación/navegación</x:v>
      </x:c>
      <x:c r="F2067" t="n">
        <x:v>1</x:v>
      </x:c>
      <x:c r="G2067" t="str">
        <x:v>RF55</x:v>
      </x:c>
      <x:c r="H2067" t="str">
        <x:v>RF055-EF1!F26</x:v>
      </x:c>
    </x:row>
    <x:row r="2068">
      <x:c r="A2068" t="str">
        <x:v>regresarInformacionTIVE</x:v>
      </x:c>
      <x:c r="B2068" t="str"/>
      <x:c r="C2068" t="str">
        <x:v>I_VisorImagenTIVE</x:v>
      </x:c>
      <x:c r="D2068" t="str">
        <x:v>C_Navegacion</x:v>
      </x:c>
      <x:c r="E2068" t="str">
        <x:v>otra</x:v>
      </x:c>
      <x:c r="F2068" t="n">
        <x:v>1</x:v>
      </x:c>
      <x:c r="G2068" t="str">
        <x:v>RF55</x:v>
      </x:c>
      <x:c r="H2068" t="str">
        <x:v>RF055-EF1!F28</x:v>
      </x:c>
    </x:row>
    <x:row r="2069">
      <x:c r="A2069" t="str">
        <x:v>visualizarPDFYOpcionesCompartir</x:v>
      </x:c>
      <x:c r="B2069" t="str"/>
      <x:c r="C2069" t="str">
        <x:v>I_VistaPreviaCompartirVehiculo</x:v>
      </x:c>
      <x:c r="D2069" t="str">
        <x:v>AS_Usuario</x:v>
      </x:c>
      <x:c r="E2069" t="str">
        <x:v>presentación/navegación</x:v>
      </x:c>
      <x:c r="F2069" t="n">
        <x:v>1</x:v>
      </x:c>
      <x:c r="G2069" t="str">
        <x:v>RF41</x:v>
      </x:c>
      <x:c r="H2069" t="str">
        <x:v>RF041-EF1!F17</x:v>
      </x:c>
    </x:row>
    <x:row r="2070">
      <x:c r="A2070" t="str">
        <x:v>solicitarCompartirPDF</x:v>
      </x:c>
      <x:c r="B2070" t="str">
        <x:v>canal,archivoPDFTemporal</x:v>
      </x:c>
      <x:c r="C2070" t="str">
        <x:v>I_VistaPreviaCompartirVehiculo</x:v>
      </x:c>
      <x:c r="D2070" t="str">
        <x:v>C_ControlCompartirVehiculo</x:v>
      </x:c>
      <x:c r="E2070" t="str">
        <x:v>presentación/navegación</x:v>
      </x:c>
      <x:c r="F2070" t="n">
        <x:v>1</x:v>
      </x:c>
      <x:c r="G2070" t="str">
        <x:v>RF41</x:v>
      </x:c>
      <x:c r="H2070" t="str">
        <x:v>RF041-EF1!F20</x:v>
      </x:c>
    </x:row>
    <x:row r="2071">
      <x:c r="A2071" t="str">
        <x:v>visualizarVistaPrevia</x:v>
      </x:c>
      <x:c r="B2071" t="str"/>
      <x:c r="C2071" t="str">
        <x:v>I_VistaPreviaImagen</x:v>
      </x:c>
      <x:c r="D2071" t="str">
        <x:v>AS_Usuario</x:v>
      </x:c>
      <x:c r="E2071" t="str">
        <x:v>presentación/navegación</x:v>
      </x:c>
      <x:c r="F2071" t="n">
        <x:v>2</x:v>
      </x:c>
      <x:c r="G2071" t="str">
        <x:v>RF42, RF43</x:v>
      </x:c>
      <x:c r="H2071" t="str">
        <x:v>RF042-EF1!F19</x:v>
      </x:c>
    </x:row>
    <x:row r="2072">
      <x:c r="A2072" t="str">
        <x:v>enviarImagenConfirmada</x:v>
      </x:c>
      <x:c r="B2072" t="str">
        <x:v>imagen</x:v>
      </x:c>
      <x:c r="C2072" t="str">
        <x:v>I_VistaPreviaImagen</x:v>
      </x:c>
      <x:c r="D2072" t="str">
        <x:v>C_ControlImagenVehiculo</x:v>
      </x:c>
      <x:c r="E2072" t="str">
        <x:v>otra</x:v>
      </x:c>
      <x:c r="F2072" t="n">
        <x:v>1</x:v>
      </x:c>
      <x:c r="G2072" t="str">
        <x:v>RF42</x:v>
      </x:c>
      <x:c r="H2072" t="str">
        <x:v>RF042-EF1!F21</x:v>
      </x:c>
    </x:row>
    <x:row r="2073">
      <x:c r="A2073" t="str">
        <x:v>enviarImagenConfirmada</x:v>
      </x:c>
      <x:c r="B2073" t="str">
        <x:v>imagenNueva</x:v>
      </x:c>
      <x:c r="C2073" t="str">
        <x:v>I_VistaPreviaImagen</x:v>
      </x:c>
      <x:c r="D2073" t="str">
        <x:v>C_ControlImagenVehiculo</x:v>
      </x:c>
      <x:c r="E2073" t="str">
        <x:v>otra</x:v>
      </x:c>
      <x:c r="F2073" t="n">
        <x:v>1</x:v>
      </x:c>
      <x:c r="G2073" t="str">
        <x:v>RF43</x:v>
      </x:c>
      <x:c r="H2073" t="str">
        <x:v>RF043-EF1!F20</x:v>
      </x:c>
    </x:row>
    <x:row r="2074">
      <x:c r="A2074" t="str">
        <x:v>visualizarVistaPreviaKm</x:v>
      </x:c>
      <x:c r="B2074" t="str"/>
      <x:c r="C2074" t="str">
        <x:v>I_VistaPreviaKilometraje</x:v>
      </x:c>
      <x:c r="D2074" t="str">
        <x:v>AS_Usuario</x:v>
      </x:c>
      <x:c r="E2074" t="str">
        <x:v>presentación/navegación</x:v>
      </x:c>
      <x:c r="F2074" t="n">
        <x:v>2</x:v>
      </x:c>
      <x:c r="G2074" t="str">
        <x:v>RF14, RF16</x:v>
      </x:c>
      <x:c r="H2074" t="str">
        <x:v>RF014-EF1!F20</x:v>
      </x:c>
    </x:row>
    <x:row r="2075">
      <x:c r="A2075" t="str">
        <x:v>solicitarConfirmacionCorreccion</x:v>
      </x:c>
      <x:c r="B2075" t="str">
        <x:v>idVehiculo,idLectura,kmPrevio,kmNuevo,version,claveOperacion</x:v>
      </x:c>
      <x:c r="C2075" t="str">
        <x:v>I_VistaPreviaKilometraje</x:v>
      </x:c>
      <x:c r="D2075" t="str">
        <x:v>C_ControlKilometraje</x:v>
      </x:c>
      <x:c r="E2075" t="str">
        <x:v>presentación/navegación</x:v>
      </x:c>
      <x:c r="F2075" t="n">
        <x:v>1</x:v>
      </x:c>
      <x:c r="G2075" t="str">
        <x:v>RF16</x:v>
      </x:c>
      <x:c r="H2075" t="str">
        <x:v>RF016-EF1!F25</x:v>
      </x:c>
    </x:row>
    <x:row r="2076">
      <x:c r="A2076" t="str">
        <x:v>solicitarConfirmacionKm</x:v>
      </x:c>
      <x:c r="B2076" t="str">
        <x:v>idVehiculo,kmNuevo,version,claveOperacion</x:v>
      </x:c>
      <x:c r="C2076" t="str">
        <x:v>I_VistaPreviaKilometraje</x:v>
      </x:c>
      <x:c r="D2076" t="str">
        <x:v>C_ControlKilometraje</x:v>
      </x:c>
      <x:c r="E2076" t="str">
        <x:v>presentación/navegación</x:v>
      </x:c>
      <x:c r="F2076" t="n">
        <x:v>1</x:v>
      </x:c>
      <x:c r="G2076" t="str">
        <x:v>RF14</x:v>
      </x:c>
      <x:c r="H2076" t="str">
        <x:v>RF014-EF1!F22</x:v>
      </x:c>
    </x:row>
    <x:row r="2077">
      <x:c r="A2077" t="str">
        <x:v>retornarAperturaCanal</x:v>
      </x:c>
      <x:c r="B2077" t="str">
        <x:v>resultado</x:v>
      </x:c>
      <x:c r="C2077" t="str">
        <x:v>ServicioCompartirDispositivo</x:v>
      </x:c>
      <x:c r="D2077" t="str">
        <x:v>C_ControlCompartirVehiculo</x:v>
      </x:c>
      <x:c r="E2077" t="str">
        <x:v>retorno</x:v>
      </x:c>
      <x:c r="F2077" t="n">
        <x:v>1</x:v>
      </x:c>
      <x:c r="G2077" t="str">
        <x:v>RF41</x:v>
      </x:c>
      <x:c r="H2077" t="str">
        <x:v>RF041-EF1!F24</x:v>
      </x:c>
    </x:row>
    <x:row r="2078">
      <x:c r="A2078" t="str">
        <x:v>retornarWhatsAppAbierto</x:v>
      </x:c>
      <x:c r="B2078" t="str"/>
      <x:c r="C2078" t="str">
        <x:v>ServicioCompartirDispositivo</x:v>
      </x:c>
      <x:c r="D2078" t="str">
        <x:v>C_ReporteHistorial</x:v>
      </x:c>
      <x:c r="E2078" t="str">
        <x:v>retorno</x:v>
      </x:c>
      <x:c r="F2078" t="n">
        <x:v>1</x:v>
      </x:c>
      <x:c r="G2078" t="str">
        <x:v>RF27</x:v>
      </x:c>
      <x:c r="H2078" t="str">
        <x:v>RF27!F65</x:v>
      </x:c>
    </x:row>
    <x:row r="2079">
      <x:c r="A2079" t="str">
        <x:v>retornarImagenSeleccionada</x:v>
      </x:c>
      <x:c r="B2079" t="str">
        <x:v>imagen</x:v>
      </x:c>
      <x:c r="C2079" t="str">
        <x:v>ServicioGaleriaDispositivo</x:v>
      </x:c>
      <x:c r="D2079" t="str">
        <x:v>C_ControlImagenVehiculo</x:v>
      </x:c>
      <x:c r="E2079" t="str">
        <x:v>retorno</x:v>
      </x:c>
      <x:c r="F2079" t="n">
        <x:v>1</x:v>
      </x:c>
      <x:c r="G2079" t="str">
        <x:v>RF42</x:v>
      </x:c>
      <x:c r="H2079" t="str">
        <x:v>RF042-EF1!F16</x:v>
      </x:c>
    </x:row>
    <x:row r="2080">
      <x:c r="A2080" t="str">
        <x:v>retornarImagenSeleccionada</x:v>
      </x:c>
      <x:c r="B2080" t="str">
        <x:v>imagenNueva</x:v>
      </x:c>
      <x:c r="C2080" t="str">
        <x:v>ServicioGaleriaDispositivo</x:v>
      </x:c>
      <x:c r="D2080" t="str">
        <x:v>C_ControlImagenVehiculo</x:v>
      </x:c>
      <x:c r="E2080" t="str">
        <x:v>retorno</x:v>
      </x:c>
      <x:c r="F2080" t="n">
        <x:v>1</x:v>
      </x:c>
      <x:c r="G2080" t="str">
        <x:v>RF43</x:v>
      </x:c>
      <x:c r="H2080" t="str">
        <x:v>RF043-EF1!F16</x:v>
      </x:c>
    </x:row>
    <x:row r="2081">
      <x:c r="A2081" t="str">
        <x:v>retornarPDFGenerado</x:v>
      </x:c>
      <x:c r="B2081" t="str">
        <x:v>archivoPDFTemporal</x:v>
      </x:c>
      <x:c r="C2081" t="str">
        <x:v>ServicioGeneradorPDF</x:v>
      </x:c>
      <x:c r="D2081" t="str">
        <x:v>C_ControlCompartirVehiculo</x:v>
      </x:c>
      <x:c r="E2081" t="str">
        <x:v>retorno</x:v>
      </x:c>
      <x:c r="F2081" t="n">
        <x:v>1</x:v>
      </x:c>
      <x:c r="G2081" t="str">
        <x:v>RF41</x:v>
      </x:c>
      <x:c r="H2081" t="str">
        <x:v>RF041-EF1!F15</x:v>
      </x:c>
    </x:row>
    <x:row r="2082">
      <x:c r="A2082" t="str">
        <x:v>retornarEstadoProveedor</x:v>
      </x:c>
      <x:c r="B2082" t="str">
        <x:v>datosVerificados</x:v>
      </x:c>
      <x:c r="C2082" t="str">
        <x:v>ServicioGooglePlay</x:v>
      </x:c>
      <x:c r="D2082" t="str">
        <x:v>C_ControlSuscripcion</x:v>
      </x:c>
      <x:c r="E2082" t="str">
        <x:v>retorno</x:v>
      </x:c>
      <x:c r="F2082" t="n">
        <x:v>1</x:v>
      </x:c>
      <x:c r="G2082" t="str">
        <x:v>RF60</x:v>
      </x:c>
      <x:c r="H2082" t="str">
        <x:v>RF060_EXITOSO!F29</x:v>
      </x:c>
    </x:row>
    <x:row r="2083">
      <x:c r="A2083" t="str">
        <x:v>retornarResultadoCompra</x:v>
      </x:c>
      <x:c r="B2083" t="str">
        <x:v>APROBADA,purchaseToken,orderId</x:v>
      </x:c>
      <x:c r="C2083" t="str">
        <x:v>ServicioGooglePlayBilling</x:v>
      </x:c>
      <x:c r="D2083" t="str">
        <x:v>C_ControlPago</x:v>
      </x:c>
      <x:c r="E2083" t="str">
        <x:v>retorno</x:v>
      </x:c>
      <x:c r="F2083" t="n">
        <x:v>1</x:v>
      </x:c>
      <x:c r="G2083" t="str">
        <x:v>RF29</x:v>
      </x:c>
      <x:c r="H2083" t="str">
        <x:v>RF029-E1!F39</x:v>
      </x:c>
    </x:row>
    <x:row r="2084">
      <x:c r="A2084" t="str">
        <x:v>retornarCompraVerificada</x:v>
      </x:c>
      <x:c r="B2084" t="str">
        <x:v>PURCHASED,vigencia,token</x:v>
      </x:c>
      <x:c r="C2084" t="str">
        <x:v>ServicioGooglePlayDeveloperAPI</x:v>
      </x:c>
      <x:c r="D2084" t="str">
        <x:v>C_ControlPago</x:v>
      </x:c>
      <x:c r="E2084" t="str">
        <x:v>retorno</x:v>
      </x:c>
      <x:c r="F2084" t="n">
        <x:v>1</x:v>
      </x:c>
      <x:c r="G2084" t="str">
        <x:v>RF29</x:v>
      </x:c>
      <x:c r="H2084" t="str">
        <x:v>RF029-E1!F41</x:v>
      </x:c>
    </x:row>
    <x:row r="2085">
      <x:c r="A2085" t="str">
        <x:v>retornarArchivoSeleccionado</x:v>
      </x:c>
      <x:c r="B2085" t="str">
        <x:v>archivo</x:v>
      </x:c>
      <x:c r="C2085" t="str">
        <x:v>ServicioMultimediaDispositivo</x:v>
      </x:c>
      <x:c r="D2085" t="str">
        <x:v>I_SeleccionarEvidenciaIncidencia</x:v>
      </x:c>
      <x:c r="E2085" t="str">
        <x:v>retorno</x:v>
      </x:c>
      <x:c r="F2085" t="n">
        <x:v>1</x:v>
      </x:c>
      <x:c r="G2085" t="str">
        <x:v>RF63</x:v>
      </x:c>
      <x:c r="H2085" t="str">
        <x:v>RF063_EXITOSO!F17</x:v>
      </x:c>
    </x:row>
    <x:row r="2086">
      <x:c r="A2086" t="str">
        <x:v>retornarImagenSeleccionada</x:v>
      </x:c>
      <x:c r="B2086" t="str">
        <x:v>imagen</x:v>
      </x:c>
      <x:c r="C2086" t="str">
        <x:v>ServicioMultimediaDispositivo</x:v>
      </x:c>
      <x:c r="D2086" t="str">
        <x:v>I_SeleccionarImagenTIVE</x:v>
      </x:c>
      <x:c r="E2086" t="str">
        <x:v>retorno</x:v>
      </x:c>
      <x:c r="F2086" t="n">
        <x:v>1</x:v>
      </x:c>
      <x:c r="G2086" t="str">
        <x:v>RF54</x:v>
      </x:c>
      <x:c r="H2086" t="str">
        <x:v>RF054-EF1!F24</x:v>
      </x:c>
    </x:row>
    <x:row r="2087">
      <x:c r="A2087" t="str">
        <x:v>retornarPermisoNotificacionesExternas</x:v>
      </x:c>
      <x:c r="B2087" t="str">
        <x:v>permisoDispositivo</x:v>
      </x:c>
      <x:c r="C2087" t="str">
        <x:v>ServicioPermisosDispositivo</x:v>
      </x:c>
      <x:c r="D2087" t="str">
        <x:v>C_ControlNotificacion</x:v>
      </x:c>
      <x:c r="E2087" t="str">
        <x:v>retorno</x:v>
      </x:c>
      <x:c r="F2087" t="n">
        <x:v>1</x:v>
      </x:c>
      <x:c r="G2087" t="str">
        <x:v>RF48</x:v>
      </x:c>
      <x:c r="H2087" t="str">
        <x:v>RF048-EF1!F24</x:v>
      </x:c>
    </x:row>
  </x:sheetData>
  <x:pageMargins left="0.7" right="0.7" top="0.75" bottom="0.75" header="0.3" footer="0.3"/>
</x:worksheet>
</file>

<file path=xl/worksheets/sheet10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4" hidden="0" customWidth="1"/>
    <x:col min="3" max="3" width="100" hidden="0" customWidth="1"/>
    <x:col min="4" max="4" width="48" hidden="0" customWidth="1"/>
    <x:col min="5" max="5" width="98" hidden="0" customWidth="1"/>
    <x:col min="6" max="6" width="70" hidden="0" customWidth="1"/>
    <x:col min="7" max="7" width="48" hidden="0" customWidth="1"/>
  </x:cols>
  <x:sheetData>
    <x:row r="1" ht="29" customHeight="1">
      <x:c r="A1" s="1015" t="str">
        <x:v>ID</x:v>
      </x:c>
      <x:c r="B1" s="1015" t="str">
        <x:v>Dominio</x:v>
      </x:c>
      <x:c r="C1" s="1015" t="str">
        <x:v>Regla vigente transcrita</x:v>
      </x:c>
      <x:c r="D1" s="1015" t="str">
        <x:v>RF dependientes</x:v>
      </x:c>
      <x:c r="E1" s="1015" t="str">
        <x:v>Invariante</x:v>
      </x:c>
      <x:c r="F1" s="1015" t="str">
        <x:v>Estado del documento</x:v>
      </x:c>
      <x:c r="G1" s="1015" t="str">
        <x:v>Estado de auditoría</x:v>
      </x:c>
    </x:row>
    <x:row r="2" ht="27" customHeight="1">
      <x:c r="A2" t="str">
        <x:v>RT04</x:v>
      </x:c>
      <x:c r="B2" t="str">
        <x:v>Cuentas</x:v>
      </x:c>
      <x:c r="C2" t="str">
        <x:v>30 días CALENDARIO</x:v>
      </x:c>
      <x:c r="D2" t="str">
        <x:v>RF07 / RF58 / RF59 / RF53</x:v>
      </x:c>
      <x:c r="E2" t="str">
        <x:v>Una solicitud se cancela dentro de la misma transacción que reactiva la cuenta.</x:v>
      </x:c>
      <x:c r="F2" t="str">
        <x:v>Aplicada; privacidad y baja definitiva requieren revisión legal.</x:v>
      </x:c>
      <x:c r="G2" t="str">
        <x:v>Documental: SQL y pruebas por confirmar.</x:v>
      </x:c>
    </x:row>
    <x:row r="3" ht="27" customHeight="1">
      <x:c r="A3" t="str">
        <x:v>RT05</x:v>
      </x:c>
      <x:c r="B3" t="str">
        <x:v>Estados cuenta</x:v>
      </x:c>
      <x:c r="C3" t="str">
        <x:v>ACTIVA / SUSPENDIDA / PENDIENTE_ELIMINACION / ELIMINADA_DEFINITIVA</x:v>
      </x:c>
      <x:c r="D3" t="str">
        <x:v>RF01–03/07/58–59 / RF53</x:v>
      </x:c>
      <x:c r="E3" t="str">
        <x:v>SUSPENDIDA y PENDIENTE_ELIMINACION no autorizan acceso regular; recuperación solo verificada.</x:v>
      </x:c>
      <x:c r="F3" t="str">
        <x:v>Revisar todos los EA de autenticación no adjuntos.</x:v>
      </x:c>
      <x:c r="G3" t="str">
        <x:v>Documental: SQL y pruebas por confirmar.</x:v>
      </x:c>
    </x:row>
    <x:row r="4" ht="27" customHeight="1">
      <x:c r="A4" t="str">
        <x:v>RT06</x:v>
      </x:c>
      <x:c r="B4" t="str">
        <x:v>Kilometraje actualizado</x:v>
      </x:c>
      <x:c r="C4" t="str">
        <x:v>Formulario km previo + km nuevo; vista previa y confirmación</x:v>
      </x:c>
      <x:c r="D4" t="str">
        <x:v>RF14</x:v>
      </x:c>
      <x:c r="E4" t="str">
        <x:v>Fecha lectura/guardado proviene del servidor; solo incremento normal.</x:v>
      </x:c>
      <x:c r="F4" t="str">
        <x:v>Aplicada.</x:v>
      </x:c>
      <x:c r="G4" t="str">
        <x:v>Documental: SQL y pruebas por confirmar.</x:v>
      </x:c>
    </x:row>
    <x:row r="5" ht="27" customHeight="1">
      <x:c r="A5" t="str">
        <x:v>RT07</x:v>
      </x:c>
      <x:c r="B5" t="str">
        <x:v>Kilometraje corregido</x:v>
      </x:c>
      <x:c r="C5" t="str">
        <x:v>Misma interfaz de kilometraje; km previo + nuevo; sin motivo ni Historial</x:v>
      </x:c>
      <x:c r="D5" t="str">
        <x:v>RF16</x:v>
      </x:c>
      <x:c r="E5" t="str">
        <x:v>Permite descenso legítimo y registra corrección trazable sin resetear recordatorio.</x:v>
      </x:c>
      <x:c r="F5" t="str">
        <x:v>Aplicada.</x:v>
      </x:c>
      <x:c r="G5" t="str">
        <x:v>Documental: SQL y pruebas por confirmar.</x:v>
      </x:c>
    </x:row>
    <x:row r="6" ht="27" customHeight="1">
      <x:c r="A6" t="str">
        <x:v>RT08</x:v>
      </x:c>
      <x:c r="B6" t="str">
        <x:v>Historial km</x:v>
      </x:c>
      <x:c r="C6" t="str">
        <x:v>Solo consulta</x:v>
      </x:c>
      <x:c r="D6" t="str">
        <x:v>RF15</x:v>
      </x:c>
      <x:c r="E6" t="str">
        <x:v>Se mantiene RF15; no es puerta obligatoria para corregir.</x:v>
      </x:c>
      <x:c r="F6" t="str">
        <x:v>Aplicada.</x:v>
      </x:c>
      <x:c r="G6" t="str">
        <x:v>Documental: SQL y pruebas por confirmar.</x:v>
      </x:c>
    </x:row>
    <x:row r="7" ht="27" customHeight="1">
      <x:c r="A7" t="str">
        <x:v>RT09</x:v>
      </x:c>
      <x:c r="B7" t="str">
        <x:v>Control concurrencia</x:v>
      </x:c>
      <x:c r="C7" t="str">
        <x:v>Comparación de versión e idempotencia</x:v>
      </x:c>
      <x:c r="D7" t="str">
        <x:v>RF14 / RF16</x:v>
      </x:c>
      <x:c r="E7" t="str">
        <x:v>Sin escritura ni éxito antes del segundo chequeo y confirmación.</x:v>
      </x:c>
      <x:c r="F7" t="str">
        <x:v>Diseño agregado; requiere índices reales.</x:v>
      </x:c>
      <x:c r="G7" t="str">
        <x:v>Documental: SQL y pruebas por confirmar.</x:v>
      </x:c>
    </x:row>
    <x:row r="8" ht="27" customHeight="1">
      <x:c r="A8" t="str">
        <x:v>RT10</x:v>
      </x:c>
      <x:c r="B8" t="str">
        <x:v>Catálogo mantenimiento</x:v>
      </x:c>
      <x:c r="C8" t="str">
        <x:v>7 tipos INICIALES + nuevos elementos ACTIVOS administrados</x:v>
      </x:c>
      <x:c r="D8" t="str">
        <x:v>RF17/22/24/62</x:v>
      </x:c>
      <x:c r="E8" t="str">
        <x:v>Tipos inactivos no se ofrecen a registros nuevos; históricos conservan FK válida.</x:v>
      </x:c>
      <x:c r="F8" t="str">
        <x:v>Revisión de catálogo modelo BD pendiente.</x:v>
      </x:c>
      <x:c r="G8" t="str">
        <x:v>Documental: SQL y pruebas por confirmar.</x:v>
      </x:c>
    </x:row>
    <x:row r="9" ht="27" customHeight="1">
      <x:c r="A9" t="str">
        <x:v>RT11</x:v>
      </x:c>
      <x:c r="B9" t="str">
        <x:v>Licencia</x:v>
      </x:c>
      <x:c r="C9" t="str">
        <x:v>RF51: alta de licencia solo PREMIUM con API; RF52: consulta conservada en solo lectura PREMIUM/FREE; RF53: recuperación de cuenta pendiente de eliminación (no licencia).</x:v>
      </x:c>
      <x:c r="D9" t="str">
        <x:v>RF23 / RF29 / RF30 / RF51–RF52 / RF60</x:v>
      </x:c>
      <x:c r="E9" t="str">
        <x:v>No autorizar edición manual de datos oficiales ni reemplazo arbitrario de identidad.</x:v>
      </x:c>
      <x:c r="F9" t="str">
        <x:v>API / renovación futura por confirmar.</x:v>
      </x:c>
      <x:c r="G9" t="str">
        <x:v>Documental: SQL y pruebas por confirmar.</x:v>
      </x:c>
    </x:row>
    <x:row r="10" ht="27" customHeight="1">
      <x:c r="A10" t="str">
        <x:v>RT12</x:v>
      </x:c>
      <x:c r="B10" t="str">
        <x:v>Licencia y avisos</x:v>
      </x:c>
      <x:c r="C10" t="str">
        <x:v>Bandeja, destino y filtro LICENCIA; sin push toggle adicional</x:v>
      </x:c>
      <x:c r="D10" t="str">
        <x:v>RF23/46–49</x:v>
      </x:c>
      <x:c r="E10" t="str">
        <x:v>La licencia no requiere idVehiculo; la consulta no resuelve por sí sola la alerta.</x:v>
      </x:c>
      <x:c r="F10" t="str">
        <x:v>Aplicada como política de notificación interna.</x:v>
      </x:c>
      <x:c r="G10" t="str">
        <x:v>Documental: SQL y pruebas por confirmar.</x:v>
      </x:c>
    </x:row>
    <x:row r="11" ht="27" customHeight="1">
      <x:c r="A11" t="str">
        <x:v>RT13</x:v>
      </x:c>
      <x:c r="B11" t="str">
        <x:v>Tipos de alerta</x:v>
      </x:c>
      <x:c r="C11" t="str">
        <x:v>PROGRAMADA → PRÓXIMA → PENDIENTE → VENCIDA → REALIZADA; ANULADA técnica</x:v>
      </x:c>
      <x:c r="D11" t="str">
        <x:v>RF22–24</x:v>
      </x:c>
      <x:c r="E11" t="str">
        <x:v>Recalcular desde motor único RF23; cambios registrados en HISTORIAL_ALERTA.</x:v>
      </x:c>
      <x:c r="F11" t="str">
        <x:v>Detalles de fechas/estados deben validarse contra reglas exactas.</x:v>
      </x:c>
      <x:c r="G11" t="str">
        <x:v>Documental: SQL y pruebas por confirmar.</x:v>
      </x:c>
    </x:row>
    <x:row r="12" ht="27" customHeight="1">
      <x:c r="A12" t="str">
        <x:v>RT14</x:v>
      </x:c>
      <x:c r="B12" t="str">
        <x:v>Premium → Free</x:v>
      </x:c>
      <x:c r="C12" t="str">
        <x:v>Conservación de licencia previamente registrada en modo lectura tanto PREMIUM como FREE tras pérdida de derecho; RF51 registra solo con PREMIUM. Sin edición oficial por RF53.</x:v>
      </x:c>
      <x:c r="D12" t="str">
        <x:v>RF29/30/51/52/60</x:v>
      </x:c>
      <x:c r="E12" t="str">
        <x:v>Comprobar cuenta ACTIVA, titularidad y existencia de licencia previa. Con FREE solo consulta de licencia y alertas conservadas; compra Premium solo se activa con verificación oficial del token en backend.</x:v>
      </x:c>
      <x:c r="F12" t="str">
        <x:v>Alineado RF23/RF29/RF52; pendiente modelo físico y pruebas de proveedor.</x:v>
      </x:c>
      <x:c r="G12" t="str">
        <x:v>Documental: SQL y pruebas por confirmar.</x:v>
      </x:c>
    </x:row>
    <x:row r="13" ht="27" customHeight="1">
      <x:c r="A13" t="str">
        <x:v>RT15</x:v>
      </x:c>
      <x:c r="B13" t="str">
        <x:v>Consentimiento</x:v>
      </x:c>
      <x:c r="C13" t="str">
        <x:v>Aviso de privacidad y aceptación expresa</x:v>
      </x:c>
      <x:c r="D13" t="str">
        <x:v>RF01</x:v>
      </x:c>
      <x:c r="E13" t="str">
        <x:v>Guardado con versión y fecha del consentimiento.</x:v>
      </x:c>
      <x:c r="F13" t="str">
        <x:v>Campo físico por validar.</x:v>
      </x:c>
      <x:c r="G13" t="str">
        <x:v>Documental: SQL y pruebas por confirmar.</x:v>
      </x:c>
    </x:row>
    <x:row r="14" ht="27" customHeight="1">
      <x:c r="A14" t="str">
        <x:v>RT16</x:v>
      </x:c>
      <x:c r="B14" t="str">
        <x:v>Incidencias</x:v>
      </x:c>
      <x:c r="C14" t="str">
        <x:v>Permiso por mutación + transacción de estado y evento</x:v>
      </x:c>
      <x:c r="D14" t="str">
        <x:v>RF58–64</x:v>
      </x:c>
      <x:c r="E14" t="str">
        <x:v>Toda mutación administrativa revalida permisos en backend; cambios de estado y eventos se confirman en una transacción; en almacenamiento externo se requiere compensación.</x:v>
      </x:c>
      <x:c r="F14" t="str">
        <x:v>Implementación SQL por verificar.</x:v>
      </x:c>
      <x:c r="G14" t="str">
        <x:v>Documental: SQL y pruebas por confirmar.</x:v>
      </x:c>
    </x:row>
    <x:row r="15" ht="27" customHeight="1">
      <x:c r="A15" t="str">
        <x:v>RT18</x:v>
      </x:c>
      <x:c r="B15" t="str">
        <x:v>Reactivación RF53</x:v>
      </x:c>
      <x:c r="C15" t="str">
        <x:v>RF53 permite recuperar cuenta PENDIENTE_ELIMINACION antes de fechaLimiteUTC (30 días calendario); credenciales + OTP de 6 dígitos por 60 segundos, 5 intentos y bloqueo de 60 minutos.</x:v>
      </x:c>
      <x:c r="D15" t="str">
        <x:v>RF02 / RF03 / RF07 / RF53 / RF58 / RF59</x:v>
      </x:c>
      <x:c r="E15" t="str">
        <x:v>Estado ACTIVA + solicitud CANCELADA + OTP de uso único deben confirmarse de forma atómica; sin ingreso automático y sin restaurar beneficios Premium vencidos.</x:v>
      </x:c>
      <x:c r="F15" t="str">
        <x:v>Pendiente validar modelo físico, estados de OTP y escenarios alternativos; RF59 asistencia administrativa no sustituye RF53.</x:v>
      </x:c>
      <x:c r="G15" t="str">
        <x:v>Documental: SQL y pruebas por confirmar.</x:v>
      </x:c>
    </x:row>
  </x:sheetData>
  <x:pageMargins left="0.7" right="0.7" top="0.75" bottom="0.75" header="0.3" footer="0.3"/>
</x:worksheet>
</file>

<file path=xl/worksheets/sheet10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45" hidden="0" customWidth="1"/>
    <x:col min="3" max="3" width="78" hidden="0" customWidth="1"/>
    <x:col min="4" max="4" width="101" hidden="0" customWidth="1"/>
    <x:col min="5" max="5" width="35" hidden="0" customWidth="1"/>
    <x:col min="6" max="6" width="23" hidden="0" customWidth="1"/>
    <x:col min="7" max="7" width="25" hidden="0" customWidth="1"/>
  </x:cols>
  <x:sheetData>
    <x:row r="1" ht="29" customHeight="1">
      <x:c r="A1" s="1015" t="str">
        <x:v>ID</x:v>
      </x:c>
      <x:c r="B1" s="1015" t="str">
        <x:v>Prueba funcional / integración</x:v>
      </x:c>
      <x:c r="C1" s="1015" t="str">
        <x:v>Condiciones / entrada</x:v>
      </x:c>
      <x:c r="D1" s="1015" t="str">
        <x:v>Resultado esperado</x:v>
      </x:c>
      <x:c r="E1" s="1015" t="str">
        <x:v>RF relacionados</x:v>
      </x:c>
      <x:c r="F1" s="1015" t="str">
        <x:v>Estado</x:v>
      </x:c>
      <x:c r="G1" s="1015" t="str">
        <x:v>Fuente</x:v>
      </x:c>
    </x:row>
    <x:row r="2" ht="27" customHeight="1">
      <x:c r="A2" t="str">
        <x:v>TV01</x:v>
      </x:c>
      <x:c r="B2" t="str">
        <x:v>Actualizar Km</x:v>
      </x:c>
      <x:c r="C2" t="str">
        <x:v>25000→25500</x:v>
      </x:c>
      <x:c r="D2" t="str">
        <x:v>Vista previa 25000/25500; sin BD antes confirmar; un registro tras confirmación.</x:v>
      </x:c>
      <x:c r="E2" t="str">
        <x:v>RF14</x:v>
      </x:c>
      <x:c r="F2" t="str">
        <x:v>PENDIENTE EJECUCIÓN</x:v>
      </x:c>
      <x:c r="G2" t="str">
        <x:v>Original vigente</x:v>
      </x:c>
    </x:row>
    <x:row r="3" ht="27" customHeight="1">
      <x:c r="A3" t="str">
        <x:v>TV02</x:v>
      </x:c>
      <x:c r="B3" t="str">
        <x:v>Corregir Km</x:v>
      </x:c>
      <x:c r="C3" t="str">
        <x:v>25500→25450</x:v>
      </x:c>
      <x:c r="D3" t="str">
        <x:v>Corrección descendente válida, si es coherente con anterior histórico; auditada.</x:v>
      </x:c>
      <x:c r="E3" t="str">
        <x:v>RF16</x:v>
      </x:c>
      <x:c r="F3" t="str">
        <x:v>PENDIENTE EJECUCIÓN</x:v>
      </x:c>
      <x:c r="G3" t="str">
        <x:v>Original vigente</x:v>
      </x:c>
    </x:row>
    <x:row r="4" ht="27" customHeight="1">
      <x:c r="A4" t="str">
        <x:v>TV03</x:v>
      </x:c>
      <x:c r="B4" t="str">
        <x:v>Volver a editar</x:v>
      </x:c>
      <x:c r="C4" t="str">
        <x:v>25000→25500, cancelar preview</x:v>
      </x:c>
      <x:c r="D4" t="str">
        <x:v>0 escrituras; formulario conserva 25500.</x:v>
      </x:c>
      <x:c r="E4" t="str">
        <x:v>RF14,RF16</x:v>
      </x:c>
      <x:c r="F4" t="str">
        <x:v>PENDIENTE EJECUCIÓN</x:v>
      </x:c>
      <x:c r="G4" t="str">
        <x:v>Original vigente</x:v>
      </x:c>
    </x:row>
    <x:row r="5" ht="27" customHeight="1">
      <x:c r="A5" t="str">
        <x:v>TV04</x:v>
      </x:c>
      <x:c r="B5" t="str">
        <x:v>Reintento tras red</x:v>
      </x:c>
      <x:c r="C5" t="str">
        <x:v>Comando duplicado con misma clave</x:v>
      </x:c>
      <x:c r="D5" t="str">
        <x:v>Máximo una lectura/corrección registrada.</x:v>
      </x:c>
      <x:c r="E5" t="str">
        <x:v>RF14,RF16</x:v>
      </x:c>
      <x:c r="F5" t="str">
        <x:v>PENDIENTE EJECUCIÓN</x:v>
      </x:c>
      <x:c r="G5" t="str">
        <x:v>Original vigente</x:v>
      </x:c>
    </x:row>
    <x:row r="6" ht="27" customHeight="1">
      <x:c r="A6" t="str">
        <x:v>TV05</x:v>
      </x:c>
      <x:c r="B6" t="str">
        <x:v>Concurrencia</x:v>
      </x:c>
      <x:c r="C6" t="str">
        <x:v>Actualizar misma versión en 2 clientes</x:v>
      </x:c>
      <x:c r="D6" t="str">
        <x:v>Segundo intento rechaza y exige vista previa con dato actual.</x:v>
      </x:c>
      <x:c r="E6" t="str">
        <x:v>RF14,RF16</x:v>
      </x:c>
      <x:c r="F6" t="str">
        <x:v>PENDIENTE EJECUCIÓN</x:v>
      </x:c>
      <x:c r="G6" t="str">
        <x:v>Original vigente</x:v>
      </x:c>
    </x:row>
    <x:row r="7" ht="27" customHeight="1">
      <x:c r="A7" t="str">
        <x:v>TV06</x:v>
      </x:c>
      <x:c r="B7" t="str">
        <x:v>Historial km</x:v>
      </x:c>
      <x:c r="C7" t="str">
        <x:v>Consultar Historial kilometraje</x:v>
      </x:c>
      <x:c r="D7" t="str">
        <x:v>Solo lectura; no requisito para corregir.</x:v>
      </x:c>
      <x:c r="E7" t="str">
        <x:v>RF15,RF16</x:v>
      </x:c>
      <x:c r="F7" t="str">
        <x:v>PENDIENTE EJECUCIÓN</x:v>
      </x:c>
      <x:c r="G7" t="str">
        <x:v>Original vigente</x:v>
      </x:c>
    </x:row>
    <x:row r="8" ht="27" customHeight="1">
      <x:c r="A8" t="str">
        <x:v>TV07</x:v>
      </x:c>
      <x:c r="B8" t="str">
        <x:v>Cuenta recuperación</x:v>
      </x:c>
      <x:c r="C8" t="str">
        <x:v>Solicitud pendiente día 29 calendario</x:v>
      </x:c>
      <x:c r="D8" t="str">
        <x:v>Reactivar cuenta y cancelar solicitud atómicamente; job no elimina.</x:v>
      </x:c>
      <x:c r="E8" t="str">
        <x:v>RF07,RF53,RF59</x:v>
      </x:c>
      <x:c r="F8" t="str">
        <x:v>PENDIENTE EJECUCIÓN</x:v>
      </x:c>
      <x:c r="G8" t="str">
        <x:v>Original vigente</x:v>
      </x:c>
    </x:row>
    <x:row r="9" ht="27" customHeight="1">
      <x:c r="A9" t="str">
        <x:v>TV08</x:v>
      </x:c>
      <x:c r="B9" t="str">
        <x:v>Cuenta vencimiento</x:v>
      </x:c>
      <x:c r="C9" t="str">
        <x:v>Solicitud pendiente día 31 calendario</x:v>
      </x:c>
      <x:c r="D9" t="str">
        <x:v>Job verifica estado y solicitud no cancelada antes de supresión.</x:v>
      </x:c>
      <x:c r="E9" t="str">
        <x:v>RF07,RF53,RF59</x:v>
      </x:c>
      <x:c r="F9" t="str">
        <x:v>PENDIENTE EJECUCIÓN</x:v>
      </x:c>
      <x:c r="G9" t="str">
        <x:v>Original vigente</x:v>
      </x:c>
    </x:row>
    <x:row r="10" ht="27" customHeight="1">
      <x:c r="A10" t="str">
        <x:v>TV09</x:v>
      </x:c>
      <x:c r="B10" t="str">
        <x:v>Catálogo nuevo</x:v>
      </x:c>
      <x:c r="C10" t="str">
        <x:v>Admin registra tipo ACTIVO</x:v>
      </x:c>
      <x:c r="D10" t="str">
        <x:v>Aparece en formularios RF17/RF22/RF24; inactivo no puede seleccionarse nuevo.</x:v>
      </x:c>
      <x:c r="E10" t="str">
        <x:v>RF17,RF22,RF24,RF62</x:v>
      </x:c>
      <x:c r="F10" t="str">
        <x:v>PENDIENTE EJECUCIÓN</x:v>
      </x:c>
      <x:c r="G10" t="str">
        <x:v>Original vigente</x:v>
      </x:c>
    </x:row>
    <x:row r="11" ht="27" customHeight="1">
      <x:c r="A11" t="str">
        <x:v>TV10</x:v>
      </x:c>
      <x:c r="B11" t="str">
        <x:v>Licencia</x:v>
      </x:c>
      <x:c r="C11" t="str">
        <x:v>Usuario intenta editar datos RF52</x:v>
      </x:c>
      <x:c r="D11" t="str">
        <x:v>RF52 ofrece consulta de licencia en solo lectura, sin edición oficial; RF53 es recuperación de cuenta, no edición de licencia.</x:v>
      </x:c>
      <x:c r="E11" t="str">
        <x:v>RF51,RF52</x:v>
      </x:c>
      <x:c r="F11" t="str">
        <x:v>PENDIENTE EJECUCIÓN</x:v>
      </x:c>
      <x:c r="G11" t="str">
        <x:v>Original vigente</x:v>
      </x:c>
    </x:row>
    <x:row r="12" ht="27" customHeight="1">
      <x:c r="A12" t="str">
        <x:v>TV11</x:v>
      </x:c>
      <x:c r="B12" t="str">
        <x:v>Aviso LICENCIA</x:v>
      </x:c>
      <x:c r="C12" t="str">
        <x:v>Alerta licencia propia PRÓXIMA</x:v>
      </x:c>
      <x:c r="D12" t="str">
        <x:v>Aparece en bandeja/filtro, abre RF52 sin vehículo.</x:v>
      </x:c>
      <x:c r="E12" t="str">
        <x:v>RF23,RF46–49</x:v>
      </x:c>
      <x:c r="F12" t="str">
        <x:v>PENDIENTE EJECUCIÓN</x:v>
      </x:c>
      <x:c r="G12" t="str">
        <x:v>Original vigente</x:v>
      </x:c>
    </x:row>
    <x:row r="13" ht="27" customHeight="1">
      <x:c r="A13" t="str">
        <x:v>TV12</x:v>
      </x:c>
      <x:c r="B13" t="str">
        <x:v>Downgrade</x:v>
      </x:c>
      <x:c r="C13" t="str">
        <x:v>Premium venció sin gracia según proveedor</x:v>
      </x:c>
      <x:c r="D13" t="str">
        <x:v>Baja FREE idempotente; conserva licencia en solo lectura y pausa privilegios.</x:v>
      </x:c>
      <x:c r="E13" t="str">
        <x:v>RF30,RF60</x:v>
      </x:c>
      <x:c r="F13" t="str">
        <x:v>PENDIENTE EJECUCIÓN</x:v>
      </x:c>
      <x:c r="G13" t="str">
        <x:v>Original vigente</x:v>
      </x:c>
    </x:row>
    <x:row r="14" ht="27" customHeight="1">
      <x:c r="A14" t="str">
        <x:v>TN01</x:v>
      </x:c>
      <x:c r="B14" t="str">
        <x:v>Cuenta: OTP expirado</x:v>
      </x:c>
      <x:c r="C14" t="str">
        <x:v>RF53 código recibido después de 60 s</x:v>
      </x:c>
      <x:c r="D14" t="str">
        <x:v>No reactivación; OTP rechazado sin abrir sesión.</x:v>
      </x:c>
      <x:c r="E14" t="str">
        <x:v>RF53</x:v>
      </x:c>
      <x:c r="F14" t="str">
        <x:v>PENDIENTE EJECUCIÓN</x:v>
      </x:c>
      <x:c r="G14" t="str">
        <x:v>Propuesto auditoría</x:v>
      </x:c>
    </x:row>
    <x:row r="15" ht="27" customHeight="1">
      <x:c r="A15" t="str">
        <x:v>TN02</x:v>
      </x:c>
      <x:c r="B15" t="str">
        <x:v>Cuenta: código incorrecto</x:v>
      </x:c>
      <x:c r="C15" t="str">
        <x:v>RF53 OTP erróneo 5 veces</x:v>
      </x:c>
      <x:c r="D15" t="str">
        <x:v>Aplicar bloqueo definido, sin reactivación.</x:v>
      </x:c>
      <x:c r="E15" t="str">
        <x:v>RF53</x:v>
      </x:c>
      <x:c r="F15" t="str">
        <x:v>PENDIENTE EJECUCIÓN</x:v>
      </x:c>
      <x:c r="G15" t="str">
        <x:v>Propuesto auditoría</x:v>
      </x:c>
    </x:row>
    <x:row r="16" ht="27" customHeight="1">
      <x:c r="A16" t="str">
        <x:v>TN03</x:v>
      </x:c>
      <x:c r="B16" t="str">
        <x:v>Cuenta: carrera con job</x:v>
      </x:c>
      <x:c r="C16" t="str">
        <x:v>Reactivar justo antes de fecha límite y disparar job 30 días</x:v>
      </x:c>
      <x:c r="D16" t="str">
        <x:v>Como máximo un resultado; no eliminar cuenta ACTIVA.</x:v>
      </x:c>
      <x:c r="E16" t="str">
        <x:v>RF07,RF53</x:v>
      </x:c>
      <x:c r="F16" t="str">
        <x:v>PENDIENTE EJECUCIÓN</x:v>
      </x:c>
      <x:c r="G16" t="str">
        <x:v>Propuesto auditoría</x:v>
      </x:c>
    </x:row>
    <x:row r="17" ht="27" customHeight="1">
      <x:c r="A17" t="str">
        <x:v>TN04</x:v>
      </x:c>
      <x:c r="B17" t="str">
        <x:v>Cuenta: vencido</x:v>
      </x:c>
      <x:c r="C17" t="str">
        <x:v>Reactivar tras fechaLimiteUTC</x:v>
      </x:c>
      <x:c r="D17" t="str">
        <x:v>Denegar reactivación sin alterar estado.</x:v>
      </x:c>
      <x:c r="E17" t="str">
        <x:v>RF07,RF53</x:v>
      </x:c>
      <x:c r="F17" t="str">
        <x:v>PENDIENTE EJECUCIÓN</x:v>
      </x:c>
      <x:c r="G17" t="str">
        <x:v>Propuesto auditoría</x:v>
      </x:c>
    </x:row>
    <x:row r="18" ht="27" customHeight="1">
      <x:c r="A18" t="str">
        <x:v>TN05</x:v>
      </x:c>
      <x:c r="B18" t="str">
        <x:v>RF07 mensajes BCE</x:v>
      </x:c>
      <x:c r="C18" t="str">
        <x:v>Trazar pasos 25–33 RF07</x:v>
      </x:c>
      <x:c r="D18" t="str">
        <x:v>Llamadas y retornos coinciden con dueño de la operación.</x:v>
      </x:c>
      <x:c r="E18" t="str">
        <x:v>RF07</x:v>
      </x:c>
      <x:c r="F18" t="str">
        <x:v>PENDIENTE EJECUCIÓN</x:v>
      </x:c>
      <x:c r="G18" t="str">
        <x:v>Propuesto auditoría</x:v>
      </x:c>
    </x:row>
    <x:row r="19" ht="27" customHeight="1">
      <x:c r="A19" t="str">
        <x:v>TN06</x:v>
      </x:c>
      <x:c r="B19" t="str">
        <x:v>RF16 sin motivo</x:v>
      </x:c>
      <x:c r="C19" t="str">
        <x:v>Abrir corrección y capturar nuevo KM</x:v>
      </x:c>
      <x:c r="D19" t="str">
        <x:v>Solo KM anterior/no editable y nuevo; no campo de motivo.</x:v>
      </x:c>
      <x:c r="E19" t="str">
        <x:v>RF14,RF16</x:v>
      </x:c>
      <x:c r="F19" t="str">
        <x:v>PENDIENTE EJECUCIÓN</x:v>
      </x:c>
      <x:c r="G19" t="str">
        <x:v>Propuesto auditoría</x:v>
      </x:c>
    </x:row>
    <x:row r="20" ht="27" customHeight="1">
      <x:c r="A20" t="str">
        <x:v>TN07</x:v>
      </x:c>
      <x:c r="B20" t="str">
        <x:v>RF16 vista previa</x:v>
      </x:c>
      <x:c r="C20" t="str">
        <x:v>Introducir KM corregido y continuar</x:v>
      </x:c>
      <x:c r="D20" t="str">
        <x:v>Se muestra anterior/nuevo; cero escrituras.</x:v>
      </x:c>
      <x:c r="E20" t="str">
        <x:v>RF16</x:v>
      </x:c>
      <x:c r="F20" t="str">
        <x:v>PENDIENTE EJECUCIÓN</x:v>
      </x:c>
      <x:c r="G20" t="str">
        <x:v>Propuesto auditoría</x:v>
      </x:c>
    </x:row>
    <x:row r="21" ht="27" customHeight="1">
      <x:c r="A21" t="str">
        <x:v>TN08</x:v>
      </x:c>
      <x:c r="B21" t="str">
        <x:v>RF16 cancelar</x:v>
      </x:c>
      <x:c r="C21" t="str">
        <x:v>Salir de vista previa</x:v>
      </x:c>
      <x:c r="D21" t="str">
        <x:v>Se conserva KM vigente; ninguna corrección.</x:v>
      </x:c>
      <x:c r="E21" t="str">
        <x:v>RF16</x:v>
      </x:c>
      <x:c r="F21" t="str">
        <x:v>PENDIENTE EJECUCIÓN</x:v>
      </x:c>
      <x:c r="G21" t="str">
        <x:v>Propuesto auditoría</x:v>
      </x:c>
    </x:row>
    <x:row r="22" ht="27" customHeight="1">
      <x:c r="A22" t="str">
        <x:v>TN09</x:v>
      </x:c>
      <x:c r="B22" t="str">
        <x:v>RF16 guardar tras confirmación</x:v>
      </x:c>
      <x:c r="C22" t="str">
        <x:v>Confirmar KM corregido</x:v>
      </x:c>
      <x:c r="D22" t="str">
        <x:v>Una lectura actualizada + evento técnico; fecha servidor.</x:v>
      </x:c>
      <x:c r="E22" t="str">
        <x:v>RF16</x:v>
      </x:c>
      <x:c r="F22" t="str">
        <x:v>PENDIENTE EJECUCIÓN</x:v>
      </x:c>
      <x:c r="G22" t="str">
        <x:v>Propuesto auditoría</x:v>
      </x:c>
    </x:row>
    <x:row r="23" ht="27" customHeight="1">
      <x:c r="A23" t="str">
        <x:v>TN10</x:v>
      </x:c>
      <x:c r="B23" t="str">
        <x:v>RF16 reintento</x:v>
      </x:c>
      <x:c r="C23" t="str">
        <x:v>Repetir comando con claveOperacion</x:v>
      </x:c>
      <x:c r="D23" t="str">
        <x:v>No duplica evento ni modificación.</x:v>
      </x:c>
      <x:c r="E23" t="str">
        <x:v>RF16</x:v>
      </x:c>
      <x:c r="F23" t="str">
        <x:v>PENDIENTE EJECUCIÓN</x:v>
      </x:c>
      <x:c r="G23" t="str">
        <x:v>Propuesto auditoría</x:v>
      </x:c>
    </x:row>
    <x:row r="24" ht="27" customHeight="1">
      <x:c r="A24" t="str">
        <x:v>TN11</x:v>
      </x:c>
      <x:c r="B24" t="str">
        <x:v>RF16 no afecta recordatorio</x:v>
      </x:c>
      <x:c r="C24" t="str">
        <x:v>Corregir lectura tras aviso KM</x:v>
      </x:c>
      <x:c r="D24" t="str">
        <x:v>Fecha base RF44 no se reinicia; aviso no marcado atendido.</x:v>
      </x:c>
      <x:c r="E24" t="str">
        <x:v>RF16,RF44,RF46</x:v>
      </x:c>
      <x:c r="F24" t="str">
        <x:v>PENDIENTE EJECUCIÓN</x:v>
      </x:c>
      <x:c r="G24" t="str">
        <x:v>Propuesto auditoría</x:v>
      </x:c>
    </x:row>
    <x:row r="25" ht="27" customHeight="1">
      <x:c r="A25" t="str">
        <x:v>TN12</x:v>
      </x:c>
      <x:c r="B25" t="str">
        <x:v>RF14 sí afecta recordatorio</x:v>
      </x:c>
      <x:c r="C25" t="str">
        <x:v>Actualizar lectura normal tras aviso KM</x:v>
      </x:c>
      <x:c r="D25" t="str">
        <x:v>Fecha base RF44 actualizada, notificación coherente.</x:v>
      </x:c>
      <x:c r="E25" t="str">
        <x:v>RF14,RF44,RF46</x:v>
      </x:c>
      <x:c r="F25" t="str">
        <x:v>PENDIENTE EJECUCIÓN</x:v>
      </x:c>
      <x:c r="G25" t="str">
        <x:v>Propuesto auditoría</x:v>
      </x:c>
    </x:row>
    <x:row r="26" ht="27" customHeight="1">
      <x:c r="A26" t="str">
        <x:v>TN13</x:v>
      </x:c>
      <x:c r="B26" t="str">
        <x:v>Plan downgrade sin principal</x:v>
      </x:c>
      <x:c r="C26" t="str">
        <x:v>Usuario Premium con 3 vehículos y cambio a Free</x:v>
      </x:c>
      <x:c r="D26" t="str">
        <x:v>Conservar exactamente principal activo según política vigente.</x:v>
      </x:c>
      <x:c r="E26" t="str">
        <x:v>RF08,RF12,RF13,RF30</x:v>
      </x:c>
      <x:c r="F26" t="str">
        <x:v>PENDIENTE EJECUCIÓN</x:v>
      </x:c>
      <x:c r="G26" t="str">
        <x:v>Propuesto auditoría</x:v>
      </x:c>
    </x:row>
    <x:row r="27" ht="27" customHeight="1">
      <x:c r="A27" t="str">
        <x:v>TN14</x:v>
      </x:c>
      <x:c r="B27" t="str">
        <x:v>Plan no verificado</x:v>
      </x:c>
      <x:c r="C27" t="str">
        <x:v>Token inválido en compra Premium</x:v>
      </x:c>
      <x:c r="D27" t="str">
        <x:v>No activar Premium ni habilitar segundo vehículo.</x:v>
      </x:c>
      <x:c r="E27" t="str">
        <x:v>RF08,RF29,RF60</x:v>
      </x:c>
      <x:c r="F27" t="str">
        <x:v>PENDIENTE EJECUCIÓN</x:v>
      </x:c>
      <x:c r="G27" t="str">
        <x:v>Propuesto auditoría</x:v>
      </x:c>
    </x:row>
    <x:row r="28" ht="27" customHeight="1">
      <x:c r="A28" t="str">
        <x:v>TN15</x:v>
      </x:c>
      <x:c r="B28" t="str">
        <x:v>API licencia incompleta</x:v>
      </x:c>
      <x:c r="C28" t="str">
        <x:v>JSON.pe devuelve campos nulos o estado desconocido</x:v>
      </x:c>
      <x:c r="D28" t="str">
        <x:v>No dar datos oficiales como validados; error controlado.</x:v>
      </x:c>
      <x:c r="E28" t="str">
        <x:v>RF51,RF52</x:v>
      </x:c>
      <x:c r="F28" t="str">
        <x:v>PENDIENTE EJECUCIÓN</x:v>
      </x:c>
      <x:c r="G28" t="str">
        <x:v>Propuesto auditoría</x:v>
      </x:c>
    </x:row>
    <x:row r="29" ht="27" customHeight="1">
      <x:c r="A29" t="str">
        <x:v>TN16</x:v>
      </x:c>
      <x:c r="B29" t="str">
        <x:v>Licencia Free</x:v>
      </x:c>
      <x:c r="C29" t="str">
        <x:v>Usuario pasa a Free con licencia existente</x:v>
      </x:c>
      <x:c r="D29" t="str">
        <x:v>RF52 consulta solo lectura; RF51 no permite alta.</x:v>
      </x:c>
      <x:c r="E29" t="str">
        <x:v>RF30,RF51,RF52</x:v>
      </x:c>
      <x:c r="F29" t="str">
        <x:v>PENDIENTE EJECUCIÓN</x:v>
      </x:c>
      <x:c r="G29" t="str">
        <x:v>Propuesto auditoría</x:v>
      </x:c>
    </x:row>
    <x:row r="30" ht="27" customHeight="1">
      <x:c r="A30" t="str">
        <x:v>TN17</x:v>
      </x:c>
      <x:c r="B30" t="str">
        <x:v>TIVE sin VIN</x:v>
      </x:c>
      <x:c r="C30" t="str">
        <x:v>Registrar TIVE desde vehículo sin VIN</x:v>
      </x:c>
      <x:c r="D30" t="str">
        <x:v>Solicita completar VIN y recupera contexto antes de TIVE.</x:v>
      </x:c>
      <x:c r="E30" t="str">
        <x:v>RF08,RF11,RF54</x:v>
      </x:c>
      <x:c r="F30" t="str">
        <x:v>PENDIENTE EJECUCIÓN</x:v>
      </x:c>
      <x:c r="G30" t="str">
        <x:v>Propuesto auditoría</x:v>
      </x:c>
    </x:row>
    <x:row r="31" ht="27" customHeight="1">
      <x:c r="A31" t="str">
        <x:v>TN18</x:v>
      </x:c>
      <x:c r="B31" t="str">
        <x:v>TIVE duplicada</x:v>
      </x:c>
      <x:c r="C31" t="str">
        <x:v>Dos peticiones de TIVE mismo vehículo</x:v>
      </x:c>
      <x:c r="D31" t="str">
        <x:v>Unicidad vehículo-TIVE; segunda operación segura.</x:v>
      </x:c>
      <x:c r="E31" t="str">
        <x:v>RF54,RF55,RF56</x:v>
      </x:c>
      <x:c r="F31" t="str">
        <x:v>PENDIENTE EJECUCIÓN</x:v>
      </x:c>
      <x:c r="G31" t="str">
        <x:v>Propuesto auditoría</x:v>
      </x:c>
    </x:row>
    <x:row r="32" ht="27" customHeight="1">
      <x:c r="A32" t="str">
        <x:v>TN19</x:v>
      </x:c>
      <x:c r="B32" t="str">
        <x:v>Catálogo desactivado</x:v>
      </x:c>
      <x:c r="C32" t="str">
        <x:v>Tipo usado en mantenimiento histórico pasa a INACTIVO</x:v>
      </x:c>
      <x:c r="D32" t="str">
        <x:v>No aparece en nuevos registros; sigue legible histórico.</x:v>
      </x:c>
      <x:c r="E32" t="str">
        <x:v>RF17,RF18,RF22,RF62</x:v>
      </x:c>
      <x:c r="F32" t="str">
        <x:v>PENDIENTE EJECUCIÓN</x:v>
      </x:c>
      <x:c r="G32" t="str">
        <x:v>Propuesto auditoría</x:v>
      </x:c>
    </x:row>
    <x:row r="33" ht="27" customHeight="1">
      <x:c r="A33" t="str">
        <x:v>TN20</x:v>
      </x:c>
      <x:c r="B33" t="str">
        <x:v>Admin soporte sin permiso</x:v>
      </x:c>
      <x:c r="C33" t="str">
        <x:v>Soporte intenta mutación no autorizada</x:v>
      </x:c>
      <x:c r="D33" t="str">
        <x:v>Backend rechaza aunque controles UI se habiliten.</x:v>
      </x:c>
      <x:c r="E33" t="str">
        <x:v>RF57,RF59,RF61,RF62</x:v>
      </x:c>
      <x:c r="F33" t="str">
        <x:v>PENDIENTE EJECUCIÓN</x:v>
      </x:c>
      <x:c r="G33" t="str">
        <x:v>Propuesto auditoría</x:v>
      </x:c>
    </x:row>
    <x:row r="34" ht="27" customHeight="1">
      <x:c r="A34" t="str">
        <x:v>TN21</x:v>
      </x:c>
      <x:c r="B34" t="str">
        <x:v>Admin edición simultánea</x:v>
      </x:c>
      <x:c r="C34" t="str">
        <x:v>Dos admin cambian incidencia a diferentes estados</x:v>
      </x:c>
      <x:c r="D34" t="str">
        <x:v>Transición consistente y auditoría sin eventos perdidos.</x:v>
      </x:c>
      <x:c r="E34" t="str">
        <x:v>RF61</x:v>
      </x:c>
      <x:c r="F34" t="str">
        <x:v>PENDIENTE EJECUCIÓN</x:v>
      </x:c>
      <x:c r="G34" t="str">
        <x:v>Propuesto auditoría</x:v>
      </x:c>
    </x:row>
    <x:row r="35" ht="27" customHeight="1">
      <x:c r="A35" t="str">
        <x:v>TN22</x:v>
      </x:c>
      <x:c r="B35" t="str">
        <x:v>RF23 disparador autónomo</x:v>
      </x:c>
      <x:c r="C35" t="str">
        <x:v>Consulta de alertas sin evento del programador</x:v>
      </x:c>
      <x:c r="D35" t="str">
        <x:v>La consulta no ejecuta en línea el job programado por error.</x:v>
      </x:c>
      <x:c r="E35" t="str">
        <x:v>RF23</x:v>
      </x:c>
      <x:c r="F35" t="str">
        <x:v>PENDIENTE EJECUCIÓN</x:v>
      </x:c>
      <x:c r="G35" t="str">
        <x:v>Propuesto auditoría</x:v>
      </x:c>
    </x:row>
    <x:row r="36" ht="27" customHeight="1">
      <x:c r="A36" t="str">
        <x:v>TN23</x:v>
      </x:c>
      <x:c r="B36" t="str">
        <x:v>Notificaciones licenciadas</x:v>
      </x:c>
      <x:c r="C36" t="str">
        <x:v>Notificación LICENCIA sin idVehiculo</x:v>
      </x:c>
      <x:c r="D36" t="str">
        <x:v>Abre detalle licencia sin inventar vehículo.</x:v>
      </x:c>
      <x:c r="E36" t="str">
        <x:v>RF23,RF46,RF47</x:v>
      </x:c>
      <x:c r="F36" t="str">
        <x:v>PENDIENTE EJECUCIÓN</x:v>
      </x:c>
      <x:c r="G36" t="str">
        <x:v>Propuesto auditoría</x:v>
      </x:c>
    </x:row>
    <x:row r="37" ht="27" customHeight="1">
      <x:c r="A37" t="str">
        <x:v>TN24</x:v>
      </x:c>
      <x:c r="B37" t="str">
        <x:v>Sesión suspendida</x:v>
      </x:c>
      <x:c r="C37" t="str">
        <x:v>Usuario suspendido solicita consultar vehículos</x:v>
      </x:c>
      <x:c r="D37" t="str">
        <x:v>Rechazo backend aun con token anterior.</x:v>
      </x:c>
      <x:c r="E37" t="str">
        <x:v>RF02,RF09,RF59</x:v>
      </x:c>
      <x:c r="F37" t="str">
        <x:v>PENDIENTE EJECUCIÓN</x:v>
      </x:c>
      <x:c r="G37" t="str">
        <x:v>Propuesto auditoría</x:v>
      </x:c>
    </x:row>
  </x:sheetData>
  <x:pageMargins left="0.7" right="0.7" top="0.75" bottom="0.75" header="0.3" footer="0.3"/>
</x:worksheet>
</file>

<file path=xl/worksheets/sheet10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19" hidden="0" customWidth="1"/>
    <x:col min="3" max="3" width="98" hidden="0" customWidth="1"/>
    <x:col min="4" max="4" width="108" hidden="0" customWidth="1"/>
    <x:col min="5" max="5" width="88" hidden="0" customWidth="1"/>
    <x:col min="6" max="6" width="48" hidden="0" customWidth="1"/>
  </x:cols>
  <x:sheetData>
    <x:row r="1" ht="29" customHeight="1">
      <x:c r="A1" s="1015" t="str">
        <x:v>Hoja</x:v>
      </x:c>
      <x:c r="B1" s="1015" t="str">
        <x:v>Celda o rango</x:v>
      </x:c>
      <x:c r="C1" s="1015" t="str">
        <x:v>Valor anterior / alcance</x:v>
      </x:c>
      <x:c r="D1" s="1015" t="str">
        <x:v>Valor corregido / alcance</x:v>
      </x:c>
      <x:c r="E1" s="1015" t="str">
        <x:v>Justificación</x:v>
      </x:c>
      <x:c r="F1" s="1015" t="str">
        <x:v>RF impactados</x:v>
      </x:c>
    </x:row>
    <x:row r="2" ht="27" customHeight="1">
      <x:c r="A2" t="str">
        <x:v>RF007-E1</x:v>
      </x:c>
      <x:c r="B2" t="str">
        <x:v>C33</x:v>
      </x:c>
      <x:c r="C2" t="str">
        <x:v>C_EliminarCuenta</x:v>
      </x:c>
      <x:c r="D2" t="str">
        <x:v>E_Usuario</x:v>
      </x:c>
      <x:c r="E2" t="str">
        <x:v>Corregir emisor real del mensaje BCE y coincidir con método/nota.</x:v>
      </x:c>
      <x:c r="F2" t="str">
        <x:v>RF07,RF53</x:v>
      </x:c>
    </x:row>
    <x:row r="3" ht="27" customHeight="1">
      <x:c r="A3" t="str">
        <x:v>RF007-E1</x:v>
      </x:c>
      <x:c r="B3" t="str">
        <x:v>C35</x:v>
      </x:c>
      <x:c r="C3" t="str">
        <x:v>E_Usuario</x:v>
      </x:c>
      <x:c r="D3" t="str">
        <x:v>C_ValidacionCuenta</x:v>
      </x:c>
      <x:c r="E3" t="str">
        <x:v>Corregir emisor real del mensaje BCE y coincidir con método/nota.</x:v>
      </x:c>
      <x:c r="F3" t="str">
        <x:v>RF07,RF53</x:v>
      </x:c>
    </x:row>
    <x:row r="4" ht="27" customHeight="1">
      <x:c r="A4" t="str">
        <x:v>RF007-E1</x:v>
      </x:c>
      <x:c r="B4" t="str">
        <x:v>C37</x:v>
      </x:c>
      <x:c r="C4" t="str">
        <x:v>C_ValidacionCuenta</x:v>
      </x:c>
      <x:c r="D4" t="str">
        <x:v>C_EliminarCuenta</x:v>
      </x:c>
      <x:c r="E4" t="str">
        <x:v>Corregir emisor real del mensaje BCE y coincidir con método/nota.</x:v>
      </x:c>
      <x:c r="F4" t="str">
        <x:v>RF07,RF53</x:v>
      </x:c>
    </x:row>
    <x:row r="5" ht="27" customHeight="1">
      <x:c r="A5" t="str">
        <x:v>RF007-E1</x:v>
      </x:c>
      <x:c r="B5" t="str">
        <x:v>C38</x:v>
      </x:c>
      <x:c r="C5" t="str">
        <x:v>C_EliminarCuenta</x:v>
      </x:c>
      <x:c r="D5" t="str">
        <x:v>E_CodigoRecuperacion</x:v>
      </x:c>
      <x:c r="E5" t="str">
        <x:v>Corregir emisor real del mensaje BCE y coincidir con método/nota.</x:v>
      </x:c>
      <x:c r="F5" t="str">
        <x:v>RF07,RF53</x:v>
      </x:c>
    </x:row>
    <x:row r="6" ht="27" customHeight="1">
      <x:c r="A6" t="str">
        <x:v>RF007-E1</x:v>
      </x:c>
      <x:c r="B6" t="str">
        <x:v>C39</x:v>
      </x:c>
      <x:c r="C6" t="str">
        <x:v>0</x:v>
      </x:c>
      <x:c r="D6" t="str">
        <x:v>C_EliminarCuenta</x:v>
      </x:c>
      <x:c r="E6" t="str">
        <x:v>Corregir emisor real del mensaje BCE y coincidir con método/nota.</x:v>
      </x:c>
      <x:c r="F6" t="str">
        <x:v>RF07,RF53</x:v>
      </x:c>
    </x:row>
    <x:row r="7" ht="27" customHeight="1">
      <x:c r="A7" t="str">
        <x:v>RF007-E1</x:v>
      </x:c>
      <x:c r="B7" t="str">
        <x:v>C40</x:v>
      </x:c>
      <x:c r="C7" t="str">
        <x:v>E_CodigoRecuperacion</x:v>
      </x:c>
      <x:c r="D7" t="str">
        <x:v>E_CorreoPendiente</x:v>
      </x:c>
      <x:c r="E7" t="str">
        <x:v>Corregir emisor real del mensaje BCE y coincidir con método/nota.</x:v>
      </x:c>
      <x:c r="F7" t="str">
        <x:v>RF07,RF53</x:v>
      </x:c>
    </x:row>
    <x:row r="8" ht="27" customHeight="1">
      <x:c r="A8" t="str">
        <x:v>RF053-EF1</x:v>
      </x:c>
      <x:c r="B8" t="str">
        <x:v>E5</x:v>
      </x:c>
      <x:c r="C8" t="str">
        <x:v>I_IniciarSesion</x:v>
      </x:c>
      <x:c r="D8" t="str">
        <x:v>I_InicioSesion</x:v>
      </x:c>
      <x:c r="E8" t="str">
        <x:v>Reutilizar interfaz de inicio de sesión de RF02 y RF57.</x:v>
      </x:c>
      <x:c r="F8" t="str">
        <x:v>RF02,RF53,RF57</x:v>
      </x:c>
    </x:row>
    <x:row r="9" ht="27" customHeight="1">
      <x:c r="A9" t="str">
        <x:v>RF053-EF1</x:v>
      </x:c>
      <x:c r="B9" t="str">
        <x:v>C6</x:v>
      </x:c>
      <x:c r="C9" t="str">
        <x:v>I_IniciarSesion</x:v>
      </x:c>
      <x:c r="D9" t="str">
        <x:v>I_InicioSesion</x:v>
      </x:c>
      <x:c r="E9" t="str">
        <x:v>Reutilizar interfaz de inicio de sesión de RF02 y RF57.</x:v>
      </x:c>
      <x:c r="F9" t="str">
        <x:v>RF02,RF53,RF57</x:v>
      </x:c>
    </x:row>
    <x:row r="10" ht="27" customHeight="1">
      <x:c r="A10" t="str">
        <x:v>RF053-EF1</x:v>
      </x:c>
      <x:c r="B10" t="str">
        <x:v>E60</x:v>
      </x:c>
      <x:c r="C10" t="str">
        <x:v>I_IniciarSesion</x:v>
      </x:c>
      <x:c r="D10" t="str">
        <x:v>I_InicioSesion</x:v>
      </x:c>
      <x:c r="E10" t="str">
        <x:v>Reutilizar interfaz de inicio de sesión de RF02 y RF57.</x:v>
      </x:c>
      <x:c r="F10" t="str">
        <x:v>RF02,RF53,RF57</x:v>
      </x:c>
    </x:row>
    <x:row r="11" ht="27" customHeight="1">
      <x:c r="A11" t="str">
        <x:v>RF053-EF1</x:v>
      </x:c>
      <x:c r="B11" t="str">
        <x:v>C61</x:v>
      </x:c>
      <x:c r="C11" t="str">
        <x:v>I_IniciarSesion</x:v>
      </x:c>
      <x:c r="D11" t="str">
        <x:v>I_InicioSesion</x:v>
      </x:c>
      <x:c r="E11" t="str">
        <x:v>Reutilizar interfaz de inicio de sesión de RF02 y RF57.</x:v>
      </x:c>
      <x:c r="F11" t="str">
        <x:v>RF02,RF53,RF57</x:v>
      </x:c>
    </x:row>
    <x:row r="12" ht="27" customHeight="1">
      <x:c r="A12" t="str">
        <x:v>REGLAS_TRANSVERSALES</x:v>
      </x:c>
      <x:c r="B12" t="str">
        <x:v>B11</x:v>
      </x:c>
      <x:c r="C12" t="str">
        <x:v>RF51 alta solo PREMIUM con API; RF52 consulta de licencia conservada en solo lectura PREMIUM/FREE; RF53 retirado.</x:v>
      </x:c>
      <x:c r="D12" t="str">
        <x:v>RF51: alta de licencia solo PREMIUM con API; RF52: consulta conservada en solo lectura PREMIUM/FREE; RF53: recuperación de cuenta pendiente de eliminación (no licencia).</x:v>
      </x:c>
      <x:c r="E12" t="str">
        <x:v>Actualizar alcance vigente de RF53; evitar referencia a versión obsoleta.</x:v>
      </x:c>
      <x:c r="F12" t="str">
        <x:v>RF07,RF51,RF52,RF53</x:v>
      </x:c>
    </x:row>
    <x:row r="13" ht="27" customHeight="1">
      <x:c r="A13" t="str">
        <x:v>REGLAS_TRANSVERSALES</x:v>
      </x:c>
      <x:c r="B13" t="str">
        <x:v>C11</x:v>
      </x:c>
      <x:c r="C13" t="str">
        <x:v>RF23 / RF29 / RF30 / RF51–RF53 / RF60</x:v>
      </x:c>
      <x:c r="D13" t="str">
        <x:v>RF23 / RF29 / RF30 / RF51–RF52 / RF60</x:v>
      </x:c>
      <x:c r="E13" t="str">
        <x:v>Separar alcance de licencia del RF53 (reactivación de cuenta).</x:v>
      </x:c>
      <x:c r="F13" t="str">
        <x:v>RF51,RF52,RF53</x:v>
      </x:c>
    </x:row>
    <x:row r="14" ht="27" customHeight="1">
      <x:c r="A14" t="str">
        <x:v>PENDIENTES_VERIFICACION</x:v>
      </x:c>
      <x:c r="B14" t="str">
        <x:v>C8</x:v>
      </x:c>
      <x:c r="C14" t="str">
        <x:v>RF53 retirada; actualización mensual es propuesta sin cobertura verificada.</x:v>
      </x:c>
      <x:c r="D14" t="str">
        <x:v>La antigua edición de licencia llamada RF53 fue retirada y el código se reasignó a recuperación de cuenta; renovación automática de licencia no tiene cobertura verificada.</x:v>
      </x:c>
      <x:c r="E14" t="str">
        <x:v>Registrar migración de alcance y pendiente real sobre renovación.</x:v>
      </x:c>
      <x:c r="F14" t="str">
        <x:v>RF51,RF52,RF53</x:v>
      </x:c>
    </x:row>
    <x:row r="15" ht="27" customHeight="1">
      <x:c r="A15" t="str">
        <x:v>RF23</x:v>
      </x:c>
      <x:c r="B15" t="str">
        <x:v>G103</x:v>
      </x:c>
      <x:c r="C15" t="str">
        <x:v>Finaliza la consulta LICENCIA sin vehículo; permite ver registros conservados en Free o Premium cuando la cuenta sigue ACTIVA. El motor 37–69 es autónomo y no forma parte secuencial de esta consulta. RF53 permanece retirado.</x:v>
      </x:c>
      <x:c r="D15" t="str">
        <x:v>Finaliza la consulta LICENCIA sin vehículo; permite ver registros conservados en Free o Premium cuando la cuenta sigue ACTIVA. El motor 37–69 es autónomo y no forma parte secuencial de esta consulta. RF53 corresponde ahora a reactivación de cuenta, sin operación de edición de licencia.</x:v>
      </x:c>
      <x:c r="E15" t="str">
        <x:v>Actualizar nota obsoleta de RF53, sin alterar flujo de licencia.</x:v>
      </x:c>
      <x:c r="F15" t="str">
        <x:v>RF23,RF51,RF52,RF53</x:v>
      </x:c>
    </x:row>
    <x:row r="16" ht="27" customHeight="1">
      <x:c r="A16" t="str">
        <x:v>VALIDACION_FINAL</x:v>
      </x:c>
      <x:c r="B16" t="str">
        <x:v>C13</x:v>
      </x:c>
      <x:c r="C16" t="str">
        <x:v>No existe botón edición ni flujo RF53 activo.</x:v>
      </x:c>
      <x:c r="D16" t="str">
        <x:v>RF52 ofrece consulta de licencia en solo lectura, sin edición oficial; RF53 es recuperación de cuenta, no edición de licencia.</x:v>
      </x:c>
      <x:c r="E16" t="str">
        <x:v>Alinear caso de prueba con alcance RF53 vigente.</x:v>
      </x:c>
      <x:c r="F16" t="str">
        <x:v>RF51,RF52,RF53</x:v>
      </x:c>
    </x:row>
    <x:row r="17" ht="27" customHeight="1">
      <x:c r="A17" t="str">
        <x:v>VALIDACION_FINAL</x:v>
      </x:c>
      <x:c r="B17" t="str">
        <x:v>E13</x:v>
      </x:c>
      <x:c r="C17" t="str">
        <x:v>RF51,RF52</x:v>
      </x:c>
      <x:c r="D17" t="str">
        <x:v>RF51,RF52</x:v>
      </x:c>
      <x:c r="E17" t="str">
        <x:v>Evitar referencia equivocada a RF53 como edición de licencia.</x:v>
      </x:c>
      <x:c r="F17" t="str">
        <x:v>RF51,RF52,RF53</x:v>
      </x:c>
    </x:row>
    <x:row r="18" ht="27" customHeight="1">
      <x:c r="A18" t="str">
        <x:v>REVISION_CRUZADA_EXITOSOS</x:v>
      </x:c>
      <x:c r="B18" t="str">
        <x:v>C56</x:v>
      </x:c>
      <x:c r="C18" t="str">
        <x:v>RETIRADO (RESERVADO)</x:v>
      </x:c>
      <x:c r="D18" t="str">
        <x:v>HISTÓRICO / SUPERADO: RF53 REINCORPORADO</x:v>
      </x:c>
      <x:c r="E18" t="str">
        <x:v>Indicar superación de una conclusión histórica por versión actual de RF53.</x:v>
      </x:c>
      <x:c r="F18" t="str">
        <x:v>RF53</x:v>
      </x:c>
    </x:row>
    <x:row r="19" ht="27" customHeight="1">
      <x:c r="A19" t="str">
        <x:v>REVISION_CRUZADA_EXITOSOS</x:v>
      </x:c>
      <x:c r="B19" t="str">
        <x:v>D56</x:v>
      </x:c>
      <x:c r="C19" t="str">
        <x:v>Sin función activa: consulta RF52 es solo lectura.</x:v>
      </x:c>
      <x:c r="D19" t="str">
        <x:v>La edición manual de licencia sigue retirada; RF053-EF1 incorpora reactivación de cuenta. Revisar flujo y alternativos.</x:v>
      </x:c>
      <x:c r="E19" t="str">
        <x:v>Separar edición de licencia retirada de nueva funcionalidad RF53.</x:v>
      </x:c>
      <x:c r="F19" t="str">
        <x:v>RF53</x:v>
      </x:c>
    </x:row>
    <x:row r="20" ht="27" customHeight="1">
      <x:c r="A20" t="str">
        <x:v>REVISION_CRUZADA_EXITOSOS</x:v>
      </x:c>
      <x:c r="B20" t="str">
        <x:v>C72</x:v>
      </x:c>
      <x:c r="C20" t="str">
        <x:v>RETIRADO</x:v>
      </x:c>
      <x:c r="D20" t="str">
        <x:v>HISTÓRICO / SUPERADO</x:v>
      </x:c>
      <x:c r="E20" t="str">
        <x:v>Anotar condición de auditoría histórica obsoleta.</x:v>
      </x:c>
      <x:c r="F20" t="str">
        <x:v>RF53</x:v>
      </x:c>
    </x:row>
    <x:row r="21" ht="27" customHeight="1">
      <x:c r="A21" t="str">
        <x:v>REVISION_CRUZADA_EXITOSOS</x:v>
      </x:c>
      <x:c r="B21" t="str">
        <x:v>D72</x:v>
      </x:c>
      <x:c r="C21" t="str">
        <x:v>RF52 continúa en solo lectura. RF53 queda reservado sin operación activa.</x:v>
      </x:c>
      <x:c r="D21" t="str">
        <x:v>RF52 solo lectura; RF53 actualmente reactivación de cuenta, sin edición oficial de licencia.</x:v>
      </x:c>
      <x:c r="E21" t="str">
        <x:v>Alinear referencias de alcance vigentes.</x:v>
      </x:c>
      <x:c r="F21" t="str">
        <x:v>RF51,RF52,RF53</x:v>
      </x:c>
    </x:row>
    <x:row r="22" ht="27" customHeight="1">
      <x:c r="A22" t="str">
        <x:v>AUDITORIA_EXITOSOS_FINAL</x:v>
      </x:c>
      <x:c r="B22" t="str">
        <x:v>A2</x:v>
      </x:c>
      <x:c r="C22" t="str">
        <x:v>Alcance: RF01–RF64 exitosos; RF53 reservado/retirado. No sustituye revisión de alternativos, SQL físico ni pruebas con proveedores.</x:v>
      </x:c>
      <x:c r="D22" t="str">
        <x:v>Auditoría histórica al 20/10/2026; observaciones sobre RF53 reservado quedan superadas por RF053-EF1. No certifica EA, SQL ni proveedores.</x:v>
      </x:c>
      <x:c r="E22" t="str">
        <x:v>Advertencia explícita de alcance temporal y falta de validación final.</x:v>
      </x:c>
      <x:c r="F22" t="str">
        <x:v>RF53</x:v>
      </x:c>
    </x:row>
    <x:row r="23" ht="27" customHeight="1">
      <x:c r="A23" t="str">
        <x:v>AUDITORIA_EXITOSOS_FINAL</x:v>
      </x:c>
      <x:c r="B23" t="str">
        <x:v>C13</x:v>
      </x:c>
      <x:c r="C23" t="str">
        <x:v>Requerimiento retirado</x:v>
      </x:c>
      <x:c r="D23" t="str">
        <x:v>Conclusión histórica superada: RF53 retirado (licencia)</x:v>
      </x:c>
      <x:c r="E23" t="str">
        <x:v>Registrar que la regla anterior fue reemplazada en el consolidado.</x:v>
      </x:c>
      <x:c r="F23" t="str">
        <x:v>RF53</x:v>
      </x:c>
    </x:row>
    <x:row r="24" ht="27" customHeight="1">
      <x:c r="A24" t="str">
        <x:v>AUDITORIA_EXITOSOS_FINAL</x:v>
      </x:c>
      <x:c r="B24" t="str">
        <x:v>D13</x:v>
      </x:c>
      <x:c r="C24" t="str">
        <x:v>Conservado como identificador reservado, sin secuencia ejecutable.</x:v>
      </x:c>
      <x:c r="D24" t="str">
        <x:v>RF53 se reasignó a reactivar cuenta pendiente de eliminación; RF52 sigue solo lectura. Pendiente auditoría de alternativos.</x:v>
      </x:c>
      <x:c r="E24" t="str">
        <x:v>Corregir conclusión documental obsoleta.</x:v>
      </x:c>
      <x:c r="F24" t="str">
        <x:v>RF51,RF52,RF53</x:v>
      </x:c>
    </x:row>
    <x:row r="25" ht="27" customHeight="1">
      <x:c r="A25" t="str">
        <x:v>VALIDACION_FINAL</x:v>
      </x:c>
      <x:c r="B25" t="str">
        <x:v>E10</x:v>
      </x:c>
      <x:c r="C25" t="str">
        <x:v>RF07,RF59</x:v>
      </x:c>
      <x:c r="D25" t="str">
        <x:v>RF07,RF53,RF59</x:v>
      </x:c>
      <x:c r="E25" t="str">
        <x:v>Asociar las pruebas de recuperación/baja al RF53 vigente.</x:v>
      </x:c>
      <x:c r="F25" t="str">
        <x:v>RF07,RF53,RF59</x:v>
      </x:c>
    </x:row>
    <x:row r="26" ht="27" customHeight="1">
      <x:c r="A26" t="str">
        <x:v>VALIDACION_FINAL</x:v>
      </x:c>
      <x:c r="B26" t="str">
        <x:v>E11</x:v>
      </x:c>
      <x:c r="C26" t="str">
        <x:v>RF07,RF59</x:v>
      </x:c>
      <x:c r="D26" t="str">
        <x:v>RF07,RF53,RF59</x:v>
      </x:c>
      <x:c r="E26" t="str">
        <x:v>Asociar las pruebas de recuperación/baja al RF53 vigente.</x:v>
      </x:c>
      <x:c r="F26" t="str">
        <x:v>RF07,RF53,RF59</x:v>
      </x:c>
    </x:row>
    <x:row r="27" ht="27" customHeight="1">
      <x:c r="A27" t="str">
        <x:v>RF016_ALT_PREVIA</x:v>
      </x:c>
      <x:c r="B27" t="str">
        <x:v>A2</x:v>
      </x:c>
      <x:c r="C27" t="str">
        <x:v>RF16: acceso a I_CorreccionKilometraje; el usuario ingresa KM nuevo y motivo. El sistema registra la fecha automáticamente y no la muestra.</x:v>
      </x:c>
      <x:c r="D27" t="str">
        <x:v>Alternativos del RF16 vigente: sin motivo; formulario KM previo + nuevo, vista previa antes de confirmar; fecha automática del servidor.</x:v>
      </x:c>
      <x:c r="E27" t="str">
        <x:v>Alinear alcance EA con el flujo EF y regla transversal.</x:v>
      </x:c>
      <x:c r="F27" t="str">
        <x:v>RF14,RF16,RF23,RF44</x:v>
      </x:c>
    </x:row>
    <x:row r="28" ht="27" customHeight="1">
      <x:c r="A28" t="str">
        <x:v>RF016_ALT_PREVIA</x:v>
      </x:c>
      <x:c r="B28" t="str">
        <x:v>C4</x:v>
      </x:c>
      <x:c r="C28" t="str">
        <x:v>Salir sin guardar el KM corregido ni el motivo.</x:v>
      </x:c>
      <x:c r="D28" t="str">
        <x:v>Cancelar en el formulario o en vista previa; no enviar comando de escritura; regresar a Kilometraje.</x:v>
      </x:c>
      <x:c r="E28" t="str">
        <x:v>Cancelar nunca escribe en BD.</x:v>
      </x:c>
      <x:c r="F28" t="str">
        <x:v>RF14,RF16,RF23,RF44</x:v>
      </x:c>
    </x:row>
    <x:row r="29" ht="27" customHeight="1">
      <x:c r="A29" t="str">
        <x:v>RF016_ALT_PREVIA</x:v>
      </x:c>
      <x:c r="B29" t="str">
        <x:v>C5</x:v>
      </x:c>
      <x:c r="C29" t="str">
        <x:v>Permitir si respeta la última lectura histórica válida y se ingresa motivo.</x:v>
      </x:c>
      <x:c r="D29" t="str">
        <x:v>Permitir descenso si conserva coherencia con la lectura histórica válida; mostrar vista previa antes de confirmar.</x:v>
      </x:c>
      <x:c r="E29" t="str">
        <x:v>Eliminar motivo y exigir confirmación previa.</x:v>
      </x:c>
      <x:c r="F29" t="str">
        <x:v>RF14,RF16,RF23,RF44</x:v>
      </x:c>
    </x:row>
    <x:row r="30" ht="27" customHeight="1">
      <x:c r="A30" t="str">
        <x:v>RF016_ALT_PREVIA</x:v>
      </x:c>
      <x:c r="B30" t="str">
        <x:v>C6</x:v>
      </x:c>
      <x:c r="C30" t="str">
        <x:v>Bloquear la actualización y permitir editar KM y motivo, sin modificar historial.</x:v>
      </x:c>
      <x:c r="D30" t="str">
        <x:v>Bloquear si KM nuevo es menor al antecedente histórico válido; permitir editar solamente KM nuevo.</x:v>
      </x:c>
      <x:c r="E30" t="str">
        <x:v>Quitar referencia a motivo.</x:v>
      </x:c>
      <x:c r="F30" t="str">
        <x:v>RF14,RF16,RF23,RF44</x:v>
      </x:c>
    </x:row>
    <x:row r="31" ht="27" customHeight="1">
      <x:c r="A31" t="str">
        <x:v>RF016_ALT_PREVIA</x:v>
      </x:c>
      <x:c r="B31" t="str">
        <x:v>C7</x:v>
      </x:c>
      <x:c r="C31" t="str">
        <x:v>Rechazar operación innecesaria; conservar pantalla con tres campos.</x:v>
      </x:c>
      <x:c r="D31" t="str">
        <x:v>Rechazar si nuevo=previo y permanecer en formulario con KM previo (solo lectura) y nuevo (editable).</x:v>
      </x:c>
      <x:c r="E31" t="str">
        <x:v>Dos datos, sin motivo obligatorio.</x:v>
      </x:c>
      <x:c r="F31" t="str">
        <x:v>RF14,RF16,RF23,RF44</x:v>
      </x:c>
    </x:row>
    <x:row r="32" ht="27" customHeight="1">
      <x:c r="A32" t="str">
        <x:v>RF016_ALT_PREVIA</x:v>
      </x:c>
      <x:c r="B32" t="str">
        <x:v>C9</x:v>
      </x:c>
      <x:c r="C32" t="str">
        <x:v>ROLLBACK de ambos registros en una transacción.</x:v>
      </x:c>
      <x:c r="D32" t="str">
        <x:v>ROLLBACK de lectura corregida y evento técnico de trazabilidad si alguna escritura falla.</x:v>
      </x:c>
      <x:c r="E32" t="str">
        <x:v>No exigir motivo de usuario para auditar.</x:v>
      </x:c>
      <x:c r="F32" t="str">
        <x:v>RF14,RF16,RF23,RF44</x:v>
      </x:c>
    </x:row>
    <x:row r="33" ht="27" customHeight="1">
      <x:c r="A33" t="str">
        <x:v>RF016_ALT_PREVIA</x:v>
      </x:c>
      <x:c r="B33" t="str">
        <x:v>B11</x:v>
      </x:c>
      <x:c r="C33" t="str">
        <x:v>KM válido, motivo ingresado, permisos y versión vigentes</x:v>
      </x:c>
      <x:c r="D33" t="str">
        <x:v>Km válido, permisos/versiones vigentes y vista previa confirmada.</x:v>
      </x:c>
      <x:c r="E33" t="str">
        <x:v>Actualizar disparador exitoso.</x:v>
      </x:c>
      <x:c r="F33" t="str">
        <x:v>RF14,RF16,RF23,RF44</x:v>
      </x:c>
    </x:row>
    <x:row r="34" ht="27" customHeight="1">
      <x:c r="A34" t="str">
        <x:v>RF016_ALT_PREVIA</x:v>
      </x:c>
      <x:c r="B34" t="str">
        <x:v>C11</x:v>
      </x:c>
      <x:c r="C34" t="str">
        <x:v>Guardar KM corregido y motivo con fecha automática interna; recalcular alertas sin reiniciar RF44.</x:v>
      </x:c>
      <x:c r="D34" t="str">
        <x:v>Guardar KM corregido y evento de auditoría sin motivo del usuario después de confirmar vista previa; fecha asignada en servidor y alertas recalculadas sin reiniciar RF44.</x:v>
      </x:c>
      <x:c r="E34" t="str">
        <x:v>Misma política transversal para flujo exitoso.</x:v>
      </x:c>
      <x:c r="F34" t="str">
        <x:v>RF14,RF16,RF23,RF44</x:v>
      </x:c>
    </x:row>
    <x:row r="35" ht="27" customHeight="1">
      <x:c r="A35" t="str">
        <x:v>RF016_ALT_PREVIA</x:v>
      </x:c>
      <x:c r="B35" t="str">
        <x:v>D11</x:v>
      </x:c>
      <x:c r="C35" t="str">
        <x:v>E_CorreccionKilometraje + E_Kilometraje</x:v>
      </x:c>
      <x:c r="D35" t="str">
        <x:v>E_CorreccionKilometraje + E_Kilometraje, solo después de confirmar.</x:v>
      </x:c>
      <x:c r="E35" t="str">
        <x:v>Reforzar persistencia tardía.</x:v>
      </x:c>
      <x:c r="F35" t="str">
        <x:v>RF14,RF16,RF23,RF44</x:v>
      </x:c>
    </x:row>
    <x:row r="36" ht="27" customHeight="1">
      <x:c r="A36" t="str">
        <x:v>RF016-EF1</x:v>
      </x:c>
      <x:c r="B36" t="str">
        <x:v>A1:G47</x:v>
      </x:c>
      <x:c r="C36" t="str">
        <x:v>38 mensajes; corrección con motivo obligatorio y sin vista previa</x:v>
      </x:c>
      <x:c r="D36" t="str">
        <x:v>39 mensajes; modo corrección compartido, sin motivo y vista previa obligatoria</x:v>
      </x:c>
      <x:c r="E36" t="str">
        <x:v>Rectificar contradicción RF16 EF vs REGLAS_TRANSVERSALES y ALT.</x:v>
      </x:c>
      <x:c r="F36" t="str">
        <x:v>RF14,RF15,RF16,RF23,RF44,RF46</x:v>
      </x:c>
    </x:row>
    <x:row r="37">
      <x:c r="A37" t="str">
        <x:v>RF016_ALT_PREVIA</x:v>
      </x:c>
      <x:c r="B37" t="str">
        <x:v>B9</x:v>
      </x:c>
      <x:c r="C37" t="str">
        <x:v>No se puede guardar conjuntamente el motivo de auditoría y la lectura corregida</x:v>
      </x:c>
      <x:c r="D37" t="str">
        <x:v>No se puede confirmar conjuntamente la lectura corregida y el evento técnico de trazabilidad.</x:v>
      </x:c>
      <x:c r="E37" t="str">
        <x:v>Eliminar última referencia del EA a motivo obligatorio del usuario.</x:v>
      </x:c>
      <x:c r="F37" t="str">
        <x:v>RF16</x:v>
      </x:c>
    </x:row>
  </x:sheetData>
  <x:pageMargins left="0.7" right="0.7" top="0.75" bottom="0.75" header="0.3" footer="0.3"/>
</x:worksheet>
</file>

<file path=xl/worksheets/sheet10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47" hidden="0" customWidth="1"/>
    <x:col min="4" max="4" width="11" hidden="0" customWidth="1"/>
    <x:col min="5" max="5" width="27" hidden="0" customWidth="1"/>
    <x:col min="6" max="6" width="38" hidden="0" customWidth="1"/>
    <x:col min="7" max="7" width="52" hidden="0" customWidth="1"/>
    <x:col min="8" max="8" width="35" hidden="0" customWidth="1"/>
    <x:col min="9" max="9" width="48" hidden="0" customWidth="1"/>
  </x:cols>
  <x:sheetData>
    <x:row r="1" ht="34" customHeight="1">
      <x:c r="A1" s="1503" t="str">
        <x:v>RF</x:v>
      </x:c>
      <x:c r="B1" s="1503" t="str">
        <x:v>Hoja EF</x:v>
      </x:c>
      <x:c r="C1" s="1503" t="str">
        <x:v>Funcionalidad / título</x:v>
      </x:c>
      <x:c r="D1" s="1503" t="str">
        <x:v>Mensajes</x:v>
      </x:c>
      <x:c r="E1" s="1503" t="str">
        <x:v>Estado del EF</x:v>
      </x:c>
      <x:c r="F1" s="1503" t="str">
        <x:v>Contrato / foco</x:v>
      </x:c>
      <x:c r="G1" s="1503" t="str">
        <x:v>Comprobación pendiente</x:v>
      </x:c>
      <x:c r="H1" s="1503" t="str">
        <x:v>Módulos afectados</x:v>
      </x:c>
      <x:c r="I1" s="1503" t="str">
        <x:v>Límite de la revisión</x:v>
      </x:c>
    </x:row>
    <x:row r="2" ht="46" customHeight="1">
      <x:c r="A2" s="1209" t="str">
        <x:v>RF01</x:v>
      </x:c>
      <x:c r="B2" s="1209" t="str">
        <x:v>RF001-E1</x:v>
      </x:c>
      <x:c r="C2" s="1209" t="str">
        <x:v>RF-001-Registrar usuario en la aplicación</x:v>
      </x:c>
      <x:c r="D2" s="1508" t="n">
        <x:v>42</x:v>
      </x:c>
      <x:c r="E2" s="1510" t="str">
        <x:v>CONGELABLE EF</x:v>
      </x:c>
      <x:c r="F2" s="1209" t="str">
        <x:v>Sin contradicción adicional documentada en EF</x:v>
      </x:c>
      <x:c r="G2" s="1209" t="str">
        <x:v>Comprobar pruebas y SQL durante implementación</x:v>
      </x:c>
      <x:c r="H2" s="1209" t="str">
        <x:v>Cuentas y acceso</x:v>
      </x:c>
      <x:c r="I2" s="1209" t="str">
        <x:v>Solo secuencia exitosa; no certifica alternativos, SQL físico ni ejecución</x:v>
      </x:c>
    </x:row>
    <x:row r="3" ht="46" customHeight="1">
      <x:c r="A3" s="1209" t="str">
        <x:v>RF02</x:v>
      </x:c>
      <x:c r="B3" s="1209" t="str">
        <x:v>RF002-E1</x:v>
      </x:c>
      <x:c r="C3" s="1209" t="str">
        <x:v>RF-002-Iniciar sesión en la aplicación</x:v>
      </x:c>
      <x:c r="D3" s="1508" t="n">
        <x:v>35</x:v>
      </x:c>
      <x:c r="E3" s="1510" t="str">
        <x:v>CONGELABLE EF</x:v>
      </x:c>
      <x:c r="F3" s="1209" t="str">
        <x:v>Sin contradicción adicional documentada en EF</x:v>
      </x:c>
      <x:c r="G3" s="1209" t="str">
        <x:v>Comprobar pruebas y SQL durante implementación</x:v>
      </x:c>
      <x:c r="H3" s="1209" t="str">
        <x:v>Cuentas y acceso · Administración e incidencias</x:v>
      </x:c>
      <x:c r="I3" s="1209" t="str">
        <x:v>Solo secuencia exitosa; no certifica alternativos, SQL físico ni ejecución</x:v>
      </x:c>
    </x:row>
    <x:row r="4" ht="46" customHeight="1">
      <x:c r="A4" s="1209" t="str">
        <x:v>RF03</x:v>
      </x:c>
      <x:c r="B4" s="1209" t="str">
        <x:v>RF003-E1</x:v>
      </x:c>
      <x:c r="C4" s="1209" t="str">
        <x:v>RF-003-Recuperar acceso a la cuenta</x:v>
      </x:c>
      <x:c r="D4" s="1508" t="n">
        <x:v>61</x:v>
      </x:c>
      <x:c r="E4" s="1510" t="str">
        <x:v>CONGELABLE EF</x:v>
      </x:c>
      <x:c r="F4" s="1209" t="str">
        <x:v>Sin contradicción adicional documentada en EF</x:v>
      </x:c>
      <x:c r="G4" s="1209" t="str">
        <x:v>Comprobar pruebas y SQL durante implementación</x:v>
      </x:c>
      <x:c r="H4" s="1209" t="str">
        <x:v>Cuentas y acceso</x:v>
      </x:c>
      <x:c r="I4" s="1209" t="str">
        <x:v>Solo secuencia exitosa; no certifica alternativos, SQL físico ni ejecución</x:v>
      </x:c>
    </x:row>
    <x:row r="5" ht="46" customHeight="1">
      <x:c r="A5" s="1209" t="str">
        <x:v>RF04</x:v>
      </x:c>
      <x:c r="B5" s="1209" t="str">
        <x:v>RF004-E1</x:v>
      </x:c>
      <x:c r="C5" s="1209" t="str">
        <x:v>RF-004-Consultar y modificar datos personales</x:v>
      </x:c>
      <x:c r="D5" s="1508" t="n">
        <x:v>35</x:v>
      </x:c>
      <x:c r="E5" s="1510" t="str">
        <x:v>CONGELABLE EF</x:v>
      </x:c>
      <x:c r="F5" s="1209" t="str">
        <x:v>Sin contradicción adicional documentada en EF</x:v>
      </x:c>
      <x:c r="G5" s="1209" t="str">
        <x:v>Comprobar pruebas y SQL durante implementación</x:v>
      </x:c>
      <x:c r="H5" s="1209" t="str">
        <x:v>Cuentas y acceso</x:v>
      </x:c>
      <x:c r="I5" s="1209" t="str">
        <x:v>Solo secuencia exitosa; no certifica alternativos, SQL físico ni ejecución</x:v>
      </x:c>
    </x:row>
    <x:row r="6" ht="46" customHeight="1">
      <x:c r="A6" s="1209" t="str">
        <x:v>RF05</x:v>
      </x:c>
      <x:c r="B6" s="1209" t="str">
        <x:v>RF005-E1</x:v>
      </x:c>
      <x:c r="C6" s="1209" t="str">
        <x:v>RF-005-Cambiar contraseña</x:v>
      </x:c>
      <x:c r="D6" s="1508" t="n">
        <x:v>35</x:v>
      </x:c>
      <x:c r="E6" s="1510" t="str">
        <x:v>CONGELABLE EF</x:v>
      </x:c>
      <x:c r="F6" s="1209" t="str">
        <x:v>Sin contradicción adicional documentada en EF</x:v>
      </x:c>
      <x:c r="G6" s="1209" t="str">
        <x:v>Comprobar pruebas y SQL durante implementación</x:v>
      </x:c>
      <x:c r="H6" s="1209" t="str">
        <x:v>Cuentas y acceso</x:v>
      </x:c>
      <x:c r="I6" s="1209" t="str">
        <x:v>Solo secuencia exitosa; no certifica alternativos, SQL físico ni ejecución</x:v>
      </x:c>
    </x:row>
    <x:row r="7" ht="46" customHeight="1">
      <x:c r="A7" s="1209" t="str">
        <x:v>RF06</x:v>
      </x:c>
      <x:c r="B7" s="1209" t="str">
        <x:v>RF006-E1</x:v>
      </x:c>
      <x:c r="C7" s="1209" t="str">
        <x:v>RF-006-Cerrar sesión</x:v>
      </x:c>
      <x:c r="D7" s="1508" t="n">
        <x:v>23</x:v>
      </x:c>
      <x:c r="E7" s="1510" t="str">
        <x:v>CONGELABLE EF</x:v>
      </x:c>
      <x:c r="F7" s="1209" t="str">
        <x:v>Sin contradicción adicional documentada en EF</x:v>
      </x:c>
      <x:c r="G7" s="1209" t="str">
        <x:v>Comprobar pruebas y SQL durante implementación</x:v>
      </x:c>
      <x:c r="H7" s="1209" t="str">
        <x:v>Cuentas y acceso</x:v>
      </x:c>
      <x:c r="I7" s="1209" t="str">
        <x:v>Solo secuencia exitosa; no certifica alternativos, SQL físico ni ejecución</x:v>
      </x:c>
    </x:row>
    <x:row r="8" ht="46" customHeight="1">
      <x:c r="A8" s="1209" t="str">
        <x:v>RF07</x:v>
      </x:c>
      <x:c r="B8" s="1209" t="str">
        <x:v>RF007-E1</x:v>
      </x:c>
      <x:c r="C8" s="1209" t="str">
        <x:v>RF-007 — Solicitar eliminación de cuenta (30 días)</x:v>
      </x:c>
      <x:c r="D8" s="1508" t="n">
        <x:v>71</x:v>
      </x:c>
      <x:c r="E8" s="1510" t="str">
        <x:v>CONGELABLE EF</x:v>
      </x:c>
      <x:c r="F8" s="1209" t="str">
        <x:v>Recuperación por 30 días, OTP y cierre de sesión</x:v>
      </x:c>
      <x:c r="G8" s="1209" t="str">
        <x:v>Contrato transaccional/caducidad y job pendiente de contraste SQL</x:v>
      </x:c>
      <x:c r="H8" s="1209" t="str">
        <x:v>Cuentas y acceso · Administración e incidencias</x:v>
      </x:c>
      <x:c r="I8" s="1209" t="str">
        <x:v>Solo secuencia exitosa; no certifica alternativos, SQL físico ni ejecución</x:v>
      </x:c>
    </x:row>
    <x:row r="9" ht="46" customHeight="1">
      <x:c r="A9" s="1209" t="str">
        <x:v>RF08</x:v>
      </x:c>
      <x:c r="B9" s="1209" t="str">
        <x:v>RF008-EF1</x:v>
      </x:c>
      <x:c r="C9" s="1209" t="str">
        <x:v>RF-008-Registrar vehículo</x:v>
      </x:c>
      <x:c r="D9" s="1508" t="n">
        <x:v>54</x:v>
      </x:c>
      <x:c r="E9" s="1510" t="str">
        <x:v>CONGELABLE EF · SQL POR VALIDAR</x:v>
      </x:c>
      <x:c r="F9" s="1209" t="str">
        <x:v>RF08: PK idVehiculo/Free total registrado</x:v>
      </x:c>
      <x:c r="G9" s="1209" t="str">
        <x:v>EF alineado con decisiones del 2026-10-21; validar PK/FK/UNIQUE y concurrencia en SQL definitivo.</x:v>
      </x:c>
      <x:c r="H9" s="1209" t="str">
        <x:v>Vehículos · Kilometraje · Planes y pagos · TIVE</x:v>
      </x:c>
      <x:c r="I9" s="1209" t="str">
        <x:v>Solo secuencia exitosa; no certifica alternativos, SQL físico ni ejecución</x:v>
      </x:c>
    </x:row>
    <x:row r="10" ht="46" customHeight="1">
      <x:c r="A10" s="1209" t="str">
        <x:v>RF09</x:v>
      </x:c>
      <x:c r="B10" s="1209" t="str">
        <x:v>RF009-EF1</x:v>
      </x:c>
      <x:c r="C10" s="1209" t="str">
        <x:v>RF-009 Consultar vehículos registrados</x:v>
      </x:c>
      <x:c r="D10" s="1508" t="n">
        <x:v>49</x:v>
      </x:c>
      <x:c r="E10" s="1510" t="str">
        <x:v>CONGELABLE EF</x:v>
      </x:c>
      <x:c r="F10" s="1209" t="str">
        <x:v>RF09: listado TIVE por idVehiculo</x:v>
      </x:c>
      <x:c r="G10" s="1209" t="str">
        <x:v>EF alineado con decisiones del 2026-10-21; validar PK/FK/UNIQUE y concurrencia en SQL definitivo.</x:v>
      </x:c>
      <x:c r="H10" s="1209" t="str">
        <x:v>Vehículos</x:v>
      </x:c>
      <x:c r="I10" s="1209" t="str">
        <x:v>Solo secuencia exitosa; no certifica alternativos, SQL físico ni ejecución</x:v>
      </x:c>
    </x:row>
    <x:row r="11" ht="46" customHeight="1">
      <x:c r="A11" s="1209" t="str">
        <x:v>RF10</x:v>
      </x:c>
      <x:c r="B11" s="1209" t="str">
        <x:v>RF010-EF1</x:v>
      </x:c>
      <x:c r="C11" s="1209" t="str">
        <x:v>RF-010 Consultar detalle del vehículo</x:v>
      </x:c>
      <x:c r="D11" s="1508" t="n">
        <x:v>24</x:v>
      </x:c>
      <x:c r="E11" s="1510" t="str">
        <x:v>CONGELABLE EF</x:v>
      </x:c>
      <x:c r="F11" s="1209" t="str">
        <x:v>RF10: TIVE en detalle por idVehiculo</x:v>
      </x:c>
      <x:c r="G11" s="1209" t="str">
        <x:v>EF alineado con decisiones del 2026-10-21; validar PK/FK/UNIQUE y concurrencia en SQL definitivo.</x:v>
      </x:c>
      <x:c r="H11" s="1209" t="str">
        <x:v>Vehículos · Kilometraje · TIVE</x:v>
      </x:c>
      <x:c r="I11" s="1209" t="str">
        <x:v>Solo secuencia exitosa; no certifica alternativos, SQL físico ni ejecución</x:v>
      </x:c>
    </x:row>
    <x:row r="12" ht="46" customHeight="1">
      <x:c r="A12" s="1209" t="str">
        <x:v>RF11</x:v>
      </x:c>
      <x:c r="B12" s="1209" t="str">
        <x:v>RF011-EF1</x:v>
      </x:c>
      <x:c r="C12" s="1209" t="str">
        <x:v>RF-011 Modificar datos del vehículo</x:v>
      </x:c>
      <x:c r="D12" s="1508" t="n">
        <x:v>32</x:v>
      </x:c>
      <x:c r="E12" s="1510" t="str">
        <x:v>CONGELABLE EF · SQL POR VALIDAR</x:v>
      </x:c>
      <x:c r="F12" s="1209" t="str">
        <x:v>RF11: bloquear cambio VIN si TIVE</x:v>
      </x:c>
      <x:c r="G12" s="1209" t="str">
        <x:v>EF alineado con decisiones del 2026-10-21; validar PK/FK/UNIQUE y concurrencia en SQL definitivo.</x:v>
      </x:c>
      <x:c r="H12" s="1209" t="str">
        <x:v>Vehículos · TIVE</x:v>
      </x:c>
      <x:c r="I12" s="1209" t="str">
        <x:v>Solo secuencia exitosa; no certifica alternativos, SQL físico ni ejecución</x:v>
      </x:c>
    </x:row>
    <x:row r="13" ht="46" customHeight="1">
      <x:c r="A13" s="1209" t="str">
        <x:v>RF12</x:v>
      </x:c>
      <x:c r="B13" s="1209" t="str">
        <x:v>RF012-EF1</x:v>
      </x:c>
      <x:c r="C13" s="1209" t="str">
        <x:v>RF-012 Activar o desactivar vehículo</x:v>
      </x:c>
      <x:c r="D13" s="1508" t="n">
        <x:v>63</x:v>
      </x:c>
      <x:c r="E13" s="1510" t="str">
        <x:v>CONGELABLE EF</x:v>
      </x:c>
      <x:c r="F13" s="1209" t="str">
        <x:v>RF12: inactivos heredados Free</x:v>
      </x:c>
      <x:c r="G13" s="1209" t="str">
        <x:v>EF alineado con decisiones del 2026-10-21; validar PK/FK/UNIQUE y concurrencia en SQL definitivo.</x:v>
      </x:c>
      <x:c r="H13" s="1209" t="str">
        <x:v>Vehículos · Planes y pagos</x:v>
      </x:c>
      <x:c r="I13" s="1209" t="str">
        <x:v>Solo secuencia exitosa; no certifica alternativos, SQL físico ni ejecución</x:v>
      </x:c>
    </x:row>
    <x:row r="14" ht="46" customHeight="1">
      <x:c r="A14" s="1209" t="str">
        <x:v>RF13</x:v>
      </x:c>
      <x:c r="B14" s="1209" t="str">
        <x:v>RF013-EF1</x:v>
      </x:c>
      <x:c r="C14" s="1209" t="str">
        <x:v>RF-013 Establecer vehículo principal</x:v>
      </x:c>
      <x:c r="D14" s="1508" t="n">
        <x:v>44</x:v>
      </x:c>
      <x:c r="E14" s="1510" t="str">
        <x:v>CONGELABLE EF</x:v>
      </x:c>
      <x:c r="F14" s="1209" t="str">
        <x:v>RF13: principal activo Free</x:v>
      </x:c>
      <x:c r="G14" s="1209" t="str">
        <x:v>EF alineado con decisiones del 2026-10-21; validar PK/FK/UNIQUE y concurrencia en SQL definitivo.</x:v>
      </x:c>
      <x:c r="H14" s="1209" t="str">
        <x:v>Vehículos · Planes y pagos</x:v>
      </x:c>
      <x:c r="I14" s="1209" t="str">
        <x:v>Solo secuencia exitosa; no certifica alternativos, SQL físico ni ejecución</x:v>
      </x:c>
    </x:row>
    <x:row r="15" ht="46" customHeight="1">
      <x:c r="A15" s="1209" t="str">
        <x:v>RF14</x:v>
      </x:c>
      <x:c r="B15" s="1209" t="str">
        <x:v>RF014-EF1</x:v>
      </x:c>
      <x:c r="C15" s="1209" t="str">
        <x:v>RF014 · ACTUALIZAR KILOMETRAJE</x:v>
      </x:c>
      <x:c r="D15" s="1508" t="n">
        <x:v>49</x:v>
      </x:c>
      <x:c r="E15" s="1512" t="str">
        <x:v>CONGELABLE CON RESERVA TÉCNICA</x:v>
      </x:c>
      <x:c r="F15" s="1209" t="str">
        <x:v>Kilometraje / versión / bloqueo</x:v>
      </x:c>
      <x:c r="G15" s="1209" t="str">
        <x:v>Verificar índices y control transaccional en BD</x:v>
      </x:c>
      <x:c r="H15" s="1209" t="str">
        <x:v>Kilometraje</x:v>
      </x:c>
      <x:c r="I15" s="1209" t="str">
        <x:v>Solo secuencia exitosa; no certifica alternativos, SQL físico ni ejecución</x:v>
      </x:c>
    </x:row>
    <x:row r="16" ht="46" customHeight="1">
      <x:c r="A16" s="1209" t="str">
        <x:v>RF15</x:v>
      </x:c>
      <x:c r="B16" s="1209" t="str">
        <x:v>RF015-EF1</x:v>
      </x:c>
      <x:c r="C16" s="1209" t="str">
        <x:v>RF-015 Consultar historial de kilometraje</x:v>
      </x:c>
      <x:c r="D16" s="1508" t="n">
        <x:v>45</x:v>
      </x:c>
      <x:c r="E16" s="1510" t="str">
        <x:v>CONGELABLE EF</x:v>
      </x:c>
      <x:c r="F16" s="1209" t="str">
        <x:v>Sin contradicción adicional documentada en EF</x:v>
      </x:c>
      <x:c r="G16" s="1209" t="str">
        <x:v>Comprobar pruebas y SQL durante implementación</x:v>
      </x:c>
      <x:c r="H16" s="1209" t="str">
        <x:v>Kilometraje</x:v>
      </x:c>
      <x:c r="I16" s="1209" t="str">
        <x:v>Solo secuencia exitosa; no certifica alternativos, SQL físico ni ejecución</x:v>
      </x:c>
    </x:row>
    <x:row r="17" ht="46" customHeight="1">
      <x:c r="A17" s="1209" t="str">
        <x:v>RF16</x:v>
      </x:c>
      <x:c r="B17" s="1209" t="str">
        <x:v>RF016-EF1</x:v>
      </x:c>
      <x:c r="C17" s="1209" t="str">
        <x:v>RF016 · CORREGIR KILOMETRAJE (MODO COMPARTIDO)</x:v>
      </x:c>
      <x:c r="D17" s="1508" t="n">
        <x:v>39</x:v>
      </x:c>
      <x:c r="E17" s="1512" t="str">
        <x:v>CONGELABLE CON RESERVA TÉCNICA</x:v>
      </x:c>
      <x:c r="F17" s="1209" t="str">
        <x:v>Corrección de kilometraje / traza</x:v>
      </x:c>
      <x:c r="G17" s="1209" t="str">
        <x:v>Corregido: BEGIN antes de lectura bloqueada; SQL pendiente</x:v>
      </x:c>
      <x:c r="H17" s="1209" t="str">
        <x:v>Kilometraje</x:v>
      </x:c>
      <x:c r="I17" s="1209" t="str">
        <x:v>Solo secuencia exitosa; no certifica alternativos, SQL físico ni ejecución</x:v>
      </x:c>
    </x:row>
    <x:row r="18" ht="46" customHeight="1">
      <x:c r="A18" s="1209" t="str">
        <x:v>RF17</x:v>
      </x:c>
      <x:c r="B18" s="1209" t="str">
        <x:v>RF17</x:v>
      </x:c>
      <x:c r="C18" s="1209" t="str">
        <x:v>RF-017 — Registrar mantenimiento realizado</x:v>
      </x:c>
      <x:c r="D18" s="1508" t="n">
        <x:v>75</x:v>
      </x:c>
      <x:c r="E18" s="1510" t="str">
        <x:v>CONGELABLE EF</x:v>
      </x:c>
      <x:c r="F18" s="1209" t="str">
        <x:v>Tipos de mantenimiento activos</x:v>
      </x:c>
      <x:c r="G18" s="1209" t="str">
        <x:v>Modelo físico de catálogo dinámico sin tipos hardcodeados</x:v>
      </x:c>
      <x:c r="H18" s="1209" t="str">
        <x:v>Kilometraje · Mantenimientos · Talleres</x:v>
      </x:c>
      <x:c r="I18" s="1209" t="str">
        <x:v>Solo secuencia exitosa; no certifica alternativos, SQL físico ni ejecución</x:v>
      </x:c>
    </x:row>
    <x:row r="19" ht="46" customHeight="1">
      <x:c r="A19" s="1209" t="str">
        <x:v>RF18</x:v>
      </x:c>
      <x:c r="B19" s="1209" t="str">
        <x:v>RF18</x:v>
      </x:c>
      <x:c r="C19" s="1209" t="str">
        <x:v>RF-018 - Consultar historial de mantenimiento.</x:v>
      </x:c>
      <x:c r="D19" s="1508" t="n">
        <x:v>42</x:v>
      </x:c>
      <x:c r="E19" s="1510" t="str">
        <x:v>CONGELABLE EF</x:v>
      </x:c>
      <x:c r="F19" s="1209" t="str">
        <x:v>Sin contradicción adicional documentada en EF</x:v>
      </x:c>
      <x:c r="G19" s="1209" t="str">
        <x:v>Comprobar pruebas y SQL durante implementación</x:v>
      </x:c>
      <x:c r="H19" s="1209" t="str">
        <x:v>Mantenimientos</x:v>
      </x:c>
      <x:c r="I19" s="1209" t="str">
        <x:v>Solo secuencia exitosa; no certifica alternativos, SQL físico ni ejecución</x:v>
      </x:c>
    </x:row>
    <x:row r="20" ht="46" customHeight="1">
      <x:c r="A20" s="1209" t="str">
        <x:v>RF19</x:v>
      </x:c>
      <x:c r="B20" s="1209" t="str">
        <x:v>RF19</x:v>
      </x:c>
      <x:c r="C20" s="1209" t="str">
        <x:v>RF-019- Consultar detalle de mantenimiento.</x:v>
      </x:c>
      <x:c r="D20" s="1508" t="n">
        <x:v>22</x:v>
      </x:c>
      <x:c r="E20" s="1510" t="str">
        <x:v>CONGELABLE EF</x:v>
      </x:c>
      <x:c r="F20" s="1209" t="str">
        <x:v>Sin contradicción adicional documentada en EF</x:v>
      </x:c>
      <x:c r="G20" s="1209" t="str">
        <x:v>Comprobar pruebas y SQL durante implementación</x:v>
      </x:c>
      <x:c r="H20" s="1209" t="str">
        <x:v>Mantenimientos</x:v>
      </x:c>
      <x:c r="I20" s="1209" t="str">
        <x:v>Solo secuencia exitosa; no certifica alternativos, SQL físico ni ejecución</x:v>
      </x:c>
    </x:row>
    <x:row r="21" ht="46" customHeight="1">
      <x:c r="A21" s="1209" t="str">
        <x:v>RF20</x:v>
      </x:c>
      <x:c r="B21" s="1209" t="str">
        <x:v>RF20</x:v>
      </x:c>
      <x:c r="C21" s="1209" t="str">
        <x:v>DIAGRAMA DE SECUENCIA</x:v>
      </x:c>
      <x:c r="D21" s="1508" t="n">
        <x:v>35</x:v>
      </x:c>
      <x:c r="E21" s="1510" t="str">
        <x:v>CONGELABLE EF</x:v>
      </x:c>
      <x:c r="F21" s="1209" t="str">
        <x:v>Sin contradicción adicional documentada en EF</x:v>
      </x:c>
      <x:c r="G21" s="1209" t="str">
        <x:v>Comprobar pruebas y SQL durante implementación</x:v>
      </x:c>
      <x:c r="H21" s="1209" t="str">
        <x:v>Mantenimientos</x:v>
      </x:c>
      <x:c r="I21" s="1209" t="str">
        <x:v>Solo secuencia exitosa; no certifica alternativos, SQL físico ni ejecución</x:v>
      </x:c>
    </x:row>
    <x:row r="22" ht="46" customHeight="1">
      <x:c r="A22" s="1209" t="str">
        <x:v>RF21</x:v>
      </x:c>
      <x:c r="B22" s="1209" t="str">
        <x:v>RF21</x:v>
      </x:c>
      <x:c r="C22" s="1209" t="str">
        <x:v>DIAGRAMA DE SECUENCIA</x:v>
      </x:c>
      <x:c r="D22" s="1508" t="n">
        <x:v>42</x:v>
      </x:c>
      <x:c r="E22" s="1510" t="str">
        <x:v>CONGELABLE EF</x:v>
      </x:c>
      <x:c r="F22" s="1209" t="str">
        <x:v>Sin contradicción adicional documentada en EF</x:v>
      </x:c>
      <x:c r="G22" s="1209" t="str">
        <x:v>Comprobar pruebas y SQL durante implementación</x:v>
      </x:c>
      <x:c r="H22" s="1209" t="str">
        <x:v>Mantenimientos</x:v>
      </x:c>
      <x:c r="I22" s="1209" t="str">
        <x:v>Solo secuencia exitosa; no certifica alternativos, SQL físico ni ejecución</x:v>
      </x:c>
    </x:row>
    <x:row r="23" ht="46" customHeight="1">
      <x:c r="A23" s="1209" t="str">
        <x:v>RF22</x:v>
      </x:c>
      <x:c r="B23" s="1209" t="str">
        <x:v>RF22</x:v>
      </x:c>
      <x:c r="C23" s="1209" t="str">
        <x:v>RF-022 — Crear alerta preventiva manual</x:v>
      </x:c>
      <x:c r="D23" s="1508" t="n">
        <x:v>102</x:v>
      </x:c>
      <x:c r="E23" s="1512" t="str">
        <x:v>CONGELABLE CON RESERVA TÉCNICA</x:v>
      </x:c>
      <x:c r="F23" s="1209" t="str">
        <x:v>Alerta única / concurrencia</x:v>
      </x:c>
      <x:c r="G23" s="1209" t="str">
        <x:v>Corregido: BEGIN antes de 2.ª consulta; falta UNIQUE/idempotencia física</x:v>
      </x:c>
      <x:c r="H23" s="1209" t="str">
        <x:v>Kilometraje · Mantenimientos · Alertas y notificaciones</x:v>
      </x:c>
      <x:c r="I23" s="1209" t="str">
        <x:v>Solo secuencia exitosa; no certifica alternativos, SQL físico ni ejecución</x:v>
      </x:c>
    </x:row>
    <x:row r="24" ht="46" customHeight="1">
      <x:c r="A24" s="1209" t="str">
        <x:v>RF23</x:v>
      </x:c>
      <x:c r="B24" s="1209" t="str">
        <x:v>RF23</x:v>
      </x:c>
      <x:c r="C24" s="1209" t="str">
        <x:v>RF23 · Consultar alertas registradas</x:v>
      </x:c>
      <x:c r="D24" s="1508" t="n">
        <x:v>88</x:v>
      </x:c>
      <x:c r="E24" s="1510" t="str">
        <x:v>CONGELABLE EF</x:v>
      </x:c>
      <x:c r="F24" s="1209" t="str">
        <x:v>Motor de alertas, licencia sin vehículo</x:v>
      </x:c>
      <x:c r="G24" s="1209" t="str">
        <x:v>Confirmar estados y sincronización al implementar</x:v>
      </x:c>
      <x:c r="H24" s="1209" t="str">
        <x:v>Kilometraje · Mantenimientos · Alertas y notificaciones · SOAT · Licencia</x:v>
      </x:c>
      <x:c r="I24" s="1209" t="str">
        <x:v>Solo secuencia exitosa; no certifica alternativos, SQL físico ni ejecución</x:v>
      </x:c>
    </x:row>
    <x:row r="25" ht="46" customHeight="1">
      <x:c r="A25" s="1209" t="str">
        <x:v>RF24</x:v>
      </x:c>
      <x:c r="B25" s="1209" t="str">
        <x:v>RF24</x:v>
      </x:c>
      <x:c r="C25" s="1209" t="str">
        <x:v>RF24</x:v>
      </x:c>
      <x:c r="D25" s="1508" t="n">
        <x:v>88</x:v>
      </x:c>
      <x:c r="E25" s="1510" t="str">
        <x:v>CONGELABLE EF</x:v>
      </x:c>
      <x:c r="F25" s="1209" t="str">
        <x:v>Atención de alertas y mantenimiento</x:v>
      </x:c>
      <x:c r="G25" s="1209" t="str">
        <x:v>Exige transacción única y políticas de estados</x:v>
      </x:c>
      <x:c r="H25" s="1209" t="str">
        <x:v>Mantenimientos · Alertas y notificaciones</x:v>
      </x:c>
      <x:c r="I25" s="1209" t="str">
        <x:v>Solo secuencia exitosa; no certifica alternativos, SQL físico ni ejecución</x:v>
      </x:c>
    </x:row>
    <x:row r="26" ht="46" customHeight="1">
      <x:c r="A26" s="1209" t="str">
        <x:v>RF25</x:v>
      </x:c>
      <x:c r="B26" s="1209" t="str">
        <x:v>RF25</x:v>
      </x:c>
      <x:c r="C26" s="1209" t="str">
        <x:v>RF25</x:v>
      </x:c>
      <x:c r="D26" s="1508" t="n">
        <x:v>40</x:v>
      </x:c>
      <x:c r="E26" s="1510" t="str">
        <x:v>CONGELABLE EF</x:v>
      </x:c>
      <x:c r="F26" s="1209" t="str">
        <x:v>Sin contradicción adicional documentada en EF</x:v>
      </x:c>
      <x:c r="G26" s="1209" t="str">
        <x:v>Comprobar pruebas y SQL durante implementación</x:v>
      </x:c>
      <x:c r="H26" s="1209" t="str">
        <x:v>Mantenimientos · Alertas y notificaciones</x:v>
      </x:c>
      <x:c r="I26" s="1209" t="str">
        <x:v>Solo secuencia exitosa; no certifica alternativos, SQL físico ni ejecución</x:v>
      </x:c>
    </x:row>
    <x:row r="27" ht="46" customHeight="1">
      <x:c r="A27" s="1209" t="str">
        <x:v>RF26</x:v>
      </x:c>
      <x:c r="B27" s="1209" t="str">
        <x:v>RF26</x:v>
      </x:c>
      <x:c r="C27" s="1209" t="str">
        <x:v>RF-026 — Filtrar historial según criterios</x:v>
      </x:c>
      <x:c r="D27" s="1508" t="n">
        <x:v>39</x:v>
      </x:c>
      <x:c r="E27" s="1510" t="str">
        <x:v>CONGELABLE EF</x:v>
      </x:c>
      <x:c r="F27" s="1209" t="str">
        <x:v>Sin contradicción adicional documentada en EF</x:v>
      </x:c>
      <x:c r="G27" s="1209" t="str">
        <x:v>Comprobar pruebas y SQL durante implementación</x:v>
      </x:c>
      <x:c r="H27" s="1209" t="str">
        <x:v>Mantenimientos</x:v>
      </x:c>
      <x:c r="I27" s="1209" t="str">
        <x:v>Solo secuencia exitosa; no certifica alternativos, SQL físico ni ejecución</x:v>
      </x:c>
    </x:row>
    <x:row r="28" ht="46" customHeight="1">
      <x:c r="A28" s="1209" t="str">
        <x:v>RF27</x:v>
      </x:c>
      <x:c r="B28" s="1209" t="str">
        <x:v>RF27</x:v>
      </x:c>
      <x:c r="C28" s="1209" t="str">
        <x:v>RF-027 — Exportar historial de mantenimientos</x:v>
      </x:c>
      <x:c r="D28" s="1508" t="n">
        <x:v>56</x:v>
      </x:c>
      <x:c r="E28" s="1510" t="str">
        <x:v>CONGELABLE EF</x:v>
      </x:c>
      <x:c r="F28" s="1209" t="str">
        <x:v>Sin contradicción adicional documentada en EF</x:v>
      </x:c>
      <x:c r="G28" s="1209" t="str">
        <x:v>Comprobar pruebas y SQL durante implementación</x:v>
      </x:c>
      <x:c r="H28" s="1209" t="str">
        <x:v>Mantenimientos</x:v>
      </x:c>
      <x:c r="I28" s="1209" t="str">
        <x:v>Solo secuencia exitosa; no certifica alternativos, SQL físico ni ejecución</x:v>
      </x:c>
    </x:row>
    <x:row r="29" ht="46" customHeight="1">
      <x:c r="A29" s="1209" t="str">
        <x:v>RF28</x:v>
      </x:c>
      <x:c r="B29" s="1209" t="str">
        <x:v>RF028-E1</x:v>
      </x:c>
      <x:c r="C29" s="1209" t="str">
        <x:v>RF-028-Consultar planes disponibles</x:v>
      </x:c>
      <x:c r="D29" s="1508" t="n">
        <x:v>19</x:v>
      </x:c>
      <x:c r="E29" s="1510" t="str">
        <x:v>CONGELABLE EF</x:v>
      </x:c>
      <x:c r="F29" s="1209" t="str">
        <x:v>Sin contradicción adicional documentada en EF</x:v>
      </x:c>
      <x:c r="G29" s="1209" t="str">
        <x:v>Comprobar pruebas y SQL durante implementación</x:v>
      </x:c>
      <x:c r="H29" s="1209" t="str">
        <x:v>Planes y pagos</x:v>
      </x:c>
      <x:c r="I29" s="1209" t="str">
        <x:v>Solo secuencia exitosa; no certifica alternativos, SQL físico ni ejecución</x:v>
      </x:c>
    </x:row>
    <x:row r="30" ht="46" customHeight="1">
      <x:c r="A30" s="1209" t="str">
        <x:v>RF29</x:v>
      </x:c>
      <x:c r="B30" s="1209" t="str">
        <x:v>RF029-E1</x:v>
      </x:c>
      <x:c r="C30" s="1209" t="str">
        <x:v>RF-029-Contratar plan Premium</x:v>
      </x:c>
      <x:c r="D30" s="1508" t="n">
        <x:v>43</x:v>
      </x:c>
      <x:c r="E30" s="1512" t="str">
        <x:v>CONGELABLE CON RESERVA TÉCNICA</x:v>
      </x:c>
      <x:c r="F30" s="1209" t="str">
        <x:v>Compra Premium / verificación proveedor</x:v>
      </x:c>
      <x:c r="G30" s="1209" t="str">
        <x:v>Confirmar contratos reales Play Billing Android + servidor</x:v>
      </x:c>
      <x:c r="H30" s="1209" t="str">
        <x:v>Planes y pagos</x:v>
      </x:c>
      <x:c r="I30" s="1209" t="str">
        <x:v>Solo secuencia exitosa; no certifica alternativos, SQL físico ni ejecución</x:v>
      </x:c>
    </x:row>
    <x:row r="31" ht="46" customHeight="1">
      <x:c r="A31" s="1209" t="str">
        <x:v>RF30</x:v>
      </x:c>
      <x:c r="B31" s="1209" t="str">
        <x:v>RF030-E1</x:v>
      </x:c>
      <x:c r="C31" s="1209" t="str">
        <x:v>RF-030-Consultar estado de suscripción</x:v>
      </x:c>
      <x:c r="D31" s="1508" t="n">
        <x:v>17</x:v>
      </x:c>
      <x:c r="E31" s="1510" t="str">
        <x:v>CONGELABLE EF · SQL POR VALIDAR</x:v>
      </x:c>
      <x:c r="F31" s="1209" t="str">
        <x:v>RF30: downgrade preserva vehículos</x:v>
      </x:c>
      <x:c r="G31" s="1209" t="str">
        <x:v>EF alineado con decisiones del 2026-10-21; validar PK/FK/UNIQUE y concurrencia en SQL definitivo.</x:v>
      </x:c>
      <x:c r="H31" s="1209" t="str">
        <x:v>Planes y pagos</x:v>
      </x:c>
      <x:c r="I31" s="1209" t="str">
        <x:v>Solo secuencia exitosa; no certifica alternativos, SQL físico ni ejecución</x:v>
      </x:c>
    </x:row>
    <x:row r="32" ht="46" customHeight="1">
      <x:c r="A32" s="1209" t="str">
        <x:v>RF31</x:v>
      </x:c>
      <x:c r="B32" s="1209" t="str">
        <x:v>RF031-EF1</x:v>
      </x:c>
      <x:c r="C32" s="1209" t="str">
        <x:v>RF-031-Registrar información del SOAT del vehículo</x:v>
      </x:c>
      <x:c r="D32" s="1508" t="n">
        <x:v>48</x:v>
      </x:c>
      <x:c r="E32" s="1510" t="str">
        <x:v>CONGELABLE EF</x:v>
      </x:c>
      <x:c r="F32" s="1209" t="str">
        <x:v>Sin contradicción adicional documentada en EF</x:v>
      </x:c>
      <x:c r="G32" s="1209" t="str">
        <x:v>Comprobar pruebas y SQL durante implementación</x:v>
      </x:c>
      <x:c r="H32" s="1209" t="str">
        <x:v>SOAT</x:v>
      </x:c>
      <x:c r="I32" s="1209" t="str">
        <x:v>Solo secuencia exitosa; no certifica alternativos, SQL físico ni ejecución</x:v>
      </x:c>
    </x:row>
    <x:row r="33" ht="46" customHeight="1">
      <x:c r="A33" s="1209" t="str">
        <x:v>RF32</x:v>
      </x:c>
      <x:c r="B33" s="1209" t="str">
        <x:v>RF032-EF1</x:v>
      </x:c>
      <x:c r="C33" s="1209" t="str">
        <x:v>RF-032-Actualizar información del SOAT</x:v>
      </x:c>
      <x:c r="D33" s="1508" t="n">
        <x:v>77</x:v>
      </x:c>
      <x:c r="E33" s="1510" t="str">
        <x:v>CONGELABLE EF</x:v>
      </x:c>
      <x:c r="F33" s="1209" t="str">
        <x:v>Sin contradicción adicional documentada en EF</x:v>
      </x:c>
      <x:c r="G33" s="1209" t="str">
        <x:v>Comprobar pruebas y SQL durante implementación</x:v>
      </x:c>
      <x:c r="H33" s="1209" t="str">
        <x:v>SOAT</x:v>
      </x:c>
      <x:c r="I33" s="1209" t="str">
        <x:v>Solo secuencia exitosa; no certifica alternativos, SQL físico ni ejecución</x:v>
      </x:c>
    </x:row>
    <x:row r="34" ht="46" customHeight="1">
      <x:c r="A34" s="1209" t="str">
        <x:v>RF33</x:v>
      </x:c>
      <x:c r="B34" s="1209" t="str">
        <x:v>RF033-EF1</x:v>
      </x:c>
      <x:c r="C34" s="1209" t="str">
        <x:v>RF-033-Configurar recordatorio de vencimiento del SOAT</x:v>
      </x:c>
      <x:c r="D34" s="1508" t="n">
        <x:v>55</x:v>
      </x:c>
      <x:c r="E34" s="1510" t="str">
        <x:v>CONGELABLE EF</x:v>
      </x:c>
      <x:c r="F34" s="1209" t="str">
        <x:v>Sin contradicción adicional documentada en EF</x:v>
      </x:c>
      <x:c r="G34" s="1209" t="str">
        <x:v>Comprobar pruebas y SQL durante implementación</x:v>
      </x:c>
      <x:c r="H34" s="1209" t="str">
        <x:v>Alertas y notificaciones · SOAT</x:v>
      </x:c>
      <x:c r="I34" s="1209" t="str">
        <x:v>Solo secuencia exitosa; no certifica alternativos, SQL físico ni ejecución</x:v>
      </x:c>
    </x:row>
    <x:row r="35" ht="46" customHeight="1">
      <x:c r="A35" s="1209" t="str">
        <x:v>RF34</x:v>
      </x:c>
      <x:c r="B35" s="1209" t="str">
        <x:v>RF034-EF1</x:v>
      </x:c>
      <x:c r="C35" s="1209" t="str">
        <x:v>RF-034-Registrar taller asociado</x:v>
      </x:c>
      <x:c r="D35" s="1508" t="n">
        <x:v>25</x:v>
      </x:c>
      <x:c r="E35" s="1510" t="str">
        <x:v>CONGELABLE EF</x:v>
      </x:c>
      <x:c r="F35" s="1209" t="str">
        <x:v>Sin contradicción adicional documentada en EF</x:v>
      </x:c>
      <x:c r="G35" s="1209" t="str">
        <x:v>Comprobar pruebas y SQL durante implementación</x:v>
      </x:c>
      <x:c r="H35" s="1209" t="str">
        <x:v>Talleres</x:v>
      </x:c>
      <x:c r="I35" s="1209" t="str">
        <x:v>Solo secuencia exitosa; no certifica alternativos, SQL físico ni ejecución</x:v>
      </x:c>
    </x:row>
    <x:row r="36" ht="46" customHeight="1">
      <x:c r="A36" s="1209" t="str">
        <x:v>RF35</x:v>
      </x:c>
      <x:c r="B36" s="1209" t="str">
        <x:v>RF035-EF1</x:v>
      </x:c>
      <x:c r="C36" s="1209" t="str">
        <x:v>RF-035-Modificar taller registrado</x:v>
      </x:c>
      <x:c r="D36" s="1508" t="n">
        <x:v>30</x:v>
      </x:c>
      <x:c r="E36" s="1510" t="str">
        <x:v>CONGELABLE EF</x:v>
      </x:c>
      <x:c r="F36" s="1209" t="str">
        <x:v>Sin contradicción adicional documentada en EF</x:v>
      </x:c>
      <x:c r="G36" s="1209" t="str">
        <x:v>Comprobar pruebas y SQL durante implementación</x:v>
      </x:c>
      <x:c r="H36" s="1209" t="str">
        <x:v>Talleres</x:v>
      </x:c>
      <x:c r="I36" s="1209" t="str">
        <x:v>Solo secuencia exitosa; no certifica alternativos, SQL físico ni ejecución</x:v>
      </x:c>
    </x:row>
    <x:row r="37" ht="46" customHeight="1">
      <x:c r="A37" s="1209" t="str">
        <x:v>RF36</x:v>
      </x:c>
      <x:c r="B37" s="1209" t="str">
        <x:v>RF036-EF1</x:v>
      </x:c>
      <x:c r="C37" s="1209" t="str">
        <x:v>RF-036-Eliminar taller</x:v>
      </x:c>
      <x:c r="D37" s="1508" t="n">
        <x:v>25</x:v>
      </x:c>
      <x:c r="E37" s="1510" t="str">
        <x:v>CONGELABLE EF</x:v>
      </x:c>
      <x:c r="F37" s="1209" t="str">
        <x:v>Sin contradicción adicional documentada en EF</x:v>
      </x:c>
      <x:c r="G37" s="1209" t="str">
        <x:v>Comprobar pruebas y SQL durante implementación</x:v>
      </x:c>
      <x:c r="H37" s="1209" t="str">
        <x:v>Talleres</x:v>
      </x:c>
      <x:c r="I37" s="1209" t="str">
        <x:v>Solo secuencia exitosa; no certifica alternativos, SQL físico ni ejecución</x:v>
      </x:c>
    </x:row>
    <x:row r="38" ht="46" customHeight="1">
      <x:c r="A38" s="1209" t="str">
        <x:v>RF37</x:v>
      </x:c>
      <x:c r="B38" s="1209" t="str">
        <x:v>RF037-EF1</x:v>
      </x:c>
      <x:c r="C38" s="1209" t="str">
        <x:v>RF-037-Marcar taller como favorito</x:v>
      </x:c>
      <x:c r="D38" s="1508" t="n">
        <x:v>22</x:v>
      </x:c>
      <x:c r="E38" s="1510" t="str">
        <x:v>CONGELABLE EF</x:v>
      </x:c>
      <x:c r="F38" s="1209" t="str">
        <x:v>Sin contradicción adicional documentada en EF</x:v>
      </x:c>
      <x:c r="G38" s="1209" t="str">
        <x:v>Comprobar pruebas y SQL durante implementación</x:v>
      </x:c>
      <x:c r="H38" s="1209" t="str">
        <x:v>Talleres</x:v>
      </x:c>
      <x:c r="I38" s="1209" t="str">
        <x:v>Solo secuencia exitosa; no certifica alternativos, SQL físico ni ejecución</x:v>
      </x:c>
    </x:row>
    <x:row r="39" ht="46" customHeight="1">
      <x:c r="A39" s="1209" t="str">
        <x:v>RF38</x:v>
      </x:c>
      <x:c r="B39" s="1209" t="str">
        <x:v>RF038-E1</x:v>
      </x:c>
      <x:c r="C39" s="1209" t="str">
        <x:v>RF-038-Registrar foto de perfil</x:v>
      </x:c>
      <x:c r="D39" s="1508" t="n">
        <x:v>31</x:v>
      </x:c>
      <x:c r="E39" s="1510" t="str">
        <x:v>CONGELABLE EF</x:v>
      </x:c>
      <x:c r="F39" s="1209" t="str">
        <x:v>Sin contradicción adicional documentada en EF</x:v>
      </x:c>
      <x:c r="G39" s="1209" t="str">
        <x:v>Comprobar pruebas y SQL durante implementación</x:v>
      </x:c>
      <x:c r="H39" s="1209" t="str">
        <x:v>Cuentas y acceso</x:v>
      </x:c>
      <x:c r="I39" s="1209" t="str">
        <x:v>Solo secuencia exitosa; no certifica alternativos, SQL físico ni ejecución</x:v>
      </x:c>
    </x:row>
    <x:row r="40" ht="46" customHeight="1">
      <x:c r="A40" s="1209" t="str">
        <x:v>RF39</x:v>
      </x:c>
      <x:c r="B40" s="1209" t="str">
        <x:v>RF039-E1</x:v>
      </x:c>
      <x:c r="C40" s="1209" t="str">
        <x:v>RF-039-Actualizar foto de perfil</x:v>
      </x:c>
      <x:c r="D40" s="1508" t="n">
        <x:v>31</x:v>
      </x:c>
      <x:c r="E40" s="1510" t="str">
        <x:v>CONGELABLE EF</x:v>
      </x:c>
      <x:c r="F40" s="1209" t="str">
        <x:v>Sin contradicción adicional documentada en EF</x:v>
      </x:c>
      <x:c r="G40" s="1209" t="str">
        <x:v>Comprobar pruebas y SQL durante implementación</x:v>
      </x:c>
      <x:c r="H40" s="1209" t="str">
        <x:v>Cuentas y acceso</x:v>
      </x:c>
      <x:c r="I40" s="1209" t="str">
        <x:v>Solo secuencia exitosa; no certifica alternativos, SQL físico ni ejecución</x:v>
      </x:c>
    </x:row>
    <x:row r="41" ht="46" customHeight="1">
      <x:c r="A41" s="1209" t="str">
        <x:v>RF40</x:v>
      </x:c>
      <x:c r="B41" s="1209" t="str">
        <x:v>RF040-E1</x:v>
      </x:c>
      <x:c r="C41" s="1209" t="str">
        <x:v>RF-040-Eliminar foto de perfil</x:v>
      </x:c>
      <x:c r="D41" s="1508" t="n">
        <x:v>27</x:v>
      </x:c>
      <x:c r="E41" s="1510" t="str">
        <x:v>CONGELABLE EF</x:v>
      </x:c>
      <x:c r="F41" s="1209" t="str">
        <x:v>Sin contradicción adicional documentada en EF</x:v>
      </x:c>
      <x:c r="G41" s="1209" t="str">
        <x:v>Comprobar pruebas y SQL durante implementación</x:v>
      </x:c>
      <x:c r="H41" s="1209" t="str">
        <x:v>Cuentas y acceso</x:v>
      </x:c>
      <x:c r="I41" s="1209" t="str">
        <x:v>Solo secuencia exitosa; no certifica alternativos, SQL físico ni ejecución</x:v>
      </x:c>
    </x:row>
    <x:row r="42" ht="46" customHeight="1">
      <x:c r="A42" s="1209" t="str">
        <x:v>RF41</x:v>
      </x:c>
      <x:c r="B42" s="1209" t="str">
        <x:v>RF041-EF1</x:v>
      </x:c>
      <x:c r="C42" s="1209" t="str">
        <x:v>RF-041 Compartir información pública del vehículo</x:v>
      </x:c>
      <x:c r="D42" s="1508" t="n">
        <x:v>18</x:v>
      </x:c>
      <x:c r="E42" s="1510" t="str">
        <x:v>CONGELABLE EF</x:v>
      </x:c>
      <x:c r="F42" s="1209" t="str">
        <x:v>Sin contradicción adicional documentada en EF</x:v>
      </x:c>
      <x:c r="G42" s="1209" t="str">
        <x:v>Comprobar pruebas y SQL durante implementación</x:v>
      </x:c>
      <x:c r="H42" s="1209" t="str">
        <x:v>Vehículos</x:v>
      </x:c>
      <x:c r="I42" s="1209" t="str">
        <x:v>Solo secuencia exitosa; no certifica alternativos, SQL físico ni ejecución</x:v>
      </x:c>
    </x:row>
    <x:row r="43" ht="46" customHeight="1">
      <x:c r="A43" s="1209" t="str">
        <x:v>RF42</x:v>
      </x:c>
      <x:c r="B43" s="1209" t="str">
        <x:v>RF042-EF1</x:v>
      </x:c>
      <x:c r="C43" s="1209" t="str">
        <x:v>RF-042 Registrar imagen del vehículo</x:v>
      </x:c>
      <x:c r="D43" s="1508" t="n">
        <x:v>28</x:v>
      </x:c>
      <x:c r="E43" s="1510" t="str">
        <x:v>CONGELABLE EF</x:v>
      </x:c>
      <x:c r="F43" s="1209" t="str">
        <x:v>Sin contradicción adicional documentada en EF</x:v>
      </x:c>
      <x:c r="G43" s="1209" t="str">
        <x:v>Comprobar pruebas y SQL durante implementación</x:v>
      </x:c>
      <x:c r="H43" s="1209" t="str">
        <x:v>Vehículos</x:v>
      </x:c>
      <x:c r="I43" s="1209" t="str">
        <x:v>Solo secuencia exitosa; no certifica alternativos, SQL físico ni ejecución</x:v>
      </x:c>
    </x:row>
    <x:row r="44" ht="46" customHeight="1">
      <x:c r="A44" s="1209" t="str">
        <x:v>RF43</x:v>
      </x:c>
      <x:c r="B44" s="1209" t="str">
        <x:v>RF043-EF1</x:v>
      </x:c>
      <x:c r="C44" s="1209" t="str">
        <x:v>RF-043 Actualizar imagen del vehículo</x:v>
      </x:c>
      <x:c r="D44" s="1508" t="n">
        <x:v>28</x:v>
      </x:c>
      <x:c r="E44" s="1510" t="str">
        <x:v>CONGELABLE EF</x:v>
      </x:c>
      <x:c r="F44" s="1209" t="str">
        <x:v>Sin contradicción adicional documentada en EF</x:v>
      </x:c>
      <x:c r="G44" s="1209" t="str">
        <x:v>Comprobar pruebas y SQL durante implementación</x:v>
      </x:c>
      <x:c r="H44" s="1209" t="str">
        <x:v>Vehículos</x:v>
      </x:c>
      <x:c r="I44" s="1209" t="str">
        <x:v>Solo secuencia exitosa; no certifica alternativos, SQL físico ni ejecución</x:v>
      </x:c>
    </x:row>
    <x:row r="45" ht="46" customHeight="1">
      <x:c r="A45" s="1209" t="str">
        <x:v>RF44</x:v>
      </x:c>
      <x:c r="B45" s="1209" t="str">
        <x:v>RF044-EF1</x:v>
      </x:c>
      <x:c r="C45" s="1209" t="str">
        <x:v>RF-044-Gestionar ciclo de recordatorios de kilometraje</x:v>
      </x:c>
      <x:c r="D45" s="1508" t="n">
        <x:v>57</x:v>
      </x:c>
      <x:c r="E45" s="1510" t="str">
        <x:v>CONGELABLE EF</x:v>
      </x:c>
      <x:c r="F45" s="1209" t="str">
        <x:v>Sin contradicción adicional documentada en EF</x:v>
      </x:c>
      <x:c r="G45" s="1209" t="str">
        <x:v>Comprobar pruebas y SQL durante implementación</x:v>
      </x:c>
      <x:c r="H45" s="1209" t="str">
        <x:v>Kilometraje · Alertas y notificaciones</x:v>
      </x:c>
      <x:c r="I45" s="1209" t="str">
        <x:v>Solo secuencia exitosa; no certifica alternativos, SQL físico ni ejecución</x:v>
      </x:c>
    </x:row>
    <x:row r="46" ht="46" customHeight="1">
      <x:c r="A46" s="1209" t="str">
        <x:v>RF45</x:v>
      </x:c>
      <x:c r="B46" s="1209" t="str">
        <x:v>RF045-EF1</x:v>
      </x:c>
      <x:c r="C46" s="1209" t="str">
        <x:v>RF-045 Eliminar imagen del vehículo</x:v>
      </x:c>
      <x:c r="D46" s="1508" t="n">
        <x:v>24</x:v>
      </x:c>
      <x:c r="E46" s="1510" t="str">
        <x:v>CONGELABLE EF</x:v>
      </x:c>
      <x:c r="F46" s="1209" t="str">
        <x:v>Sin contradicción adicional documentada en EF</x:v>
      </x:c>
      <x:c r="G46" s="1209" t="str">
        <x:v>Comprobar pruebas y SQL durante implementación</x:v>
      </x:c>
      <x:c r="H46" s="1209" t="str">
        <x:v>Vehículos</x:v>
      </x:c>
      <x:c r="I46" s="1209" t="str">
        <x:v>Solo secuencia exitosa; no certifica alternativos, SQL físico ni ejecución</x:v>
      </x:c>
    </x:row>
    <x:row r="47" ht="46" customHeight="1">
      <x:c r="A47" s="1209" t="str">
        <x:v>RF46</x:v>
      </x:c>
      <x:c r="B47" s="1209" t="str">
        <x:v>RF046-EF1</x:v>
      </x:c>
      <x:c r="C47" s="1209" t="str">
        <x:v>RF-046-Consultar notificaciones</x:v>
      </x:c>
      <x:c r="D47" s="1508" t="n">
        <x:v>50</x:v>
      </x:c>
      <x:c r="E47" s="1510" t="str">
        <x:v>CONGELABLE EF</x:v>
      </x:c>
      <x:c r="F47" s="1209" t="str">
        <x:v>Sin contradicción adicional documentada en EF</x:v>
      </x:c>
      <x:c r="G47" s="1209" t="str">
        <x:v>Comprobar pruebas y SQL durante implementación</x:v>
      </x:c>
      <x:c r="H47" s="1209" t="str">
        <x:v>Kilometraje · Alertas y notificaciones · SOAT · Licencia</x:v>
      </x:c>
      <x:c r="I47" s="1209" t="str">
        <x:v>Solo secuencia exitosa; no certifica alternativos, SQL físico ni ejecución</x:v>
      </x:c>
    </x:row>
    <x:row r="48" ht="46" customHeight="1">
      <x:c r="A48" s="1209" t="str">
        <x:v>RF47</x:v>
      </x:c>
      <x:c r="B48" s="1209" t="str">
        <x:v>RF047-EF1</x:v>
      </x:c>
      <x:c r="C48" s="1209" t="str">
        <x:v>RF-047-Acceder al destino de una notificación</x:v>
      </x:c>
      <x:c r="D48" s="1508" t="n">
        <x:v>33</x:v>
      </x:c>
      <x:c r="E48" s="1510" t="str">
        <x:v>CONGELABLE EF</x:v>
      </x:c>
      <x:c r="F48" s="1209" t="str">
        <x:v>Sin contradicción adicional documentada en EF</x:v>
      </x:c>
      <x:c r="G48" s="1209" t="str">
        <x:v>Comprobar pruebas y SQL durante implementación</x:v>
      </x:c>
      <x:c r="H48" s="1209" t="str">
        <x:v>Alertas y notificaciones · SOAT · Licencia</x:v>
      </x:c>
      <x:c r="I48" s="1209" t="str">
        <x:v>Solo secuencia exitosa; no certifica alternativos, SQL físico ni ejecución</x:v>
      </x:c>
    </x:row>
    <x:row r="49" ht="46" customHeight="1">
      <x:c r="A49" s="1209" t="str">
        <x:v>RF48</x:v>
      </x:c>
      <x:c r="B49" s="1209" t="str">
        <x:v>RF048-EF1</x:v>
      </x:c>
      <x:c r="C49" s="1209" t="str">
        <x:v>RF-048-Configurar preferencias de notificaciones externas</x:v>
      </x:c>
      <x:c r="D49" s="1508" t="n">
        <x:v>21</x:v>
      </x:c>
      <x:c r="E49" s="1510" t="str">
        <x:v>CONGELABLE EF</x:v>
      </x:c>
      <x:c r="F49" s="1209" t="str">
        <x:v>Sin contradicción adicional documentada en EF</x:v>
      </x:c>
      <x:c r="G49" s="1209" t="str">
        <x:v>Comprobar pruebas y SQL durante implementación</x:v>
      </x:c>
      <x:c r="H49" s="1209" t="str">
        <x:v>Alertas y notificaciones</x:v>
      </x:c>
      <x:c r="I49" s="1209" t="str">
        <x:v>Solo secuencia exitosa; no certifica alternativos, SQL físico ni ejecución</x:v>
      </x:c>
    </x:row>
    <x:row r="50" ht="46" customHeight="1">
      <x:c r="A50" s="1209" t="str">
        <x:v>RF49</x:v>
      </x:c>
      <x:c r="B50" s="1209" t="str">
        <x:v>RF049-EF1</x:v>
      </x:c>
      <x:c r="C50" s="1209" t="str">
        <x:v>RF-049-Filtrar notificaciones por categoría</x:v>
      </x:c>
      <x:c r="D50" s="1508" t="n">
        <x:v>14</x:v>
      </x:c>
      <x:c r="E50" s="1510" t="str">
        <x:v>CONGELABLE EF</x:v>
      </x:c>
      <x:c r="F50" s="1209" t="str">
        <x:v>Sin contradicción adicional documentada en EF</x:v>
      </x:c>
      <x:c r="G50" s="1209" t="str">
        <x:v>Comprobar pruebas y SQL durante implementación</x:v>
      </x:c>
      <x:c r="H50" s="1209" t="str">
        <x:v>Alertas y notificaciones</x:v>
      </x:c>
      <x:c r="I50" s="1209" t="str">
        <x:v>Solo secuencia exitosa; no certifica alternativos, SQL físico ni ejecución</x:v>
      </x:c>
    </x:row>
    <x:row r="51" ht="46" customHeight="1">
      <x:c r="A51" s="1209" t="str">
        <x:v>RF50</x:v>
      </x:c>
      <x:c r="B51" s="1209" t="str">
        <x:v>RF050-EF1</x:v>
      </x:c>
      <x:c r="C51" s="1209" t="str">
        <x:v>RF-050-Consultar resumen de Inicio</x:v>
      </x:c>
      <x:c r="D51" s="1508" t="n">
        <x:v>44</x:v>
      </x:c>
      <x:c r="E51" s="1510" t="str">
        <x:v>CONGELABLE EF</x:v>
      </x:c>
      <x:c r="F51" s="1209" t="str">
        <x:v>Sin contradicción adicional documentada en EF</x:v>
      </x:c>
      <x:c r="G51" s="1209" t="str">
        <x:v>Comprobar pruebas y SQL durante implementación</x:v>
      </x:c>
      <x:c r="H51" s="1209" t="str">
        <x:v>Vehículos · Kilometraje</x:v>
      </x:c>
      <x:c r="I51" s="1209" t="str">
        <x:v>Solo secuencia exitosa; no certifica alternativos, SQL físico ni ejecución</x:v>
      </x:c>
    </x:row>
    <x:row r="52" ht="46" customHeight="1">
      <x:c r="A52" s="1209" t="str">
        <x:v>RF51</x:v>
      </x:c>
      <x:c r="B52" s="1209" t="str">
        <x:v>RF051-EF1</x:v>
      </x:c>
      <x:c r="C52" s="1209" t="str">
        <x:v>RF-051 — REGISTRAR LICENCIA — EF01</x:v>
      </x:c>
      <x:c r="D52" s="1508" t="n">
        <x:v>53</x:v>
      </x:c>
      <x:c r="E52" s="1512" t="str">
        <x:v>CONGELABLE CON RESERVA TÉCNICA</x:v>
      </x:c>
      <x:c r="F52" s="1209" t="str">
        <x:v>Licencia: alta con API externa</x:v>
      </x:c>
      <x:c r="G52" s="1209" t="str">
        <x:v>Campos y respuestas reales API/consentimiento por verificar</x:v>
      </x:c>
      <x:c r="H52" s="1209" t="str">
        <x:v>Planes y pagos · Licencia</x:v>
      </x:c>
      <x:c r="I52" s="1209" t="str">
        <x:v>Solo secuencia exitosa; no certifica alternativos, SQL físico ni ejecución</x:v>
      </x:c>
    </x:row>
    <x:row r="53" ht="46" customHeight="1">
      <x:c r="A53" s="1209" t="str">
        <x:v>RF52</x:v>
      </x:c>
      <x:c r="B53" s="1209" t="str">
        <x:v>RF052-EF1</x:v>
      </x:c>
      <x:c r="C53" s="1209" t="str">
        <x:v>RF-052 — CONSULTAR LICENCIA — EF01</x:v>
      </x:c>
      <x:c r="D53" s="1508" t="n">
        <x:v>19</x:v>
      </x:c>
      <x:c r="E53" s="1510" t="str">
        <x:v>CONGELABLE EF</x:v>
      </x:c>
      <x:c r="F53" s="1209" t="str">
        <x:v>Licencia en solo lectura Free/Premium</x:v>
      </x:c>
      <x:c r="G53" s="1209" t="str">
        <x:v>Debe conservar lectura de licencia previamente registrada</x:v>
      </x:c>
      <x:c r="H53" s="1209" t="str">
        <x:v>Planes y pagos · Licencia</x:v>
      </x:c>
      <x:c r="I53" s="1209" t="str">
        <x:v>Solo secuencia exitosa; no certifica alternativos, SQL físico ni ejecución</x:v>
      </x:c>
    </x:row>
    <x:row r="54" ht="46" customHeight="1">
      <x:c r="A54" s="1209" t="str">
        <x:v>RF53</x:v>
      </x:c>
      <x:c r="B54" s="1209" t="str">
        <x:v>RF053-EF1</x:v>
      </x:c>
      <x:c r="C54" s="1209" t="str">
        <x:v>REACTIVAR CUENTA DENTRO DE LOS 30 DÍAS CALENDARIO · EF01</x:v>
      </x:c>
      <x:c r="D54" s="1508" t="n">
        <x:v>51</x:v>
      </x:c>
      <x:c r="E54" s="1512" t="str">
        <x:v>CONGELABLE CON RESERVA TÉCNICA</x:v>
      </x:c>
      <x:c r="F54" s="1209" t="str">
        <x:v>Recuperar cuenta pendiente / OTP</x:v>
      </x:c>
      <x:c r="G54" s="1209" t="str">
        <x:v>Corregido: COMMIT del OTP/outbox; verificar estados físicos</x:v>
      </x:c>
      <x:c r="H54" s="1209" t="str">
        <x:v>Cuentas y acceso · Administración e incidencias</x:v>
      </x:c>
      <x:c r="I54" s="1209" t="str">
        <x:v>Solo secuencia exitosa; no certifica alternativos, SQL físico ni ejecución</x:v>
      </x:c>
    </x:row>
    <x:row r="55" ht="46" customHeight="1">
      <x:c r="A55" s="1209" t="str">
        <x:v>RF54</x:v>
      </x:c>
      <x:c r="B55" s="1209" t="str">
        <x:v>RF054-EF1</x:v>
      </x:c>
      <x:c r="C55" s="1209" t="str">
        <x:v>RF-054 Registrar TIVE</x:v>
      </x:c>
      <x:c r="D55" s="1508" t="n">
        <x:v>45</x:v>
      </x:c>
      <x:c r="E55" s="1512" t="str">
        <x:v>CONGELABLE EF · SQL POR VALIDAR</x:v>
      </x:c>
      <x:c r="F55" s="1209" t="str">
        <x:v>RF54: TIVE PK/FK idVehiculo e imagen</x:v>
      </x:c>
      <x:c r="G55" s="1209" t="str">
        <x:v>EF alineado con decisiones del 2026-10-21; validar PK/FK/UNIQUE y concurrencia en SQL definitivo.</x:v>
      </x:c>
      <x:c r="H55" s="1209" t="str">
        <x:v>Vehículos · TIVE</x:v>
      </x:c>
      <x:c r="I55" s="1209" t="str">
        <x:v>Solo secuencia exitosa; no certifica alternativos, SQL físico ni ejecución</x:v>
      </x:c>
    </x:row>
    <x:row r="56" ht="46" customHeight="1">
      <x:c r="A56" s="1209" t="str">
        <x:v>RF55</x:v>
      </x:c>
      <x:c r="B56" s="1209" t="str">
        <x:v>RF055-EF1</x:v>
      </x:c>
      <x:c r="C56" s="1209" t="str">
        <x:v>RF-055 Consultar TIVE</x:v>
      </x:c>
      <x:c r="D56" s="1508" t="n">
        <x:v>22</x:v>
      </x:c>
      <x:c r="E56" s="1510" t="str">
        <x:v>CONGELABLE EF · SQL POR VALIDAR</x:v>
      </x:c>
      <x:c r="F56" s="1209" t="str">
        <x:v>RF55: lectura por idVehiculo</x:v>
      </x:c>
      <x:c r="G56" s="1209" t="str">
        <x:v>EF alineado con decisiones del 2026-10-21; validar PK/FK/UNIQUE y concurrencia en SQL definitivo.</x:v>
      </x:c>
      <x:c r="H56" s="1209" t="str">
        <x:v>Vehículos · TIVE</x:v>
      </x:c>
      <x:c r="I56" s="1209" t="str">
        <x:v>Solo secuencia exitosa; no certifica alternativos, SQL físico ni ejecución</x:v>
      </x:c>
    </x:row>
    <x:row r="57" ht="46" customHeight="1">
      <x:c r="A57" s="1209" t="str">
        <x:v>RF56</x:v>
      </x:c>
      <x:c r="B57" s="1209" t="str">
        <x:v>RF056-EF1</x:v>
      </x:c>
      <x:c r="C57" s="1209" t="str">
        <x:v>RF-056 Editar TIVE</x:v>
      </x:c>
      <x:c r="D57" s="1508" t="n">
        <x:v>38</x:v>
      </x:c>
      <x:c r="E57" s="1512" t="str">
        <x:v>CONGELABLE EF · SQL POR VALIDAR</x:v>
      </x:c>
      <x:c r="F57" s="1209" t="str">
        <x:v>RF56: edición TIVE sin migración de imagen</x:v>
      </x:c>
      <x:c r="G57" s="1209" t="str">
        <x:v>EF alineado con decisiones del 2026-10-21; validar PK/FK/UNIQUE y concurrencia en SQL definitivo.</x:v>
      </x:c>
      <x:c r="H57" s="1209" t="str">
        <x:v>Vehículos · TIVE</x:v>
      </x:c>
      <x:c r="I57" s="1209" t="str">
        <x:v>Solo secuencia exitosa; no certifica alternativos, SQL físico ni ejecución</x:v>
      </x:c>
    </x:row>
    <x:row r="58" ht="46" customHeight="1">
      <x:c r="A58" s="1209" t="str">
        <x:v>RF57</x:v>
      </x:c>
      <x:c r="B58" s="1209" t="str">
        <x:v>RF057_EXITOSO</x:v>
      </x:c>
      <x:c r="C58" s="1209" t="str">
        <x:v>ACCEDER AL PANEL ADMINISTRATIVO</x:v>
      </x:c>
      <x:c r="D58" s="1508" t="n">
        <x:v>18</x:v>
      </x:c>
      <x:c r="E58" s="1510" t="str">
        <x:v>CONGELABLE EF</x:v>
      </x:c>
      <x:c r="F58" s="1209" t="str">
        <x:v>Sin contradicción adicional documentada en EF</x:v>
      </x:c>
      <x:c r="G58" s="1209" t="str">
        <x:v>Comprobar pruebas y SQL durante implementación</x:v>
      </x:c>
      <x:c r="H58" s="1209" t="str">
        <x:v>Cuentas y acceso · Administración e incidencias</x:v>
      </x:c>
      <x:c r="I58" s="1209" t="str">
        <x:v>Solo secuencia exitosa; no certifica alternativos, SQL físico ni ejecución</x:v>
      </x:c>
    </x:row>
    <x:row r="59" ht="46" customHeight="1">
      <x:c r="A59" s="1209" t="str">
        <x:v>RF58</x:v>
      </x:c>
      <x:c r="B59" s="1209" t="str">
        <x:v>RF058_EXITOSO</x:v>
      </x:c>
      <x:c r="C59" s="1209" t="str">
        <x:v>CONSULTAR USUARIOS REGISTRADOS</x:v>
      </x:c>
      <x:c r="D59" s="1508" t="n">
        <x:v>27</x:v>
      </x:c>
      <x:c r="E59" s="1510" t="str">
        <x:v>CONGELABLE EF</x:v>
      </x:c>
      <x:c r="F59" s="1209" t="str">
        <x:v>Sin contradicción adicional documentada en EF</x:v>
      </x:c>
      <x:c r="G59" s="1209" t="str">
        <x:v>Comprobar pruebas y SQL durante implementación</x:v>
      </x:c>
      <x:c r="H59" s="1209" t="str">
        <x:v>Cuentas y acceso · Administración e incidencias</x:v>
      </x:c>
      <x:c r="I59" s="1209" t="str">
        <x:v>Solo secuencia exitosa; no certifica alternativos, SQL físico ni ejecución</x:v>
      </x:c>
    </x:row>
    <x:row r="60" ht="46" customHeight="1">
      <x:c r="A60" s="1209" t="str">
        <x:v>RF59</x:v>
      </x:c>
      <x:c r="B60" s="1209" t="str">
        <x:v>RF059_EXITOSO</x:v>
      </x:c>
      <x:c r="C60" s="1209" t="str">
        <x:v>GESTIONAR ESTADO DE CUENTA: SUSPENSIÓN AUTORIZADA</x:v>
      </x:c>
      <x:c r="D60" s="1508" t="n">
        <x:v>20</x:v>
      </x:c>
      <x:c r="E60" s="1510" t="str">
        <x:v>CONGELABLE EF</x:v>
      </x:c>
      <x:c r="F60" s="1209" t="str">
        <x:v>Suspensión de cuenta administrativa</x:v>
      </x:c>
      <x:c r="G60" s="1209" t="str">
        <x:v>Comprobar atomicidad de cuenta, sesiones y evento</x:v>
      </x:c>
      <x:c r="H60" s="1209" t="str">
        <x:v>Cuentas y acceso · Administración e incidencias</x:v>
      </x:c>
      <x:c r="I60" s="1209" t="str">
        <x:v>Solo secuencia exitosa; no certifica alternativos, SQL físico ni ejecución</x:v>
      </x:c>
    </x:row>
    <x:row r="61" ht="46" customHeight="1">
      <x:c r="A61" s="1209" t="str">
        <x:v>RF60</x:v>
      </x:c>
      <x:c r="B61" s="1209" t="str">
        <x:v>RF060_EXITOSO</x:v>
      </x:c>
      <x:c r="C61" s="1209" t="str">
        <x:v>SUPERVISAR SUSCRIPCIONES Y VERIFICAR ESTADO</x:v>
      </x:c>
      <x:c r="D61" s="1508" t="n">
        <x:v>36</x:v>
      </x:c>
      <x:c r="E61" s="1512" t="str">
        <x:v>CONGELABLE CON RESERVA TÉCNICA</x:v>
      </x:c>
      <x:c r="F61" s="1209" t="str">
        <x:v>Supervisión Google Play</x:v>
      </x:c>
      <x:c r="G61" s="1209" t="str">
        <x:v>Conciliación e integraciones reales pendientes</x:v>
      </x:c>
      <x:c r="H61" s="1209" t="str">
        <x:v>Planes y pagos · Administración e incidencias</x:v>
      </x:c>
      <x:c r="I61" s="1209" t="str">
        <x:v>Solo secuencia exitosa; no certifica alternativos, SQL físico ni ejecución</x:v>
      </x:c>
    </x:row>
    <x:row r="62" ht="46" customHeight="1">
      <x:c r="A62" s="1209" t="str">
        <x:v>RF61</x:v>
      </x:c>
      <x:c r="B62" s="1209" t="str">
        <x:v>RF061_EXITOSO</x:v>
      </x:c>
      <x:c r="C62" s="1209" t="str">
        <x:v>GESTIONAR INCIDENCIA REPORTADA POR USUARIO</x:v>
      </x:c>
      <x:c r="D62" s="1508" t="n">
        <x:v>60</x:v>
      </x:c>
      <x:c r="E62" s="1510" t="str">
        <x:v>CONGELABLE EF</x:v>
      </x:c>
      <x:c r="F62" s="1209" t="str">
        <x:v>Mutaciones administrativas</x:v>
      </x:c>
      <x:c r="G62" s="1209" t="str">
        <x:v>Permisos por operación y auditoría física pendientes</x:v>
      </x:c>
      <x:c r="H62" s="1209" t="str">
        <x:v>Administración e incidencias</x:v>
      </x:c>
      <x:c r="I62" s="1209" t="str">
        <x:v>Solo secuencia exitosa; no certifica alternativos, SQL físico ni ejecución</x:v>
      </x:c>
    </x:row>
    <x:row r="63" ht="46" customHeight="1">
      <x:c r="A63" s="1209" t="str">
        <x:v>RF62</x:v>
      </x:c>
      <x:c r="B63" s="1209" t="str">
        <x:v>RF062_EXITOSO</x:v>
      </x:c>
      <x:c r="C63" s="1209" t="str">
        <x:v>GESTIONAR CATÁLOGOS: REGISTRAR TIPO DE MANTENIMIENTO</x:v>
      </x:c>
      <x:c r="D63" s="1508" t="n">
        <x:v>31</x:v>
      </x:c>
      <x:c r="E63" s="1512" t="str">
        <x:v>CONGELABLE CON RESERVA TÉCNICA</x:v>
      </x:c>
      <x:c r="F63" s="1209" t="str">
        <x:v>Tipos mantenimiento administrables</x:v>
      </x:c>
      <x:c r="G63" s="1209" t="str">
        <x:v>SQL de catálogo y FKs sin perder datos históricos</x:v>
      </x:c>
      <x:c r="H63" s="1209" t="str">
        <x:v>Mantenimientos · Administración e incidencias</x:v>
      </x:c>
      <x:c r="I63" s="1209" t="str">
        <x:v>Solo secuencia exitosa; no certifica alternativos, SQL físico ni ejecución</x:v>
      </x:c>
    </x:row>
    <x:row r="64" ht="46" customHeight="1">
      <x:c r="A64" s="1209" t="str">
        <x:v>RF63</x:v>
      </x:c>
      <x:c r="B64" s="1209" t="str">
        <x:v>RF063_EXITOSO</x:v>
      </x:c>
      <x:c r="C64" s="1209" t="str">
        <x:v>REPORTAR INCIDENCIA DESDE PERFIL</x:v>
      </x:c>
      <x:c r="D64" s="1508" t="n">
        <x:v>29</x:v>
      </x:c>
      <x:c r="E64" s="1512" t="str">
        <x:v>CONGELABLE CON RESERVA TÉCNICA</x:v>
      </x:c>
      <x:c r="F64" s="1209" t="str">
        <x:v>Evidencias de incidencia</x:v>
      </x:c>
      <x:c r="G64" s="1209" t="str">
        <x:v>Storage y compensación/adjuntos por concretar</x:v>
      </x:c>
      <x:c r="H64" s="1209" t="str">
        <x:v>Administración e incidencias</x:v>
      </x:c>
      <x:c r="I64" s="1209" t="str">
        <x:v>Solo secuencia exitosa; no certifica alternativos, SQL físico ni ejecución</x:v>
      </x:c>
    </x:row>
    <x:row r="65" ht="46" customHeight="1">
      <x:c r="A65" s="1209" t="str">
        <x:v>RF64</x:v>
      </x:c>
      <x:c r="B65" s="1209" t="str">
        <x:v>RF064_EXITOSO</x:v>
      </x:c>
      <x:c r="C65" s="1209" t="str">
        <x:v>CONSULTAR MIS INCIDENCIAS Y DETALLE CON AVANCES</x:v>
      </x:c>
      <x:c r="D65" s="1508" t="n">
        <x:v>23</x:v>
      </x:c>
      <x:c r="E65" s="1510" t="str">
        <x:v>CONGELABLE EF</x:v>
      </x:c>
      <x:c r="F65" s="1209" t="str">
        <x:v>Sin contradicción adicional documentada en EF</x:v>
      </x:c>
      <x:c r="G65" s="1209" t="str">
        <x:v>Comprobar pruebas y SQL durante implementación</x:v>
      </x:c>
      <x:c r="H65" s="1209" t="str">
        <x:v>Administración e incidencias</x:v>
      </x:c>
      <x:c r="I65" s="1209" t="str">
        <x:v>Solo secuencia exitosa; no certifica alternativos, SQL físico ni ejecución</x:v>
      </x:c>
    </x:row>
  </x:sheetData>
  <x:pageMargins left="0.7" right="0.7" top="0.75" bottom="0.75" header="0.3" footer="0.3"/>
</x:worksheet>
</file>

<file path=xl/worksheets/sheet10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0" hidden="0" customWidth="1"/>
    <x:col min="3" max="3" width="23" hidden="0" customWidth="1"/>
    <x:col min="4" max="4" width="10" hidden="0" customWidth="1"/>
    <x:col min="5" max="5" width="58" hidden="0" customWidth="1"/>
    <x:col min="6" max="6" width="75" hidden="0" customWidth="1"/>
    <x:col min="7" max="7" width="55" hidden="0" customWidth="1"/>
  </x:cols>
  <x:sheetData>
    <x:row r="1" ht="34" customHeight="1">
      <x:c r="A1" s="1503" t="str">
        <x:v>ID</x:v>
      </x:c>
      <x:c r="B1" s="1503" t="str">
        <x:v>RF</x:v>
      </x:c>
      <x:c r="C1" s="1503" t="str">
        <x:v>Hoja</x:v>
      </x:c>
      <x:c r="D1" s="1503" t="str">
        <x:v>Celda</x:v>
      </x:c>
      <x:c r="E1" s="1503" t="str">
        <x:v>Antes</x:v>
      </x:c>
      <x:c r="F1" s="1503" t="str">
        <x:v>Después</x:v>
      </x:c>
      <x:c r="G1" s="1503" t="str">
        <x:v>Motivo técnico</x:v>
      </x:c>
    </x:row>
    <x:row r="2" ht="54" customHeight="1">
      <x:c r="A2" s="1209" t="str">
        <x:v>EF-001</x:v>
      </x:c>
      <x:c r="B2" s="1209" t="str">
        <x:v>RF16</x:v>
      </x:c>
      <x:c r="C2" s="1209" t="str">
        <x:v>RF016-EF1</x:v>
      </x:c>
      <x:c r="D2" s="1209" t="str">
        <x:v>D29</x:v>
      </x:c>
      <x:c r="E2" s="1209" t="str">
        <x:v>────► (llamada)</x:v>
      </x:c>
      <x:c r="F2" s="1209" t="str">
        <x:v>↩ (auto-msg)</x:v>
      </x:c>
      <x:c r="G2" s="1209" t="str">
        <x:v>Iniciar transacción ANTES de SELECT bloqueante; mantener bloqueo, versión y cambios en misma transacción.</x:v>
      </x:c>
    </x:row>
    <x:row r="3" ht="54" customHeight="1">
      <x:c r="A3" s="1209" t="str">
        <x:v>EF-002</x:v>
      </x:c>
      <x:c r="B3" s="1209" t="str">
        <x:v>RF16</x:v>
      </x:c>
      <x:c r="C3" s="1209" t="str">
        <x:v>RF016-EF1</x:v>
      </x:c>
      <x:c r="D3" s="1209" t="str">
        <x:v>E29</x:v>
      </x:c>
      <x:c r="E3" s="1209" t="str">
        <x:v>E_Kilometraje</x:v>
      </x:c>
      <x:c r="F3" s="1209" t="str">
        <x:v>C_ControlKilometraje</x:v>
      </x:c>
      <x:c r="G3" s="1209" t="str">
        <x:v>Iniciar transacción ANTES de SELECT bloqueante; mantener bloqueo, versión y cambios en misma transacción.</x:v>
      </x:c>
    </x:row>
    <x:row r="4" ht="54" customHeight="1">
      <x:c r="A4" s="1209" t="str">
        <x:v>EF-003</x:v>
      </x:c>
      <x:c r="B4" s="1209" t="str">
        <x:v>RF16</x:v>
      </x:c>
      <x:c r="C4" s="1209" t="str">
        <x:v>RF016-EF1</x:v>
      </x:c>
      <x:c r="D4" s="1209" t="str">
        <x:v>F29</x:v>
      </x:c>
      <x:c r="E4" s="1209" t="str">
        <x:v>bloquearYConsultarUltimaLectura(idVehiculo)</x:v>
      </x:c>
      <x:c r="F4" s="1209" t="str">
        <x:v>iniciarTransaccionCorreccion(idVehiculo,claveOperacion)</x:v>
      </x:c>
      <x:c r="G4" s="1209" t="str">
        <x:v>Iniciar transacción ANTES de SELECT bloqueante; mantener bloqueo, versión y cambios en misma transacción.</x:v>
      </x:c>
    </x:row>
    <x:row r="5" ht="54" customHeight="1">
      <x:c r="A5" s="1209" t="str">
        <x:v>EF-004</x:v>
      </x:c>
      <x:c r="B5" s="1209" t="str">
        <x:v>RF16</x:v>
      </x:c>
      <x:c r="C5" s="1209" t="str">
        <x:v>RF016-EF1</x:v>
      </x:c>
      <x:c r="D5" s="1209" t="str">
        <x:v>G29</x:v>
      </x:c>
      <x:c r="E5" s="1209" t="str">
        <x:v>Lectura + versión bajo control de concurrencia, asociada al comando.</x:v>
      </x:c>
      <x:c r="F5" s="1209" t="str">
        <x:v>Abre transacción para trazabilidad y actualización; deduplicación obligatoria en backend.</x:v>
      </x:c>
      <x:c r="G5" s="1209" t="str">
        <x:v>Iniciar transacción ANTES de SELECT bloqueante; mantener bloqueo, versión y cambios en misma transacción.</x:v>
      </x:c>
    </x:row>
    <x:row r="6" ht="54" customHeight="1">
      <x:c r="A6" s="1209" t="str">
        <x:v>EF-005</x:v>
      </x:c>
      <x:c r="B6" s="1209" t="str">
        <x:v>RF16</x:v>
      </x:c>
      <x:c r="C6" s="1209" t="str">
        <x:v>RF016-EF1</x:v>
      </x:c>
      <x:c r="D6" s="1209" t="str">
        <x:v>C30</x:v>
      </x:c>
      <x:c r="E6" s="1209" t="str">
        <x:v>E_Kilometraje</x:v>
      </x:c>
      <x:c r="F6" s="1209" t="str">
        <x:v>C_ControlKilometraje</x:v>
      </x:c>
      <x:c r="G6" s="1209" t="str">
        <x:v>Iniciar transacción ANTES de SELECT bloqueante; mantener bloqueo, versión y cambios en misma transacción.</x:v>
      </x:c>
    </x:row>
    <x:row r="7" ht="54" customHeight="1">
      <x:c r="A7" s="1209" t="str">
        <x:v>EF-006</x:v>
      </x:c>
      <x:c r="B7" s="1209" t="str">
        <x:v>RF16</x:v>
      </x:c>
      <x:c r="C7" s="1209" t="str">
        <x:v>RF016-EF1</x:v>
      </x:c>
      <x:c r="D7" s="1209" t="str">
        <x:v>D30</x:v>
      </x:c>
      <x:c r="E7" s="1209" t="str">
        <x:v>◄ ─ ─ (return)</x:v>
      </x:c>
      <x:c r="F7" s="1209" t="str">
        <x:v>────► (llamada)</x:v>
      </x:c>
      <x:c r="G7" s="1209" t="str">
        <x:v>Iniciar transacción ANTES de SELECT bloqueante; mantener bloqueo, versión y cambios en misma transacción.</x:v>
      </x:c>
    </x:row>
    <x:row r="8" ht="54" customHeight="1">
      <x:c r="A8" s="1209" t="str">
        <x:v>EF-007</x:v>
      </x:c>
      <x:c r="B8" s="1209" t="str">
        <x:v>RF16</x:v>
      </x:c>
      <x:c r="C8" s="1209" t="str">
        <x:v>RF016-EF1</x:v>
      </x:c>
      <x:c r="D8" s="1209" t="str">
        <x:v>E30</x:v>
      </x:c>
      <x:c r="E8" s="1209" t="str">
        <x:v>C_ControlKilometraje</x:v>
      </x:c>
      <x:c r="F8" s="1209" t="str">
        <x:v>E_Kilometraje</x:v>
      </x:c>
      <x:c r="G8" s="1209" t="str">
        <x:v>Iniciar transacción ANTES de SELECT bloqueante; mantener bloqueo, versión y cambios en misma transacción.</x:v>
      </x:c>
    </x:row>
    <x:row r="9" ht="54" customHeight="1">
      <x:c r="A9" s="1209" t="str">
        <x:v>EF-008</x:v>
      </x:c>
      <x:c r="B9" s="1209" t="str">
        <x:v>RF16</x:v>
      </x:c>
      <x:c r="C9" s="1209" t="str">
        <x:v>RF016-EF1</x:v>
      </x:c>
      <x:c r="D9" s="1209" t="str">
        <x:v>F30</x:v>
      </x:c>
      <x:c r="E9" s="1209" t="str">
        <x:v>retornarLecturaBloqueada(idLectura,kmActual,versionActual)</x:v>
      </x:c>
      <x:c r="F9" s="1209" t="str">
        <x:v>bloquearYConsultarUltimaLectura(idVehiculo)</x:v>
      </x:c>
      <x:c r="G9" s="1209" t="str">
        <x:v>Iniciar transacción ANTES de SELECT bloqueante; mantener bloqueo, versión y cambios en misma transacción.</x:v>
      </x:c>
    </x:row>
    <x:row r="10" ht="54" customHeight="1">
      <x:c r="A10" s="1209" t="str">
        <x:v>EF-009</x:v>
      </x:c>
      <x:c r="B10" s="1209" t="str">
        <x:v>RF16</x:v>
      </x:c>
      <x:c r="C10" s="1209" t="str">
        <x:v>RF016-EF1</x:v>
      </x:c>
      <x:c r="D10" s="1209" t="str">
        <x:v>G30</x:v>
      </x:c>
      <x:c r="E10" s="1209" t="str">
        <x:v>Devuelve km/version vigentes para evitar doble escritura.</x:v>
      </x:c>
      <x:c r="F10" s="1209" t="str">
        <x:v>Lectura + versión bajo control de concurrencia, asociada al comando.</x:v>
      </x:c>
      <x:c r="G10" s="1209" t="str">
        <x:v>Iniciar transacción ANTES de SELECT bloqueante; mantener bloqueo, versión y cambios en misma transacción.</x:v>
      </x:c>
    </x:row>
    <x:row r="11" ht="54" customHeight="1">
      <x:c r="A11" s="1209" t="str">
        <x:v>EF-010</x:v>
      </x:c>
      <x:c r="B11" s="1209" t="str">
        <x:v>RF16</x:v>
      </x:c>
      <x:c r="C11" s="1209" t="str">
        <x:v>RF016-EF1</x:v>
      </x:c>
      <x:c r="D11" s="1209" t="str">
        <x:v>C31</x:v>
      </x:c>
      <x:c r="E11" s="1209" t="str">
        <x:v>C_ControlKilometraje</x:v>
      </x:c>
      <x:c r="F11" s="1209" t="str">
        <x:v>E_Kilometraje</x:v>
      </x:c>
      <x:c r="G11" s="1209" t="str">
        <x:v>Iniciar transacción ANTES de SELECT bloqueante; mantener bloqueo, versión y cambios en misma transacción.</x:v>
      </x:c>
    </x:row>
    <x:row r="12" ht="54" customHeight="1">
      <x:c r="A12" s="1209" t="str">
        <x:v>EF-011</x:v>
      </x:c>
      <x:c r="B12" s="1209" t="str">
        <x:v>RF16</x:v>
      </x:c>
      <x:c r="C12" s="1209" t="str">
        <x:v>RF016-EF1</x:v>
      </x:c>
      <x:c r="D12" s="1209" t="str">
        <x:v>D31</x:v>
      </x:c>
      <x:c r="E12" s="1209" t="str">
        <x:v>↩ (auto-msg)</x:v>
      </x:c>
      <x:c r="F12" s="1209" t="str">
        <x:v>◄ ─ ─ (return)</x:v>
      </x:c>
      <x:c r="G12" s="1209" t="str">
        <x:v>Iniciar transacción ANTES de SELECT bloqueante; mantener bloqueo, versión y cambios en misma transacción.</x:v>
      </x:c>
    </x:row>
    <x:row r="13" ht="54" customHeight="1">
      <x:c r="A13" s="1209" t="str">
        <x:v>EF-012</x:v>
      </x:c>
      <x:c r="B13" s="1209" t="str">
        <x:v>RF16</x:v>
      </x:c>
      <x:c r="C13" s="1209" t="str">
        <x:v>RF016-EF1</x:v>
      </x:c>
      <x:c r="D13" s="1209" t="str">
        <x:v>F31</x:v>
      </x:c>
      <x:c r="E13" s="1209" t="str">
        <x:v>revalidarVersionYKm(kmPrevio,kmNuevo,version)</x:v>
      </x:c>
      <x:c r="F13" s="1209" t="str">
        <x:v>retornarLecturaBloqueada(idLectura,kmActual,versionActual)</x:v>
      </x:c>
      <x:c r="G13" s="1209" t="str">
        <x:v>Iniciar transacción ANTES de SELECT bloqueante; mantener bloqueo, versión y cambios en misma transacción.</x:v>
      </x:c>
    </x:row>
    <x:row r="14" ht="54" customHeight="1">
      <x:c r="A14" s="1209" t="str">
        <x:v>EF-013</x:v>
      </x:c>
      <x:c r="B14" s="1209" t="str">
        <x:v>RF16</x:v>
      </x:c>
      <x:c r="C14" s="1209" t="str">
        <x:v>RF016-EF1</x:v>
      </x:c>
      <x:c r="D14" s="1209" t="str">
        <x:v>G31</x:v>
      </x:c>
      <x:c r="E14" s="1209" t="str">
        <x:v>En caso de cambio concurrente rechaza comando y exige nueva vista previa.</x:v>
      </x:c>
      <x:c r="F14" s="1209" t="str">
        <x:v>Devuelve km/version vigentes para evitar doble escritura.</x:v>
      </x:c>
      <x:c r="G14" s="1209" t="str">
        <x:v>Iniciar transacción ANTES de SELECT bloqueante; mantener bloqueo, versión y cambios en misma transacción.</x:v>
      </x:c>
    </x:row>
    <x:row r="15" ht="54" customHeight="1">
      <x:c r="A15" s="1209" t="str">
        <x:v>EF-014</x:v>
      </x:c>
      <x:c r="B15" s="1209" t="str">
        <x:v>RF16</x:v>
      </x:c>
      <x:c r="C15" s="1209" t="str">
        <x:v>RF016-EF1</x:v>
      </x:c>
      <x:c r="D15" s="1209" t="str">
        <x:v>F32</x:v>
      </x:c>
      <x:c r="E15" s="1209" t="str">
        <x:v>iniciarTransaccionCorreccion(idVehiculo,claveOperacion)</x:v>
      </x:c>
      <x:c r="F15" s="1209" t="str">
        <x:v>revalidarVersionYKm(kmPrevio,kmNuevo,version)</x:v>
      </x:c>
      <x:c r="G15" s="1209" t="str">
        <x:v>Iniciar transacción ANTES de SELECT bloqueante; mantener bloqueo, versión y cambios en misma transacción.</x:v>
      </x:c>
    </x:row>
    <x:row r="16" ht="54" customHeight="1">
      <x:c r="A16" s="1209" t="str">
        <x:v>EF-015</x:v>
      </x:c>
      <x:c r="B16" s="1209" t="str">
        <x:v>RF16</x:v>
      </x:c>
      <x:c r="C16" s="1209" t="str">
        <x:v>RF016-EF1</x:v>
      </x:c>
      <x:c r="D16" s="1209" t="str">
        <x:v>G32</x:v>
      </x:c>
      <x:c r="E16" s="1209" t="str">
        <x:v>Abre transacción para trazabilidad y actualización; deduplicación obligatoria en backend.</x:v>
      </x:c>
      <x:c r="F16" s="1209" t="str">
        <x:v>En caso de cambio concurrente rechaza comando y exige nueva vista previa.</x:v>
      </x:c>
      <x:c r="G16" s="1209" t="str">
        <x:v>Iniciar transacción ANTES de SELECT bloqueante; mantener bloqueo, versión y cambios en misma transacción.</x:v>
      </x:c>
    </x:row>
    <x:row r="17" ht="54" customHeight="1">
      <x:c r="A17" s="1209" t="str">
        <x:v>EF-016</x:v>
      </x:c>
      <x:c r="B17" s="1209" t="str">
        <x:v>RF16</x:v>
      </x:c>
      <x:c r="C17" s="1209" t="str">
        <x:v>RF016-EF1</x:v>
      </x:c>
      <x:c r="D17" s="1209" t="str">
        <x:v>G29</x:v>
      </x:c>
      <x:c r="E17" s="1209" t="str">
        <x:v>Abre transacción para trazabilidad y actualización; deduplicación obligatoria en backend.</x:v>
      </x:c>
      <x:c r="F17" s="1209" t="str">
        <x:v>BEGIN de corrección en el backend antes de bloquear la lectura; reserva claveOperacion para idempotencia. El bloqueo, la validación de versión, la corrección técnica y la actualización permanecen en esta misma transacción hasta el COMMIT del mensaje 31.</x:v>
      </x:c>
      <x:c r="G17" s="1209" t="str">
        <x:v>Iniciar transacción ANTES de SELECT bloqueante; mantener bloqueo, versión y cambios en misma transacción.</x:v>
      </x:c>
    </x:row>
    <x:row r="18" ht="54" customHeight="1">
      <x:c r="A18" s="1209" t="str">
        <x:v>EF-017</x:v>
      </x:c>
      <x:c r="B18" s="1209" t="str">
        <x:v>RF16</x:v>
      </x:c>
      <x:c r="C18" s="1209" t="str">
        <x:v>RF016-EF1</x:v>
      </x:c>
      <x:c r="D18" s="1209" t="str">
        <x:v>G30</x:v>
      </x:c>
      <x:c r="E18" s="1209" t="str">
        <x:v>Lectura + versión bajo control de concurrencia, asociada al comando.</x:v>
      </x:c>
      <x:c r="F18" s="1209" t="str">
        <x:v>Consulta la última lectura con bloqueo de fila (SELECT ... FOR UPDATE) DENTRO de la transacción iniciada en el mensaje 23; conserva el bloqueo hasta COMMIT o ROLLBACK.</x:v>
      </x:c>
      <x:c r="G18" s="1209" t="str">
        <x:v>Iniciar transacción ANTES de SELECT bloqueante; mantener bloqueo, versión y cambios en misma transacción.</x:v>
      </x:c>
    </x:row>
    <x:row r="19" ht="54" customHeight="1">
      <x:c r="A19" s="1209" t="str">
        <x:v>EF-018</x:v>
      </x:c>
      <x:c r="B19" s="1209" t="str">
        <x:v>RF16</x:v>
      </x:c>
      <x:c r="C19" s="1209" t="str">
        <x:v>RF016-EF1</x:v>
      </x:c>
      <x:c r="D19" s="1209" t="str">
        <x:v>G31</x:v>
      </x:c>
      <x:c r="E19" s="1209" t="str">
        <x:v>Devuelve km/version vigentes para evitar doble escritura.</x:v>
      </x:c>
      <x:c r="F19" s="1209" t="str">
        <x:v>Devuelve id, km y versión efectivos bajo bloqueo, sin liberar la transacción abierta.</x:v>
      </x:c>
      <x:c r="G19" s="1209" t="str">
        <x:v>Iniciar transacción ANTES de SELECT bloqueante; mantener bloqueo, versión y cambios en misma transacción.</x:v>
      </x:c>
    </x:row>
    <x:row r="20" ht="54" customHeight="1">
      <x:c r="A20" s="1209" t="str">
        <x:v>EF-019</x:v>
      </x:c>
      <x:c r="B20" s="1209" t="str">
        <x:v>RF16</x:v>
      </x:c>
      <x:c r="C20" s="1209" t="str">
        <x:v>RF016-EF1</x:v>
      </x:c>
      <x:c r="D20" s="1209" t="str">
        <x:v>G32</x:v>
      </x:c>
      <x:c r="E20" s="1209" t="str">
        <x:v>En caso de cambio concurrente rechaza comando y exige nueva vista previa.</x:v>
      </x:c>
      <x:c r="F20" s="1209" t="str">
        <x:v>Comprueba que kmPrevio/versión coinciden y que kmNuevo sigue siendo admisible. Si difieren, ROLLBACK sin registrar evento ni actualizar lectura; exigir nueva vista previa.</x:v>
      </x:c>
      <x:c r="G20" s="1209" t="str">
        <x:v>Iniciar transacción ANTES de SELECT bloqueante; mantener bloqueo, versión y cambios en misma transacción.</x:v>
      </x:c>
    </x:row>
    <x:row r="21" ht="54" customHeight="1">
      <x:c r="A21" s="1209" t="str">
        <x:v>EF-020</x:v>
      </x:c>
      <x:c r="B21" s="1209" t="str">
        <x:v>RF22</x:v>
      </x:c>
      <x:c r="C21" s="1209" t="str">
        <x:v>RF22</x:v>
      </x:c>
      <x:c r="D21" s="1209" t="str">
        <x:v>D90</x:v>
      </x:c>
      <x:c r="E21" s="1209" t="str">
        <x:v>────► (llamada)</x:v>
      </x:c>
      <x:c r="F21" s="1209" t="str">
        <x:v>↩ (auto-msg)</x:v>
      </x:c>
      <x:c r="G21" s="1209" t="str">
        <x:v>Cerrar ventana de carrera: iniciar transacción antes de revalidar duplicados y guardar.</x:v>
      </x:c>
    </x:row>
    <x:row r="22" ht="54" customHeight="1">
      <x:c r="A22" s="1209" t="str">
        <x:v>EF-021</x:v>
      </x:c>
      <x:c r="B22" s="1209" t="str">
        <x:v>RF22</x:v>
      </x:c>
      <x:c r="C22" s="1209" t="str">
        <x:v>RF22</x:v>
      </x:c>
      <x:c r="D22" s="1209" t="str">
        <x:v>E90</x:v>
      </x:c>
      <x:c r="E22" s="1209" t="str">
        <x:v>E_Alerta</x:v>
      </x:c>
      <x:c r="F22" s="1209" t="str">
        <x:v>C_ControlAlerta</x:v>
      </x:c>
      <x:c r="G22" s="1209" t="str">
        <x:v>Cerrar ventana de carrera: iniciar transacción antes de revalidar duplicados y guardar.</x:v>
      </x:c>
    </x:row>
    <x:row r="23" ht="54" customHeight="1">
      <x:c r="A23" s="1209" t="str">
        <x:v>EF-022</x:v>
      </x:c>
      <x:c r="B23" s="1209" t="str">
        <x:v>RF22</x:v>
      </x:c>
      <x:c r="C23" s="1209" t="str">
        <x:v>RF22</x:v>
      </x:c>
      <x:c r="D23" s="1209" t="str">
        <x:v>F90</x:v>
      </x:c>
      <x:c r="E23" s="1209" t="str">
        <x:v>consultarAlertaEquivalenteVigente(id_vehiculo,id_tipo_mantenimiento,criterio,fecha_objetivo,km_objetivo,fecha_actual,servicio_otro_o_NULL)</x:v>
      </x:c>
      <x:c r="F23" s="1209" t="str">
        <x:v>iniciarRegistroConsistenteAlertaHistorialYNotificacion()</x:v>
      </x:c>
      <x:c r="G23" s="1209" t="str">
        <x:v>Cerrar ventana de carrera: iniciar transacción antes de revalidar duplicados y guardar.</x:v>
      </x:c>
    </x:row>
    <x:row r="24" ht="54" customHeight="1">
      <x:c r="A24" s="1209" t="str">
        <x:v>EF-023</x:v>
      </x:c>
      <x:c r="B24" s="1209" t="str">
        <x:v>RF22</x:v>
      </x:c>
      <x:c r="C24" s="1209" t="str">
        <x:v>RF22</x:v>
      </x:c>
      <x:c r="D24" s="1209" t="str">
        <x:v>G90</x:v>
      </x:c>
      <x:c r="E24" s="1209" t="str">
        <x:v>Reconsulta duplicidad bajo concurrencia usando vehículo, tipo, criterio, objetivos y servicio_otro normalizado si tipo=OTRO. La pertenencia a un servicio diferente se distingue incluso cuando el nombre fue escrito libremente. Esta segunda comprobación sigue siendo PRELIMINAR: no garantiza unicidad frente a confirmaciones simultáneas; la decisión definitiva se protege </x:v>
      </x:c>
      <x:c r="F24" s="1209" t="str">
        <x:v>Inicia UNA transacción compartida para E_Alerta, E_HistorialAlerta y E_Notificacion (cuando corresponda aviso interno), con protección contra duplicados/concurrencia. El COMMIT será en el paso 93 DESPUÉS de la sincronización interna; fallo obligatorio =&gt; ROLLBACK íntegro. El despacho externo, si existiera, es posterior al COMMIT. Antes de crear, el servidor obtiene protección transaccional para la CLAVE DE EQUIVALENCIA (usuario/vehículo, tipo, servicio_otro normalizado si OTRO, criterio y objeti</x:v>
      </x:c>
      <x:c r="G24" s="1209" t="str">
        <x:v>Cerrar ventana de carrera: iniciar transacción antes de revalidar duplicados y guardar.</x:v>
      </x:c>
    </x:row>
    <x:row r="25" ht="54" customHeight="1">
      <x:c r="A25" s="1209" t="str">
        <x:v>EF-024</x:v>
      </x:c>
      <x:c r="B25" s="1209" t="str">
        <x:v>RF22</x:v>
      </x:c>
      <x:c r="C25" s="1209" t="str">
        <x:v>RF22</x:v>
      </x:c>
      <x:c r="D25" s="1209" t="str">
        <x:v>C91</x:v>
      </x:c>
      <x:c r="E25" s="1209" t="str">
        <x:v>E_Alerta</x:v>
      </x:c>
      <x:c r="F25" s="1209" t="str">
        <x:v>C_ControlAlerta</x:v>
      </x:c>
      <x:c r="G25" s="1209" t="str">
        <x:v>Cerrar ventana de carrera: iniciar transacción antes de revalidar duplicados y guardar.</x:v>
      </x:c>
    </x:row>
    <x:row r="26" ht="54" customHeight="1">
      <x:c r="A26" s="1209" t="str">
        <x:v>EF-025</x:v>
      </x:c>
      <x:c r="B26" s="1209" t="str">
        <x:v>RF22</x:v>
      </x:c>
      <x:c r="C26" s="1209" t="str">
        <x:v>RF22</x:v>
      </x:c>
      <x:c r="D26" s="1209" t="str">
        <x:v>D91</x:v>
      </x:c>
      <x:c r="E26" s="1209" t="str">
        <x:v>◄ - - - - - (return)</x:v>
      </x:c>
      <x:c r="F26" s="1209" t="str">
        <x:v>────► (llamada)</x:v>
      </x:c>
      <x:c r="G26" s="1209" t="str">
        <x:v>Cerrar ventana de carrera: iniciar transacción antes de revalidar duplicados y guardar.</x:v>
      </x:c>
    </x:row>
    <x:row r="27" ht="54" customHeight="1">
      <x:c r="A27" s="1209" t="str">
        <x:v>EF-026</x:v>
      </x:c>
      <x:c r="B27" s="1209" t="str">
        <x:v>RF22</x:v>
      </x:c>
      <x:c r="C27" s="1209" t="str">
        <x:v>RF22</x:v>
      </x:c>
      <x:c r="D27" s="1209" t="str">
        <x:v>E91</x:v>
      </x:c>
      <x:c r="E27" s="1209" t="str">
        <x:v>C_ControlAlerta</x:v>
      </x:c>
      <x:c r="F27" s="1209" t="str">
        <x:v>E_Alerta</x:v>
      </x:c>
      <x:c r="G27" s="1209" t="str">
        <x:v>Cerrar ventana de carrera: iniciar transacción antes de revalidar duplicados y guardar.</x:v>
      </x:c>
    </x:row>
    <x:row r="28" ht="54" customHeight="1">
      <x:c r="A28" s="1209" t="str">
        <x:v>EF-027</x:v>
      </x:c>
      <x:c r="B28" s="1209" t="str">
        <x:v>RF22</x:v>
      </x:c>
      <x:c r="C28" s="1209" t="str">
        <x:v>RF22</x:v>
      </x:c>
      <x:c r="D28" s="1209" t="str">
        <x:v>F91</x:v>
      </x:c>
      <x:c r="E28" s="1209" t="str">
        <x:v>retornarResultadoDuplicidadVigente(existe_equivalente=false)</x:v>
      </x:c>
      <x:c r="F28" s="1209" t="str">
        <x:v>consultarAlertaEquivalenteVigente(id_vehiculo,id_tipo_mantenimiento,criterio,fecha_objetivo,km_objetivo,fecha_actual,servicio_otro_o_NULL)</x:v>
      </x:c>
      <x:c r="G28" s="1209" t="str">
        <x:v>Cerrar ventana de carrera: iniciar transacción antes de revalidar duplicados y guardar.</x:v>
      </x:c>
    </x:row>
    <x:row r="29" ht="54" customHeight="1">
      <x:c r="A29" s="1209" t="str">
        <x:v>EF-028</x:v>
      </x:c>
      <x:c r="B29" s="1209" t="str">
        <x:v>RF22</x:v>
      </x:c>
      <x:c r="C29" s="1209" t="str">
        <x:v>RF22</x:v>
      </x:c>
      <x:c r="D29" s="1209" t="str">
        <x:v>G91</x:v>
      </x:c>
      <x:c r="E29" s="1209" t="str">
        <x:v>[EF: existe_equivalente=false] Segunda consulta favorable: ninguna alerta equivalente vigente apareció entre el resumen y la confirmación. En caso contrario, tratar mediante EA04 sin guardar.</x:v>
      </x:c>
      <x:c r="F29" s="1209" t="str">
        <x:v>Reconsulta duplicidad bajo concurrencia usando vehículo, tipo, criterio, objetivos y servicio_otro normalizado si tipo=OTRO. La pertenencia a un servicio diferente se distingue incluso cuando el nombre fue escrito libremente. Esta segunda comprobación sigue siendo PRELIMINAR: no garantiza unicidad frente a confirmaciones simultáneas; la decisión definitiva se protege dentro de la transacción 84–93.</x:v>
      </x:c>
      <x:c r="G29" s="1209" t="str">
        <x:v>Cerrar ventana de carrera: iniciar transacción antes de revalidar duplicados y guardar.</x:v>
      </x:c>
    </x:row>
    <x:row r="30" ht="54" customHeight="1">
      <x:c r="A30" s="1209" t="str">
        <x:v>EF-029</x:v>
      </x:c>
      <x:c r="B30" s="1209" t="str">
        <x:v>RF22</x:v>
      </x:c>
      <x:c r="C30" s="1209" t="str">
        <x:v>RF22</x:v>
      </x:c>
      <x:c r="D30" s="1209" t="str">
        <x:v>C92</x:v>
      </x:c>
      <x:c r="E30" s="1209" t="str">
        <x:v>C_ControlAlerta</x:v>
      </x:c>
      <x:c r="F30" s="1209" t="str">
        <x:v>E_Alerta</x:v>
      </x:c>
      <x:c r="G30" s="1209" t="str">
        <x:v>Cerrar ventana de carrera: iniciar transacción antes de revalidar duplicados y guardar.</x:v>
      </x:c>
    </x:row>
    <x:row r="31" ht="54" customHeight="1">
      <x:c r="A31" s="1209" t="str">
        <x:v>EF-030</x:v>
      </x:c>
      <x:c r="B31" s="1209" t="str">
        <x:v>RF22</x:v>
      </x:c>
      <x:c r="C31" s="1209" t="str">
        <x:v>RF22</x:v>
      </x:c>
      <x:c r="D31" s="1209" t="str">
        <x:v>D92</x:v>
      </x:c>
      <x:c r="E31" s="1209" t="str">
        <x:v>↩ (auto-msg)</x:v>
      </x:c>
      <x:c r="F31" s="1209" t="str">
        <x:v>◄ - - - - - (return)</x:v>
      </x:c>
      <x:c r="G31" s="1209" t="str">
        <x:v>Cerrar ventana de carrera: iniciar transacción antes de revalidar duplicados y guardar.</x:v>
      </x:c>
    </x:row>
    <x:row r="32" ht="54" customHeight="1">
      <x:c r="A32" s="1209" t="str">
        <x:v>EF-031</x:v>
      </x:c>
      <x:c r="B32" s="1209" t="str">
        <x:v>RF22</x:v>
      </x:c>
      <x:c r="C32" s="1209" t="str">
        <x:v>RF22</x:v>
      </x:c>
      <x:c r="D32" s="1209" t="str">
        <x:v>F92</x:v>
      </x:c>
      <x:c r="E32" s="1209" t="str">
        <x:v>validarNoExisteAlertaEquivalenteVigente(existe_equivalente)</x:v>
      </x:c>
      <x:c r="F32" s="1209" t="str">
        <x:v>retornarResultadoDuplicidadVigente(existe_equivalente=false)</x:v>
      </x:c>
      <x:c r="G32" s="1209" t="str">
        <x:v>Cerrar ventana de carrera: iniciar transacción antes de revalidar duplicados y guardar.</x:v>
      </x:c>
    </x:row>
    <x:row r="33" ht="54" customHeight="1">
      <x:c r="A33" s="1209" t="str">
        <x:v>EF-032</x:v>
      </x:c>
      <x:c r="B33" s="1209" t="str">
        <x:v>RF22</x:v>
      </x:c>
      <x:c r="C33" s="1209" t="str">
        <x:v>RF22</x:v>
      </x:c>
      <x:c r="D33" s="1209" t="str">
        <x:v>G92</x:v>
      </x:c>
      <x:c r="E33" s="1209" t="str">
        <x:v>[EF: existe_equivalente=false] Revalida expresamente la ausencia de alertas equivalentes vigentes antes de iniciar la transacción. Un resultado duplicado lleva a EA04, no al guardado. Esta validación es de preconfirmación; si dos solicitudes la superan a la vez, ambas deben pasar todavía por el control atómico del guardado.</x:v>
      </x:c>
      <x:c r="F33" s="1209" t="str">
        <x:v>[EF: existe_equivalente=false] Segunda consulta favorable: ninguna alerta equivalente vigente apareció entre el resumen y la confirmación. En caso contrario, tratar mediante EA04 sin guardar.</x:v>
      </x:c>
      <x:c r="G33" s="1209" t="str">
        <x:v>Cerrar ventana de carrera: iniciar transacción antes de revalidar duplicados y guardar.</x:v>
      </x:c>
    </x:row>
    <x:row r="34" ht="54" customHeight="1">
      <x:c r="A34" s="1209" t="str">
        <x:v>EF-033</x:v>
      </x:c>
      <x:c r="B34" s="1209" t="str">
        <x:v>RF22</x:v>
      </x:c>
      <x:c r="C34" s="1209" t="str">
        <x:v>RF22</x:v>
      </x:c>
      <x:c r="D34" s="1209" t="str">
        <x:v>F93</x:v>
      </x:c>
      <x:c r="E34" s="1209" t="str">
        <x:v>iniciarRegistroConsistenteAlertaHistorialYNotificacion()</x:v>
      </x:c>
      <x:c r="F34" s="1209" t="str">
        <x:v>validarNoExisteAlertaEquivalenteVigente(existe_equivalente)</x:v>
      </x:c>
      <x:c r="G34" s="1209" t="str">
        <x:v>Cerrar ventana de carrera: iniciar transacción antes de revalidar duplicados y guardar.</x:v>
      </x:c>
    </x:row>
    <x:row r="35" ht="54" customHeight="1">
      <x:c r="A35" s="1209" t="str">
        <x:v>EF-034</x:v>
      </x:c>
      <x:c r="B35" s="1209" t="str">
        <x:v>RF22</x:v>
      </x:c>
      <x:c r="C35" s="1209" t="str">
        <x:v>RF22</x:v>
      </x:c>
      <x:c r="D35" s="1209" t="str">
        <x:v>G93</x:v>
      </x:c>
      <x:c r="E35" s="1209" t="str">
        <x:v>Inicia UNA transacción compartida para E_Alerta, E_HistorialAlerta y E_Notificacion (cuando corresponda aviso interno), con protección contra duplicados/concurrencia. El COMMIT será en el paso 93 DESPUÉS de la sincronización interna; fallo obligatorio =&gt; ROLLBACK íntegro. El despacho externo, si existiera, es posterior al COMMIT. Antes de crear, el servidor obtiene pr</x:v>
      </x:c>
      <x:c r="F35" s="1209" t="str">
        <x:v>[EF: existe_equivalente=false] Revalida expresamente la ausencia de alertas equivalentes vigentes antes de iniciar la transacción. Un resultado duplicado lleva a EA04, no al guardado. Esta validación es de preconfirmación; si dos solicitudes la superan a la vez, ambas deben pasar todavía por el control atómico del guardado.</x:v>
      </x:c>
      <x:c r="G35" s="1209" t="str">
        <x:v>Cerrar ventana de carrera: iniciar transacción antes de revalidar duplicados y guardar.</x:v>
      </x:c>
    </x:row>
    <x:row r="36" ht="54" customHeight="1">
      <x:c r="A36" s="1209" t="str">
        <x:v>EF-035</x:v>
      </x:c>
      <x:c r="B36" s="1209" t="str">
        <x:v>RF22</x:v>
      </x:c>
      <x:c r="C36" s="1209" t="str">
        <x:v>RF22</x:v>
      </x:c>
      <x:c r="D36" s="1209" t="str">
        <x:v>G90</x:v>
      </x:c>
      <x:c r="E36" s="1209" t="str">
        <x:v>Inicia UNA transacción compartida para E_Alerta, E_HistorialAlerta y E_Notificacion (cuando corresponda aviso interno), con protección contra duplicados/concurrencia. El COMMIT será en el paso 93 DESPUÉS de la sincronización interna; fallo obligatorio =&gt; ROLLBACK íntegro. El despacho externo, si existiera, es posterior al COMMIT. Antes de crear, el servidor obtiene pr</x:v>
      </x:c>
      <x:c r="F36" s="1209" t="str">
        <x:v>BEGIN transacción compartida para alerta, historial y notificación. Debe proteger de dobles registros simultáneos mediante clave idempotente y restricción/índice efectivo de equivalencia; requiere comprobación en SQL físico.</x:v>
      </x:c>
      <x:c r="G36" s="1209" t="str">
        <x:v>Cerrar ventana de carrera: iniciar transacción antes de revalidar duplicados y guardar.</x:v>
      </x:c>
    </x:row>
    <x:row r="37" ht="54" customHeight="1">
      <x:c r="A37" s="1209" t="str">
        <x:v>EF-036</x:v>
      </x:c>
      <x:c r="B37" s="1209" t="str">
        <x:v>RF22</x:v>
      </x:c>
      <x:c r="C37" s="1209" t="str">
        <x:v>RF22</x:v>
      </x:c>
      <x:c r="D37" s="1209" t="str">
        <x:v>G91</x:v>
      </x:c>
      <x:c r="E37" s="1209" t="str">
        <x:v>Reconsulta duplicidad bajo concurrencia usando vehículo, tipo, criterio, objetivos y servicio_otro normalizado si tipo=OTRO. La pertenencia a un servicio diferente se distingue incluso cuando el nombre fue escrito libremente. Esta segunda comprobación sigue siendo PRELIMINAR: no garantiza unicidad frente a confirmaciones simultáneas; la decisión definitiva se protege </x:v>
      </x:c>
      <x:c r="F37" s="1209" t="str">
        <x:v>Reconsulta equivalencia vigente BAJO la transacción iniciada en el mensaje 81 y control de concurrencia. Condición EF: no existe. Dos solicitudes idénticas no deben registrar dos alertas.</x:v>
      </x:c>
      <x:c r="G37" s="1209" t="str">
        <x:v>Cerrar ventana de carrera: iniciar transacción antes de revalidar duplicados y guardar.</x:v>
      </x:c>
    </x:row>
    <x:row r="38" ht="54" customHeight="1">
      <x:c r="A38" s="1209" t="str">
        <x:v>EF-037</x:v>
      </x:c>
      <x:c r="B38" s="1209" t="str">
        <x:v>RF22</x:v>
      </x:c>
      <x:c r="C38" s="1209" t="str">
        <x:v>RF22</x:v>
      </x:c>
      <x:c r="D38" s="1209" t="str">
        <x:v>G92</x:v>
      </x:c>
      <x:c r="E38" s="1209" t="str">
        <x:v>[EF: existe_equivalente=false] Segunda consulta favorable: ninguna alerta equivalente vigente apareció entre el resumen y la confirmación. En caso contrario, tratar mediante EA04 sin guardar.</x:v>
      </x:c>
      <x:c r="F38" s="1209" t="str">
        <x:v>Devuelve ausencia de alerta equivalente para los mismos vehículo, tipo, criterio, objetivos y servicio_otro normalizado; conserva bloqueo hasta COMMIT.</x:v>
      </x:c>
      <x:c r="G38" s="1209" t="str">
        <x:v>Cerrar ventana de carrera: iniciar transacción antes de revalidar duplicados y guardar.</x:v>
      </x:c>
    </x:row>
    <x:row r="39" ht="54" customHeight="1">
      <x:c r="A39" s="1209" t="str">
        <x:v>EF-038</x:v>
      </x:c>
      <x:c r="B39" s="1209" t="str">
        <x:v>RF22</x:v>
      </x:c>
      <x:c r="C39" s="1209" t="str">
        <x:v>RF22</x:v>
      </x:c>
      <x:c r="D39" s="1209" t="str">
        <x:v>G93</x:v>
      </x:c>
      <x:c r="E39" s="1209" t="str">
        <x:v>[EF: existe_equivalente=false] Revalida expresamente la ausencia de alertas equivalentes vigentes antes de iniciar la transacción. Un resultado duplicado lleva a EA04, no al guardado. Esta validación es de preconfirmación; si dos solicitudes la superan a la vez, ambas deben pasar todavía por el control atómico del guardado.</x:v>
      </x:c>
      <x:c r="F39" s="1209" t="str">
        <x:v>Valida duplicidad y reserva exclusividad de operación en la misma transacción. Si hay equivalente o claveOperacion ya utilizada, ROLLBACK/no crear nueva alerta.</x:v>
      </x:c>
      <x:c r="G39" s="1209" t="str">
        <x:v>Cerrar ventana de carrera: iniciar transacción antes de revalidar duplicados y guardar.</x:v>
      </x:c>
    </x:row>
    <x:row r="40" ht="54" customHeight="1">
      <x:c r="A40" s="1209" t="str">
        <x:v>EF-039</x:v>
      </x:c>
      <x:c r="B40" s="1209" t="str">
        <x:v>RF14</x:v>
      </x:c>
      <x:c r="C40" s="1209" t="str">
        <x:v>RF014-EF1</x:v>
      </x:c>
      <x:c r="D40" s="1209" t="str">
        <x:v>G26</x:v>
      </x:c>
      <x:c r="E40" s="1209" t="str">
        <x:v>Obtiene dato vigente con bloqueo/versionado en transacción.</x:v>
      </x:c>
      <x:c r="F40" s="1209" t="str">
        <x:v>El backend inicia una transacción antes de consultar la lectura con bloqueo (SELECT ... FOR UPDATE). La comparación de versión y el registro atómico del mensaje 23 operan sobre esta misma transacción; no liberar el bloqueo hasta COMMIT/ROLLBACK.</x:v>
      </x:c>
      <x:c r="G40" s="1209" t="str">
        <x:v>Precisar cuándo comienza la transacción de lectura bloqueada.</x:v>
      </x:c>
    </x:row>
    <x:row r="41" ht="54" customHeight="1">
      <x:c r="A41" s="1209" t="str">
        <x:v>EF-040</x:v>
      </x:c>
      <x:c r="B41" s="1209" t="str">
        <x:v>RF53</x:v>
      </x:c>
      <x:c r="C41" s="1209" t="str">
        <x:v>RF053-EF1</x:v>
      </x:c>
      <x:c r="D41" s="1209" t="str">
        <x:v>F34</x:v>
      </x:c>
      <x:c r="E41" s="1209" t="str">
        <x:v>mostrarFormularioOTP(correoEnmascarado,60segundos)</x:v>
      </x:c>
      <x:c r="F41" s="1209" t="str">
        <x:v>confirmarOTPEncoladoYMostrarFormulario(correoEnmascarado,60segundos)</x:v>
      </x:c>
      <x:c r="G41" s="1209" t="str">
        <x:v>Hacer explícito COMMIT de OTP/cola antes de mostrar pantalla, alineado con RF07.</x:v>
      </x:c>
    </x:row>
    <x:row r="42" ht="54" customHeight="1">
      <x:c r="A42" s="1209" t="str">
        <x:v>EF-041</x:v>
      </x:c>
      <x:c r="B42" s="1209" t="str">
        <x:v>RF53</x:v>
      </x:c>
      <x:c r="C42" s="1209" t="str">
        <x:v>RF053-EF1</x:v>
      </x:c>
      <x:c r="D42" s="1209" t="str">
        <x:v>G34</x:v>
      </x:c>
      <x:c r="E42" s="1209" t="str">
        <x:v>Solo muestra pantalla tras confirmar transacción de OTP/cola.</x:v>
      </x:c>
      <x:c r="F42" s="1209" t="str">
        <x:v>C_RecuperarCuenta realiza COMMIT de OTP protegido + correo pendiente ANTES de enviar la orden de mostrar el formulario. El envío real del correo ocurre fuera de la transacción. Si falla el COMMIT, NO presentar el formulario de verificación.</x:v>
      </x:c>
      <x:c r="G42" s="1209" t="str">
        <x:v>Hacer explícito COMMIT de OTP/cola antes de mostrar pantalla, alineado con RF07.</x:v>
      </x:c>
    </x:row>
    <x:row r="43" ht="54" customHeight="1">
      <x:c r="A43" s="1209" t="str">
        <x:v>EF-042</x:v>
      </x:c>
      <x:c r="B43" s="1209" t="str">
        <x:v>RF53</x:v>
      </x:c>
      <x:c r="C43" s="1209" t="str">
        <x:v>RF053-EF1</x:v>
      </x:c>
      <x:c r="D43" s="1209" t="str">
        <x:v>G39</x:v>
      </x:c>
      <x:c r="E43" s="1209" t="str">
        <x:v>Evita reutilización y valida intentos atomizados.</x:v>
      </x:c>
      <x:c r="F43" s="1209" t="str">
        <x:v>El backend abre UNA transacción de reactivación antes del bloqueo SELECT ... FOR UPDATE del OTP vigente. Mantiene la transacción hasta el COMMIT del mensaje 45; incluye consumir OTP, revalidar la solicitud, activar la cuenta y cancelar eliminación. Si falla, ROLLBACK integral.</x:v>
      </x:c>
      <x:c r="G43" s="1209" t="str">
        <x:v>Hacer explícita la transacción que mantiene el bloqueo OTP y la reactivación.</x:v>
      </x:c>
    </x:row>
    <x:row r="44" ht="54" customHeight="1">
      <x:c r="A44" s="1209" t="str">
        <x:v>EF-043</x:v>
      </x:c>
      <x:c r="B44" s="1209" t="str">
        <x:v>RF56</x:v>
      </x:c>
      <x:c r="C44" s="1209" t="str">
        <x:v>RF056-EF1</x:v>
      </x:c>
      <x:c r="D44" s="1209" t="str">
        <x:v>G30</x:v>
      </x:c>
      <x:c r="E44" s="1209" t="str">
        <x:v>Determina los valores finales. Mantiene sin cambios la foto del documento en este recorrido.</x:v>
      </x:c>
      <x:c r="F44" s="1209" t="str">
        <x:v>Prepara actualización de la ÚNICA TIVE vinculada al VIN, sin conservar versiones históricas. Si se edita CODIGO_VERIFICACION, planifica también actualizar el vínculo de la imagen ya registrada; el orden de actualización debe respetar FK y UNIQUE vigentes.</x:v>
      </x:c>
      <x:c r="G44" s="1209" t="str">
        <x:v>Respetar cardinalidad 1:1 sin versiones y preservar imagen asociada.</x:v>
      </x:c>
    </x:row>
    <x:row r="45" ht="54" customHeight="1">
      <x:c r="A45" s="1209" t="str">
        <x:v>EF-044</x:v>
      </x:c>
      <x:c r="B45" s="1209" t="str">
        <x:v>RF56</x:v>
      </x:c>
      <x:c r="C45" s="1209" t="str">
        <x:v>RF056-EF1</x:v>
      </x:c>
      <x:c r="D45" s="1209" t="str">
        <x:v>F32</x:v>
      </x:c>
      <x:c r="E45" s="1209" t="str">
        <x:v>guardarEdicionTIVEConHistorial(codigoAnterior,datosConsolidados)</x:v>
      </x:c>
      <x:c r="F45" s="1209" t="str">
        <x:v>actualizarTIVEUnicaYVinculoImagen(codigoAnterior,datosConsolidados)</x:v>
      </x:c>
      <x:c r="G45" s="1209" t="str">
        <x:v>Eliminar historial TIVE contrario al alcance vigente y evitar referencia de imagen huérfana.</x:v>
      </x:c>
    </x:row>
    <x:row r="46" ht="54" customHeight="1">
      <x:c r="A46" s="1209" t="str">
        <x:v>EF-045</x:v>
      </x:c>
      <x:c r="B46" s="1209" t="str">
        <x:v>RF56</x:v>
      </x:c>
      <x:c r="C46" s="1209" t="str">
        <x:v>RF056-EF1</x:v>
      </x:c>
      <x:c r="D46" s="1209" t="str">
        <x:v>G32</x:v>
      </x:c>
      <x:c r="E46" s="1209" t="str">
        <x:v>Guarda los cambios de la TIVE y conserva el registro previo como historial cuando corresponda a una nueva versión documental; requiere soporte de versionado en la base de datos.</x:v>
      </x:c>
      <x:c r="F46" s="1209" t="str">
        <x:v>Actualizar la TIVE vigente SIN insertar una segunda versión ni un historial documental. Transacción única: validar pertenencia y unicidad; actualizar los datos del documento y, si cambia CODIGO_VERIFICACION, migrar la referencia E_ImagenTIVE al nuevo código conservando la misma imagen. COMMIT solo si TIVE y vínculo quedan consistentes; ROLLBACK total ante error. La existencia física de E_ImagenTIVE/relaciones se verifica con el SQL.</x:v>
      </x:c>
      <x:c r="G46" s="1209" t="str">
        <x:v>Eliminar historial TIVE contrario al alcance vigente y evitar referencia de imagen huérfana.</x:v>
      </x:c>
    </x:row>
    <x:row r="47" ht="54" customHeight="1">
      <x:c r="A47" s="1209" t="str">
        <x:v>EF-046</x:v>
      </x:c>
      <x:c r="B47" s="1209" t="str">
        <x:v>RF56</x:v>
      </x:c>
      <x:c r="C47" s="1209" t="str">
        <x:v>RF056-EF1</x:v>
      </x:c>
      <x:c r="D47" s="1209" t="str">
        <x:v>G33</x:v>
      </x:c>
      <x:c r="E47" s="1209" t="str">
        <x:v>Devuelve los datos actuales resultantes, incluido el código de verificación que corresponda a la versión visible.</x:v>
      </x:c>
      <x:c r="F47" s="1209" t="str">
        <x:v>Devuelve los datos finales SOLO después del COMMIT consistente de la TIVE única y su referencia de imagen. Si se cambia el código, se retorna el nuevo código para que RF55 consulte correctamente la foto existente.</x:v>
      </x:c>
      <x:c r="G47" s="1209" t="str">
        <x:v>No anunciar éxito previo al COMMIT de TIVE e imagen.</x:v>
      </x:c>
    </x:row>
    <x:row r="48" ht="54" customHeight="1">
      <x:c r="A48" s="1209" t="str">
        <x:v>EF-047</x:v>
      </x:c>
      <x:c r="B48" s="1209" t="str">
        <x:v>RF54</x:v>
      </x:c>
      <x:c r="C48" s="1209" t="str">
        <x:v>RF054-EF1</x:v>
      </x:c>
      <x:c r="D48" s="1209" t="str">
        <x:v>G39</x:v>
      </x:c>
      <x:c r="E48" s="1209" t="str">
        <x:v>Guarda una TIVE vinculada mediante NUMERO_VIN. En la normalización mostrada, CODIGO_VERIFICACION es la clave de TIVE; no se presupone un idTIVE.</x:v>
      </x:c>
      <x:c r="F48" s="1209" t="str">
        <x:v>Registrar una sola TIVE para el VIN vigente, comprobando unicidad documental y VIN único. Comienza operación transaccional que también protegerá la referencia de imagen opcional; si la imagen falla, no confirmar un registro parcialmente incoherente. Contrastar PK/FK reales con SQL.</x:v>
      </x:c>
      <x:c r="G48" s="1209" t="str">
        <x:v>Evitar TIVE creada sin su imagen solicitada o vínculos parciales.</x:v>
      </x:c>
    </x:row>
    <x:row r="49" ht="54" customHeight="1">
      <x:c r="A49" s="1209" t="str">
        <x:v>EF-048</x:v>
      </x:c>
      <x:c r="B49" s="1209" t="str">
        <x:v>RF54</x:v>
      </x:c>
      <x:c r="C49" s="1209" t="str">
        <x:v>RF054-EF1</x:v>
      </x:c>
      <x:c r="D49" s="1209" t="str">
        <x:v>G42</x:v>
      </x:c>
      <x:c r="E49" s="1209" t="str">
        <x:v>[opt: imagen] Almacena la referencia a la foto en una entidad propuesta E_ImagenTIVE (NO aparece en la normalización enviada; requiere modelarse).</x:v>
      </x:c>
      <x:c r="F49" s="1209" t="str">
        <x:v>Guarda referencia de la fotografía validada para la TIVE creada, dentro de la misma transacción SQL cuando comparten BD. Si el binario se almacena fuera de SQL, usar staging y compensación de archivo ante rollback; E_ImagenTIVE es entidad propuesta pendiente de cotejo físico.</x:v>
      </x:c>
      <x:c r="G49" s="1209" t="str">
        <x:v>Definir compensación por almacenamiento externo de imagen.</x:v>
      </x:c>
    </x:row>
    <x:row r="50" ht="54" customHeight="1">
      <x:c r="A50" s="1209" t="str">
        <x:v>EF-049</x:v>
      </x:c>
      <x:c r="B50" s="1209" t="str">
        <x:v>RF54</x:v>
      </x:c>
      <x:c r="C50" s="1209" t="str">
        <x:v>RF054-EF1</x:v>
      </x:c>
      <x:c r="D50" s="1209" t="str">
        <x:v>F46</x:v>
      </x:c>
      <x:c r="E50" s="1209" t="str">
        <x:v>mostrarConfirmacionRegistroTIVE(datosTIVE)</x:v>
      </x:c>
      <x:c r="F50" s="1209" t="str">
        <x:v>confirmarRegistroTIVEYMostrarExito(datosTIVE)</x:v>
      </x:c>
      <x:c r="G50" s="1209" t="str">
        <x:v>Asegurar éxito tras persistencia del documento + imagen.</x:v>
      </x:c>
    </x:row>
    <x:row r="51" ht="54" customHeight="1">
      <x:c r="A51" s="1209" t="str">
        <x:v>EF-050</x:v>
      </x:c>
      <x:c r="B51" s="1209" t="str">
        <x:v>RF54</x:v>
      </x:c>
      <x:c r="C51" s="1209" t="str">
        <x:v>RF054-EF1</x:v>
      </x:c>
      <x:c r="D51" s="1209" t="str">
        <x:v>G46</x:v>
      </x:c>
      <x:c r="E51" s="1209" t="str">
        <x:v>El controlador abre la interfaz de éxito EXCLUSIVA del registro TIVE: «¡TIVE registrada!» con resumen del número de título, código de verificación y fecha de título; botón «Ver detalle del vehículo».</x:v>
      </x:c>
      <x:c r="F51" s="1209" t="str">
        <x:v>ANTES de mostrar «¡TIVE registrada!», C_ControlTIVE confirma COMMIT de documento y referencia de imagen (si existe); si falla el guardado de ambos, ROLLBACK y NO mostrar éxito. Si el archivo es externo, finalizar compensación/staging. La interfaz conserva el botón «Ver detalle del vehículo».</x:v>
      </x:c>
      <x:c r="G51" s="1209" t="str">
        <x:v>Asegurar éxito tras persistencia del documento + imagen.</x:v>
      </x:c>
    </x:row>
    <x:row r="52" ht="54" customHeight="1">
      <x:c r="A52" s="1209" t="str">
        <x:v>EF-051</x:v>
      </x:c>
      <x:c r="B52" s="1209" t="str">
        <x:v>RF29</x:v>
      </x:c>
      <x:c r="C52" s="1209" t="str">
        <x:v>RF029-E1</x:v>
      </x:c>
      <x:c r="D52" s="1209" t="str">
        <x:v>G47</x:v>
      </x:c>
      <x:c r="E52" s="1209" t="str">
        <x:v>Actualiza la suscripción PREMIUM únicamente tras la verificación servidor-servidor y con protección idempotente. Pago y derecho deben quedar consistentes en transacción u operación compensable.</x:v>
      </x:c>
      <x:c r="F52" s="1209" t="str">
        <x:v>Activa PREMIUM solamente con derecho verificado servidor-servidor, con token único e idempotente. El registro de pago y la concesión de derecho deben hacerse en la misma transacción SQL o mediante proceso recuperable de conciliación; si el proveedor ya cobró pero falla la BD, no duplicar cargo ni declarar que la operación terminó y conservar reintento de activación.</x:v>
      </x:c>
      <x:c r="G52" s="1209" t="str">
        <x:v>Precisar atomicidad/conciliación compra pagada y derecho concedido.</x:v>
      </x:c>
    </x:row>
    <x:row r="53" ht="54" customHeight="1">
      <x:c r="A53" s="1209" t="str">
        <x:v>EF-052</x:v>
      </x:c>
      <x:c r="B53" s="1209" t="str">
        <x:v>RF54</x:v>
      </x:c>
      <x:c r="C53" s="1209" t="str">
        <x:v>RF054-EF1</x:v>
      </x:c>
      <x:c r="D53" s="1209" t="str">
        <x:v>F39</x:v>
      </x:c>
      <x:c r="E53" s="1209" t="str">
        <x:v>registrarTIVE(numeroVin,codigoVerificacion,numeroTitulo,fechaTitulo,datosRegistrales?,estado=REGISTRADA)</x:v>
      </x:c>
      <x:c r="F53" s="1209" t="str">
        <x:v>registrarTIVESiVehiculoActivoYDisponible(numeroVin,codigoVerificacion,datosTIVE)</x:v>
      </x:c>
      <x:c r="G53" s="1209" t="str">
        <x:v>Garantizar autorización y estado de vehículo al momento de guardar la TIVE.</x:v>
      </x:c>
    </x:row>
    <x:row r="54" ht="54" customHeight="1">
      <x:c r="A54" s="1209" t="str">
        <x:v>EF-053</x:v>
      </x:c>
      <x:c r="B54" s="1209" t="str">
        <x:v>RF54</x:v>
      </x:c>
      <x:c r="C54" s="1209" t="str">
        <x:v>RF054-EF1</x:v>
      </x:c>
      <x:c r="D54" s="1209" t="str">
        <x:v>G39</x:v>
      </x:c>
      <x:c r="E54" s="1209" t="str">
        <x:v>Registrar una sola TIVE para el VIN vigente, comprobando unicidad documental y VIN único. Comienza operación transaccional que también protegerá la referencia de imagen opcional; si la imagen falla, no confirmar un registro parcialmente incoherente. Contrastar PK/FK reales con SQL.</x:v>
      </x:c>
      <x:c r="F54" s="1209" t="str">
        <x:v>Antes del INSERT revalida EN SERVIDOR titularidad del usuario autenticado, vehículo ACTIVO y VIN vigente; exige una sola TIVE por VIN y código de verificación no duplicado. La transacción incluye documento e imagen opcional; no confirmar una TIVE parcial. PK/FK definitivas dependen del SQL real.</x:v>
      </x:c>
      <x:c r="G54" s="1209" t="str">
        <x:v>Garantizar autorización y estado de vehículo al momento de guardar la TIVE.</x:v>
      </x:c>
    </x:row>
    <x:row r="55" ht="54" customHeight="1">
      <x:c r="A55" s="1209" t="str">
        <x:v>EF-054</x:v>
      </x:c>
      <x:c r="B55" s="1209" t="str">
        <x:v>RF56</x:v>
      </x:c>
      <x:c r="C55" s="1209" t="str">
        <x:v>RF056-EF1</x:v>
      </x:c>
      <x:c r="D55" s="1209" t="str">
        <x:v>G32</x:v>
      </x:c>
      <x:c r="E55" s="1209" t="str">
        <x:v>Actualizar la TIVE vigente SIN insertar una segunda versión ni un historial documental. Transacción única: validar pertenencia y unicidad; actualizar los datos del documento y, si cambia CODIGO_VERIFICACION, migrar la referencia E_ImagenTIVE al nuevo código conservando la misma imagen. COMMIT solo si TIVE y vínculo quedan consistentes; ROLLBACK total ante error. La ex</x:v>
      </x:c>
      <x:c r="F55" s="1209" t="str">
        <x:v>Actualizar la TIVE vigente SIN insertar segunda versión ni historial documental. EN LA MISMA transacción revalidar titularidad, vehículo ACTIVO, VIN fijo y unicidad; si cambia CODIGO_VERIFICACION, migrar referencia E_ImagenTIVE al nuevo código, respetando las FK y conservando el mismo archivo. COMMIT único; ROLLBACK total ante error. E_ImagenTIVE requiere cotejo con SQL.</x:v>
      </x:c>
      <x:c r="G55" s="1209" t="str">
        <x:v>Revalidar vehículo ACTIVO y VIN al guardar TIVE, además de consistencia de imagen.</x:v>
      </x:c>
    </x:row>
    <x:row r="56" ht="54" customHeight="1">
      <x:c r="A56" s="1209" t="str">
        <x:v>EF-055</x:v>
      </x:c>
      <x:c r="B56" s="1209" t="str">
        <x:v>RF29</x:v>
      </x:c>
      <x:c r="C56" s="1209" t="str">
        <x:v>RF029-E1</x:v>
      </x:c>
      <x:c r="D56" s="1209" t="str">
        <x:v>G38</x:v>
      </x:c>
      <x:c r="E56" s="1209" t="str">
        <x:v>El controlador delega el cobro en Google Play Billing; Google muestra su propio diálogo de pago (tarjeta, saldo, Google Pay) fuera de la app.</x:v>
      </x:c>
      <x:c r="F56" s="1209" t="str">
        <x:v>Google Play Billing SDK se inicia exclusivamente desde la aplicación Android (capa cliente); la compra no se ejecuta desde un servidor. Este controlador coordina la capa móvil antes de transferir el purchaseToken al backend seguro. Google muestra su interfaz de pago.</x:v>
      </x:c>
      <x:c r="G56" s="1209" t="str">
        <x:v>Separar responsabilidades del SDK Google Play móvil y validación servidor.</x:v>
      </x:c>
    </x:row>
    <x:row r="57" ht="54" customHeight="1">
      <x:c r="A57" s="1209" t="str">
        <x:v>EF-056</x:v>
      </x:c>
      <x:c r="B57" s="1209" t="str">
        <x:v>RF29</x:v>
      </x:c>
      <x:c r="C57" s="1209" t="str">
        <x:v>RF029-E1</x:v>
      </x:c>
      <x:c r="D57" s="1209" t="str">
        <x:v>G40</x:v>
      </x:c>
      <x:c r="E57" s="1209" t="str">
        <x:v>El backend, con credenciales del servidor, consulta la API oficial de Google Play y valida token, producto, paquete, estado PURCHASED, vigencia y titularidad. Nunca acepta APROBADA solo porque lo informó el cliente.</x:v>
      </x:c>
      <x:c r="F57" s="1209" t="str">
        <x:v>La validación de purchaseToken/producto/paquete/titularidad pertenece EXCLUSIVAMENTE al backend, con credenciales servidor y acceso a la API oficial de Google Play. Nunca confiar en APROBADA recibida del cliente para activar Premium; coordinar contrato API cliente-servidor al implementar.</x:v>
      </x:c>
      <x:c r="G57" s="1209" t="str">
        <x:v>Precisar límite de confianza entre app móvil y backend en pago.</x:v>
      </x:c>
    </x:row>
  </x:sheetData>
  <x:pageMargins left="0.7" right="0.7" top="0.75" bottom="0.75" header="0.3" footer="0.3"/>
</x:worksheet>
</file>

<file path=xl/worksheets/sheet10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34" hidden="0" customWidth="1"/>
    <x:col min="4" max="4" width="25" hidden="0" customWidth="1"/>
    <x:col min="5" max="5" width="73" hidden="0" customWidth="1"/>
    <x:col min="6" max="6" width="48" hidden="0" customWidth="1"/>
    <x:col min="7" max="7" width="42" hidden="0" customWidth="1"/>
  </x:cols>
  <x:sheetData>
    <x:row r="1" ht="34" customHeight="1">
      <x:c r="A1" s="1503" t="str">
        <x:v>ID</x:v>
      </x:c>
      <x:c r="B1" s="1503" t="str">
        <x:v>RF</x:v>
      </x:c>
      <x:c r="C1" s="1503" t="str">
        <x:v>Área</x:v>
      </x:c>
      <x:c r="D1" s="1503" t="str">
        <x:v>Estado EF</x:v>
      </x:c>
      <x:c r="E1" s="1503" t="str">
        <x:v>Acuerdo de diseño / corrección</x:v>
      </x:c>
      <x:c r="F1" s="1503" t="str">
        <x:v>Validación externa/SQL requerida</x:v>
      </x:c>
      <x:c r="G1" s="1503" t="str">
        <x:v>¿Bloquea?</x:v>
      </x:c>
    </x:row>
    <x:row r="2" ht="68" customHeight="1">
      <x:c r="A2" s="1209" t="str">
        <x:v>C01</x:v>
      </x:c>
      <x:c r="B2" s="1209" t="str">
        <x:v>RF14/RF16</x:v>
      </x:c>
      <x:c r="C2" s="1209" t="str">
        <x:v>Concurrencia de kilometraje</x:v>
      </x:c>
      <x:c r="D2" s="1209" t="str">
        <x:v>Corregido en EF</x:v>
      </x:c>
      <x:c r="E2" s="1209" t="str">
        <x:v>BEGIN antes de SELECT bloqueante; revalidación de versión; corrección técnica y actualización atómicas.</x:v>
      </x:c>
      <x:c r="F2" s="1209" t="str">
        <x:v>SQL real, claves de idempotencia e índices</x:v>
      </x:c>
      <x:c r="G2" s="1209" t="str">
        <x:v>NO para congelar lógica; SÍ para implementar</x:v>
      </x:c>
    </x:row>
    <x:row r="3" ht="68" customHeight="1">
      <x:c r="A3" s="1209" t="str">
        <x:v>C02</x:v>
      </x:c>
      <x:c r="B3" s="1209" t="str">
        <x:v>RF22</x:v>
      </x:c>
      <x:c r="C3" s="1209" t="str">
        <x:v>Alertas equivalentes simultáneas</x:v>
      </x:c>
      <x:c r="D3" s="1209" t="str">
        <x:v>Corregido en EF</x:v>
      </x:c>
      <x:c r="E3" s="1209" t="str">
        <x:v>La transacción comienza antes de comprobar por segunda vez duplicados; debe asegurar exclusividad.</x:v>
      </x:c>
      <x:c r="F3" s="1209" t="str">
        <x:v>UNIQUE/locking/idempotencia en la tabla de alertas</x:v>
      </x:c>
      <x:c r="G3" s="1209" t="str">
        <x:v>NO para congelar lógica; SÍ para implementar</x:v>
      </x:c>
    </x:row>
    <x:row r="4" ht="68" customHeight="1">
      <x:c r="A4" s="1209" t="str">
        <x:v>C03</x:v>
      </x:c>
      <x:c r="B4" s="1209" t="str">
        <x:v>RF29/RF60</x:v>
      </x:c>
      <x:c r="C4" s="1209" t="str">
        <x:v>Pago con Google Play</x:v>
      </x:c>
      <x:c r="D4" s="1209" t="str">
        <x:v>Aclarado en EF</x:v>
      </x:c>
      <x:c r="E4" s="1209" t="str">
        <x:v>El SDK de Billing corre en móvil; verificación de purchaseToken y vigencia se realiza en servidor.</x:v>
      </x:c>
      <x:c r="F4" s="1209" t="str">
        <x:v>Prueba con proveedor, derecho real y compensación</x:v>
      </x:c>
      <x:c r="G4" s="1209" t="str">
        <x:v>NO para congelar lógica; SÍ para implementar</x:v>
      </x:c>
    </x:row>
    <x:row r="5" ht="68" customHeight="1">
      <x:c r="A5" s="1209" t="str">
        <x:v>C04</x:v>
      </x:c>
      <x:c r="B5" s="1209" t="str">
        <x:v>RF07/RF53</x:v>
      </x:c>
      <x:c r="C5" s="1209" t="str">
        <x:v>Eliminación y recuperación de cuenta</x:v>
      </x:c>
      <x:c r="D5" s="1209" t="str">
        <x:v>Corregido en RF53</x:v>
      </x:c>
      <x:c r="E5" s="1209" t="str">
        <x:v>OTP/cola confirmados antes de pedir código; recuperación transaccional consume OTP y cancela solicitud.</x:v>
      </x:c>
      <x:c r="F5" s="1209" t="str">
        <x:v>SQL, job de eliminación y entrega real de correo</x:v>
      </x:c>
      <x:c r="G5" s="1209" t="str">
        <x:v>NO para congelar lógica; SÍ para implementar</x:v>
      </x:c>
    </x:row>
    <x:row r="6" ht="68" customHeight="1">
      <x:c r="A6" s="1209" t="str">
        <x:v>C05</x:v>
      </x:c>
      <x:c r="B6" s="1209" t="str">
        <x:v>RF54/RF56</x:v>
      </x:c>
      <x:c r="C6" s="1209" t="str">
        <x:v>TIVE única e imagen</x:v>
      </x:c>
      <x:c r="D6" s="1209" t="str">
        <x:v>Corregido en EF</x:v>
      </x:c>
      <x:c r="E6" s="1209" t="str">
        <x:v>Sin historial documental: update in situ; imagen conserva asociación si cambia código de verificación.</x:v>
      </x:c>
      <x:c r="F6" s="1209" t="str">
        <x:v>PK/FK UNIQUE para VIN y código; almacenamiento de imagen</x:v>
      </x:c>
      <x:c r="G6" s="1209" t="str">
        <x:v>NO para congelar lógica; SÍ para implementar</x:v>
      </x:c>
    </x:row>
    <x:row r="7" ht="68" customHeight="1">
      <x:c r="A7" s="1209" t="str">
        <x:v>C06</x:v>
      </x:c>
      <x:c r="B7" s="1209" t="str">
        <x:v>RF51/RF52</x:v>
      </x:c>
      <x:c r="C7" s="1209" t="str">
        <x:v>Licencias externas</x:v>
      </x:c>
      <x:c r="D7" s="1209" t="str">
        <x:v>Pendiente técnico</x:v>
      </x:c>
      <x:c r="E7" s="1209" t="str">
        <x:v>Alta Premium y consulta conservada en Free/Premium; mantener solo lectura de información oficial.</x:v>
      </x:c>
      <x:c r="F7" s="1209" t="str">
        <x:v>Contrato verificable del proveedor de licencia / API</x:v>
      </x:c>
      <x:c r="G7" s="1209" t="str">
        <x:v>NO para congelar lógica; SÍ para integración</x:v>
      </x:c>
    </x:row>
    <x:row r="8" ht="68" customHeight="1">
      <x:c r="A8" s="1209" t="str">
        <x:v>C07</x:v>
      </x:c>
      <x:c r="B8" s="1209" t="str">
        <x:v>RF17/RF22/RF24/RF62</x:v>
      </x:c>
      <x:c r="C8" s="1209" t="str">
        <x:v>Catálogo de mantenimiento</x:v>
      </x:c>
      <x:c r="D8" s="1209" t="str">
        <x:v>Pendiente técnico</x:v>
      </x:c>
      <x:c r="E8" s="1209" t="str">
        <x:v>Tipos iniciales y nuevos activos deben compartir único catálogo; históricos preservan referencia.</x:v>
      </x:c>
      <x:c r="F8" s="1209" t="str">
        <x:v>Tabla física, restricciones y datos históricos</x:v>
      </x:c>
      <x:c r="G8" s="1209" t="str">
        <x:v>NO para congelar lógica; SÍ para implementar</x:v>
      </x:c>
    </x:row>
    <x:row r="9" ht="68" customHeight="1">
      <x:c r="A9" s="1209" t="str">
        <x:v>C08</x:v>
      </x:c>
      <x:c r="B9" s="1209" t="str">
        <x:v>RF12/RF13/RF30</x:v>
      </x:c>
      <x:c r="C9" s="1209" t="str">
        <x:v>Cambio de plan y principal</x:v>
      </x:c>
      <x:c r="D9" s="1209" t="str">
        <x:v>Pendiente técnico</x:v>
      </x:c>
      <x:c r="E9" s="1209" t="str">
        <x:v>Backend impide segundo activo en Free; downgrade conserva un principal activo.</x:v>
      </x:c>
      <x:c r="F9" s="1209" t="str">
        <x:v>Cupos con transacción; expiración y gracia reales</x:v>
      </x:c>
      <x:c r="G9" s="1209" t="str">
        <x:v>NO para congelar lógica; SÍ para implementar</x:v>
      </x:c>
    </x:row>
    <x:row r="10" ht="68" customHeight="1">
      <x:c r="A10" s="1209" t="str">
        <x:v>C09</x:v>
      </x:c>
      <x:c r="B10" s="1209" t="str">
        <x:v>RF59/RF61/RF63</x:v>
      </x:c>
      <x:c r="C10" s="1209" t="str">
        <x:v>Estados administrativos e incidencias</x:v>
      </x:c>
      <x:c r="D10" s="1209" t="str">
        <x:v>Pendiente técnico</x:v>
      </x:c>
      <x:c r="E10" s="1209" t="str">
        <x:v>Control de permisos y escritura de auditoría; adjuntos requieren operación consistente.</x:v>
      </x:c>
      <x:c r="F10" s="1209" t="str">
        <x:v>SQL y servicio de archivos</x:v>
      </x:c>
      <x:c r="G10" s="1209" t="str">
        <x:v>NO para congelar lógica; SÍ para implementar</x:v>
      </x:c>
    </x:row>
    <x:row r="11" ht="68" customHeight="1">
      <x:c r="A11" s="1209" t="str">
        <x:v>C10</x:v>
      </x:c>
      <x:c r="B11" s="1209" t="str">
        <x:v>RF01–RF64</x:v>
      </x:c>
      <x:c r="C11" s="1209" t="str">
        <x:v>Alcance de congelamiento</x:v>
      </x:c>
      <x:c r="D11" s="1209" t="str">
        <x:v>Regla de la auditoría</x:v>
      </x:c>
      <x:c r="E11" s="1209" t="str">
        <x:v>El EF describe el camino exitoso. La ausencia de alternativos no invalida esta congelación parcial.</x:v>
      </x:c>
      <x:c r="F11" s="1209" t="str">
        <x:v>Alternativos, pruebas integradas y código</x:v>
      </x:c>
      <x:c r="G11" s="1209" t="str">
        <x:v>FUERA DE ALCANCE ACTUAL</x:v>
      </x:c>
    </x:row>
    <x:row r="12" ht="68" customHeight="1">
      <x:c r="A12" s="1209" t="str">
        <x:v>C11</x:v>
      </x:c>
      <x:c r="B12" s="1209" t="str">
        <x:v>RF54/RF56</x:v>
      </x:c>
      <x:c r="C12" s="1209" t="str">
        <x:v>Identificación física TIVE</x:v>
      </x:c>
      <x:c r="D12" s="1209" t="str">
        <x:v>No certificable con solo EF</x:v>
      </x:c>
      <x:c r="E12" s="1209" t="str">
        <x:v>Los diagramas citan CODIGO_VERIFICACION como PK y NUMERO_VIN como vínculo 1:1; la clave física debe cotejarse.</x:v>
      </x:c>
      <x:c r="F12" s="1209" t="str">
        <x:v>CREATE TABLE real; referencia E_ImagenTIVE</x:v>
      </x:c>
      <x:c r="G12" s="1209" t="str">
        <x:v>NO para congelar lógica; SÍ para programación</x:v>
      </x:c>
    </x:row>
  </x:sheetData>
  <x:pageMargins left="0.7" right="0.7" top="0.75" bottom="0.75" header="0.3" footer="0.3"/>
</x:worksheet>
</file>

<file path=xl/worksheets/sheet10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30" hidden="0" customWidth="1"/>
  </x:cols>
  <x:sheetData>
    <x:row r="1" ht="34" customHeight="1">
      <x:c r="A1" s="1503" t="str">
        <x:v>Indicador</x:v>
      </x:c>
      <x:c r="B1" s="1503" t="str">
        <x:v>Resultado y condiciones</x:v>
      </x:c>
    </x:row>
    <x:row r="2" ht="48" customHeight="1">
      <x:c r="A2" s="1209" t="str">
        <x:v>ALCANCE</x:v>
      </x:c>
      <x:c r="B2" s="1209" t="str">
        <x:v>Solo escenarios exitosos (EF) RF01–RF64; sin rehacer alternativos ni certificar ejecución.</x:v>
      </x:c>
    </x:row>
    <x:row r="3" ht="48" customHeight="1">
      <x:c r="A3" s="1209" t="str">
        <x:v>INVENTARIO</x:v>
      </x:c>
      <x:c r="B3" s="1209" t="str">
        <x:v>64 RF con una hoja EF cada uno; 2.569 mensajes numerados sin omisiones detectadas.</x:v>
      </x:c>
    </x:row>
    <x:row r="4" ht="48" customHeight="1">
      <x:c r="A4" s="1209" t="str">
        <x:v>CAMBIOS NUEVOS</x:v>
      </x:c>
      <x:c r="B4" s="1209" t="str">
        <x:v>56 celdas ajustadas en los escenarios exitosos. Ver EF_CAMBIOS_2110.</x:v>
      </x:c>
    </x:row>
    <x:row r="5" ht="48" customHeight="1">
      <x:c r="A5" s="1209" t="str">
        <x:v>RESULTADO</x:v>
      </x:c>
      <x:c r="B5" s="1209" t="str">
        <x:v>CONGELAMIENTO DE ESCENARIOS EXITOSOS (EF) con decisiones D14–D19 aplicadas. Fuente vigente: CIERRE_EF_20261021 y REGLAS_TRANSVERSALES. RF51 conserva bloqueo de integración externa; la supresión postplazo RF07 no está legalmente aprobada. No implica aprobación física SQL.</x:v>
      </x:c>
    </x:row>
    <x:row r="6" ht="48" customHeight="1">
      <x:c r="A6" s="1209" t="str">
        <x:v>EF CONGELABLES</x:v>
      </x:c>
      <x:c r="B6" s="1209" t="str">
        <x:v>Ver EF_CONTROL_64: flujos definidos documentalmente, sin errores adicionales detectados en los controles aplicados.</x:v>
      </x:c>
    </x:row>
    <x:row r="7" ht="48" customHeight="1">
      <x:c r="A7" s="1209" t="str">
        <x:v>EF CON RESERVA TÉCNICA</x:v>
      </x:c>
      <x:c r="B7" s="1209" t="str">
        <x:v>Reservas SQL/servicios persisten. RF51: proveedor DNI/licencias sin contrato confirmado. RF07: política legal de retención tras 30 días sin validar. Procedimiento excepcional VIN con TIVE: fuera del alcance de RF01–RF64.</x:v>
      </x:c>
    </x:row>
    <x:row r="8" ht="48" customHeight="1">
      <x:c r="A8" s="1209" t="str">
        <x:v>CÓMO CONGELAR</x:v>
      </x:c>
      <x:c r="B8" s="1209" t="str">
        <x:v>Proteger las 64 hojas EF contra cambios accidentales y registrar versión/fecha; modificar únicamente con control de cambio.</x:v>
      </x:c>
    </x:row>
    <x:row r="9" ht="48" customHeight="1">
      <x:c r="A9" s="1209" t="str">
        <x:v>NO CONGELAR AÚN</x:v>
      </x:c>
      <x:c r="B9" s="1209" t="str">
        <x:v>Contratos SQL definitivos, detalles de proveedores, las ramas alternas y los resultados de pruebas sin ejecución.</x:v>
      </x:c>
    </x:row>
    <x:row r="10" ht="48" customHeight="1">
      <x:c r="A10" s="1209" t="str">
        <x:v>PRECEDENCIA</x:v>
      </x:c>
      <x:c r="B10" s="1209" t="str">
        <x:v>Si una hoja histórica de auditoría dice BLOQUEADO, se refiere al congelamiento integral. Esta hoja evalúa solo EF documental.</x:v>
      </x:c>
    </x:row>
    <x:row r="11" ht="48" customHeight="1">
      <x:c r="A11" s="1209" t="str">
        <x:v>VALORES DE CONTEXTO</x:v>
      </x:c>
      <x:c r="B11" s="1209" t="str">
        <x:v>RF53 vigente = recuperación cuenta. VEHICULO.idVehiculo PK, numeroVin opcional; FREE: 1 registrado para altas normales, secundarios Premium heredados quedan inactivos; TIVE.idVehiculo PK/FK 1:0..1; RF11 bloquea cambio VIN si existe TIVE.</x:v>
      </x:c>
    </x:row>
    <x:row r="12" ht="48" customHeight="1">
      <x:c r="A12" s="1209" t="str">
        <x:v>SEGUIMIENTO</x:v>
      </x:c>
      <x:c r="B12" s="1209" t="str">
        <x:v>Antes de generar SQL, cotejar migración de PK/FK, UNIQUE VIN y placa, TIVE/imagen y transacciones de downgrade. Ver DECISIONES_CIERRE_20261021, MAPA_IMPACTO_CIERRE y CONTRATOS_PROG_VEH_TIVE.</x:v>
      </x:c>
    </x:row>
    <x:row r="13" ht="48" customHeight="1">
      <x:c r="A13" s="1209" t="str">
        <x:v>RIESGO RESIDUAL</x:v>
      </x:c>
      <x:c r="B13" s="1209" t="str">
        <x:v>No se puede garantizar ausencia absoluta de defectos ni cobertura de casos no aportados; es verificación documental.</x:v>
      </x:c>
    </x:row>
    <x:row r="14" ht="28" customHeight="1">
      <x:c r="A14" s="1505" t="str">
        <x:v>RF exitosos inventariados</x:v>
      </x:c>
      <x:c r="B14" s="1507" t="n">
        <x:f>COUNTA('EF_CONTROL_64'!A2:A65)</x:f>
        <x:v>64</x:v>
      </x:c>
    </x:row>
    <x:row r="15" ht="28" customHeight="1">
      <x:c r="A15" s="1505" t="str">
        <x:v>Mensajes documentados</x:v>
      </x:c>
      <x:c r="B15" s="1507" t="n">
        <x:f>SUM('EF_CONTROL_64'!D2:D65)</x:f>
        <x:v>2569</x:v>
      </x:c>
    </x:row>
    <x:row r="16" ht="28" customHeight="1">
      <x:c r="A16" s="1505" t="str">
        <x:v>Celdas corregidas</x:v>
      </x:c>
      <x:c r="B16" s="1507" t="n">
        <x:f>COUNTA('EF_CAMBIOS_2110'!A2:A57)</x:f>
        <x:v>56</x:v>
      </x:c>
    </x:row>
    <x:row r="17" ht="28" customHeight="1">
      <x:c r="A17" s="1505" t="str">
        <x:v>RF con reserva técnica</x:v>
      </x:c>
      <x:c r="B17" s="1507" t="n">
        <x:f>COUNTIF('EF_CONTROL_64'!E2:E65,"CONGELABLE CON RESERVA TÉCNICA")</x:f>
        <x:v>9</x:v>
      </x:c>
    </x:row>
    <x:row r="18">
      <x:c r="A18" t="str">
        <x:v>NUEVA VERSIÓN · DECISIONES</x:v>
      </x:c>
      <x:c r="B18" t="str">
        <x:v>Las cifras de correcciones anteriores (56 celdas, 11 reservas) corresponden al corte previo; las modificaciones de esta entrega se cuentan en CAMBIOS_DECISIONES_20261021.</x:v>
      </x:c>
    </x:row>
    <x:row r="19">
      <x:c r="A19" t="str">
        <x:v>CAMBIOS DE ESTA VERSIÓN</x:v>
      </x:c>
      <x:c r="B19" t="str">
        <x:v>179 cambios de celdas de reglas, EF y control en esta versión. Ver CAMBIOS_DECISIONES_20261021; el conteo incluye hojas complementarias de control, no los registros de nuevas hojas.</x:v>
      </x:c>
    </x:row>
    <x:row r="20">
      <x:c r="A20" t="str">
        <x:v>CAMBIO DE CLAVES FÍSICAS</x:v>
      </x:c>
      <x:c r="B20" t="str">
        <x:v>REQUISITO PREVIO AL SQL: migración de PK/FK VEHICULO.idVehiculo y TIVE.idVehiculo; índice VIN opcional; IMAGEN_TIVE por idVehiculo. Sin script físico confirmado.</x:v>
      </x:c>
    </x:row>
  </x:sheetData>
  <x:pageMargins left="0.7" right="0.7" top="0.75" bottom="0.75" header="0.3" footer="0.3"/>
</x:worksheet>
</file>

<file path=xl/worksheets/sheet10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3" hidden="0" customWidth="1"/>
    <x:col min="2" max="2" width="24" hidden="0" customWidth="1"/>
    <x:col min="3" max="3" width="57" hidden="0" customWidth="1"/>
    <x:col min="4" max="4" width="72" hidden="0" customWidth="1"/>
    <x:col min="5" max="5" width="36" hidden="0" customWidth="1"/>
    <x:col min="6" max="6" width="25" hidden="0" customWidth="1"/>
  </x:cols>
  <x:sheetData>
    <x:row r="1" ht="32" customHeight="1">
      <x:c r="A1" s="1515" t="str">
        <x:v>MYCAR | DECISIONES PREVIAS D01–D04 Y NUEVO CIERRE D14–D19 · 21 OCT 2026</x:v>
      </x:c>
      <x:c r="B1" s="1515"/>
      <x:c r="C1" s="1515"/>
      <x:c r="D1" s="1515"/>
      <x:c r="E1" s="1515"/>
      <x:c r="F1" s="1515"/>
    </x:row>
    <x:row r="3" ht="30" customHeight="1">
      <x:c r="A3" s="1519" t="str">
        <x:v>ID</x:v>
      </x:c>
      <x:c r="B3" s="1519" t="str">
        <x:v>Decisión confirmada</x:v>
      </x:c>
      <x:c r="C3" s="1519" t="str">
        <x:v>Regla cerrada</x:v>
      </x:c>
      <x:c r="D3" s="1519" t="str">
        <x:v>Implicación para la programación</x:v>
      </x:c>
      <x:c r="E3" s="1519" t="str">
        <x:v>RF / artefactos</x:v>
      </x:c>
      <x:c r="F3" s="1519" t="str">
        <x:v>Estado</x:v>
      </x:c>
    </x:row>
    <x:row r="4" ht="78" customHeight="1">
      <x:c r="A4" s="1521" t="str">
        <x:v>D01</x:v>
      </x:c>
      <x:c r="B4" s="1521" t="str">
        <x:v>PK vehículo</x:v>
      </x:c>
      <x:c r="C4" s="1521" t="str">
        <x:v>VEHICULO.idVehiculo es PK generada y estable; VIN nullable, único si informado.</x:v>
      </x:c>
      <x:c r="D4" s="1521" t="str">
        <x:v>Nunca usar VIN/placa como FK hacia VEHICULO; migrar SQL y métodos existentes.</x:v>
      </x:c>
      <x:c r="E4" s="1521" t="str">
        <x:v>RF08–RF16, RF17–RF50, RF54–RF56, MODELO SQL</x:v>
      </x:c>
      <x:c r="F4" s="1521" t="str">
        <x:v>APROBADA POR USUARIO</x:v>
      </x:c>
    </x:row>
    <x:row r="5" ht="78" customHeight="1">
      <x:c r="A5" s="1520" t="str">
        <x:v>D02</x:v>
      </x:c>
      <x:c r="B5" s="1520" t="str">
        <x:v>Free / registro</x:v>
      </x:c>
      <x:c r="C5" s="1520" t="str">
        <x:v>Un registro normal máximo en FREE; conservar vehículos inactivos heredados de Premium; solo principal ACTIVO.</x:v>
      </x:c>
      <x:c r="D5" s="1520" t="str">
        <x:v>RF08 cuenta TODOS registrados. RF30 downgrade inactiva secundarios, no borra. RF12 no activa secundario adicional.</x:v>
      </x:c>
      <x:c r="E5" s="1520" t="str">
        <x:v>RF08/09/12/13/30/46–50</x:v>
      </x:c>
      <x:c r="F5" s="1520" t="str">
        <x:v>APROBADA POR USUARIO</x:v>
      </x:c>
    </x:row>
    <x:row r="6" ht="78" customHeight="1">
      <x:c r="A6" s="1521" t="str">
        <x:v>D03</x:v>
      </x:c>
      <x:c r="B6" s="1521" t="str">
        <x:v>Vehículo–TIVE</x:v>
      </x:c>
      <x:c r="C6" s="1521" t="str">
        <x:v>TIVE.idVehiculo PK/FK → VEHICULO.idVehiculo; cada vehículo posee 0 o 1 TIVE.</x:v>
      </x:c>
      <x:c r="D6" s="1521" t="str">
        <x:v>VIN previo obligatorio para ALTA documental, no FK TIVE; imagen se enlaza por idVehiculo.</x:v>
      </x:c>
      <x:c r="E6" s="1521" t="str">
        <x:v>RF09–RF11/RF54–RF56 / BCE_TIVE</x:v>
      </x:c>
      <x:c r="F6" s="1521" t="str">
        <x:v>APROBADA POR USUARIO</x:v>
      </x:c>
    </x:row>
    <x:row r="7" ht="78" customHeight="1">
      <x:c r="A7" s="1520" t="str">
        <x:v>D04</x:v>
      </x:c>
      <x:c r="B7" s="1520" t="str">
        <x:v>Edición de VIN</x:v>
      </x:c>
      <x:c r="C7" s="1520" t="str">
        <x:v>Con TIVE registrada: VIN bloqueado en edición general RF11; corrección exclusivamente mediante proceso controlado.</x:v>
      </x:c>
      <x:c r="D7" s="1520" t="str">
        <x:v>UI solo lectura + validación servidor transaccional. Flujo de corrección sigue PENDIENTE de diseñar.</x:v>
      </x:c>
      <x:c r="E7" s="1520" t="str">
        <x:v>RF11/RF54/RF56</x:v>
      </x:c>
      <x:c r="F7" s="1520" t="str">
        <x:v>APROBADA POR USUARIO</x:v>
      </x:c>
    </x:row>
    <x:row r="8" ht="78" customHeight="1">
      <x:c r="A8" s="1521" t="str">
        <x:v>CONTROL</x:v>
      </x:c>
      <x:c r="B8" s="1521" t="str">
        <x:v>Alcance congelamiento</x:v>
      </x:c>
      <x:c r="C8" s="1521" t="str">
        <x:v>Congelamiento solo EF con las decisiones D01–D04 y D14–D19; RF51 queda condicional por contrato. Para decisiones y estado final: CIERRE_EF_20261021. No se han aprobado contratos, SQL ni política legal definitiva.</x:v>
      </x:c>
      <x:c r="D8" s="1521" t="str">
        <x:v>Hojas AUD_* y EF_CAMBIOS_2110 son auditorías históricas; esta hoja y REGLAS_TRANSVERSALES prevalecen en reglas nuevas.</x:v>
      </x:c>
      <x:c r="E8" s="1521" t="str">
        <x:v>RF01–RF64</x:v>
      </x:c>
      <x:c r="F8" s="1521" t="str">
        <x:v>APLICADO DOCUMENTALMENTE</x:v>
      </x:c>
    </x:row>
  </x:sheetData>
  <x:mergeCells>
    <x:mergeCell ref="A1:F1"/>
  </x:mergeCells>
  <x:pageMargins left="0.7" right="0.7" top="0.75" bottom="0.75" header="0.3" footer="0.3"/>
</x:worksheet>
</file>

<file path=xl/worksheets/sheet11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4" hidden="0" customWidth="1"/>
    <x:col min="2" max="2" width="53" hidden="0" customWidth="1"/>
    <x:col min="3" max="3" width="53" hidden="0" customWidth="1"/>
    <x:col min="4" max="4" width="75" hidden="0" customWidth="1"/>
    <x:col min="5" max="5" width="40" hidden="0" customWidth="1"/>
    <x:col min="6" max="6" width="43" hidden="0" customWidth="1"/>
  </x:cols>
  <x:sheetData>
    <x:row r="1" ht="32" customHeight="1">
      <x:c r="A1" s="1515" t="str">
        <x:v>MYCAR | CONTRATOS PARA PROGRAMAR Y MIGRAR BD</x:v>
      </x:c>
      <x:c r="B1" s="1515"/>
      <x:c r="C1" s="1515"/>
      <x:c r="D1" s="1515"/>
      <x:c r="E1" s="1515"/>
      <x:c r="F1" s="1515"/>
    </x:row>
    <x:row r="3" ht="30" customHeight="1">
      <x:c r="A3" s="1519" t="str">
        <x:v>Entidad / método</x:v>
      </x:c>
      <x:c r="B3" s="1519" t="str">
        <x:v>Contrato vigente</x:v>
      </x:c>
      <x:c r="C3" s="1519" t="str">
        <x:v>Claves / parámetros</x:v>
      </x:c>
      <x:c r="D3" s="1519" t="str">
        <x:v>Regla invariante</x:v>
      </x:c>
      <x:c r="E3" s="1519" t="str">
        <x:v>Dependencias</x:v>
      </x:c>
      <x:c r="F3" s="1519" t="str">
        <x:v>Verificación pendiente</x:v>
      </x:c>
    </x:row>
    <x:row r="4" ht="78" customHeight="1">
      <x:c r="A4" s="1521" t="str">
        <x:v>VEHICULO</x:v>
      </x:c>
      <x:c r="B4" s="1521" t="str">
        <x:v>PK idVehiculo (entero/surrogate único) | propietario FK idUsuario | VIN nullable</x:v>
      </x:c>
      <x:c r="C4" s="1521" t="str">
        <x:v>idVehiculo / numeroVin / placa / estado / esPrincipal</x:v>
      </x:c>
      <x:c r="D4" s="1521" t="str">
        <x:v>Un idVehiculo inmutable; VIN opcional y UNIQUE si existe; placa no cambia en RF11.</x:v>
      </x:c>
      <x:c r="E4" s="1521" t="str">
        <x:v>Usuario, historial, mantenimiento, alertas, SOAT, TIVE</x:v>
      </x:c>
      <x:c r="F4" s="1521" t="str">
        <x:v>Migración PK/FK y tipos MySQL</x:v>
      </x:c>
    </x:row>
    <x:row r="5" ht="78" customHeight="1">
      <x:c r="A5" s="1520" t="str">
        <x:v>TIVE</x:v>
      </x:c>
      <x:c r="B5" s="1520" t="str">
        <x:v>PK/FK idVehiculo → VEHICULO(idVehiculo) | 0..1</x:v>
      </x:c>
      <x:c r="C5" s="1520" t="str">
        <x:v>idVehiculo / codigoVerificacion / numeroTitulo / fechaTitulo</x:v>
      </x:c>
      <x:c r="D5" s="1520" t="str">
        <x:v>No hay historial de versiones ni segunda TIVE del mismo vehículo; VIN requisito previo para alta.</x:v>
      </x:c>
      <x:c r="E5" s="1520" t="str">
        <x:v>VEHICULO, IMAGEN_TIVE</x:v>
      </x:c>
      <x:c r="F5" s="1520" t="str">
        <x:v>DDL PK/FK + unicidades negocio</x:v>
      </x:c>
    </x:row>
    <x:row r="6" ht="78" customHeight="1">
      <x:c r="A6" s="1521" t="str">
        <x:v>IMAGEN_TIVE</x:v>
      </x:c>
      <x:c r="B6" s="1521" t="str">
        <x:v>Vínculo estable a TIVE por idVehiculo</x:v>
      </x:c>
      <x:c r="C6" s="1521" t="str">
        <x:v>idVehiculo / referenciaArchivo / tipo / tamanio</x:v>
      </x:c>
      <x:c r="D6" s="1521" t="str">
        <x:v>Si cambia codigoVerificacion, la imagen permanece igual; archivo opcional.</x:v>
      </x:c>
      <x:c r="E6" s="1521" t="str">
        <x:v>TIVE</x:v>
      </x:c>
      <x:c r="F6" s="1521" t="str">
        <x:v>Tipo de almacenamiento, UNIQUE e integridad externa</x:v>
      </x:c>
    </x:row>
    <x:row r="7" ht="78" customHeight="1">
      <x:c r="A7" s="1520" t="str">
        <x:v>RF08 guardarVehiculo()</x:v>
      </x:c>
      <x:c r="B7" s="1520" t="str">
        <x:v>Registrar bajo transacción; revalidar cupo y unicidad.</x:v>
      </x:c>
      <x:c r="C7" s="1520" t="str">
        <x:v>idUsuario sesión + datosVehiculo + estado</x:v>
      </x:c>
      <x:c r="D7" s="1520" t="str">
        <x:v>FREE: total registrados previo = 0; PREMIUM vigente: según límite; devolver idVehiculo.</x:v>
      </x:c>
      <x:c r="E7" s="1520" t="str">
        <x:v>E_Vehiculo, E_Kilometraje, plan efectivo</x:v>
      </x:c>
      <x:c r="F7" s="1520" t="str">
        <x:v>Prueba de altas concurrentes</x:v>
      </x:c>
    </x:row>
    <x:row r="8" ht="78" customHeight="1">
      <x:c r="A8" s="1521" t="str">
        <x:v>RF11 verificarEdicionVINPermitidaYUnica()</x:v>
      </x:c>
      <x:c r="B8" s="1521" t="str">
        <x:v>Consultar estado TIVE y VIN externo antes de editar.</x:v>
      </x:c>
      <x:c r="C8" s="1521" t="str">
        <x:v>idVehiculo, vinActual, vinNuevo</x:v>
      </x:c>
      <x:c r="D8" s="1521" t="str">
        <x:v>Cambio VIN exige NO TIVE y VIN no duplicado; misma revalidación durante UPDATE.</x:v>
      </x:c>
      <x:c r="E8" s="1521" t="str">
        <x:v>E_Vehiculo + TIVE</x:v>
      </x:c>
      <x:c r="F8" s="1521" t="str">
        <x:v>Concurrencia RF11 vs RF54</x:v>
      </x:c>
    </x:row>
    <x:row r="9" ht="78" customHeight="1">
      <x:c r="A9" s="1520" t="str">
        <x:v>RF30 conciliarLimitesFree()</x:v>
      </x:c>
      <x:c r="B9" s="1520" t="str">
        <x:v>Conservar registro e historial; inactivar secundarios.</x:v>
      </x:c>
      <x:c r="C9" s="1520" t="str">
        <x:v>idUsuario / idVehiculo principal</x:v>
      </x:c>
      <x:c r="D9" s="1520" t="str">
        <x:v>Tras pérdida Premium: solo principal ACTIVO; otros INACTIVOS persistentes.</x:v>
      </x:c>
      <x:c r="E9" s="1520" t="str">
        <x:v>Suscripción + Vehículo + Alerta</x:v>
      </x:c>
      <x:c r="F9" s="1520" t="str">
        <x:v>Caso principal ausente; reconciliación idempotente</x:v>
      </x:c>
    </x:row>
    <x:row r="10" ht="78" customHeight="1">
      <x:c r="A10" s="1521" t="str">
        <x:v>RF54 consultarTIVEPorIdVehiculo()</x:v>
      </x:c>
      <x:c r="B10" s="1521" t="str">
        <x:v>Consultar / comprobar existencia por idVehiculo.</x:v>
      </x:c>
      <x:c r="C10" s="1521" t="str">
        <x:v>idVehiculo</x:v>
      </x:c>
      <x:c r="D10" s="1521" t="str">
        <x:v>No permitir INSERT si TIVE PK/FK ya existe.</x:v>
      </x:c>
      <x:c r="E10" s="1521" t="str">
        <x:v>E_TIVE</x:v>
      </x:c>
      <x:c r="F10" s="1521" t="str">
        <x:v>Índices de FK y permisos</x:v>
      </x:c>
    </x:row>
    <x:row r="11" ht="78" customHeight="1">
      <x:c r="A11" s="1520" t="str">
        <x:v>RF54 registrarTIVESiVehiculoActivoYDisponible()</x:v>
      </x:c>
      <x:c r="B11" s="1520" t="str">
        <x:v>Alta transaccional de única TIVE e imagen opcional.</x:v>
      </x:c>
      <x:c r="C11" s="1520" t="str">
        <x:v>idVehiculo, datosTIVE</x:v>
      </x:c>
      <x:c r="D11" s="1520" t="str">
        <x:v>Cuenta propietaria; vehículo ACTIVO con VIN no nulo; idVehiculo único.</x:v>
      </x:c>
      <x:c r="E11" s="1520" t="str">
        <x:v>E_TIVE / E_ImagenTIVE</x:v>
      </x:c>
      <x:c r="F11" s="1520" t="str">
        <x:v>SQL y staging/compensación</x:v>
      </x:c>
    </x:row>
    <x:row r="12" ht="78" customHeight="1">
      <x:c r="A12" s="1521" t="str">
        <x:v>RF55 consultarImagenPorIdVehiculo()</x:v>
      </x:c>
      <x:c r="B12" s="1521" t="str">
        <x:v>Obtener imagen del documento por misma PK/FK.</x:v>
      </x:c>
      <x:c r="C12" s="1521" t="str">
        <x:v>idVehiculo</x:v>
      </x:c>
      <x:c r="D12" s="1521" t="str">
        <x:v>Nunca depender de codigoVerificacion o VIN para foto.</x:v>
      </x:c>
      <x:c r="E12" s="1521" t="str">
        <x:v>E_ImagenTIVE</x:v>
      </x:c>
      <x:c r="F12" s="1521" t="str">
        <x:v>Consulta real por clave</x:v>
      </x:c>
    </x:row>
    <x:row r="13" ht="78" customHeight="1">
      <x:c r="A13" s="1520" t="str">
        <x:v>RF56 actualizarTIVEUnicaPorIdVehiculo()</x:v>
      </x:c>
      <x:c r="B13" s="1520" t="str">
        <x:v>UPDATE documento existente sin nuevas versiones.</x:v>
      </x:c>
      <x:c r="C13" s="1520" t="str">
        <x:v>idVehiculo,codigoAnterior,datosConsolidados</x:v>
      </x:c>
      <x:c r="D13" s="1520" t="str">
        <x:v>Conservar foto por idVehiculo; validar edición concurrente y titular.</x:v>
      </x:c>
      <x:c r="E13" s="1520" t="str">
        <x:v>E_TIVE, imagen</x:v>
      </x:c>
      <x:c r="F13" s="1520" t="str">
        <x:v>DDL y bloqueo / COMMIT</x:v>
      </x:c>
    </x:row>
    <x:row r="14" ht="78" customHeight="1">
      <x:c r="A14" s="1521" t="str">
        <x:v>Corrección controlada VIN</x:v>
      </x:c>
      <x:c r="B14" s="1521" t="str">
        <x:v>Proceso POR DEFINIR separado del RF11 estándar.</x:v>
      </x:c>
      <x:c r="C14" s="1521" t="str">
        <x:v>idVehiculo, autorización, evidencia, cambioVIN</x:v>
      </x:c>
      <x:c r="D14" s="1521" t="str">
        <x:v>Mantiene mismo idVehiculo, autorización y trazabilidad; preservar coherencia documental.</x:v>
      </x:c>
      <x:c r="E14" s="1521" t="str">
        <x:v>VEHICULO / TIVE</x:v>
      </x:c>
      <x:c r="F14" s="1521" t="str">
        <x:v>Requiere diseño de RF/procedimiento específico</x:v>
      </x:c>
    </x:row>
  </x:sheetData>
  <x:mergeCells>
    <x:mergeCell ref="A1:F1"/>
  </x:mergeCells>
  <x:pageMargins left="0.7" right="0.7" top="0.75" bottom="0.75" header="0.3" footer="0.3"/>
</x:worksheet>
</file>

<file path=xl/worksheets/sheet11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1" hidden="0" customWidth="1"/>
    <x:col min="2" max="2" width="22" hidden="0" customWidth="1"/>
    <x:col min="3" max="3" width="65" hidden="0" customWidth="1"/>
    <x:col min="4" max="4" width="22" hidden="0" customWidth="1"/>
    <x:col min="5" max="5" width="51" hidden="0" customWidth="1"/>
    <x:col min="6" max="6" width="54" hidden="0" customWidth="1"/>
  </x:cols>
  <x:sheetData>
    <x:row r="1" ht="32" customHeight="1">
      <x:c r="A1" s="1515" t="str">
        <x:v>MYCAR | TRAZABILIDAD DE LAS 64 HOJAS EF</x:v>
      </x:c>
      <x:c r="B1" s="1515"/>
      <x:c r="C1" s="1515"/>
      <x:c r="D1" s="1515"/>
      <x:c r="E1" s="1515"/>
      <x:c r="F1" s="1515"/>
    </x:row>
    <x:row r="3" ht="30" customHeight="1">
      <x:c r="A3" s="1519" t="str">
        <x:v>RF</x:v>
      </x:c>
      <x:c r="B3" s="1519" t="str">
        <x:v>Resultado revisión</x:v>
      </x:c>
      <x:c r="C3" s="1519" t="str">
        <x:v>Motivo / decisión</x:v>
      </x:c>
      <x:c r="D3" s="1519" t="str">
        <x:v>Eje</x:v>
      </x:c>
      <x:c r="E3" s="1519" t="str">
        <x:v>Intervención</x:v>
      </x:c>
      <x:c r="F3" s="1519" t="str">
        <x:v>Siguiente control</x:v>
      </x:c>
    </x:row>
    <x:row r="4" ht="45" customHeight="1">
      <x:c r="A4" s="1521" t="str">
        <x:v>RF01</x:v>
      </x:c>
      <x:c r="B4" s="1521" t="str">
        <x:v>SIN CAMBIO EF</x:v>
      </x:c>
      <x:c r="C4" s="1521" t="str">
        <x:v>Usa contratos existentes o no participa directamente de las 4 decisiones</x:v>
      </x:c>
      <x:c r="D4" s="1521" t="str">
        <x:v>Revisión transversal</x:v>
      </x:c>
      <x:c r="E4" s="1521" t="str">
        <x:v>No se alteró el flujo exitoso</x:v>
      </x:c>
      <x:c r="F4" s="1521" t="str">
        <x:v>Conservar trazabilidad de FK idVehiculo en implementación</x:v>
      </x:c>
    </x:row>
    <x:row r="5" ht="45" customHeight="1">
      <x:c r="A5" s="1520" t="str">
        <x:v>RF02</x:v>
      </x:c>
      <x:c r="B5" s="1520" t="str">
        <x:v>SIN CAMBIO EF</x:v>
      </x:c>
      <x:c r="C5" s="1520" t="str">
        <x:v>Usa contratos existentes o no participa directamente de las 4 decisiones</x:v>
      </x:c>
      <x:c r="D5" s="1520" t="str">
        <x:v>Revisión transversal</x:v>
      </x:c>
      <x:c r="E5" s="1520" t="str">
        <x:v>No se alteró el flujo exitoso</x:v>
      </x:c>
      <x:c r="F5" s="1520" t="str">
        <x:v>Conservar trazabilidad de FK idVehiculo en implementación</x:v>
      </x:c>
    </x:row>
    <x:row r="6" ht="45" customHeight="1">
      <x:c r="A6" s="1521" t="str">
        <x:v>RF03</x:v>
      </x:c>
      <x:c r="B6" s="1521" t="str">
        <x:v>SIN CAMBIO EF</x:v>
      </x:c>
      <x:c r="C6" s="1521" t="str">
        <x:v>Usa contratos existentes o no participa directamente de las 4 decisiones</x:v>
      </x:c>
      <x:c r="D6" s="1521" t="str">
        <x:v>Revisión transversal</x:v>
      </x:c>
      <x:c r="E6" s="1521" t="str">
        <x:v>No se alteró el flujo exitoso</x:v>
      </x:c>
      <x:c r="F6" s="1521" t="str">
        <x:v>Conservar trazabilidad de FK idVehiculo en implementación</x:v>
      </x:c>
    </x:row>
    <x:row r="7" ht="45" customHeight="1">
      <x:c r="A7" s="1520" t="str">
        <x:v>RF04</x:v>
      </x:c>
      <x:c r="B7" s="1520" t="str">
        <x:v>SIN CAMBIO EF</x:v>
      </x:c>
      <x:c r="C7" s="1520" t="str">
        <x:v>Usa contratos existentes o no participa directamente de las 4 decisiones</x:v>
      </x:c>
      <x:c r="D7" s="1520" t="str">
        <x:v>Revisión transversal</x:v>
      </x:c>
      <x:c r="E7" s="1520" t="str">
        <x:v>No se alteró el flujo exitoso</x:v>
      </x:c>
      <x:c r="F7" s="1520" t="str">
        <x:v>Conservar trazabilidad de FK idVehiculo en implementación</x:v>
      </x:c>
    </x:row>
    <x:row r="8" ht="45" customHeight="1">
      <x:c r="A8" s="1521" t="str">
        <x:v>RF05</x:v>
      </x:c>
      <x:c r="B8" s="1521" t="str">
        <x:v>SIN CAMBIO EF</x:v>
      </x:c>
      <x:c r="C8" s="1521" t="str">
        <x:v>Usa contratos existentes o no participa directamente de las 4 decisiones</x:v>
      </x:c>
      <x:c r="D8" s="1521" t="str">
        <x:v>Revisión transversal</x:v>
      </x:c>
      <x:c r="E8" s="1521" t="str">
        <x:v>No se alteró el flujo exitoso</x:v>
      </x:c>
      <x:c r="F8" s="1521" t="str">
        <x:v>Conservar trazabilidad de FK idVehiculo en implementación</x:v>
      </x:c>
    </x:row>
    <x:row r="9" ht="45" customHeight="1">
      <x:c r="A9" s="1520" t="str">
        <x:v>RF06</x:v>
      </x:c>
      <x:c r="B9" s="1520" t="str">
        <x:v>SIN CAMBIO EF</x:v>
      </x:c>
      <x:c r="C9" s="1520" t="str">
        <x:v>Usa contratos existentes o no participa directamente de las 4 decisiones</x:v>
      </x:c>
      <x:c r="D9" s="1520" t="str">
        <x:v>Revisión transversal</x:v>
      </x:c>
      <x:c r="E9" s="1520" t="str">
        <x:v>No se alteró el flujo exitoso</x:v>
      </x:c>
      <x:c r="F9" s="1520" t="str">
        <x:v>Conservar trazabilidad de FK idVehiculo en implementación</x:v>
      </x:c>
    </x:row>
    <x:row r="10" ht="45" customHeight="1">
      <x:c r="A10" s="1521" t="str">
        <x:v>RF07</x:v>
      </x:c>
      <x:c r="B10" s="1521" t="str">
        <x:v>SIN CAMBIO EF</x:v>
      </x:c>
      <x:c r="C10" s="1521" t="str">
        <x:v>Usa contratos existentes o no participa directamente de las 4 decisiones</x:v>
      </x:c>
      <x:c r="D10" s="1521" t="str">
        <x:v>Revisión transversal</x:v>
      </x:c>
      <x:c r="E10" s="1521" t="str">
        <x:v>No se alteró el flujo exitoso</x:v>
      </x:c>
      <x:c r="F10" s="1521" t="str">
        <x:v>Conservar trazabilidad de FK idVehiculo en implementación</x:v>
      </x:c>
    </x:row>
    <x:row r="11" ht="45" customHeight="1">
      <x:c r="A11" s="1520" t="str">
        <x:v>RF08</x:v>
      </x:c>
      <x:c r="B11" s="1520" t="str">
        <x:v>MODIFICADO</x:v>
      </x:c>
      <x:c r="C11" s="1520" t="str">
        <x:v>RF08: PK idVehiculo/Free total registrado</x:v>
      </x:c>
      <x:c r="D11" s="1520" t="str">
        <x:v>Free</x:v>
      </x:c>
      <x:c r="E11" s="1520" t="str">
        <x:v>Referencias y reglas actualizadas en escenario EF</x:v>
      </x:c>
      <x:c r="F11" s="1520" t="str">
        <x:v>Revisar SQL y pruebas</x:v>
      </x:c>
    </x:row>
    <x:row r="12" ht="45" customHeight="1">
      <x:c r="A12" s="1521" t="str">
        <x:v>RF09</x:v>
      </x:c>
      <x:c r="B12" s="1521" t="str">
        <x:v>MODIFICADO</x:v>
      </x:c>
      <x:c r="C12" s="1521" t="str">
        <x:v>RF09: listado TIVE por idVehiculo</x:v>
      </x:c>
      <x:c r="D12" s="1521" t="str">
        <x:v>Lecturas asociadas</x:v>
      </x:c>
      <x:c r="E12" s="1521" t="str">
        <x:v>Referencias y reglas actualizadas en escenario EF</x:v>
      </x:c>
      <x:c r="F12" s="1521" t="str">
        <x:v>Revisar SQL y pruebas</x:v>
      </x:c>
    </x:row>
    <x:row r="13" ht="45" customHeight="1">
      <x:c r="A13" s="1520" t="str">
        <x:v>RF10</x:v>
      </x:c>
      <x:c r="B13" s="1520" t="str">
        <x:v>MODIFICADO</x:v>
      </x:c>
      <x:c r="C13" s="1520" t="str">
        <x:v>RF10: TIVE en detalle por idVehiculo</x:v>
      </x:c>
      <x:c r="D13" s="1520" t="str">
        <x:v>Lecturas asociadas</x:v>
      </x:c>
      <x:c r="E13" s="1520" t="str">
        <x:v>Referencias y reglas actualizadas en escenario EF</x:v>
      </x:c>
      <x:c r="F13" s="1520" t="str">
        <x:v>Revisar SQL y pruebas</x:v>
      </x:c>
    </x:row>
    <x:row r="14" ht="45" customHeight="1">
      <x:c r="A14" s="1521" t="str">
        <x:v>RF11</x:v>
      </x:c>
      <x:c r="B14" s="1521" t="str">
        <x:v>MODIFICADO</x:v>
      </x:c>
      <x:c r="C14" s="1521" t="str">
        <x:v>RF11: bloquear cambio VIN si TIVE</x:v>
      </x:c>
      <x:c r="D14" s="1521" t="str">
        <x:v>VIN</x:v>
      </x:c>
      <x:c r="E14" s="1521" t="str">
        <x:v>Referencias y reglas actualizadas en escenario EF</x:v>
      </x:c>
      <x:c r="F14" s="1521" t="str">
        <x:v>Revisar SQL y pruebas</x:v>
      </x:c>
    </x:row>
    <x:row r="15" ht="45" customHeight="1">
      <x:c r="A15" s="1520" t="str">
        <x:v>RF12</x:v>
      </x:c>
      <x:c r="B15" s="1520" t="str">
        <x:v>MODIFICADO</x:v>
      </x:c>
      <x:c r="C15" s="1520" t="str">
        <x:v>RF12: inactivos heredados Free</x:v>
      </x:c>
      <x:c r="D15" s="1520" t="str">
        <x:v>Lecturas asociadas</x:v>
      </x:c>
      <x:c r="E15" s="1520" t="str">
        <x:v>Referencias y reglas actualizadas en escenario EF</x:v>
      </x:c>
      <x:c r="F15" s="1520" t="str">
        <x:v>Revisar SQL y pruebas</x:v>
      </x:c>
    </x:row>
    <x:row r="16" ht="45" customHeight="1">
      <x:c r="A16" s="1521" t="str">
        <x:v>RF13</x:v>
      </x:c>
      <x:c r="B16" s="1521" t="str">
        <x:v>MODIFICADO</x:v>
      </x:c>
      <x:c r="C16" s="1521" t="str">
        <x:v>RF13: principal activo Free</x:v>
      </x:c>
      <x:c r="D16" s="1521" t="str">
        <x:v>Lecturas asociadas</x:v>
      </x:c>
      <x:c r="E16" s="1521" t="str">
        <x:v>Referencias y reglas actualizadas en escenario EF</x:v>
      </x:c>
      <x:c r="F16" s="1521" t="str">
        <x:v>Revisar SQL y pruebas</x:v>
      </x:c>
    </x:row>
    <x:row r="17" ht="45" customHeight="1">
      <x:c r="A17" s="1520" t="str">
        <x:v>RF14</x:v>
      </x:c>
      <x:c r="B17" s="1520" t="str">
        <x:v>SIN CAMBIO EF</x:v>
      </x:c>
      <x:c r="C17" s="1520" t="str">
        <x:v>Usa contratos existentes o no participa directamente de las 4 decisiones</x:v>
      </x:c>
      <x:c r="D17" s="1520" t="str">
        <x:v>Revisión transversal</x:v>
      </x:c>
      <x:c r="E17" s="1520" t="str">
        <x:v>No se alteró el flujo exitoso</x:v>
      </x:c>
      <x:c r="F17" s="1520" t="str">
        <x:v>Conservar trazabilidad de FK idVehiculo en implementación</x:v>
      </x:c>
    </x:row>
    <x:row r="18" ht="45" customHeight="1">
      <x:c r="A18" s="1521" t="str">
        <x:v>RF15</x:v>
      </x:c>
      <x:c r="B18" s="1521" t="str">
        <x:v>SIN CAMBIO EF</x:v>
      </x:c>
      <x:c r="C18" s="1521" t="str">
        <x:v>Usa contratos existentes o no participa directamente de las 4 decisiones</x:v>
      </x:c>
      <x:c r="D18" s="1521" t="str">
        <x:v>Revisión transversal</x:v>
      </x:c>
      <x:c r="E18" s="1521" t="str">
        <x:v>No se alteró el flujo exitoso</x:v>
      </x:c>
      <x:c r="F18" s="1521" t="str">
        <x:v>Conservar trazabilidad de FK idVehiculo en implementación</x:v>
      </x:c>
    </x:row>
    <x:row r="19" ht="45" customHeight="1">
      <x:c r="A19" s="1520" t="str">
        <x:v>RF16</x:v>
      </x:c>
      <x:c r="B19" s="1520" t="str">
        <x:v>SIN CAMBIO EF</x:v>
      </x:c>
      <x:c r="C19" s="1520" t="str">
        <x:v>Usa contratos existentes o no participa directamente de las 4 decisiones</x:v>
      </x:c>
      <x:c r="D19" s="1520" t="str">
        <x:v>Revisión transversal</x:v>
      </x:c>
      <x:c r="E19" s="1520" t="str">
        <x:v>No se alteró el flujo exitoso</x:v>
      </x:c>
      <x:c r="F19" s="1520" t="str">
        <x:v>Conservar trazabilidad de FK idVehiculo en implementación</x:v>
      </x:c>
    </x:row>
    <x:row r="20" ht="45" customHeight="1">
      <x:c r="A20" s="1521" t="str">
        <x:v>RF17</x:v>
      </x:c>
      <x:c r="B20" s="1521" t="str">
        <x:v>SIN CAMBIO EF</x:v>
      </x:c>
      <x:c r="C20" s="1521" t="str">
        <x:v>Usa contratos existentes o no participa directamente de las 4 decisiones</x:v>
      </x:c>
      <x:c r="D20" s="1521" t="str">
        <x:v>Revisión transversal</x:v>
      </x:c>
      <x:c r="E20" s="1521" t="str">
        <x:v>No se alteró el flujo exitoso</x:v>
      </x:c>
      <x:c r="F20" s="1521" t="str">
        <x:v>Conservar trazabilidad de FK idVehiculo en implementación</x:v>
      </x:c>
    </x:row>
    <x:row r="21" ht="45" customHeight="1">
      <x:c r="A21" s="1520" t="str">
        <x:v>RF18</x:v>
      </x:c>
      <x:c r="B21" s="1520" t="str">
        <x:v>SIN CAMBIO EF</x:v>
      </x:c>
      <x:c r="C21" s="1520" t="str">
        <x:v>Usa contratos existentes o no participa directamente de las 4 decisiones</x:v>
      </x:c>
      <x:c r="D21" s="1520" t="str">
        <x:v>Revisión transversal</x:v>
      </x:c>
      <x:c r="E21" s="1520" t="str">
        <x:v>No se alteró el flujo exitoso</x:v>
      </x:c>
      <x:c r="F21" s="1520" t="str">
        <x:v>Conservar trazabilidad de FK idVehiculo en implementación</x:v>
      </x:c>
    </x:row>
    <x:row r="22" ht="45" customHeight="1">
      <x:c r="A22" s="1521" t="str">
        <x:v>RF19</x:v>
      </x:c>
      <x:c r="B22" s="1521" t="str">
        <x:v>SIN CAMBIO EF</x:v>
      </x:c>
      <x:c r="C22" s="1521" t="str">
        <x:v>Usa contratos existentes o no participa directamente de las 4 decisiones</x:v>
      </x:c>
      <x:c r="D22" s="1521" t="str">
        <x:v>Revisión transversal</x:v>
      </x:c>
      <x:c r="E22" s="1521" t="str">
        <x:v>No se alteró el flujo exitoso</x:v>
      </x:c>
      <x:c r="F22" s="1521" t="str">
        <x:v>Conservar trazabilidad de FK idVehiculo en implementación</x:v>
      </x:c>
    </x:row>
    <x:row r="23" ht="45" customHeight="1">
      <x:c r="A23" s="1520" t="str">
        <x:v>RF20</x:v>
      </x:c>
      <x:c r="B23" s="1520" t="str">
        <x:v>SIN CAMBIO EF</x:v>
      </x:c>
      <x:c r="C23" s="1520" t="str">
        <x:v>Usa contratos existentes o no participa directamente de las 4 decisiones</x:v>
      </x:c>
      <x:c r="D23" s="1520" t="str">
        <x:v>Revisión transversal</x:v>
      </x:c>
      <x:c r="E23" s="1520" t="str">
        <x:v>No se alteró el flujo exitoso</x:v>
      </x:c>
      <x:c r="F23" s="1520" t="str">
        <x:v>Conservar trazabilidad de FK idVehiculo en implementación</x:v>
      </x:c>
    </x:row>
    <x:row r="24" ht="45" customHeight="1">
      <x:c r="A24" s="1521" t="str">
        <x:v>RF21</x:v>
      </x:c>
      <x:c r="B24" s="1521" t="str">
        <x:v>SIN CAMBIO EF</x:v>
      </x:c>
      <x:c r="C24" s="1521" t="str">
        <x:v>Usa contratos existentes o no participa directamente de las 4 decisiones</x:v>
      </x:c>
      <x:c r="D24" s="1521" t="str">
        <x:v>Revisión transversal</x:v>
      </x:c>
      <x:c r="E24" s="1521" t="str">
        <x:v>No se alteró el flujo exitoso</x:v>
      </x:c>
      <x:c r="F24" s="1521" t="str">
        <x:v>Conservar trazabilidad de FK idVehiculo en implementación</x:v>
      </x:c>
    </x:row>
    <x:row r="25" ht="45" customHeight="1">
      <x:c r="A25" s="1520" t="str">
        <x:v>RF22</x:v>
      </x:c>
      <x:c r="B25" s="1520" t="str">
        <x:v>SIN CAMBIO EF</x:v>
      </x:c>
      <x:c r="C25" s="1520" t="str">
        <x:v>Usa contratos existentes o no participa directamente de las 4 decisiones</x:v>
      </x:c>
      <x:c r="D25" s="1520" t="str">
        <x:v>Revisión transversal</x:v>
      </x:c>
      <x:c r="E25" s="1520" t="str">
        <x:v>No se alteró el flujo exitoso</x:v>
      </x:c>
      <x:c r="F25" s="1520" t="str">
        <x:v>Conservar trazabilidad de FK idVehiculo en implementación</x:v>
      </x:c>
    </x:row>
    <x:row r="26" ht="45" customHeight="1">
      <x:c r="A26" s="1521" t="str">
        <x:v>RF23</x:v>
      </x:c>
      <x:c r="B26" s="1521" t="str">
        <x:v>SIN CAMBIO EF</x:v>
      </x:c>
      <x:c r="C26" s="1521" t="str">
        <x:v>Usa contratos existentes o no participa directamente de las 4 decisiones</x:v>
      </x:c>
      <x:c r="D26" s="1521" t="str">
        <x:v>Revisión transversal</x:v>
      </x:c>
      <x:c r="E26" s="1521" t="str">
        <x:v>No se alteró el flujo exitoso</x:v>
      </x:c>
      <x:c r="F26" s="1521" t="str">
        <x:v>Conservar trazabilidad de FK idVehiculo en implementación</x:v>
      </x:c>
    </x:row>
    <x:row r="27" ht="45" customHeight="1">
      <x:c r="A27" s="1520" t="str">
        <x:v>RF24</x:v>
      </x:c>
      <x:c r="B27" s="1520" t="str">
        <x:v>SIN CAMBIO EF</x:v>
      </x:c>
      <x:c r="C27" s="1520" t="str">
        <x:v>Usa contratos existentes o no participa directamente de las 4 decisiones</x:v>
      </x:c>
      <x:c r="D27" s="1520" t="str">
        <x:v>Revisión transversal</x:v>
      </x:c>
      <x:c r="E27" s="1520" t="str">
        <x:v>No se alteró el flujo exitoso</x:v>
      </x:c>
      <x:c r="F27" s="1520" t="str">
        <x:v>Conservar trazabilidad de FK idVehiculo en implementación</x:v>
      </x:c>
    </x:row>
    <x:row r="28" ht="45" customHeight="1">
      <x:c r="A28" s="1521" t="str">
        <x:v>RF25</x:v>
      </x:c>
      <x:c r="B28" s="1521" t="str">
        <x:v>SIN CAMBIO EF</x:v>
      </x:c>
      <x:c r="C28" s="1521" t="str">
        <x:v>Usa contratos existentes o no participa directamente de las 4 decisiones</x:v>
      </x:c>
      <x:c r="D28" s="1521" t="str">
        <x:v>Revisión transversal</x:v>
      </x:c>
      <x:c r="E28" s="1521" t="str">
        <x:v>No se alteró el flujo exitoso</x:v>
      </x:c>
      <x:c r="F28" s="1521" t="str">
        <x:v>Conservar trazabilidad de FK idVehiculo en implementación</x:v>
      </x:c>
    </x:row>
    <x:row r="29" ht="45" customHeight="1">
      <x:c r="A29" s="1520" t="str">
        <x:v>RF26</x:v>
      </x:c>
      <x:c r="B29" s="1520" t="str">
        <x:v>SIN CAMBIO EF</x:v>
      </x:c>
      <x:c r="C29" s="1520" t="str">
        <x:v>Usa contratos existentes o no participa directamente de las 4 decisiones</x:v>
      </x:c>
      <x:c r="D29" s="1520" t="str">
        <x:v>Revisión transversal</x:v>
      </x:c>
      <x:c r="E29" s="1520" t="str">
        <x:v>No se alteró el flujo exitoso</x:v>
      </x:c>
      <x:c r="F29" s="1520" t="str">
        <x:v>Conservar trazabilidad de FK idVehiculo en implementación</x:v>
      </x:c>
    </x:row>
    <x:row r="30" ht="45" customHeight="1">
      <x:c r="A30" s="1521" t="str">
        <x:v>RF27</x:v>
      </x:c>
      <x:c r="B30" s="1521" t="str">
        <x:v>SIN CAMBIO EF</x:v>
      </x:c>
      <x:c r="C30" s="1521" t="str">
        <x:v>Usa contratos existentes o no participa directamente de las 4 decisiones</x:v>
      </x:c>
      <x:c r="D30" s="1521" t="str">
        <x:v>Revisión transversal</x:v>
      </x:c>
      <x:c r="E30" s="1521" t="str">
        <x:v>No se alteró el flujo exitoso</x:v>
      </x:c>
      <x:c r="F30" s="1521" t="str">
        <x:v>Conservar trazabilidad de FK idVehiculo en implementación</x:v>
      </x:c>
    </x:row>
    <x:row r="31" ht="45" customHeight="1">
      <x:c r="A31" s="1520" t="str">
        <x:v>RF28</x:v>
      </x:c>
      <x:c r="B31" s="1520" t="str">
        <x:v>SIN CAMBIO EF</x:v>
      </x:c>
      <x:c r="C31" s="1520" t="str">
        <x:v>Usa contratos existentes o no participa directamente de las 4 decisiones</x:v>
      </x:c>
      <x:c r="D31" s="1520" t="str">
        <x:v>Revisión transversal</x:v>
      </x:c>
      <x:c r="E31" s="1520" t="str">
        <x:v>No se alteró el flujo exitoso</x:v>
      </x:c>
      <x:c r="F31" s="1520" t="str">
        <x:v>Conservar trazabilidad de FK idVehiculo en implementación</x:v>
      </x:c>
    </x:row>
    <x:row r="32" ht="45" customHeight="1">
      <x:c r="A32" s="1521" t="str">
        <x:v>RF29</x:v>
      </x:c>
      <x:c r="B32" s="1521" t="str">
        <x:v>SIN CAMBIO EF</x:v>
      </x:c>
      <x:c r="C32" s="1521" t="str">
        <x:v>Usa contratos existentes o no participa directamente de las 4 decisiones</x:v>
      </x:c>
      <x:c r="D32" s="1521" t="str">
        <x:v>Revisión transversal</x:v>
      </x:c>
      <x:c r="E32" s="1521" t="str">
        <x:v>No se alteró el flujo exitoso</x:v>
      </x:c>
      <x:c r="F32" s="1521" t="str">
        <x:v>Conservar trazabilidad de FK idVehiculo en implementación</x:v>
      </x:c>
    </x:row>
    <x:row r="33" ht="45" customHeight="1">
      <x:c r="A33" s="1520" t="str">
        <x:v>RF30</x:v>
      </x:c>
      <x:c r="B33" s="1520" t="str">
        <x:v>MODIFICADO</x:v>
      </x:c>
      <x:c r="C33" s="1520" t="str">
        <x:v>RF30: downgrade preserva vehículos</x:v>
      </x:c>
      <x:c r="D33" s="1520" t="str">
        <x:v>Suscripción</x:v>
      </x:c>
      <x:c r="E33" s="1520" t="str">
        <x:v>Referencias y reglas actualizadas en escenario EF</x:v>
      </x:c>
      <x:c r="F33" s="1520" t="str">
        <x:v>Revisar SQL y pruebas</x:v>
      </x:c>
    </x:row>
    <x:row r="34" ht="45" customHeight="1">
      <x:c r="A34" s="1521" t="str">
        <x:v>RF31</x:v>
      </x:c>
      <x:c r="B34" s="1521" t="str">
        <x:v>SIN CAMBIO EF</x:v>
      </x:c>
      <x:c r="C34" s="1521" t="str">
        <x:v>Usa contratos existentes o no participa directamente de las 4 decisiones</x:v>
      </x:c>
      <x:c r="D34" s="1521" t="str">
        <x:v>Revisión transversal</x:v>
      </x:c>
      <x:c r="E34" s="1521" t="str">
        <x:v>No se alteró el flujo exitoso</x:v>
      </x:c>
      <x:c r="F34" s="1521" t="str">
        <x:v>Conservar trazabilidad de FK idVehiculo en implementación</x:v>
      </x:c>
    </x:row>
    <x:row r="35" ht="45" customHeight="1">
      <x:c r="A35" s="1520" t="str">
        <x:v>RF32</x:v>
      </x:c>
      <x:c r="B35" s="1520" t="str">
        <x:v>SIN CAMBIO EF</x:v>
      </x:c>
      <x:c r="C35" s="1520" t="str">
        <x:v>Usa contratos existentes o no participa directamente de las 4 decisiones</x:v>
      </x:c>
      <x:c r="D35" s="1520" t="str">
        <x:v>Revisión transversal</x:v>
      </x:c>
      <x:c r="E35" s="1520" t="str">
        <x:v>No se alteró el flujo exitoso</x:v>
      </x:c>
      <x:c r="F35" s="1520" t="str">
        <x:v>Conservar trazabilidad de FK idVehiculo en implementación</x:v>
      </x:c>
    </x:row>
    <x:row r="36" ht="45" customHeight="1">
      <x:c r="A36" s="1521" t="str">
        <x:v>RF33</x:v>
      </x:c>
      <x:c r="B36" s="1521" t="str">
        <x:v>SIN CAMBIO EF</x:v>
      </x:c>
      <x:c r="C36" s="1521" t="str">
        <x:v>Usa contratos existentes o no participa directamente de las 4 decisiones</x:v>
      </x:c>
      <x:c r="D36" s="1521" t="str">
        <x:v>Revisión transversal</x:v>
      </x:c>
      <x:c r="E36" s="1521" t="str">
        <x:v>No se alteró el flujo exitoso</x:v>
      </x:c>
      <x:c r="F36" s="1521" t="str">
        <x:v>Conservar trazabilidad de FK idVehiculo en implementación</x:v>
      </x:c>
    </x:row>
    <x:row r="37" ht="45" customHeight="1">
      <x:c r="A37" s="1520" t="str">
        <x:v>RF34</x:v>
      </x:c>
      <x:c r="B37" s="1520" t="str">
        <x:v>SIN CAMBIO EF</x:v>
      </x:c>
      <x:c r="C37" s="1520" t="str">
        <x:v>Usa contratos existentes o no participa directamente de las 4 decisiones</x:v>
      </x:c>
      <x:c r="D37" s="1520" t="str">
        <x:v>Revisión transversal</x:v>
      </x:c>
      <x:c r="E37" s="1520" t="str">
        <x:v>No se alteró el flujo exitoso</x:v>
      </x:c>
      <x:c r="F37" s="1520" t="str">
        <x:v>Conservar trazabilidad de FK idVehiculo en implementación</x:v>
      </x:c>
    </x:row>
    <x:row r="38" ht="45" customHeight="1">
      <x:c r="A38" s="1521" t="str">
        <x:v>RF35</x:v>
      </x:c>
      <x:c r="B38" s="1521" t="str">
        <x:v>SIN CAMBIO EF</x:v>
      </x:c>
      <x:c r="C38" s="1521" t="str">
        <x:v>Usa contratos existentes o no participa directamente de las 4 decisiones</x:v>
      </x:c>
      <x:c r="D38" s="1521" t="str">
        <x:v>Revisión transversal</x:v>
      </x:c>
      <x:c r="E38" s="1521" t="str">
        <x:v>No se alteró el flujo exitoso</x:v>
      </x:c>
      <x:c r="F38" s="1521" t="str">
        <x:v>Conservar trazabilidad de FK idVehiculo en implementación</x:v>
      </x:c>
    </x:row>
    <x:row r="39" ht="45" customHeight="1">
      <x:c r="A39" s="1520" t="str">
        <x:v>RF36</x:v>
      </x:c>
      <x:c r="B39" s="1520" t="str">
        <x:v>SIN CAMBIO EF</x:v>
      </x:c>
      <x:c r="C39" s="1520" t="str">
        <x:v>Usa contratos existentes o no participa directamente de las 4 decisiones</x:v>
      </x:c>
      <x:c r="D39" s="1520" t="str">
        <x:v>Revisión transversal</x:v>
      </x:c>
      <x:c r="E39" s="1520" t="str">
        <x:v>No se alteró el flujo exitoso</x:v>
      </x:c>
      <x:c r="F39" s="1520" t="str">
        <x:v>Conservar trazabilidad de FK idVehiculo en implementación</x:v>
      </x:c>
    </x:row>
    <x:row r="40" ht="45" customHeight="1">
      <x:c r="A40" s="1521" t="str">
        <x:v>RF37</x:v>
      </x:c>
      <x:c r="B40" s="1521" t="str">
        <x:v>SIN CAMBIO EF</x:v>
      </x:c>
      <x:c r="C40" s="1521" t="str">
        <x:v>Usa contratos existentes o no participa directamente de las 4 decisiones</x:v>
      </x:c>
      <x:c r="D40" s="1521" t="str">
        <x:v>Revisión transversal</x:v>
      </x:c>
      <x:c r="E40" s="1521" t="str">
        <x:v>No se alteró el flujo exitoso</x:v>
      </x:c>
      <x:c r="F40" s="1521" t="str">
        <x:v>Conservar trazabilidad de FK idVehiculo en implementación</x:v>
      </x:c>
    </x:row>
    <x:row r="41" ht="45" customHeight="1">
      <x:c r="A41" s="1520" t="str">
        <x:v>RF38</x:v>
      </x:c>
      <x:c r="B41" s="1520" t="str">
        <x:v>SIN CAMBIO EF</x:v>
      </x:c>
      <x:c r="C41" s="1520" t="str">
        <x:v>Usa contratos existentes o no participa directamente de las 4 decisiones</x:v>
      </x:c>
      <x:c r="D41" s="1520" t="str">
        <x:v>Revisión transversal</x:v>
      </x:c>
      <x:c r="E41" s="1520" t="str">
        <x:v>No se alteró el flujo exitoso</x:v>
      </x:c>
      <x:c r="F41" s="1520" t="str">
        <x:v>Conservar trazabilidad de FK idVehiculo en implementación</x:v>
      </x:c>
    </x:row>
    <x:row r="42" ht="45" customHeight="1">
      <x:c r="A42" s="1521" t="str">
        <x:v>RF39</x:v>
      </x:c>
      <x:c r="B42" s="1521" t="str">
        <x:v>SIN CAMBIO EF</x:v>
      </x:c>
      <x:c r="C42" s="1521" t="str">
        <x:v>Usa contratos existentes o no participa directamente de las 4 decisiones</x:v>
      </x:c>
      <x:c r="D42" s="1521" t="str">
        <x:v>Revisión transversal</x:v>
      </x:c>
      <x:c r="E42" s="1521" t="str">
        <x:v>No se alteró el flujo exitoso</x:v>
      </x:c>
      <x:c r="F42" s="1521" t="str">
        <x:v>Conservar trazabilidad de FK idVehiculo en implementación</x:v>
      </x:c>
    </x:row>
    <x:row r="43" ht="45" customHeight="1">
      <x:c r="A43" s="1520" t="str">
        <x:v>RF40</x:v>
      </x:c>
      <x:c r="B43" s="1520" t="str">
        <x:v>SIN CAMBIO EF</x:v>
      </x:c>
      <x:c r="C43" s="1520" t="str">
        <x:v>Usa contratos existentes o no participa directamente de las 4 decisiones</x:v>
      </x:c>
      <x:c r="D43" s="1520" t="str">
        <x:v>Revisión transversal</x:v>
      </x:c>
      <x:c r="E43" s="1520" t="str">
        <x:v>No se alteró el flujo exitoso</x:v>
      </x:c>
      <x:c r="F43" s="1520" t="str">
        <x:v>Conservar trazabilidad de FK idVehiculo en implementación</x:v>
      </x:c>
    </x:row>
    <x:row r="44" ht="45" customHeight="1">
      <x:c r="A44" s="1521" t="str">
        <x:v>RF41</x:v>
      </x:c>
      <x:c r="B44" s="1521" t="str">
        <x:v>SIN CAMBIO EF</x:v>
      </x:c>
      <x:c r="C44" s="1521" t="str">
        <x:v>Usa contratos existentes o no participa directamente de las 4 decisiones</x:v>
      </x:c>
      <x:c r="D44" s="1521" t="str">
        <x:v>Revisión transversal</x:v>
      </x:c>
      <x:c r="E44" s="1521" t="str">
        <x:v>No se alteró el flujo exitoso</x:v>
      </x:c>
      <x:c r="F44" s="1521" t="str">
        <x:v>Conservar trazabilidad de FK idVehiculo en implementación</x:v>
      </x:c>
    </x:row>
    <x:row r="45" ht="45" customHeight="1">
      <x:c r="A45" s="1520" t="str">
        <x:v>RF42</x:v>
      </x:c>
      <x:c r="B45" s="1520" t="str">
        <x:v>SIN CAMBIO EF</x:v>
      </x:c>
      <x:c r="C45" s="1520" t="str">
        <x:v>Usa contratos existentes o no participa directamente de las 4 decisiones</x:v>
      </x:c>
      <x:c r="D45" s="1520" t="str">
        <x:v>Revisión transversal</x:v>
      </x:c>
      <x:c r="E45" s="1520" t="str">
        <x:v>No se alteró el flujo exitoso</x:v>
      </x:c>
      <x:c r="F45" s="1520" t="str">
        <x:v>Conservar trazabilidad de FK idVehiculo en implementación</x:v>
      </x:c>
    </x:row>
    <x:row r="46" ht="45" customHeight="1">
      <x:c r="A46" s="1521" t="str">
        <x:v>RF43</x:v>
      </x:c>
      <x:c r="B46" s="1521" t="str">
        <x:v>SIN CAMBIO EF</x:v>
      </x:c>
      <x:c r="C46" s="1521" t="str">
        <x:v>Usa contratos existentes o no participa directamente de las 4 decisiones</x:v>
      </x:c>
      <x:c r="D46" s="1521" t="str">
        <x:v>Revisión transversal</x:v>
      </x:c>
      <x:c r="E46" s="1521" t="str">
        <x:v>No se alteró el flujo exitoso</x:v>
      </x:c>
      <x:c r="F46" s="1521" t="str">
        <x:v>Conservar trazabilidad de FK idVehiculo en implementación</x:v>
      </x:c>
    </x:row>
    <x:row r="47" ht="45" customHeight="1">
      <x:c r="A47" s="1520" t="str">
        <x:v>RF44</x:v>
      </x:c>
      <x:c r="B47" s="1520" t="str">
        <x:v>SIN CAMBIO EF</x:v>
      </x:c>
      <x:c r="C47" s="1520" t="str">
        <x:v>Usa contratos existentes o no participa directamente de las 4 decisiones</x:v>
      </x:c>
      <x:c r="D47" s="1520" t="str">
        <x:v>Revisión transversal</x:v>
      </x:c>
      <x:c r="E47" s="1520" t="str">
        <x:v>No se alteró el flujo exitoso</x:v>
      </x:c>
      <x:c r="F47" s="1520" t="str">
        <x:v>Conservar trazabilidad de FK idVehiculo en implementación</x:v>
      </x:c>
    </x:row>
    <x:row r="48" ht="45" customHeight="1">
      <x:c r="A48" s="1521" t="str">
        <x:v>RF45</x:v>
      </x:c>
      <x:c r="B48" s="1521" t="str">
        <x:v>SIN CAMBIO EF</x:v>
      </x:c>
      <x:c r="C48" s="1521" t="str">
        <x:v>Usa contratos existentes o no participa directamente de las 4 decisiones</x:v>
      </x:c>
      <x:c r="D48" s="1521" t="str">
        <x:v>Revisión transversal</x:v>
      </x:c>
      <x:c r="E48" s="1521" t="str">
        <x:v>No se alteró el flujo exitoso</x:v>
      </x:c>
      <x:c r="F48" s="1521" t="str">
        <x:v>Conservar trazabilidad de FK idVehiculo en implementación</x:v>
      </x:c>
    </x:row>
    <x:row r="49" ht="45" customHeight="1">
      <x:c r="A49" s="1520" t="str">
        <x:v>RF46</x:v>
      </x:c>
      <x:c r="B49" s="1520" t="str">
        <x:v>SIN CAMBIO EF</x:v>
      </x:c>
      <x:c r="C49" s="1520" t="str">
        <x:v>Usa contratos existentes o no participa directamente de las 4 decisiones</x:v>
      </x:c>
      <x:c r="D49" s="1520" t="str">
        <x:v>Revisión transversal</x:v>
      </x:c>
      <x:c r="E49" s="1520" t="str">
        <x:v>No se alteró el flujo exitoso</x:v>
      </x:c>
      <x:c r="F49" s="1520" t="str">
        <x:v>Conservar trazabilidad de FK idVehiculo en implementación</x:v>
      </x:c>
    </x:row>
    <x:row r="50" ht="45" customHeight="1">
      <x:c r="A50" s="1521" t="str">
        <x:v>RF47</x:v>
      </x:c>
      <x:c r="B50" s="1521" t="str">
        <x:v>SIN CAMBIO EF</x:v>
      </x:c>
      <x:c r="C50" s="1521" t="str">
        <x:v>Usa contratos existentes o no participa directamente de las 4 decisiones</x:v>
      </x:c>
      <x:c r="D50" s="1521" t="str">
        <x:v>Revisión transversal</x:v>
      </x:c>
      <x:c r="E50" s="1521" t="str">
        <x:v>No se alteró el flujo exitoso</x:v>
      </x:c>
      <x:c r="F50" s="1521" t="str">
        <x:v>Conservar trazabilidad de FK idVehiculo en implementación</x:v>
      </x:c>
    </x:row>
    <x:row r="51" ht="45" customHeight="1">
      <x:c r="A51" s="1520" t="str">
        <x:v>RF48</x:v>
      </x:c>
      <x:c r="B51" s="1520" t="str">
        <x:v>SIN CAMBIO EF</x:v>
      </x:c>
      <x:c r="C51" s="1520" t="str">
        <x:v>Usa contratos existentes o no participa directamente de las 4 decisiones</x:v>
      </x:c>
      <x:c r="D51" s="1520" t="str">
        <x:v>Revisión transversal</x:v>
      </x:c>
      <x:c r="E51" s="1520" t="str">
        <x:v>No se alteró el flujo exitoso</x:v>
      </x:c>
      <x:c r="F51" s="1520" t="str">
        <x:v>Conservar trazabilidad de FK idVehiculo en implementación</x:v>
      </x:c>
    </x:row>
    <x:row r="52" ht="45" customHeight="1">
      <x:c r="A52" s="1521" t="str">
        <x:v>RF49</x:v>
      </x:c>
      <x:c r="B52" s="1521" t="str">
        <x:v>SIN CAMBIO EF</x:v>
      </x:c>
      <x:c r="C52" s="1521" t="str">
        <x:v>Usa contratos existentes o no participa directamente de las 4 decisiones</x:v>
      </x:c>
      <x:c r="D52" s="1521" t="str">
        <x:v>Revisión transversal</x:v>
      </x:c>
      <x:c r="E52" s="1521" t="str">
        <x:v>No se alteró el flujo exitoso</x:v>
      </x:c>
      <x:c r="F52" s="1521" t="str">
        <x:v>Conservar trazabilidad de FK idVehiculo en implementación</x:v>
      </x:c>
    </x:row>
    <x:row r="53" ht="45" customHeight="1">
      <x:c r="A53" s="1520" t="str">
        <x:v>RF50</x:v>
      </x:c>
      <x:c r="B53" s="1520" t="str">
        <x:v>SIN CAMBIO EF</x:v>
      </x:c>
      <x:c r="C53" s="1520" t="str">
        <x:v>Usa contratos existentes o no participa directamente de las 4 decisiones</x:v>
      </x:c>
      <x:c r="D53" s="1520" t="str">
        <x:v>Revisión transversal</x:v>
      </x:c>
      <x:c r="E53" s="1520" t="str">
        <x:v>No se alteró el flujo exitoso</x:v>
      </x:c>
      <x:c r="F53" s="1520" t="str">
        <x:v>Conservar trazabilidad de FK idVehiculo en implementación</x:v>
      </x:c>
    </x:row>
    <x:row r="54" ht="45" customHeight="1">
      <x:c r="A54" s="1521" t="str">
        <x:v>RF51</x:v>
      </x:c>
      <x:c r="B54" s="1521" t="str">
        <x:v>SIN CAMBIO EF</x:v>
      </x:c>
      <x:c r="C54" s="1521" t="str">
        <x:v>Usa contratos existentes o no participa directamente de las 4 decisiones</x:v>
      </x:c>
      <x:c r="D54" s="1521" t="str">
        <x:v>Revisión transversal</x:v>
      </x:c>
      <x:c r="E54" s="1521" t="str">
        <x:v>No se alteró el flujo exitoso</x:v>
      </x:c>
      <x:c r="F54" s="1521" t="str">
        <x:v>Conservar trazabilidad de FK idVehiculo en implementación</x:v>
      </x:c>
    </x:row>
    <x:row r="55" ht="45" customHeight="1">
      <x:c r="A55" s="1520" t="str">
        <x:v>RF52</x:v>
      </x:c>
      <x:c r="B55" s="1520" t="str">
        <x:v>SIN CAMBIO EF</x:v>
      </x:c>
      <x:c r="C55" s="1520" t="str">
        <x:v>Usa contratos existentes o no participa directamente de las 4 decisiones</x:v>
      </x:c>
      <x:c r="D55" s="1520" t="str">
        <x:v>Revisión transversal</x:v>
      </x:c>
      <x:c r="E55" s="1520" t="str">
        <x:v>No se alteró el flujo exitoso</x:v>
      </x:c>
      <x:c r="F55" s="1520" t="str">
        <x:v>Conservar trazabilidad de FK idVehiculo en implementación</x:v>
      </x:c>
    </x:row>
    <x:row r="56" ht="45" customHeight="1">
      <x:c r="A56" s="1521" t="str">
        <x:v>RF53</x:v>
      </x:c>
      <x:c r="B56" s="1521" t="str">
        <x:v>SIN CAMBIO EF</x:v>
      </x:c>
      <x:c r="C56" s="1521" t="str">
        <x:v>Usa contratos existentes o no participa directamente de las 4 decisiones</x:v>
      </x:c>
      <x:c r="D56" s="1521" t="str">
        <x:v>Revisión transversal</x:v>
      </x:c>
      <x:c r="E56" s="1521" t="str">
        <x:v>No se alteró el flujo exitoso</x:v>
      </x:c>
      <x:c r="F56" s="1521" t="str">
        <x:v>Conservar trazabilidad de FK idVehiculo en implementación</x:v>
      </x:c>
    </x:row>
    <x:row r="57" ht="45" customHeight="1">
      <x:c r="A57" s="1520" t="str">
        <x:v>RF54</x:v>
      </x:c>
      <x:c r="B57" s="1520" t="str">
        <x:v>MODIFICADO</x:v>
      </x:c>
      <x:c r="C57" s="1520" t="str">
        <x:v>RF54: TIVE PK/FK idVehiculo e imagen</x:v>
      </x:c>
      <x:c r="D57" s="1520" t="str">
        <x:v>TIVE</x:v>
      </x:c>
      <x:c r="E57" s="1520" t="str">
        <x:v>Referencias y reglas actualizadas en escenario EF</x:v>
      </x:c>
      <x:c r="F57" s="1520" t="str">
        <x:v>Revisar SQL y pruebas</x:v>
      </x:c>
    </x:row>
    <x:row r="58" ht="45" customHeight="1">
      <x:c r="A58" s="1521" t="str">
        <x:v>RF55</x:v>
      </x:c>
      <x:c r="B58" s="1521" t="str">
        <x:v>MODIFICADO</x:v>
      </x:c>
      <x:c r="C58" s="1521" t="str">
        <x:v>RF55: lectura por idVehiculo</x:v>
      </x:c>
      <x:c r="D58" s="1521" t="str">
        <x:v>TIVE</x:v>
      </x:c>
      <x:c r="E58" s="1521" t="str">
        <x:v>Referencias y reglas actualizadas en escenario EF</x:v>
      </x:c>
      <x:c r="F58" s="1521" t="str">
        <x:v>Revisar SQL y pruebas</x:v>
      </x:c>
    </x:row>
    <x:row r="59" ht="45" customHeight="1">
      <x:c r="A59" s="1520" t="str">
        <x:v>RF56</x:v>
      </x:c>
      <x:c r="B59" s="1520" t="str">
        <x:v>MODIFICADO</x:v>
      </x:c>
      <x:c r="C59" s="1520" t="str">
        <x:v>RF56: edición TIVE sin migración de imagen</x:v>
      </x:c>
      <x:c r="D59" s="1520" t="str">
        <x:v>TIVE</x:v>
      </x:c>
      <x:c r="E59" s="1520" t="str">
        <x:v>Referencias y reglas actualizadas en escenario EF</x:v>
      </x:c>
      <x:c r="F59" s="1520" t="str">
        <x:v>Revisar SQL y pruebas</x:v>
      </x:c>
    </x:row>
    <x:row r="60" ht="45" customHeight="1">
      <x:c r="A60" s="1521" t="str">
        <x:v>RF57</x:v>
      </x:c>
      <x:c r="B60" s="1521" t="str">
        <x:v>SIN CAMBIO EF</x:v>
      </x:c>
      <x:c r="C60" s="1521" t="str">
        <x:v>Usa contratos existentes o no participa directamente de las 4 decisiones</x:v>
      </x:c>
      <x:c r="D60" s="1521" t="str">
        <x:v>Revisión transversal</x:v>
      </x:c>
      <x:c r="E60" s="1521" t="str">
        <x:v>No se alteró el flujo exitoso</x:v>
      </x:c>
      <x:c r="F60" s="1521" t="str">
        <x:v>Conservar trazabilidad de FK idVehiculo en implementación</x:v>
      </x:c>
    </x:row>
    <x:row r="61" ht="45" customHeight="1">
      <x:c r="A61" s="1520" t="str">
        <x:v>RF58</x:v>
      </x:c>
      <x:c r="B61" s="1520" t="str">
        <x:v>SIN CAMBIO EF</x:v>
      </x:c>
      <x:c r="C61" s="1520" t="str">
        <x:v>Usa contratos existentes o no participa directamente de las 4 decisiones</x:v>
      </x:c>
      <x:c r="D61" s="1520" t="str">
        <x:v>Revisión transversal</x:v>
      </x:c>
      <x:c r="E61" s="1520" t="str">
        <x:v>No se alteró el flujo exitoso</x:v>
      </x:c>
      <x:c r="F61" s="1520" t="str">
        <x:v>Conservar trazabilidad de FK idVehiculo en implementación</x:v>
      </x:c>
    </x:row>
    <x:row r="62" ht="45" customHeight="1">
      <x:c r="A62" s="1521" t="str">
        <x:v>RF59</x:v>
      </x:c>
      <x:c r="B62" s="1521" t="str">
        <x:v>SIN CAMBIO EF</x:v>
      </x:c>
      <x:c r="C62" s="1521" t="str">
        <x:v>Usa contratos existentes o no participa directamente de las 4 decisiones</x:v>
      </x:c>
      <x:c r="D62" s="1521" t="str">
        <x:v>Revisión transversal</x:v>
      </x:c>
      <x:c r="E62" s="1521" t="str">
        <x:v>No se alteró el flujo exitoso</x:v>
      </x:c>
      <x:c r="F62" s="1521" t="str">
        <x:v>Conservar trazabilidad de FK idVehiculo en implementación</x:v>
      </x:c>
    </x:row>
    <x:row r="63" ht="45" customHeight="1">
      <x:c r="A63" s="1520" t="str">
        <x:v>RF60</x:v>
      </x:c>
      <x:c r="B63" s="1520" t="str">
        <x:v>SIN CAMBIO EF</x:v>
      </x:c>
      <x:c r="C63" s="1520" t="str">
        <x:v>Usa contratos existentes o no participa directamente de las 4 decisiones</x:v>
      </x:c>
      <x:c r="D63" s="1520" t="str">
        <x:v>Revisión transversal</x:v>
      </x:c>
      <x:c r="E63" s="1520" t="str">
        <x:v>No se alteró el flujo exitoso</x:v>
      </x:c>
      <x:c r="F63" s="1520" t="str">
        <x:v>Conservar trazabilidad de FK idVehiculo en implementación</x:v>
      </x:c>
    </x:row>
    <x:row r="64" ht="45" customHeight="1">
      <x:c r="A64" s="1521" t="str">
        <x:v>RF61</x:v>
      </x:c>
      <x:c r="B64" s="1521" t="str">
        <x:v>SIN CAMBIO EF</x:v>
      </x:c>
      <x:c r="C64" s="1521" t="str">
        <x:v>Usa contratos existentes o no participa directamente de las 4 decisiones</x:v>
      </x:c>
      <x:c r="D64" s="1521" t="str">
        <x:v>Revisión transversal</x:v>
      </x:c>
      <x:c r="E64" s="1521" t="str">
        <x:v>No se alteró el flujo exitoso</x:v>
      </x:c>
      <x:c r="F64" s="1521" t="str">
        <x:v>Conservar trazabilidad de FK idVehiculo en implementación</x:v>
      </x:c>
    </x:row>
    <x:row r="65" ht="45" customHeight="1">
      <x:c r="A65" s="1520" t="str">
        <x:v>RF62</x:v>
      </x:c>
      <x:c r="B65" s="1520" t="str">
        <x:v>SIN CAMBIO EF</x:v>
      </x:c>
      <x:c r="C65" s="1520" t="str">
        <x:v>Usa contratos existentes o no participa directamente de las 4 decisiones</x:v>
      </x:c>
      <x:c r="D65" s="1520" t="str">
        <x:v>Revisión transversal</x:v>
      </x:c>
      <x:c r="E65" s="1520" t="str">
        <x:v>No se alteró el flujo exitoso</x:v>
      </x:c>
      <x:c r="F65" s="1520" t="str">
        <x:v>Conservar trazabilidad de FK idVehiculo en implementación</x:v>
      </x:c>
    </x:row>
    <x:row r="66" ht="45" customHeight="1">
      <x:c r="A66" s="1521" t="str">
        <x:v>RF63</x:v>
      </x:c>
      <x:c r="B66" s="1521" t="str">
        <x:v>SIN CAMBIO EF</x:v>
      </x:c>
      <x:c r="C66" s="1521" t="str">
        <x:v>Usa contratos existentes o no participa directamente de las 4 decisiones</x:v>
      </x:c>
      <x:c r="D66" s="1521" t="str">
        <x:v>Revisión transversal</x:v>
      </x:c>
      <x:c r="E66" s="1521" t="str">
        <x:v>No se alteró el flujo exitoso</x:v>
      </x:c>
      <x:c r="F66" s="1521" t="str">
        <x:v>Conservar trazabilidad de FK idVehiculo en implementación</x:v>
      </x:c>
    </x:row>
    <x:row r="67" ht="45" customHeight="1">
      <x:c r="A67" s="1520" t="str">
        <x:v>RF64</x:v>
      </x:c>
      <x:c r="B67" s="1520" t="str">
        <x:v>SIN CAMBIO EF</x:v>
      </x:c>
      <x:c r="C67" s="1520" t="str">
        <x:v>Usa contratos existentes o no participa directamente de las 4 decisiones</x:v>
      </x:c>
      <x:c r="D67" s="1520" t="str">
        <x:v>Revisión transversal</x:v>
      </x:c>
      <x:c r="E67" s="1520" t="str">
        <x:v>No se alteró el flujo exitoso</x:v>
      </x:c>
      <x:c r="F67" s="1520" t="str">
        <x:v>Conservar trazabilidad de FK idVehiculo en implementación</x:v>
      </x:c>
    </x:row>
  </x:sheetData>
  <x:mergeCells>
    <x:mergeCell ref="A1:F1"/>
  </x:mergeCells>
  <x:pageMargins left="0.7" right="0.7" top="0.75" bottom="0.75" header="0.3" footer="0.3"/>
</x:worksheet>
</file>

<file path=xl/worksheets/sheet11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24" hidden="0" customWidth="1"/>
    <x:col min="3" max="3" width="57" hidden="0" customWidth="1"/>
    <x:col min="4" max="4" width="59" hidden="0" customWidth="1"/>
    <x:col min="5" max="5" width="84" hidden="0" customWidth="1"/>
  </x:cols>
  <x:sheetData>
    <x:row r="1" ht="32" customHeight="1">
      <x:c r="A1" s="1515" t="str">
        <x:v>MYCAR | PRUEBAS DE ACEPTACIÓN DE LAS 4 DECISIONES</x:v>
      </x:c>
      <x:c r="B1" s="1515"/>
      <x:c r="C1" s="1515"/>
      <x:c r="D1" s="1515"/>
      <x:c r="E1" s="1515"/>
    </x:row>
    <x:row r="3" ht="30" customHeight="1">
      <x:c r="A3" s="1519" t="str">
        <x:v>Caso</x:v>
      </x:c>
      <x:c r="B3" s="1519" t="str">
        <x:v>RF relacionado</x:v>
      </x:c>
      <x:c r="C3" s="1519" t="str">
        <x:v>Precondición</x:v>
      </x:c>
      <x:c r="D3" s="1519" t="str">
        <x:v>Acción</x:v>
      </x:c>
      <x:c r="E3" s="1519" t="str">
        <x:v>Resultado esperado</x:v>
      </x:c>
    </x:row>
    <x:row r="4" ht="65" customHeight="1">
      <x:c r="A4" s="1521" t="str">
        <x:v>TC01</x:v>
      </x:c>
      <x:c r="B4" s="1521" t="str">
        <x:v>RF08</x:v>
      </x:c>
      <x:c r="C4" s="1521" t="str">
        <x:v>FREE con cero vehículos registrados</x:v>
      </x:c>
      <x:c r="D4" s="1521" t="str">
        <x:v>Registrar vehículo sin VIN</x:v>
      </x:c>
      <x:c r="E4" s="1521" t="str">
        <x:v>INSERT VEHICULO.idVehiculo autogenerado, numeroVin NULL; primer principal ACTIVO.</x:v>
      </x:c>
    </x:row>
    <x:row r="5" ht="65" customHeight="1">
      <x:c r="A5" s="1520" t="str">
        <x:v>TC02</x:v>
      </x:c>
      <x:c r="B5" s="1520" t="str">
        <x:v>RF08</x:v>
      </x:c>
      <x:c r="C5" s="1520" t="str">
        <x:v>FREE con uno registrado INACTIVO</x:v>
      </x:c>
      <x:c r="D5" s="1520" t="str">
        <x:v>Intentar alta nueva</x:v>
      </x:c>
      <x:c r="E5" s="1520" t="str">
        <x:v>Bloquear registro porque cantidad total registrada = 1.</x:v>
      </x:c>
    </x:row>
    <x:row r="6" ht="65" customHeight="1">
      <x:c r="A6" s="1521" t="str">
        <x:v>TC03</x:v>
      </x:c>
      <x:c r="B6" s="1521" t="str">
        <x:v>RF08 / RF30</x:v>
      </x:c>
      <x:c r="C6" s="1521" t="str">
        <x:v>FREE tras downgrade con 3 vehículos (2 INACTIVOS)</x:v>
      </x:c>
      <x:c r="D6" s="1521" t="str">
        <x:v>Intentar alta nueva</x:v>
      </x:c>
      <x:c r="E6" s="1521" t="str">
        <x:v>Bloquear alta; preservar 3 vehículos e históricos.</x:v>
      </x:c>
    </x:row>
    <x:row r="7" ht="65" customHeight="1">
      <x:c r="A7" s="1520" t="str">
        <x:v>TC04</x:v>
      </x:c>
      <x:c r="B7" s="1520" t="str">
        <x:v>RF30 / RF12</x:v>
      </x:c>
      <x:c r="C7" s="1520" t="str">
        <x:v>Premium expira con principal y secundarios ACTIVOS</x:v>
      </x:c>
      <x:c r="D7" s="1520" t="str">
        <x:v>Conciliar downgrade</x:v>
      </x:c>
      <x:c r="E7" s="1520" t="str">
        <x:v>Principal ACTIVO y secundarios INACTIVOS; idVehiculo e históricos intactos.</x:v>
      </x:c>
    </x:row>
    <x:row r="8" ht="65" customHeight="1">
      <x:c r="A8" s="1521" t="str">
        <x:v>TC05</x:v>
      </x:c>
      <x:c r="B8" s="1521" t="str">
        <x:v>RF12 / RF13</x:v>
      </x:c>
      <x:c r="C8" s="1521" t="str">
        <x:v>FREE con secundario heredado INACTIVO</x:v>
      </x:c>
      <x:c r="D8" s="1521" t="str">
        <x:v>Activar o convertir en principal el secundario</x:v>
      </x:c>
      <x:c r="E8" s="1521" t="str">
        <x:v>Operación no produce segundo ACTIVO ni principal inválido.</x:v>
      </x:c>
    </x:row>
    <x:row r="9" ht="65" customHeight="1">
      <x:c r="A9" s="1520" t="str">
        <x:v>TC06</x:v>
      </x:c>
      <x:c r="B9" s="1520" t="str">
        <x:v>RF11</x:v>
      </x:c>
      <x:c r="C9" s="1520" t="str">
        <x:v>Vehículo sin TIVE, VIN no duplicado</x:v>
      </x:c>
      <x:c r="D9" s="1520" t="str">
        <x:v>Modificar VIN</x:v>
      </x:c>
      <x:c r="E9" s="1520" t="str">
        <x:v>Permitir edición; se mantiene idVehiculo y sus FK.</x:v>
      </x:c>
    </x:row>
    <x:row r="10" ht="65" customHeight="1">
      <x:c r="A10" s="1521" t="str">
        <x:v>TC07</x:v>
      </x:c>
      <x:c r="B10" s="1521" t="str">
        <x:v>RF11</x:v>
      </x:c>
      <x:c r="C10" s="1521" t="str">
        <x:v>Vehículo con TIVE registrada</x:v>
      </x:c>
      <x:c r="D10" s="1521" t="str">
        <x:v>Intentar cambiar o borrar VIN</x:v>
      </x:c>
      <x:c r="E10" s="1521" t="str">
        <x:v>Bloqueo UI y servidor; sin cambiar VIN, TIVE ni idVehiculo.</x:v>
      </x:c>
    </x:row>
    <x:row r="11" ht="65" customHeight="1">
      <x:c r="A11" s="1520" t="str">
        <x:v>TC08</x:v>
      </x:c>
      <x:c r="B11" s="1520" t="str">
        <x:v>RF11 / RF54</x:v>
      </x:c>
      <x:c r="C11" s="1520" t="str">
        <x:v>RF11 editando VIN y RF54 insertando TIVE simultáneamente</x:v>
      </x:c>
      <x:c r="D11" s="1520" t="str">
        <x:v>Ejecutar ambas operaciones competitivas</x:v>
      </x:c>
      <x:c r="E11" s="1520" t="str">
        <x:v>Bloqueo/versión impide TIVE con VIN ausente o edición VIN con TIVE existente.</x:v>
      </x:c>
    </x:row>
    <x:row r="12" ht="65" customHeight="1">
      <x:c r="A12" s="1521" t="str">
        <x:v>TC09</x:v>
      </x:c>
      <x:c r="B12" s="1521" t="str">
        <x:v>RF54</x:v>
      </x:c>
      <x:c r="C12" s="1521" t="str">
        <x:v>Vehículo ACTIVO con VIN, sin TIVE</x:v>
      </x:c>
      <x:c r="D12" s="1521" t="str">
        <x:v>Registrar TIVE con imagen</x:v>
      </x:c>
      <x:c r="E12" s="1521" t="str">
        <x:v>Un INSERT TIVE (PK/FK idVehiculo) y foto con FK idVehiculo.</x:v>
      </x:c>
    </x:row>
    <x:row r="13" ht="65" customHeight="1">
      <x:c r="A13" s="1520" t="str">
        <x:v>TC10</x:v>
      </x:c>
      <x:c r="B13" s="1520" t="str">
        <x:v>RF54</x:v>
      </x:c>
      <x:c r="C13" s="1520" t="str">
        <x:v>Vehículo sin VIN</x:v>
      </x:c>
      <x:c r="D13" s="1520" t="str">
        <x:v>Intentar registrar TIVE</x:v>
      </x:c>
      <x:c r="E13" s="1520" t="str">
        <x:v>No permite alta hasta completar VIN en RF11.</x:v>
      </x:c>
    </x:row>
    <x:row r="14" ht="65" customHeight="1">
      <x:c r="A14" s="1521" t="str">
        <x:v>TC11</x:v>
      </x:c>
      <x:c r="B14" s="1521" t="str">
        <x:v>RF54</x:v>
      </x:c>
      <x:c r="C14" s="1521" t="str">
        <x:v>Vehículo ya tiene TIVE</x:v>
      </x:c>
      <x:c r="D14" s="1521" t="str">
        <x:v>Intentar segunda TIVE</x:v>
      </x:c>
      <x:c r="E14" s="1521" t="str">
        <x:v>Falla PK/UNIQUE idVehiculo sin duplicados, aunque cambie codigoVerificacion.</x:v>
      </x:c>
    </x:row>
    <x:row r="15" ht="65" customHeight="1">
      <x:c r="A15" s="1520" t="str">
        <x:v>TC12</x:v>
      </x:c>
      <x:c r="B15" s="1520" t="str">
        <x:v>RF55</x:v>
      </x:c>
      <x:c r="C15" s="1520" t="str">
        <x:v>TIVE de vehículo INACTIVO</x:v>
      </x:c>
      <x:c r="D15" s="1520" t="str">
        <x:v>Consultar TIVE + foto</x:v>
      </x:c>
      <x:c r="E15" s="1520" t="str">
        <x:v>Consulta permitida por idVehiculo; foto correcta.</x:v>
      </x:c>
    </x:row>
    <x:row r="16" ht="65" customHeight="1">
      <x:c r="A16" s="1521" t="str">
        <x:v>TC13</x:v>
      </x:c>
      <x:c r="B16" s="1521" t="str">
        <x:v>RF56</x:v>
      </x:c>
      <x:c r="C16" s="1521" t="str">
        <x:v>TIVE con imagen y codigoVerificacion=ABC</x:v>
      </x:c>
      <x:c r="D16" s="1521" t="str">
        <x:v>Editar código a XYZ</x:v>
      </x:c>
      <x:c r="E16" s="1521" t="str">
        <x:v>Mantiene una TIVE y la misma imagen; sin actualizar FK de imagen.</x:v>
      </x:c>
    </x:row>
    <x:row r="17" ht="65" customHeight="1">
      <x:c r="A17" s="1520" t="str">
        <x:v>TC14</x:v>
      </x:c>
      <x:c r="B17" s="1520" t="str">
        <x:v>RF56</x:v>
      </x:c>
      <x:c r="C17" s="1520" t="str">
        <x:v>Falla la actualización durante transacción</x:v>
      </x:c>
      <x:c r="D17" s="1520" t="str">
        <x:v>Guardar edición</x:v>
      </x:c>
      <x:c r="E17" s="1520" t="str">
        <x:v>ROLLBACK, sin pantalla de éxito ni cambios parciales.</x:v>
      </x:c>
    </x:row>
    <x:row r="18" ht="65" customHeight="1">
      <x:c r="A18" s="1521" t="str">
        <x:v>TC15</x:v>
      </x:c>
      <x:c r="B18" s="1521" t="str">
        <x:v>RF08</x:v>
      </x:c>
      <x:c r="C18" s="1521" t="str">
        <x:v>Dos altas simultáneas en cuenta Free vacía</x:v>
      </x:c>
      <x:c r="D18" s="1521" t="str">
        <x:v>Registrar a la vez</x:v>
      </x:c>
      <x:c r="E18" s="1521" t="str">
        <x:v>A lo sumo un vehículo registrado exitosamente; no dos principales.</x:v>
      </x:c>
    </x:row>
    <x:row r="19" ht="65" customHeight="1">
      <x:c r="A19" s="1520" t="str">
        <x:v>TC16</x:v>
      </x:c>
      <x:c r="B19" s="1520" t="str">
        <x:v>Migración</x:v>
      </x:c>
      <x:c r="C19" s="1520" t="str">
        <x:v>BD heredada con PK VIN y registros sin referencia estable</x:v>
      </x:c>
      <x:c r="D19" s="1520" t="str">
        <x:v>Ejecutar plan de migración probado</x:v>
      </x:c>
      <x:c r="E19" s="1520" t="str">
        <x:v>Todas las FK apuntan idVehiculo, sin pérdidas; integridad referencial y recuperación comprobadas.</x:v>
      </x:c>
    </x:row>
  </x:sheetData>
  <x:mergeCells>
    <x:mergeCell ref="A1:E1"/>
  </x:mergeCells>
  <x:pageMargins left="0.7" right="0.7" top="0.75" bottom="0.75" header="0.3" footer="0.3"/>
</x:worksheet>
</file>

<file path=xl/worksheets/sheet1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2" hidden="0" customWidth="1"/>
    <x:col min="3" max="3" width="52" hidden="0" customWidth="1"/>
    <x:col min="4" max="4" width="64" hidden="0" customWidth="1"/>
    <x:col min="5" max="5" width="45" hidden="0" customWidth="1"/>
  </x:cols>
  <x:sheetData>
    <x:row r="1" ht="28" customHeight="1">
      <x:c r="A1" s="1522" t="str">
        <x:v>Hoja</x:v>
      </x:c>
      <x:c r="B1" s="1522" t="str">
        <x:v>Celda</x:v>
      </x:c>
      <x:c r="C1" s="1522" t="str">
        <x:v>Antes (extracto)</x:v>
      </x:c>
      <x:c r="D1" s="1522" t="str">
        <x:v>Después (extracto)</x:v>
      </x:c>
      <x:c r="E1" s="1522" t="str">
        <x:v>Justificación</x:v>
      </x:c>
    </x:row>
    <x:row r="2">
      <x:c r="A2" s="1071" t="str">
        <x:v>RF008-EF1</x:v>
      </x:c>
      <x:c r="B2" s="1071" t="str">
        <x:v>G15</x:v>
      </x:c>
      <x:c r="C2" s="1071" t="str">
        <x:v>Cuenta TODOS los vehículos aún registrados del usuario (ACTIVOS e INACTIVOS). Los vehículos conservados tras perder Premium también cuentan para el límite Free.</x:v>
      </x:c>
      <x:c r="D2" s="1071" t="str">
        <x:v>Cuenta TODOS los vehículos aún registrados del usuario (ACTIVOS e INACTIVOS). Los vehículos conservados tras perder Premium también cuentan para el límite Free. Regla ratificada: se cuentan los vehículos que siguen registrados, aunque estén INACTIVOS y provengan de Premium; se identifican internamente por idVehiculo, no por VIN.</x:v>
      </x:c>
      <x:c r="E2" s="1071" t="str">
        <x:v>Free: total registrado</x:v>
      </x:c>
    </x:row>
    <x:row r="3">
      <x:c r="A3" s="1071" t="str">
        <x:v>RF008-EF1</x:v>
      </x:c>
      <x:c r="B3" s="1071" t="str">
        <x:v>G17</x:v>
      </x:c>
      <x:c r="C3" s="1071" t="str">
        <x:v>Con FREE solo se permite registrar si cantidadRegistrados = 0 (límite total de 1 vehículo registrado). PREMIUM vigente admite múltiples según la configuración. Si FREE y cantidadRegistrados ≥ 1, el formulario NO se abre: ejecutar RF008_ALT_LIMITE_FREE.</x:v>
      </x:c>
      <x:c r="D3" s="1071" t="str">
        <x:v>Con FREE solo se permite registrar si cantidadRegistrados = 0 (límite total de 1 vehículo registrado). PREMIUM vigente admite múltiples según la configuración. Si FREE y cantidadRegistrados ≥ 1, el formulario NO se abre: ejecutar RF008_ALT_LIMITE_FREE. Decisión congelada: este límite se aplica a NUEVOS registros; el downgrade Premium→Free NO borra vehículos que ya estaban registrados.</x:v>
      </x:c>
      <x:c r="E3" s="1071" t="str">
        <x:v>Free: registro normal y excepciones históricas</x:v>
      </x:c>
    </x:row>
    <x:row r="4">
      <x:c r="A4" s="1071" t="str">
        <x:v>RF008-EF1</x:v>
      </x:c>
      <x:c r="B4" s="1071" t="str">
        <x:v>G35</x:v>
      </x:c>
      <x:c r="C4" s="1071" t="str">
        <x:v>Si se informó número VIN, verifica que no esté asociado a otro vehículo. Si no se informó, esta consulta se omite.</x:v>
      </x:c>
      <x:c r="D4" s="1071" t="str">
        <x:v>Si se informó número VIN, verifica que no esté asociado a otro vehículo. Si no se informó, esta consulta se omite. La consulta compara valores informados contra numeroVin único de VEHICULO; al omitir VIN se guarda NULL, sin generar VIN ficticio. El VIN NO es la PK.</x:v>
      </x:c>
      <x:c r="E4" s="1071" t="str">
        <x:v>RF08: VIN opcional, no PK</x:v>
      </x:c>
    </x:row>
    <x:row r="5">
      <x:c r="A5" s="1071" t="str">
        <x:v>RF008-EF1</x:v>
      </x:c>
      <x:c r="B5" s="1071" t="str">
        <x:v>G37</x:v>
      </x:c>
      <x:c r="C5" s="1071" t="str">
        <x:v>Confirma formatos, kilometraje &gt; 0, placa, VIN opcional e imagen; antes de persistir, el servidor debe revalidar el plan efectivo y cupo vigente para impedir registros concurrentes o altas luego de vencer Premium.</x:v>
      </x:c>
      <x:c r="D5" s="1071" t="str">
        <x:v>Confirma formatos, kilometraje &gt; 0, placa, VIN opcional e imagen; antes de persistir, el servidor debe revalidar el plan efectivo y cupo vigente para impedir registros concurrentes o altas luego de vencer Premium. Contrato físico a implementar: PK idVehiculo generada por servidor; numeroVin nullable/UNIQUE cuando se informa; el control de cupo Free se repite dentro de la transacción del INSERT.</x:v>
      </x:c>
      <x:c r="E5" s="1071" t="str">
        <x:v>RF08: contrato identificador y atomicidad</x:v>
      </x:c>
    </x:row>
    <x:row r="6">
      <x:c r="A6" s="1071" t="str">
        <x:v>RF008-EF1</x:v>
      </x:c>
      <x:c r="B6" s="1071" t="str">
        <x:v>G39</x:v>
      </x:c>
      <x:c r="C6" s="1071" t="str">
        <x:v>Inserta el vehículo ACTIVO solo después de verificar TRANSACCIONALMENTE plan efectivo y cantidad total registrada (FREE: 0 previos; PREMIUM vigente: según límite); rechaza el alta si cambió el plan mientras el usuario llenaba el formulario. No duplica la primera lectura de kilometraje, que se registra luego en E_Kilometraje.</x:v>
      </x:c>
      <x:c r="D6" s="1071" t="str">
        <x:v>Inserta el vehículo ACTIVO solo después de verificar TRANSACCIONALMENTE plan efectivo y cantidad total registrada (FREE: 0 previos; PREMIUM vigente: según límite); rechaza el alta si cambió el plan mientras el usuario llenaba el formulario. No duplica la primera lectura de kilometraje, que se registra luego en E_Kilometraje. Insertar en VEHICULO con PK idVehiculo autogenerada, FK del propietario idUsuario y numeroVin NULL perm</x:v>
      </x:c>
      <x:c r="E6" s="1071" t="str">
        <x:v>RF08: persistencia estable</x:v>
      </x:c>
    </x:row>
    <x:row r="7">
      <x:c r="A7" s="1071" t="str">
        <x:v>RF008-EF1</x:v>
      </x:c>
      <x:c r="B7" s="1071" t="str">
        <x:v>G40</x:v>
      </x:c>
      <x:c r="C7" s="1071" t="str">
        <x:v>La entidad devuelve el identificador generado para continuar con imagen, principal y kilometraje inicial.</x:v>
      </x:c>
      <x:c r="D7" s="1071" t="str">
        <x:v>La entidad devuelve el identificador generado para continuar con imagen, principal y kilometraje inicial. idVehiculo es la PK interna inmutable, independiente de placa y numeroVin; todas las relaciones nuevas (TIVE incluida) usan idVehiculo.</x:v>
      </x:c>
      <x:c r="E7" s="1071" t="str">
        <x:v>RF08: id principal</x:v>
      </x:c>
    </x:row>
    <x:row r="8">
      <x:c r="A8" s="1071" t="str">
        <x:v>RF008-EF1</x:v>
      </x:c>
      <x:c r="B8" s="1071" t="str">
        <x:v>G43</x:v>
      </x:c>
      <x:c r="C8" s="1071" t="str">
        <x:v>El controlador determina si el vehículo recién registrado debe establecerse como principal. Si cantidad = 0 antes del registro, corresponde al primer vehículo y se asigna como principal; de lo contrario conserva es_principal = false.</x:v>
      </x:c>
      <x:c r="D8" s="1071" t="str">
        <x:v>El controlador determina si el vehículo recién registrado debe establecerse como principal. Si cantidad = 0 antes del registro, corresponde al primer vehículo y se asigna como principal; de lo contrario conserva es_principal = false. Cuando ya existen vehículos registrados pero el plan es PREMIUM, el nuevo NO sustituye al principal salvo que se ejecute RF13.</x:v>
      </x:c>
      <x:c r="E8" s="1071" t="str">
        <x:v>RF08: principal único</x:v>
      </x:c>
    </x:row>
    <x:row r="9">
      <x:c r="A9" s="1071" t="str">
        <x:v>RF008-EF1</x:v>
      </x:c>
      <x:c r="B9" s="1071" t="str">
        <x:v>G44</x:v>
      </x:c>
      <x:c r="C9" s="1071" t="str">
        <x:v>El controlador solicita establecer el atributo es_principal según el resultado anterior. Solo el primer vehículo registrado se establece automáticamente como principal.</x:v>
      </x:c>
      <x:c r="D9" s="1071" t="str">
        <x:v>El controlador solicita establecer el atributo es_principal según el resultado anterior. Solo el primer vehículo registrado se establece automáticamente como principal. El backend debe garantizar como invariante que no queden dos vehículos principales del mismo usuario, especialmente ante altas concurrentes.</x:v>
      </x:c>
      <x:c r="E9" s="1071" t="str">
        <x:v>RF08: unicidad principal</x:v>
      </x:c>
    </x:row>
    <x:row r="10">
      <x:c r="A10" s="1071" t="str">
        <x:v>RF009-EF1</x:v>
      </x:c>
      <x:c r="B10" s="1071" t="str">
        <x:v>G11</x:v>
      </x:c>
      <x:c r="C10" s="1071" t="str">
        <x:v>La entidad devuelve idVehiculo, marca, modelo, placa, anioFabricacion, usoVehiculo, color, tipoMotor, combustible cuando corresponda, estado y es_principal. Para eléctricos, combustible no aplica; imágenes, kilometraje y documentos se consultan por sus respectivos controladores.</x:v>
      </x:c>
      <x:c r="D10" s="1071" t="str">
        <x:v>La entidad devuelve idVehiculo, marca, modelo, placa, anioFabricacion, usoVehiculo, color, tipoMotor, combustible cuando corresponda, estado y es_principal. Para eléctricos, combustible no aplica; imágenes, kilometraje y documentos se consultan por sus respectivos controladores. Clave de consulta del vehículo: idVehiculo; VIN se presenta como dato opcional y nunca como identificador del listado.</x:v>
      </x:c>
      <x:c r="E10" s="1071" t="str">
        <x:v>RF09: consulta PK</x:v>
      </x:c>
    </x:row>
    <x:row r="11">
      <x:c r="A11" s="1071" t="str">
        <x:v>RF009-EF1</x:v>
      </x:c>
      <x:c r="B11" s="1071" t="str">
        <x:v>G23</x:v>
      </x:c>
      <x:c r="C11" s="1071" t="str">
        <x:v>Consulta la existencia de una TIVE vinculada a cada vehículo; no trata el documento como sujeto a vencimiento.</x:v>
      </x:c>
      <x:c r="D11" s="1071" t="str">
        <x:v>Consulta la existencia de una TIVE vinculada a cada vehículo; no trata el documento como sujeto a vencimiento. La relación TIVE → VEHICULO se resuelve por TIVE.idVehiculo = VEHICULO.idVehiculo (PK/FK única), sin buscar por VIN.</x:v>
      </x:c>
      <x:c r="E11" s="1071" t="str">
        <x:v>RF09: TIVE 1:0..1</x:v>
      </x:c>
    </x:row>
    <x:row r="12">
      <x:c r="A12" s="1071" t="str">
        <x:v>RF009-EF1</x:v>
      </x:c>
      <x:c r="B12" s="1071" t="str">
        <x:v>G49</x:v>
      </x:c>
      <x:c r="C12" s="1071" t="str">
        <x:v>Consulta las TIVE vinculadas a los vehículos filtrados, sin calcular fecha de vencimiento.</x:v>
      </x:c>
      <x:c r="D12" s="1071" t="str">
        <x:v>Consulta las TIVE vinculadas a los vehículos filtrados, sin calcular fecha de vencimiento. Mantener idVehiculo como clave para consultar el estado TIVE también en los resultados filtrados.</x:v>
      </x:c>
      <x:c r="E12" s="1071" t="str">
        <x:v>RF09: TIVE filtrada</x:v>
      </x:c>
    </x:row>
    <x:row r="13">
      <x:c r="A13" s="1071" t="str">
        <x:v>RF010-EF1</x:v>
      </x:c>
      <x:c r="B13" s="1071" t="str">
        <x:v>G22</x:v>
      </x:c>
      <x:c r="C13" s="1071" t="str">
        <x:v>Consulta la TIVE vinculada al vehículo y, si existe, obtiene el número de título y la fecha de título. Si no está registrada, devuelve NO_REGISTRADA.</x:v>
      </x:c>
      <x:c r="D13" s="1071" t="str">
        <x:v>Consulta la TIVE vinculada al vehículo y, si existe, obtiene el número de título y la fecha de título. Si no está registrada, devuelve NO_REGISTRADA. Localiza la TIVE por idVehiculo (PK/FK estable); el VIN no es FK y no debe emplearse como clave de enlace.</x:v>
      </x:c>
      <x:c r="E13" s="1071" t="str">
        <x:v>RF10: detalle TIVE</x:v>
      </x:c>
    </x:row>
    <x:row r="14">
      <x:c r="A14" s="1071" t="str">
        <x:v>RF011-EF1</x:v>
      </x:c>
      <x:c r="B14" s="1071" t="str">
        <x:v>G8</x:v>
      </x:c>
      <x:c r="C14" s="1071" t="str">
        <x:v>La entidad devuelve únicamente los datos del vehículo del usuario: placa, marca, modelo, usoVehiculo, anioFabricacion, color, tipoMotor, combustible cuando corresponda, tipoAceite, numeroVin, numeroSerie, numeroMotor, especificaciones «Otro» cuando existan y estado. Los campos no aplicables al tipo eléctrico se consideran nulos; la imagen y el kilometraje se consultan por separado.</x:v>
      </x:c>
      <x:c r="D14" s="1071" t="str">
        <x:v>La entidad devuelve únicamente los datos del vehículo del usuario: placa, marca, modelo, usoVehiculo, anioFabricacion, color, tipoMotor, combustible cuando corresponda, tipoAceite, numeroVin, numeroSerie, numeroMotor, especificaciones «Otro» cuando existan y estado. Los campos no aplicables al tipo eléctrico se consideran nulos; la imagen y el kilometraje se consultan por separado. Incluye indicador tieneTIVE derivado por idVe</x:v>
      </x:c>
      <x:c r="E14" s="1071" t="str">
        <x:v>RF11: indicador TIVE</x:v>
      </x:c>
    </x:row>
    <x:row r="15">
      <x:c r="A15" s="1071" t="str">
        <x:v>RF011-EF1</x:v>
      </x:c>
      <x:c r="B15" s="1071" t="str">
        <x:v>G17</x:v>
      </x:c>
      <x:c r="C15" s="1071" t="str">
        <x:v>El controlador carga I_EdicionVehiculo con datos actuales, fotografía visible y botón «Gestionar foto», placa y kilometraje en solo lectura, además de los campos editables incluido color. La fotografía se gestiona en otro RF.</x:v>
      </x:c>
      <x:c r="D15" s="1071" t="str">
        <x:v>El controlador carga I_EdicionVehiculo con datos actuales, fotografía visible y botón «Gestionar foto», placa y kilometraje en solo lectura, además de los campos editables incluido color. La fotografía se gestiona en otro RF. Si tieneTIVE=true, numeroVin se presenta en SOLO LECTURA; se muestra una indicación de corrección controlada fuera del guardado ordinario de RF11. Si no hay TIVE, VIN permanece opcional/editable.</x:v>
      </x:c>
      <x:c r="E15" s="1071" t="str">
        <x:v>RF11: interfaz VIN bloqueado</x:v>
      </x:c>
    </x:row>
    <x:row r="16">
      <x:c r="A16" s="1071" t="str">
        <x:v>RF011-EF1</x:v>
      </x:c>
      <x:c r="B16" s="1071" t="str">
        <x:v>G18</x:v>
      </x:c>
      <x:c r="C16" s="1071" t="str">
        <x:v>La interfaz muestra marca, modelo y color como textos editables; usoVehiculo, tipoMotor, combustible y tipoAceite mediante selectores con opción «Otro» y campo para especificar cuando se elija. Permite editar año, VIN, numeroSerie y numeroMotor cuando aplique. Si tipoMotor=ELÉCTRICO deshabilita y no exige numeroMotor, combustible y tipoAceite. La placa y el kilometraje vigente están bloqueados. «Gestionar foto» queda como acce</x:v>
      </x:c>
      <x:c r="D16" s="1071" t="str">
        <x:v>La interfaz muestra marca, modelo y color como textos editables; usoVehiculo, tipoMotor, combustible y tipoAceite mediante selectores con opción «Otro» y campo para especificar cuando se elija. Permite editar año, VIN, numeroSerie y numeroMotor cuando aplique. Si tipoMotor=ELÉCTRICO deshabilita y no exige numeroMotor, combustible y tipoAceite. La placa y el kilometraje vigente están bloqueados. «Gestionar foto» queda como acce</x:v>
      </x:c>
      <x:c r="E16" s="1071" t="str">
        <x:v>RF11: campo VIN condiciona TIVE</x:v>
      </x:c>
    </x:row>
    <x:row r="17">
      <x:c r="A17" s="1071" t="str">
        <x:v>RF011-EF1</x:v>
      </x:c>
      <x:c r="B17" s="1071" t="str">
        <x:v>G20</x:v>
      </x:c>
      <x:c r="C17" s="1071" t="str">
        <x:v>El usuario modifica uno o más campos permitidos (por ejemplo marca, modelo, uso, año, color, identificación adicional o datos de motor). La placa, el kilometraje y la fotografía no se cambian dentro de RF11.</x:v>
      </x:c>
      <x:c r="D17" s="1071" t="str">
        <x:v>El usuario modifica uno o más campos permitidos (por ejemplo marca, modelo, uso, año, color, identificación adicional o datos de motor). La placa, el kilometraje y la fotografía no se cambian dentro de RF11. VIN no puede cambiar por esta ruta cuando tieneTIVE=true. Una corrección documental debe tramitarse por procedimiento controlado futuro y no se simula como modificación común.</x:v>
      </x:c>
      <x:c r="E17" s="1071" t="str">
        <x:v>RF11: acción limitada</x:v>
      </x:c>
    </x:row>
    <x:row r="18">
      <x:c r="A18" s="1071" t="str">
        <x:v>RF011-EF1</x:v>
      </x:c>
      <x:c r="B18" s="1071" t="str">
        <x:v>G23</x:v>
      </x:c>
      <x:c r="C18" s="1071" t="str">
        <x:v>I_EdicionVehiculo envía los campos editables modificados y el idVehiculo. Los valores no modificados permanecen en datosActuales para integrar el formulario completo antes de la validación.</x:v>
      </x:c>
      <x:c r="D18" s="1071" t="str">
        <x:v>I_EdicionVehiculo envía los campos editables modificados y el idVehiculo. Los valores no modificados permanecen en datosActuales para integrar el formulario completo antes de la validación. El servidor no acepta una alteración de numeroVin cuando el vehículo tiene TIVE, aunque la aplicación haya sido manipulada; idVehiculo se toma como referencia fija.</x:v>
      </x:c>
      <x:c r="E18" s="1071" t="str">
        <x:v>RF11: seguridad backend</x:v>
      </x:c>
    </x:row>
    <x:row r="19">
      <x:c r="A19" s="1071" t="str">
        <x:v>RF011-EF1</x:v>
      </x:c>
      <x:c r="B19" s="1071" t="str">
        <x:v>G24</x:v>
      </x:c>
      <x:c r="C19" s="1071" t="str">
        <x:v>El controlador combina los cambios recibidos con los datos actuales, comprueba que el vehículo esté Activo y que exista al menos una modificación real; obtiene datosConsolidados para validar todos los campos obligatorios sin exigir que vuelvan a enviarse los no modificados.</x:v>
      </x:c>
      <x:c r="D19" s="1071" t="str">
        <x:v>El controlador combina los cambios recibidos con los datos actuales, comprueba que el vehículo esté Activo y que exista al menos una modificación real; obtiene datosConsolidados para validar todos los campos obligatorios sin exigir que vuelvan a enviarse los no modificados. El conjunto consolidado mantiene idVehiculo e idUsuario originales; los datos de identidad o propiedad nunca forman parte de los campos editables.</x:v>
      </x:c>
      <x:c r="E19" s="1071" t="str">
        <x:v>RF11: conservación claves</x:v>
      </x:c>
    </x:row>
    <x:row r="20">
      <x:c r="A20" s="1071" t="str">
        <x:v>RF011-EF1</x:v>
      </x:c>
      <x:c r="B20" s="1071" t="str">
        <x:v>F30</x:v>
      </x:c>
      <x:c r="C20" s="1071" t="str">
        <x:v>consultarVINEnOtroVehiculoSiCambiado(idVehiculo,numeroVin)</x:v>
      </x:c>
      <x:c r="D20" s="1071" t="str">
        <x:v>verificarEdicionVINPermitidaYUnica(idVehiculo,numeroVinActual,numeroVinPropuesto)</x:v>
      </x:c>
      <x:c r="E20" s="1071" t="str">
        <x:v>RF11: método único de gate VIN/TIVE</x:v>
      </x:c>
    </x:row>
    <x:row r="21">
      <x:c r="A21" s="1071" t="str">
        <x:v>RF011-EF1</x:v>
      </x:c>
      <x:c r="B21" s="1071" t="str">
        <x:v>G30</x:v>
      </x:c>
      <x:c r="C21" s="1071" t="str">
        <x:v>Solo si numeroVin fue modificado y contiene un valor, consulta que no pertenezca a otro vehículo. Si el VIN permanece igual o queda vacío, se omite la consulta (fragmento opt).</x:v>
      </x:c>
      <x:c r="D21" s="1071" t="str">
        <x:v>Solo cuando numeroVin cambia, E_Vehiculo verifica transaccionalmente por idVehiculo: (1) ausencia de TIVE vinculada a ese idVehiculo (consulta de existencia a TIVE), y (2) unicidad global del nuevo VIN cuando no es NULL. Si existe TIVE, se bloquea cualquier cambio normal, incluso borrar VIN; la corrección controlada es otro procedimiento, no RF11. Si no cambió, no se aplica esta validación de cambio.</x:v>
      </x:c>
      <x:c r="E21" s="1071" t="str">
        <x:v>RF11: gate VIN/TIVE efectivo</x:v>
      </x:c>
    </x:row>
    <x:row r="22">
      <x:c r="A22" s="1071" t="str">
        <x:v>RF011-EF1</x:v>
      </x:c>
      <x:c r="B22" s="1071" t="str">
        <x:v>F31</x:v>
      </x:c>
      <x:c r="C22" s="1071" t="str">
        <x:v>retornarDisponibilidadVIN(disponible)</x:v>
      </x:c>
      <x:c r="D22" s="1071" t="str">
        <x:v>retornarPermisoEdicionVIN(puedeEditar,existeTIVE,vinDisponible)</x:v>
      </x:c>
      <x:c r="E22" s="1071" t="str">
        <x:v>RF11: retorno validación</x:v>
      </x:c>
    </x:row>
    <x:row r="23">
      <x:c r="A23" s="1071" t="str">
        <x:v>RF011-EF1</x:v>
      </x:c>
      <x:c r="B23" s="1071" t="str">
        <x:v>G31</x:v>
      </x:c>
      <x:c r="C23" s="1071" t="str">
        <x:v>Devuelve la disponibilidad del nuevo VIN cuando se haya consultado. Si el VIN no cambió o quedó vacío, el controlador continúa sin consultar duplicidad.</x:v>
      </x:c>
      <x:c r="D23" s="1071" t="str">
        <x:v>Devuelve permiso verdadero únicamente si el VIN sigue igual, o si el VIN cambia sin TIVE existente y no colisiona con otro VIN informado. La validación se repite al guardar bajo bloqueo/versión para evitar carreras con RF54.</x:v>
      </x:c>
      <x:c r="E23" s="1071" t="str">
        <x:v>RF11: resultado validación y control concurrencia</x:v>
      </x:c>
    </x:row>
    <x:row r="24">
      <x:c r="A24" s="1071" t="str">
        <x:v>RF011-EF1</x:v>
      </x:c>
      <x:c r="B24" s="1071" t="str">
        <x:v>G33</x:v>
      </x:c>
      <x:c r="C24" s="1071" t="str">
        <x:v>Confirma que todos los datos consolidados y la unicidad del VIN, cuando corresponda, son válidos. Si se cambia a ELÉCTRICO, prepara la limpieza de numeroMotor, combustible, tipoAceite y especificaciones asociadas. Si se elige «Otro», exige y conserva el texto especificado.</x:v>
      </x:c>
      <x:c r="D24" s="1071" t="str">
        <x:v>Confirma que todos los datos consolidados y la unicidad del VIN, cuando corresponda, son válidos. Si se cambia a ELÉCTRICO, prepara la limpieza de numeroMotor, combustible, tipoAceite y especificaciones asociadas. Si se elige «Otro», exige y conserva el texto especificado. Se deniega el éxito cuando se intentó modificar VIN con TIVE registrada; esta decisión NO cambia los demás campos editables.</x:v>
      </x:c>
      <x:c r="E24" s="1071" t="str">
        <x:v>RF11: validación final</x:v>
      </x:c>
    </x:row>
    <x:row r="25">
      <x:c r="A25" s="1071" t="str">
        <x:v>RF011-EF1</x:v>
      </x:c>
      <x:c r="B25" s="1071" t="str">
        <x:v>G34</x:v>
      </x:c>
      <x:c r="C25" s="1071" t="str">
        <x:v>Actualiza en E_Vehiculo únicamente los datos generales editables: marca, modelo, usoVehiculo, anioFabricacion, color, tipoMotor, combustible y tipoAceite cuando apliquen, numeroVin, numeroSerie, numeroMotor y textos «Otro». Si ahora es ELÉCTRICO, guarda nulos en numeroMotor, combustible, tipoAceite y especificaciones correspondientes. No modifica placa, foto ni kilometraje.</x:v>
      </x:c>
      <x:c r="D25" s="1071" t="str">
        <x:v>Actualiza en E_Vehiculo únicamente los datos generales editables: marca, modelo, usoVehiculo, anioFabricacion, color, tipoMotor, combustible y tipoAceite cuando apliquen, numeroVin, numeroSerie, numeroMotor y textos «Otro». Si ahora es ELÉCTRICO, guarda nulos en numeroMotor, combustible, tipoAceite y especificaciones correspondientes. No modifica placa, foto ni kilometraje. Antes del UPDATE, bajo transacción, revalida que si n</x:v>
      </x:c>
      <x:c r="E25" s="1071" t="str">
        <x:v>RF11: regla transaccional</x:v>
      </x:c>
    </x:row>
    <x:row r="26">
      <x:c r="A26" s="1071" t="str">
        <x:v>RF012-EF1</x:v>
      </x:c>
      <x:c r="B26" s="1071" t="str">
        <x:v>G31</x:v>
      </x:c>
      <x:c r="C26" s="1071" t="str">
        <x:v>Aplicación atómica: antes de ACTIVAR, revalida plan efectivo y cupo actual para evitar dos activaciones simultáneas en FREE. Si cambia el plan o se ocupa el cupo, no modifica el estado. DESACTIVAR manualmente solo procede sobre un no principal dejando al menos un activo; la desactivación AUTOMÁTICA por pérdida de Premium se documenta aparte en RF030_ALT_FIN_PREMIUM.</x:v>
      </x:c>
      <x:c r="D26" s="1071" t="str">
        <x:v>Aplicación atómica: antes de ACTIVAR, revalida plan efectivo y cupo actual para evitar dos activaciones simultáneas en FREE. Si cambia el plan o se ocupa el cupo, no modifica el estado. DESACTIVAR manualmente solo procede sobre un no principal dejando al menos un activo; la desactivación AUTOMÁTICA por pérdida de Premium se documenta aparte en RF030_ALT_FIN_PREMIUM. Después de degradar Premium a Free los autos secundarios cons</x:v>
      </x:c>
      <x:c r="E26" s="1071" t="str">
        <x:v>RF12: secundarios heredados</x:v>
      </x:c>
    </x:row>
    <x:row r="27">
      <x:c r="A27" s="1071" t="str">
        <x:v>RF013-EF1</x:v>
      </x:c>
      <x:c r="B27" s="1071" t="str">
        <x:v>G10</x:v>
      </x:c>
      <x:c r="C27" s="1071" t="str">
        <x:v>Solo admite un vehículo ACTIVO, del usuario y distinto del principal. En FREE, donde únicamente permanece activo el principal tras vencer Premium, no puede elegirse como nuevo principal un secundario INACTIVO.</x:v>
      </x:c>
      <x:c r="D27" s="1071" t="str">
        <x:v>Solo admite un vehículo ACTIVO, del usuario y distinto del principal. En FREE, donde únicamente permanece activo el principal tras vencer Premium, no puede elegirse como nuevo principal un secundario INACTIVO. El usuario FREE con varios vehículos registrados heredados de Premium mantiene únicamente principal ACTIVO; no debe habilitar cambio hacia uno INACTIVO mediante RF13.</x:v>
      </x:c>
      <x:c r="E27" s="1071" t="str">
        <x:v>RF13: principal Free</x:v>
      </x:c>
    </x:row>
    <x:row r="28">
      <x:c r="A28" s="1071" t="str">
        <x:v>RF030-E1</x:v>
      </x:c>
      <x:c r="B28" s="1071" t="str">
        <x:v>G20</x:v>
      </x:c>
      <x:c r="C28" s="1071" t="str">
        <x:v>PREMIUM únicamente si la suscripción conserva derecho de uso vigente (incluido período de gracia válido, si aplica). Al finalizar efectivamente, pasa a FREE y la rutina automática RF030_ALT_FIN_PREMIUM deja únicamente el vehículo principal ACTIVO. El último pago es informativo, no otorga acceso sin vigencia.</x:v>
      </x:c>
      <x:c r="D28" s="1071" t="str">
        <x:v>PREMIUM únicamente si la suscripción conserva derecho de uso vigente (incluido período de gracia válido, si aplica). Al finalizar efectivamente, pasa a FREE y la rutina automática RF030_ALT_FIN_PREMIUM deja únicamente el vehículo principal ACTIVO. El último pago es informativo, no otorga acceso sin vigencia. Con FREE persiste un solo vehículo ACTIVO (principal); los demás, si provenían de Premium, permanecen REGISTRADOS e INAC</x:v>
      </x:c>
      <x:c r="E28" s="1071" t="str">
        <x:v>RF30: regla consolidada</x:v>
      </x:c>
    </x:row>
    <x:row r="29">
      <x:c r="A29" s="1071" t="str">
        <x:v>RF030_ALT_FIN_PREMIUM</x:v>
      </x:c>
      <x:c r="B29" s="1071" t="str">
        <x:v>E11</x:v>
      </x:c>
      <x:c r="C29" s="1071" t="str">
        <x:v>Aplica límites Free sin borrar datos; mantiene lectura histórica.</x:v>
      </x:c>
      <x:c r="D29" s="1071" t="str">
        <x:v>Aplica límites Free sin borrar datos; mantiene lectura histórica. Obligatorio: conservar TODOS los VEHICULO.idVehiculo e históricos; seleccionar el principal del usuario y mantenerlo ACTIVO; desactivar secundarios sin borrar registros. En FREE no permitir nuevos registros mientras haya &gt;=1 registrado ni activar otro si ya existe principal activo; reconciliar con RF08/RF12/RF13 y alertas/notificaciones. Ejecutar la transición c</x:v>
      </x:c>
      <x:c r="E29" s="1071" t="str">
        <x:v>RF30: contrato de downgrade</x:v>
      </x:c>
    </x:row>
    <x:row r="30">
      <x:c r="A30" s="1071" t="str">
        <x:v>RF054-EF1</x:v>
      </x:c>
      <x:c r="B30" s="1071" t="str">
        <x:v>F13</x:v>
      </x:c>
      <x:c r="C30" s="1071" t="str">
        <x:v>consultarTIVEActualPorVIN(numeroVin)</x:v>
      </x:c>
      <x:c r="D30" s="1071" t="str">
        <x:v>consultarTIVEPorIdVehiculo(idVehiculo)</x:v>
      </x:c>
      <x:c r="E30" s="1071" t="str">
        <x:v>RF54: método uniforme TIVE</x:v>
      </x:c>
    </x:row>
    <x:row r="31">
      <x:c r="A31" s="1071" t="str">
        <x:v>RF054-EF1</x:v>
      </x:c>
      <x:c r="B31" s="1071" t="str">
        <x:v>G13</x:v>
      </x:c>
      <x:c r="C31" s="1071" t="str">
        <x:v>Consulta si ya existe TIVE actual asociada al VIN. No se maneja vencimiento de TIVE.</x:v>
      </x:c>
      <x:c r="D31" s="1071" t="str">
        <x:v>Comprueba existencia de la ÚNICA TIVE cuyo idVehiculo es PK y FK a VEHICULO.idVehiculo. VIN es requisito previo de alta documental, pero NO clave de búsqueda, PK ni FK de TIVE.</x:v>
      </x:c>
      <x:c r="E31" s="1071" t="str">
        <x:v>RF54: TIVE por PK FK</x:v>
      </x:c>
    </x:row>
    <x:row r="32">
      <x:c r="A32" s="1071" t="str">
        <x:v>RF054-EF1</x:v>
      </x:c>
      <x:c r="B32" s="1071" t="str">
        <x:v>G12</x:v>
      </x:c>
      <x:c r="C32" s="1071" t="str">
        <x:v>[alt] Si tiene VIN, continúa el evento exitoso. Si falta, abre I_AlertaVIN y deriva al proceso RF11; ese caso está separado en ALT_SIN_VIN.</x:v>
      </x:c>
      <x:c r="D32" s="1071" t="str">
        <x:v>[alt] Si tiene VIN, continúa el evento exitoso. Si falta, abre I_AlertaVIN y deriva al proceso RF11; ese caso está separado en ALT_SIN_VIN. El VIN se valida como dato obligatorio para registrar la TIVE, no como identificador relacional de la TIVE; si falta se deriva a RF11 y el alta no sigue.</x:v>
      </x:c>
      <x:c r="E32" s="1071" t="str">
        <x:v>RF54: precondición VIN</x:v>
      </x:c>
    </x:row>
    <x:row r="33">
      <x:c r="A33" s="1071" t="str">
        <x:v>RF054-EF1</x:v>
      </x:c>
      <x:c r="B33" s="1071" t="str">
        <x:v>F30</x:v>
      </x:c>
      <x:c r="C33" s="1071" t="str">
        <x:v>enviarDatosTIVE(numeroVin,numeroTitulo,codigoVerificacion,fechaTitulo,datosRegistrales?,imagen?)</x:v>
      </x:c>
      <x:c r="D33" s="1071" t="str">
        <x:v>enviarDatosTIVE(idVehiculo,numeroTitulo,codigoVerificacion,fechaTitulo,datosRegistrales?,imagen?)</x:v>
      </x:c>
      <x:c r="E33" s="1071" t="str">
        <x:v>RF54: payload con FK idVehiculo</x:v>
      </x:c>
    </x:row>
    <x:row r="34">
      <x:c r="A34" s="1071" t="str">
        <x:v>RF054-EF1</x:v>
      </x:c>
      <x:c r="B34" s="1071" t="str">
        <x:v>G30</x:v>
      </x:c>
      <x:c r="C34" s="1071" t="str">
        <x:v>Envía los datos del documento, VIN del vehículo existente y referencia temporal de la imagen opcional.</x:v>
      </x:c>
      <x:c r="D34" s="1071" t="str">
        <x:v>Envía idVehiculo del vehículo seleccionado (procede de la sesión y navegación validada), datos del documento y referencia temporal de la imagen opcional. numeroVin se exige previamente desde VEHICULO, pero no identifica el registro TIVE ni la imagen.</x:v>
      </x:c>
      <x:c r="E34" s="1071" t="str">
        <x:v>RF54: no transportar VIN como llave</x:v>
      </x:c>
    </x:row>
    <x:row r="35">
      <x:c r="A35" s="1071" t="str">
        <x:v>RF054-EF1</x:v>
      </x:c>
      <x:c r="B35" s="1071" t="str">
        <x:v>G37</x:v>
      </x:c>
      <x:c r="C35" s="1071" t="str">
        <x:v>Comprueba que CODIGO_VERIFICACION (clave primaria de TIVE en la normalización) no esté duplicado y verifica numeroTitulo según la regla de RF54.</x:v>
      </x:c>
      <x:c r="D35" s="1071" t="str">
        <x:v>Comprueba que CODIGO_VERIFICACION (clave primaria de TIVE en la normalización) no esté duplicado y verifica numeroTitulo según la regla de RF54. CODIGO_VERIFICACION es atributo de negocio y candidato UNIQUE, pero NO PK. La PK/FK de TIVE es idVehiculo; la unicidad adicional de numeroTitulo debe cotejarse con la regla funcional/SQL vigente.</x:v>
      </x:c>
      <x:c r="E35" s="1071" t="str">
        <x:v>RF54: corregir antigua PK</x:v>
      </x:c>
    </x:row>
    <x:row r="36">
      <x:c r="A36" s="1071" t="str">
        <x:v>RF054-EF1</x:v>
      </x:c>
      <x:c r="B36" s="1071" t="str">
        <x:v>F39</x:v>
      </x:c>
      <x:c r="C36" s="1071" t="str">
        <x:v>registrarTIVESiVehiculoActivoYDisponible(numeroVin,codigoVerificacion,datosTIVE)</x:v>
      </x:c>
      <x:c r="D36" s="1071" t="str">
        <x:v>registrarTIVESiVehiculoActivoYDisponible(idVehiculo,datosTIVE)</x:v>
      </x:c>
      <x:c r="E36" s="1071" t="str">
        <x:v>RF54: alta con FK estable</x:v>
      </x:c>
    </x:row>
    <x:row r="37">
      <x:c r="A37" s="1071" t="str">
        <x:v>RF054-EF1</x:v>
      </x:c>
      <x:c r="B37" s="1071" t="str">
        <x:v>G39</x:v>
      </x:c>
      <x:c r="C37" s="1071" t="str">
        <x:v>Antes del INSERT revalida EN SERVIDOR titularidad del usuario autenticado, vehículo ACTIVO y VIN vigente; exige una sola TIVE por VIN y código de verificación no duplicado. La transacción incluye documento e imagen opcional; no confirmar una TIVE parcial. PK/FK definitivas dependen del SQL real.</x:v>
      </x:c>
      <x:c r="D37" s="1071" t="str">
        <x:v>En UNA transacción: revalidar idUsuario propietario, VEHICULO.estado=ACTIVO, numeroVin presente, inexistencia de TIVE con igual idVehiculo (PK/FK 1:0..1) y unicidad de identificadores documentales exigidos. INSERT TIVE.idVehiculo = VEHICULO.idVehiculo. La imagen opcional se vincula con el MISMO idVehiculo y participa en el resultado consistente. Si alguna validación falla, no registrar ni confirmar éxito.</x:v>
      </x:c>
      <x:c r="E37" s="1071" t="str">
        <x:v>RF54: guardado transaccional TIVE</x:v>
      </x:c>
    </x:row>
    <x:row r="38">
      <x:c r="A38" s="1071" t="str">
        <x:v>RF054-EF1</x:v>
      </x:c>
      <x:c r="B38" s="1071" t="str">
        <x:v>F40</x:v>
      </x:c>
      <x:c r="C38" s="1071" t="str">
        <x:v>retornarTIVERegistrada(codigoVerificacion,datosTIVE)</x:v>
      </x:c>
      <x:c r="D38" s="1071" t="str">
        <x:v>retornarTIVERegistrada(idVehiculo,codigoVerificacion,datosTIVE)</x:v>
      </x:c>
      <x:c r="E38" s="1071" t="str">
        <x:v>RF54: retorno estable</x:v>
      </x:c>
    </x:row>
    <x:row r="39">
      <x:c r="A39" s="1071" t="str">
        <x:v>RF054-EF1</x:v>
      </x:c>
      <x:c r="B39" s="1071" t="str">
        <x:v>G40</x:v>
      </x:c>
      <x:c r="C39" s="1071" t="str">
        <x:v>La entidad confirma el registro y devuelve la clave del documento y los datos principales.</x:v>
      </x:c>
      <x:c r="D39" s="1071" t="str">
        <x:v>Devuelve idVehiculo (PK/FK del documento), código de verificación como dato documental y el resto de datos; no devuelve el código como identidad técnica.</x:v>
      </x:c>
      <x:c r="E39" s="1071" t="str">
        <x:v>RF54: identificador TIVE</x:v>
      </x:c>
    </x:row>
    <x:row r="40">
      <x:c r="A40" s="1071" t="str">
        <x:v>RF054-EF1</x:v>
      </x:c>
      <x:c r="B40" s="1071" t="str">
        <x:v>F41</x:v>
      </x:c>
      <x:c r="C40" s="1071" t="str">
        <x:v>registrarImagenTIVE(codigoVerificacion,imagen)</x:v>
      </x:c>
      <x:c r="D40" s="1071" t="str">
        <x:v>registrarImagenTIVE(idVehiculo,imagen)</x:v>
      </x:c>
      <x:c r="E40" s="1071" t="str">
        <x:v>RF54: imagen FK estable</x:v>
      </x:c>
    </x:row>
    <x:row r="41">
      <x:c r="A41" s="1071" t="str">
        <x:v>RF054-EF1</x:v>
      </x:c>
      <x:c r="B41" s="1071" t="str">
        <x:v>G41</x:v>
      </x:c>
      <x:c r="C41" s="1071" t="str">
        <x:v>Con imagen seleccionada y validada, delega el registro de la foto de la TIVE a C_ControlImagenTIVE. Sin imagen se aplica el alternativo RF54_ALT_IMAGEN.</x:v>
      </x:c>
      <x:c r="D41" s="1071" t="str">
        <x:v>Con imagen seleccionada, el controlador asocia la imagen al idVehiculo de la TIVE única. La foto no depende del CODIGO_VERIFICACION ni de numeroVin. Sin imagen, continúa la ruta opcional sin referencia de foto.</x:v>
      </x:c>
      <x:c r="E41" s="1071" t="str">
        <x:v>RF54: imagen por clave TIVE</x:v>
      </x:c>
    </x:row>
    <x:row r="42">
      <x:c r="A42" s="1071" t="str">
        <x:v>RF054-EF1</x:v>
      </x:c>
      <x:c r="B42" s="1071" t="str">
        <x:v>F42</x:v>
      </x:c>
      <x:c r="C42" s="1071" t="str">
        <x:v>guardarReferenciaImagen(codigoVerificacion,rutaSegura,tipo,tamanio)</x:v>
      </x:c>
      <x:c r="D42" s="1071" t="str">
        <x:v>guardarReferenciaImagen(idVehiculo,rutaSegura,tipo,tamanio)</x:v>
      </x:c>
      <x:c r="E42" s="1071" t="str">
        <x:v>RF54: referencia foto estable</x:v>
      </x:c>
    </x:row>
    <x:row r="43">
      <x:c r="A43" s="1071" t="str">
        <x:v>RF054-EF1</x:v>
      </x:c>
      <x:c r="B43" s="1071" t="str">
        <x:v>G42</x:v>
      </x:c>
      <x:c r="C43" s="1071" t="str">
        <x:v>Guarda referencia de la fotografía validada para la TIVE creada, dentro de la misma transacción SQL cuando comparten BD. Si el binario se almacena fuera de SQL, usar staging y compensación de archivo ante rollback; E_ImagenTIVE es entidad propuesta pendiente de cotejo físico.</x:v>
      </x:c>
      <x:c r="D43" s="1071" t="str">
        <x:v>E_ImagenTIVE, si está separada, referencia TIVE(idVehiculo) con FK estable y unicidad si se permite una foto vigente. Guardar la referencia validada en la misma transacción SQL; para archivos externos usar staging/compensación y solo confirmar si el vínculo queda íntegro. Cambiar codigoVerificacion NO requiere migrar la imagen.</x:v>
      </x:c>
      <x:c r="E43" s="1071" t="str">
        <x:v>RF54: consistencia archivos</x:v>
      </x:c>
    </x:row>
    <x:row r="44">
      <x:c r="A44" s="1071" t="str">
        <x:v>RF054-EF1</x:v>
      </x:c>
      <x:c r="B44" s="1071" t="str">
        <x:v>G46</x:v>
      </x:c>
      <x:c r="C44" s="1071" t="str">
        <x:v>ANTES de mostrar «¡TIVE registrada!», C_ControlTIVE confirma COMMIT de documento y referencia de imagen (si existe); si falla el guardado de ambos, ROLLBACK y NO mostrar éxito. Si el archivo es externo, finalizar compensación/staging. La interfaz conserva el botón «Ver detalle del vehículo».</x:v>
      </x:c>
      <x:c r="D44" s="1071" t="str">
        <x:v>ANTES de mostrar «¡TIVE registrada!», C_ControlTIVE confirma COMMIT de documento y referencia de imagen (si existe); si falla el guardado de ambos, ROLLBACK y NO mostrar éxito. Si el archivo es externo, finalizar compensación/staging. La interfaz conserva el botón «Ver detalle del vehículo». La operación se considera completa cuando TIVE.idVehiculo e imagen opcional están correctamente vinculados; el código de verificación jam</x:v>
      </x:c>
      <x:c r="E44" s="1071" t="str">
        <x:v>RF54: confirmación</x:v>
      </x:c>
    </x:row>
    <x:row r="45">
      <x:c r="A45" s="1071" t="str">
        <x:v>RF055-EF1</x:v>
      </x:c>
      <x:c r="B45" s="1071" t="str">
        <x:v>F11</x:v>
      </x:c>
      <x:c r="C45" s="1071" t="str">
        <x:v>retornarVehiculoConsultable(numeroVin,estadoVehiculo)</x:v>
      </x:c>
      <x:c r="D45" s="1071" t="str">
        <x:v>retornarVehiculoConsultable(idVehiculo,estadoVehiculo)</x:v>
      </x:c>
      <x:c r="E45" s="1071" t="str">
        <x:v>RF55: llave estable</x:v>
      </x:c>
    </x:row>
    <x:row r="46">
      <x:c r="A46" s="1071" t="str">
        <x:v>RF055-EF1</x:v>
      </x:c>
      <x:c r="B46" s="1071" t="str">
        <x:v>G11</x:v>
      </x:c>
      <x:c r="C46" s="1071" t="str">
        <x:v>Devuelve VIN y estado para continuar la consulta.</x:v>
      </x:c>
      <x:c r="D46" s="1071" t="str">
        <x:v>Devuelve idVehiculo y estado para consulta TIVE, incluso de vehículos INACTIVOS, siempre que pertenezcan a la cuenta; VIN es informativo y no identifica la asociación.</x:v>
      </x:c>
      <x:c r="E46" s="1071" t="str">
        <x:v>RF55: acceso TIVE</x:v>
      </x:c>
    </x:row>
    <x:row r="47">
      <x:c r="A47" s="1071" t="str">
        <x:v>RF055-EF1</x:v>
      </x:c>
      <x:c r="B47" s="1071" t="str">
        <x:v>F13</x:v>
      </x:c>
      <x:c r="C47" s="1071" t="str">
        <x:v>consultarTIVEActualPorVIN(numeroVin)</x:v>
      </x:c>
      <x:c r="D47" s="1071" t="str">
        <x:v>consultarTIVEPorIdVehiculo(idVehiculo)</x:v>
      </x:c>
      <x:c r="E47" s="1071" t="str">
        <x:v>RF55: consulta TIVE uniforme</x:v>
      </x:c>
    </x:row>
    <x:row r="48">
      <x:c r="A48" s="1071" t="str">
        <x:v>RF055-EF1</x:v>
      </x:c>
      <x:c r="B48" s="1071" t="str">
        <x:v>G13</x:v>
      </x:c>
      <x:c r="C48" s="1071" t="str">
        <x:v>Obtiene la TIVE actualmente registrada. No valida fecha de vencimiento, porque la TIVE no caduca; excluye versiones históricas.</x:v>
      </x:c>
      <x:c r="D48" s="1071" t="str">
        <x:v>Localiza la TIVE única por su idVehiculo (PK/FK a VEHICULO), sin depender del VIN. No maneja caducidad ni versiones históricas.</x:v>
      </x:c>
      <x:c r="E48" s="1071" t="str">
        <x:v>RF55: relación 1:0..1</x:v>
      </x:c>
    </x:row>
    <x:row r="49">
      <x:c r="A49" s="1071" t="str">
        <x:v>RF055-EF1</x:v>
      </x:c>
      <x:c r="B49" s="1071" t="str">
        <x:v>G14</x:v>
      </x:c>
      <x:c r="C49" s="1071" t="str">
        <x:v>Devuelve CODIGO_VERIFICACION (PK), NUMERO_TITULO, FECHA_TITULO y los datos registrales opcionales si existen.</x:v>
      </x:c>
      <x:c r="D49" s="1071" t="str">
        <x:v>Devuelve idVehiculo (PK/FK), CODIGO_VERIFICACION (campo documental, no PK), NUMERO_TITULO, FECHA_TITULO y registrales opcionales.</x:v>
      </x:c>
      <x:c r="E49" s="1071" t="str">
        <x:v>RF55: retorno clave correcta</x:v>
      </x:c>
    </x:row>
    <x:row r="50">
      <x:c r="A50" s="1071" t="str">
        <x:v>RF055-EF1</x:v>
      </x:c>
      <x:c r="B50" s="1071" t="str">
        <x:v>F15</x:v>
      </x:c>
      <x:c r="C50" s="1071" t="str">
        <x:v>solicitarImagenTIVE(datosTIVE.codigoVerificacion)</x:v>
      </x:c>
      <x:c r="D50" s="1071" t="str">
        <x:v>solicitarImagenTIVE(idVehiculo)</x:v>
      </x:c>
      <x:c r="E50" s="1071" t="str">
        <x:v>RF55: pedir imagen por id</x:v>
      </x:c>
    </x:row>
    <x:row r="51">
      <x:c r="A51" s="1071" t="str">
        <x:v>RF055-EF1</x:v>
      </x:c>
      <x:c r="B51" s="1071" t="str">
        <x:v>G15</x:v>
      </x:c>
      <x:c r="C51" s="1071" t="str">
        <x:v>En el escenario exitoso existe imagen de la TIVE. Solicita su referencia, sin consultar la imagen del vehículo.</x:v>
      </x:c>
      <x:c r="D51" s="1071" t="str">
        <x:v>En este escenario existe imagen: solicita por idVehiculo la referencia del archivo asociado a la misma TIVE, sin usar codigoVerificacion.</x:v>
      </x:c>
      <x:c r="E51" s="1071" t="str">
        <x:v>RF55: acceso foto</x:v>
      </x:c>
    </x:row>
    <x:row r="52">
      <x:c r="A52" s="1071" t="str">
        <x:v>RF055-EF1</x:v>
      </x:c>
      <x:c r="B52" s="1071" t="str">
        <x:v>F16</x:v>
      </x:c>
      <x:c r="C52" s="1071" t="str">
        <x:v>consultarImagenPorCodigo(codigoVerificacion)</x:v>
      </x:c>
      <x:c r="D52" s="1071" t="str">
        <x:v>consultarImagenPorIdVehiculo(idVehiculo)</x:v>
      </x:c>
      <x:c r="E52" s="1071" t="str">
        <x:v>RF55: imagen FK</x:v>
      </x:c>
    </x:row>
    <x:row r="53">
      <x:c r="A53" s="1071" t="str">
        <x:v>RF055-EF1</x:v>
      </x:c>
      <x:c r="B53" s="1071" t="str">
        <x:v>G16</x:v>
      </x:c>
      <x:c r="C53" s="1071" t="str">
        <x:v>Consulta la referencia almacenada de la foto de la TIVE, ligada al código de verificación.</x:v>
      </x:c>
      <x:c r="D53" s="1071" t="str">
        <x:v>Busca la imagen cuyo vínculo estable es idVehiculo de la TIVE única. Cambios de código o correcciones autorizadas de VIN no rompen la consulta.</x:v>
      </x:c>
      <x:c r="E53" s="1071" t="str">
        <x:v>RF55: imagen inmutable</x:v>
      </x:c>
    </x:row>
    <x:row r="54">
      <x:c r="A54" s="1071" t="str">
        <x:v>RF056-EF1</x:v>
      </x:c>
      <x:c r="B54" s="1071" t="str">
        <x:v>F11</x:v>
      </x:c>
      <x:c r="C54" s="1071" t="str">
        <x:v>retornarVehiculoActivo(numeroVin,estadoVehiculo)</x:v>
      </x:c>
      <x:c r="D54" s="1071" t="str">
        <x:v>retornarVehiculoActivo(idVehiculo,numeroVin,estadoVehiculo)</x:v>
      </x:c>
      <x:c r="E54" s="1071" t="str">
        <x:v>RF56: incluir PK</x:v>
      </x:c>
    </x:row>
    <x:row r="55">
      <x:c r="A55" s="1071" t="str">
        <x:v>RF056-EF1</x:v>
      </x:c>
      <x:c r="B55" s="1071" t="str">
        <x:v>G11</x:v>
      </x:c>
      <x:c r="C55" s="1071" t="str">
        <x:v>Entrega VIN y autorización para editar.</x:v>
      </x:c>
      <x:c r="D55" s="1071" t="str">
        <x:v>Entrega idVehiculo (clave técnica), VIN vigente como dato de comprobación y autorización de edición.</x:v>
      </x:c>
      <x:c r="E55" s="1071" t="str">
        <x:v>RF56: autorización</x:v>
      </x:c>
    </x:row>
    <x:row r="56">
      <x:c r="A56" s="1071" t="str">
        <x:v>RF056-EF1</x:v>
      </x:c>
      <x:c r="B56" s="1071" t="str">
        <x:v>F12</x:v>
      </x:c>
      <x:c r="C56" s="1071" t="str">
        <x:v>consultarTIVEActualPorVIN(numeroVin)</x:v>
      </x:c>
      <x:c r="D56" s="1071" t="str">
        <x:v>consultarTIVEPorIdVehiculo(idVehiculo)</x:v>
      </x:c>
      <x:c r="E56" s="1071" t="str">
        <x:v>RF56: consulta TIVE consistente</x:v>
      </x:c>
    </x:row>
    <x:row r="57">
      <x:c r="A57" s="1071" t="str">
        <x:v>RF056-EF1</x:v>
      </x:c>
      <x:c r="B57" s="1071" t="str">
        <x:v>G12</x:v>
      </x:c>
      <x:c r="C57" s="1071" t="str">
        <x:v>Obtiene el registro de TIVE actual identificado por CODIGO_VERIFICACION, no por idTIVE inexistente en la normalización.</x:v>
      </x:c>
      <x:c r="D57" s="1071" t="str">
        <x:v>Obtiene la única TIVE del vehículo por TIVE.idVehiculo (PK/FK). CODIGO_VERIFICACION es campo editable de negocio, NO PK, y VIN no es FK.</x:v>
      </x:c>
      <x:c r="E57" s="1071" t="str">
        <x:v>RF56: sin código como PK</x:v>
      </x:c>
    </x:row>
    <x:row r="58">
      <x:c r="A58" s="1071" t="str">
        <x:v>RF056-EF1</x:v>
      </x:c>
      <x:c r="B58" s="1071" t="str">
        <x:v>F14</x:v>
      </x:c>
      <x:c r="C58" s="1071" t="str">
        <x:v>solicitarImagenTIVEActual(codigoVerificacionAnterior)</x:v>
      </x:c>
      <x:c r="D58" s="1071" t="str">
        <x:v>solicitarImagenTIVEActual(idVehiculo)</x:v>
      </x:c>
      <x:c r="E58" s="1071" t="str">
        <x:v>RF56: imagen actual por id</x:v>
      </x:c>
    </x:row>
    <x:row r="59">
      <x:c r="A59" s="1071" t="str">
        <x:v>RF056-EF1</x:v>
      </x:c>
      <x:c r="B59" s="1071" t="str">
        <x:v>G14</x:v>
      </x:c>
      <x:c r="C59" s="1071" t="str">
        <x:v>Solicita la referencia de la imagen actual de la TIVE registrada, para precargarla sin modificarla.</x:v>
      </x:c>
      <x:c r="D59" s="1071" t="str">
        <x:v>Solicita la imagen actualmente asociada con TIVE.idVehiculo; no usar codigoVerificacionAnterior como clave de la foto.</x:v>
      </x:c>
      <x:c r="E59" s="1071" t="str">
        <x:v>RF56: imagen vinculada por id</x:v>
      </x:c>
    </x:row>
    <x:row r="60">
      <x:c r="A60" s="1071" t="str">
        <x:v>RF056-EF1</x:v>
      </x:c>
      <x:c r="B60" s="1071" t="str">
        <x:v>F15</x:v>
      </x:c>
      <x:c r="C60" s="1071" t="str">
        <x:v>consultarImagenPorCodigo(codigoVerificacionAnterior)</x:v>
      </x:c>
      <x:c r="D60" s="1071" t="str">
        <x:v>consultarImagenPorIdVehiculo(idVehiculo)</x:v>
      </x:c>
      <x:c r="E60" s="1071" t="str">
        <x:v>RF56: consulta foto por id</x:v>
      </x:c>
    </x:row>
    <x:row r="61">
      <x:c r="A61" s="1071" t="str">
        <x:v>RF056-EF1</x:v>
      </x:c>
      <x:c r="B61" s="1071" t="str">
        <x:v>G15</x:v>
      </x:c>
      <x:c r="C61" s="1071" t="str">
        <x:v>Consulta la referencia de imagen asociada al código de verificación actual.</x:v>
      </x:c>
      <x:c r="D61" s="1071" t="str">
        <x:v>Consulta E_ImagenTIVE por idVehiculo (FK a TIVE), conservando la misma imagen si se modifica el código de verificación.</x:v>
      </x:c>
      <x:c r="E61" s="1071" t="str">
        <x:v>RF56: persistencia foto</x:v>
      </x:c>
    </x:row>
    <x:row r="62">
      <x:c r="A62" s="1071" t="str">
        <x:v>RF056-EF1</x:v>
      </x:c>
      <x:c r="B62" s="1071" t="str">
        <x:v>F28</x:v>
      </x:c>
      <x:c r="C62" s="1071" t="str">
        <x:v>comprobarUnicidadExcluyendoTIVEActual(codigoVerificacion,nroTitulo,codigoAnterior)</x:v>
      </x:c>
      <x:c r="D62" s="1071" t="str">
        <x:v>comprobarUnicidadExcluyendoTIVEActual(idVehiculo,codigoVerificacion,nroTitulo)</x:v>
      </x:c>
      <x:c r="E62" s="1071" t="str">
        <x:v>RF56: excluye PK id</x:v>
      </x:c>
    </x:row>
    <x:row r="63">
      <x:c r="A63" s="1071" t="str">
        <x:v>RF056-EF1</x:v>
      </x:c>
      <x:c r="B63" s="1071" t="str">
        <x:v>G28</x:v>
      </x:c>
      <x:c r="C63" s="1071" t="str">
        <x:v>Comprueba que los identificadores propuestos no correspondan a otro documento; excluye la propia TIVE que se edita.</x:v>
      </x:c>
      <x:c r="D63" s="1071" t="str">
        <x:v>Contrasta identificadores de negocio propuestos contra otras TIVE excluyendo TIVE.idVehiculo actual; código de verificación no es PK. La regla de unicidad exacta de numeroTitulo queda condicionada al contrato definitivo de datos.</x:v>
      </x:c>
      <x:c r="E63" s="1071" t="str">
        <x:v>RF56: control únicos</x:v>
      </x:c>
    </x:row>
    <x:row r="64">
      <x:c r="A64" s="1071" t="str">
        <x:v>RF056-EF1</x:v>
      </x:c>
      <x:c r="B64" s="1071" t="str">
        <x:v>G30</x:v>
      </x:c>
      <x:c r="C64" s="1071" t="str">
        <x:v>Prepara actualización de la ÚNICA TIVE vinculada al VIN, sin conservar versiones históricas. Si se edita CODIGO_VERIFICACION, planifica también actualizar el vínculo de la imagen ya registrada; el orden de actualización debe respetar FK y UNIQUE vigentes.</x:v>
      </x:c>
      <x:c r="D64" s="1071" t="str">
        <x:v>Prepara UPDATE de la única TIVE localizable por idVehiculo (PK/FK), sin insertar versiones. Cambiar CODIGO_VERIFICACION no exige modificar la referencia de E_ImagenTIVE porque la imagen depende de idVehiculo; conserva codigoAnterior únicamente como token de concurrencia/versión. VIN solo puede corregirse mediante un procedimiento controlado distinto de RF11.</x:v>
      </x:c>
      <x:c r="E64" s="1071" t="str">
        <x:v>RF56: preparación única</x:v>
      </x:c>
    </x:row>
    <x:row r="65">
      <x:c r="A65" s="1071" t="str">
        <x:v>RF056-EF1</x:v>
      </x:c>
      <x:c r="B65" s="1071" t="str">
        <x:v>F32</x:v>
      </x:c>
      <x:c r="C65" s="1071" t="str">
        <x:v>actualizarTIVEUnicaYVinculoImagen(codigoAnterior,datosConsolidados)</x:v>
      </x:c>
      <x:c r="D65" s="1071" t="str">
        <x:v>actualizarTIVEUnicaPorIdVehiculo(idVehiculo,codigoAnterior,datosConsolidados)</x:v>
      </x:c>
      <x:c r="E65" s="1071" t="str">
        <x:v>RF56: update por PK estable</x:v>
      </x:c>
    </x:row>
    <x:row r="66">
      <x:c r="A66" s="1071" t="str">
        <x:v>RF056-EF1</x:v>
      </x:c>
      <x:c r="B66" s="1071" t="str">
        <x:v>G32</x:v>
      </x:c>
      <x:c r="C66" s="1071" t="str">
        <x:v>Actualizar la TIVE vigente SIN insertar segunda versión ni historial documental. EN LA MISMA transacción revalidar titularidad, vehículo ACTIVO, VIN fijo y unicidad; si cambia CODIGO_VERIFICACION, migrar referencia E_ImagenTIVE al nuevo código, respetando las FK y conservando el mismo archivo. COMMIT único; ROLLBACK total ante error. E_ImagenTIVE requiere cotejo con SQL.</x:v>
      </x:c>
      <x:c r="D66" s="1071" t="str">
        <x:v>Dentro de UNA transacción, bloquear/revalidar idVehiculo propietario y ACTIVO, VIN requerido y TIVE existente; comprobar identificadores únicos y el codigoAnterior/versión para detectar edición concurrente. UPDATE TIVE WHERE idVehiculo=? sin INSERT de historial. Imagen referenciada por idVehiculo queda INTACTA aunque cambie codigoVerificacion. COMMIT único; ROLLBACK sin mostrar éxito ante fallo.</x:v>
      </x:c>
      <x:c r="E66" s="1071" t="str">
        <x:v>RF56: update y concurrencia</x:v>
      </x:c>
    </x:row>
    <x:row r="67">
      <x:c r="A67" s="1071" t="str">
        <x:v>RF056-EF1</x:v>
      </x:c>
      <x:c r="B67" s="1071" t="str">
        <x:v>G33</x:v>
      </x:c>
      <x:c r="C67" s="1071" t="str">
        <x:v>Devuelve los datos finales SOLO después del COMMIT consistente de la TIVE única y su referencia de imagen. Si se cambia el código, se retorna el nuevo código para que RF55 consulte correctamente la foto existente.</x:v>
      </x:c>
      <x:c r="D67" s="1071" t="str">
        <x:v>Tras COMMIT devuelve los datos finales de la TIVE de idVehiculo. El cambio del código de verificación no requiere migrar ni regrabar la imagen, ya que la FK es idVehiculo.</x:v>
      </x:c>
      <x:c r="E67" s="1071" t="str">
        <x:v>RF56: retorno consistente</x:v>
      </x:c>
    </x:row>
    <x:row r="68">
      <x:c r="A68" s="1071" t="str">
        <x:v>RF056-EF1</x:v>
      </x:c>
      <x:c r="B68" s="1071" t="str">
        <x:v>F39</x:v>
      </x:c>
      <x:c r="C68" s="1071" t="str">
        <x:v>consultarTIVEActualPorVIN(numeroVin)</x:v>
      </x:c>
      <x:c r="D68" s="1071" t="str">
        <x:v>consultarTIVEPorIdVehiculo(idVehiculo)</x:v>
      </x:c>
      <x:c r="E68" s="1071" t="str">
        <x:v>RF56: reconsulta TIVE por PK</x:v>
      </x:c>
    </x:row>
    <x:row r="69">
      <x:c r="A69" s="1071" t="str">
        <x:v>RF056-EF1</x:v>
      </x:c>
      <x:c r="B69" s="1071" t="str">
        <x:v>G39</x:v>
      </x:c>
      <x:c r="C69" s="1071" t="str">
        <x:v>Consulta la versión actual registrada de la TIVE para evitar información desactualizada.</x:v>
      </x:c>
      <x:c r="D69" s="1071" t="str">
        <x:v>Relee la TIVE vigente mediante idVehiculo después de guardar para evitar datos desactualizados; no busca por VIN.</x:v>
      </x:c>
      <x:c r="E69" s="1071" t="str">
        <x:v>RF56: relectura</x:v>
      </x:c>
    </x:row>
    <x:row r="70">
      <x:c r="A70" s="1071" t="str">
        <x:v>RF056-EF1</x:v>
      </x:c>
      <x:c r="B70" s="1071" t="str">
        <x:v>F41</x:v>
      </x:c>
      <x:c r="C70" s="1071" t="str">
        <x:v>solicitarImagenTIVEActual(datosTIVE.codigoVerificacion)</x:v>
      </x:c>
      <x:c r="D70" s="1071" t="str">
        <x:v>solicitarImagenTIVEActual(idVehiculo)</x:v>
      </x:c>
      <x:c r="E70" s="1071" t="str">
        <x:v>RF56: reconsulta imagen por PK</x:v>
      </x:c>
    </x:row>
    <x:row r="71">
      <x:c r="A71" s="1071" t="str">
        <x:v>RF056-EF1</x:v>
      </x:c>
      <x:c r="B71" s="1071" t="str">
        <x:v>G41</x:v>
      </x:c>
      <x:c r="C71" s="1071" t="str">
        <x:v>Consulta la foto actualmente vinculada a la TIVE luego de guardar, para mostrar la versión correcta.</x:v>
      </x:c>
      <x:c r="D71" s="1071" t="str">
        <x:v>Solicita foto de la misma TIVE por idVehiculo; conserva la asociación aunque el código de verificación haya cambiado.</x:v>
      </x:c>
      <x:c r="E71" s="1071" t="str">
        <x:v>RF56: imagen guardada</x:v>
      </x:c>
    </x:row>
    <x:row r="72">
      <x:c r="A72" s="1071" t="str">
        <x:v>RF056-EF1</x:v>
      </x:c>
      <x:c r="B72" s="1071" t="str">
        <x:v>F42</x:v>
      </x:c>
      <x:c r="C72" s="1071" t="str">
        <x:v>consultarImagenPorCodigo(codigoVerificacion)</x:v>
      </x:c>
      <x:c r="D72" s="1071" t="str">
        <x:v>consultarImagenPorIdVehiculo(idVehiculo)</x:v>
      </x:c>
      <x:c r="E72" s="1071" t="str">
        <x:v>RF56: lookup imagen sin código</x:v>
      </x:c>
    </x:row>
    <x:row r="73">
      <x:c r="A73" s="1071" t="str">
        <x:v>RF056-EF1</x:v>
      </x:c>
      <x:c r="B73" s="1071" t="str">
        <x:v>G42</x:v>
      </x:c>
      <x:c r="C73" s="1071" t="str">
        <x:v>Busca la referencia de la imagen que ya estaba registrada.</x:v>
      </x:c>
      <x:c r="D73" s="1071" t="str">
        <x:v>Localiza la referencia por idVehiculo (FK a TIVE), sin buscar por codigoVerificacion.</x:v>
      </x:c>
      <x:c r="E73" s="1071" t="str">
        <x:v>RF56: vinculación imagen</x:v>
      </x:c>
    </x:row>
    <x:row r="74">
      <x:c r="A74" s="1071" t="str">
        <x:v>RF012-EF1</x:v>
      </x:c>
      <x:c r="B74" s="1071" t="str">
        <x:v>G68</x:v>
      </x:c>
      <x:c r="C74" s="1071" t="str">
        <x:v>La entidad consulta si cada vehículo tiene TIVE registrada. No trata la TIVE como un documento con vencimiento.</x:v>
      </x:c>
      <x:c r="D74" s="1071" t="str">
        <x:v>La entidad consulta si cada vehículo tiene TIVE registrada. No trata la TIVE como un documento con vencimiento. Comprobar la presencia de TIVE por TIVE.idVehiculo, no por VIN.</x:v>
      </x:c>
      <x:c r="E74" s="1071" t="str">
        <x:v>RF12/13: TIVE en listado</x:v>
      </x:c>
    </x:row>
    <x:row r="75">
      <x:c r="A75" s="1071" t="str">
        <x:v>RF013-EF1</x:v>
      </x:c>
      <x:c r="B75" s="1071" t="str">
        <x:v>G45</x:v>
      </x:c>
      <x:c r="C75" s="1071" t="str">
        <x:v>La entidad consulta si cada vehículo tiene TIVE registrada. No trata la TIVE como un documento con vencimiento.</x:v>
      </x:c>
      <x:c r="D75" s="1071" t="str">
        <x:v>La entidad consulta si cada vehículo tiene TIVE registrada. No trata la TIVE como un documento con vencimiento. Consultar TIVE por idVehiculo de cada tarjeta, sin vincular por VIN.</x:v>
      </x:c>
      <x:c r="E75" s="1071" t="str">
        <x:v>RF12/13: TIVE en listado</x:v>
      </x:c>
    </x:row>
    <x:row r="76">
      <x:c r="A76" s="1071" t="str">
        <x:v>BCE_TIVE</x:v>
      </x:c>
      <x:c r="B76" s="1071" t="str">
        <x:v>A13</x:v>
      </x:c>
      <x:c r="C76" s="1071" t="str"/>
      <x:c r="D76" s="1071" t="str">
        <x:v>Referencia de imagen TIVE</x:v>
      </x:c>
      <x:c r="E76" s="1071" t="str">
        <x:v>BCE: contrato adicional</x:v>
      </x:c>
    </x:row>
    <x:row r="77">
      <x:c r="A77" s="1071" t="str">
        <x:v>BCE_TIVE</x:v>
      </x:c>
      <x:c r="B77" s="1071" t="str">
        <x:v>B13</x:v>
      </x:c>
      <x:c r="C77" s="1071" t="str"/>
      <x:c r="D77" s="1071" t="str">
        <x:v>RF54 / RF55 / RF56</x:v>
      </x:c>
      <x:c r="E77" s="1071" t="str">
        <x:v>BCE: relación</x:v>
      </x:c>
    </x:row>
    <x:row r="78">
      <x:c r="A78" s="1071" t="str">
        <x:v>BCE_TIVE</x:v>
      </x:c>
      <x:c r="B78" s="1071" t="str">
        <x:v>C13</x:v>
      </x:c>
      <x:c r="C78" s="1071" t="str"/>
      <x:c r="D78" s="1071" t="str">
        <x:v>E_ImagenTIVE ↔ TIVE(idVehiculo)</x:v>
      </x:c>
      <x:c r="E78" s="1071" t="str">
        <x:v>BCE: FK</x:v>
      </x:c>
    </x:row>
    <x:row r="79">
      <x:c r="A79" s="1071" t="str">
        <x:v>BCE_TIVE</x:v>
      </x:c>
      <x:c r="B79" s="1071" t="str">
        <x:v>D13</x:v>
      </x:c>
      <x:c r="C79" s="1071" t="str"/>
      <x:c r="D79" s="1071" t="str">
        <x:v>consultarImagenPorIdVehiculo(idVehiculo)</x:v>
      </x:c>
      <x:c r="E79" s="1071" t="str">
        <x:v>BCE: método</x:v>
      </x:c>
    </x:row>
    <x:row r="80">
      <x:c r="A80" s="1071" t="str">
        <x:v>BCE_TIVE</x:v>
      </x:c>
      <x:c r="B80" s="1071" t="str">
        <x:v>E13</x:v>
      </x:c>
      <x:c r="C80" s="1071" t="str"/>
      <x:c r="D80" s="1071" t="str">
        <x:v>Imagen opcional enlazada por idVehiculo. codigoVerificacion y VIN son datos de negocio; cambiarlos no obliga a migrar FK de la imagen.</x:v>
      </x:c>
      <x:c r="E80" s="1071" t="str">
        <x:v>BCE: regla</x:v>
      </x:c>
    </x:row>
    <x:row r="81">
      <x:c r="A81" s="1071" t="str">
        <x:v>REGLAS_TRANSVERSALES</x:v>
      </x:c>
      <x:c r="B81" s="1071" t="str">
        <x:v>A19</x:v>
      </x:c>
      <x:c r="C81" s="1071" t="str"/>
      <x:c r="D81" s="1071" t="str">
        <x:v>Identidad vehículo</x:v>
      </x:c>
      <x:c r="E81" s="1071" t="str">
        <x:v>Regla transversal confirmada</x:v>
      </x:c>
    </x:row>
    <x:row r="82">
      <x:c r="A82" s="1071" t="str">
        <x:v>REGLAS_TRANSVERSALES</x:v>
      </x:c>
      <x:c r="B82" s="1071" t="str">
        <x:v>B19</x:v>
      </x:c>
      <x:c r="C82" s="1071" t="str"/>
      <x:c r="D82" s="1071" t="str">
        <x:v>VEHICULO.idVehiculo PK interna autogenerada; numeroVin opcional/UNIQUE cuando existe; placa obligatoria con verificación de duplicados</x:v>
      </x:c>
      <x:c r="E82" s="1071" t="str">
        <x:v>Regla transversal confirmada</x:v>
      </x:c>
    </x:row>
    <x:row r="83">
      <x:c r="A83" s="1071" t="str">
        <x:v>REGLAS_TRANSVERSALES</x:v>
      </x:c>
      <x:c r="B83" s="1071" t="str">
        <x:v>C19</x:v>
      </x:c>
      <x:c r="C83" s="1071" t="str"/>
      <x:c r="D83" s="1071" t="str">
        <x:v>RF08–RF16; RF17–RF27; RF30–RF50; RF54–RF56</x:v>
      </x:c>
      <x:c r="E83" s="1071" t="str">
        <x:v>Regla transversal confirmada</x:v>
      </x:c>
    </x:row>
    <x:row r="84">
      <x:c r="A84" s="1071" t="str">
        <x:v>REGLAS_TRANSVERSALES</x:v>
      </x:c>
      <x:c r="B84" s="1071" t="str">
        <x:v>D19</x:v>
      </x:c>
      <x:c r="C84" s="1071" t="str"/>
      <x:c r="D84" s="1071" t="str">
        <x:v>Toda FK hacia VEHICULO usa idVehiculo, nunca VIN ni placa; un dato opcional no puede ser PK. Unicidad VIN/placa debe tener respaldo físico.</x:v>
      </x:c>
      <x:c r="E84" s="1071" t="str">
        <x:v>Regla transversal confirmada</x:v>
      </x:c>
    </x:row>
    <x:row r="85">
      <x:c r="A85" s="1071" t="str">
        <x:v>REGLAS_TRANSVERSALES</x:v>
      </x:c>
      <x:c r="B85" s="1071" t="str">
        <x:v>E19</x:v>
      </x:c>
      <x:c r="C85" s="1071" t="str"/>
      <x:c r="D85" s="1071" t="str">
        <x:v>CONFIRMADA por usuario · migración SQL pendiente</x:v>
      </x:c>
      <x:c r="E85" s="1071" t="str">
        <x:v>Regla transversal confirmada</x:v>
      </x:c>
    </x:row>
    <x:row r="86">
      <x:c r="A86" s="1071" t="str">
        <x:v>REGLAS_TRANSVERSALES</x:v>
      </x:c>
      <x:c r="B86" s="1071" t="str">
        <x:v>A20</x:v>
      </x:c>
      <x:c r="C86" s="1071" t="str"/>
      <x:c r="D86" s="1071" t="str">
        <x:v>Alta Free</x:v>
      </x:c>
      <x:c r="E86" s="1071" t="str">
        <x:v>Regla transversal confirmada</x:v>
      </x:c>
    </x:row>
    <x:row r="87">
      <x:c r="A87" s="1071" t="str">
        <x:v>REGLAS_TRANSVERSALES</x:v>
      </x:c>
      <x:c r="B87" s="1071" t="str">
        <x:v>B20</x:v>
      </x:c>
      <x:c r="C87" s="1071" t="str"/>
      <x:c r="D87" s="1071" t="str">
        <x:v>Plan FREE: permite registro normal solo si cantidad TOTAL de vehículos registrados = 0; los inactivos también cuentan</x:v>
      </x:c>
      <x:c r="E87" s="1071" t="str">
        <x:v>Regla transversal confirmada</x:v>
      </x:c>
    </x:row>
    <x:row r="88">
      <x:c r="A88" s="1071" t="str">
        <x:v>REGLAS_TRANSVERSALES</x:v>
      </x:c>
      <x:c r="B88" s="1071" t="str">
        <x:v>C20</x:v>
      </x:c>
      <x:c r="C88" s="1071" t="str"/>
      <x:c r="D88" s="1071" t="str">
        <x:v>RF08 / RF09 / RF12 / RF30</x:v>
      </x:c>
      <x:c r="E88" s="1071" t="str">
        <x:v>Regla transversal confirmada</x:v>
      </x:c>
    </x:row>
    <x:row r="89">
      <x:c r="A89" s="1071" t="str">
        <x:v>REGLAS_TRANSVERSALES</x:v>
      </x:c>
      <x:c r="B89" s="1071" t="str">
        <x:v>D20</x:v>
      </x:c>
      <x:c r="C89" s="1071" t="str"/>
      <x:c r="D89" s="1071" t="str">
        <x:v>El servidor revalida plan efectivo y cupo en transacción antes de insertar. No eliminar ni esconder registros previos por superar el límite tras downgrade.</x:v>
      </x:c>
      <x:c r="E89" s="1071" t="str">
        <x:v>Regla transversal confirmada</x:v>
      </x:c>
    </x:row>
    <x:row r="90">
      <x:c r="A90" s="1071" t="str">
        <x:v>REGLAS_TRANSVERSALES</x:v>
      </x:c>
      <x:c r="B90" s="1071" t="str">
        <x:v>E20</x:v>
      </x:c>
      <x:c r="C90" s="1071" t="str"/>
      <x:c r="D90" s="1071" t="str">
        <x:v>CONFIRMADA por usuario · revisar concurrencia</x:v>
      </x:c>
      <x:c r="E90" s="1071" t="str">
        <x:v>Regla transversal confirmada</x:v>
      </x:c>
    </x:row>
    <x:row r="91">
      <x:c r="A91" s="1071" t="str">
        <x:v>REGLAS_TRANSVERSALES</x:v>
      </x:c>
      <x:c r="B91" s="1071" t="str">
        <x:v>A21</x:v>
      </x:c>
      <x:c r="C91" s="1071" t="str"/>
      <x:c r="D91" s="1071" t="str">
        <x:v>Fin Premium</x:v>
      </x:c>
      <x:c r="E91" s="1071" t="str">
        <x:v>Regla transversal confirmada</x:v>
      </x:c>
    </x:row>
    <x:row r="92">
      <x:c r="A92" s="1071" t="str">
        <x:v>REGLAS_TRANSVERSALES</x:v>
      </x:c>
      <x:c r="B92" s="1071" t="str">
        <x:v>B21</x:v>
      </x:c>
      <x:c r="C92" s="1071" t="str"/>
      <x:c r="D92" s="1071" t="str">
        <x:v>Al terminar Premium, conservar vehículos e históricos; únicamente principal permanece ACTIVO y secundarios quedan INACTIVOS</x:v>
      </x:c>
      <x:c r="E92" s="1071" t="str">
        <x:v>Regla transversal confirmada</x:v>
      </x:c>
    </x:row>
    <x:row r="93">
      <x:c r="A93" s="1071" t="str">
        <x:v>REGLAS_TRANSVERSALES</x:v>
      </x:c>
      <x:c r="B93" s="1071" t="str">
        <x:v>C21</x:v>
      </x:c>
      <x:c r="C93" s="1071" t="str"/>
      <x:c r="D93" s="1071" t="str">
        <x:v>RF08 / RF09 / RF12 / RF13 / RF30 / RF46–RF50</x:v>
      </x:c>
      <x:c r="E93" s="1071" t="str">
        <x:v>Regla transversal confirmada</x:v>
      </x:c>
    </x:row>
    <x:row r="94">
      <x:c r="A94" s="1071" t="str">
        <x:v>REGLAS_TRANSVERSALES</x:v>
      </x:c>
      <x:c r="B94" s="1071" t="str">
        <x:v>D21</x:v>
      </x:c>
      <x:c r="C94" s="1071" t="str"/>
      <x:c r="D94" s="1071" t="str">
        <x:v>Conciliación atómica/idempotente por usuario: un principal activo; los demás registros permanecen consultables y sin nuevos avisos.</x:v>
      </x:c>
      <x:c r="E94" s="1071" t="str">
        <x:v>Regla transversal confirmada</x:v>
      </x:c>
    </x:row>
    <x:row r="95">
      <x:c r="A95" s="1071" t="str">
        <x:v>REGLAS_TRANSVERSALES</x:v>
      </x:c>
      <x:c r="B95" s="1071" t="str">
        <x:v>E21</x:v>
      </x:c>
      <x:c r="C95" s="1071" t="str"/>
      <x:c r="D95" s="1071" t="str">
        <x:v>CONFIRMADA por usuario · verificar caso sin principal</x:v>
      </x:c>
      <x:c r="E95" s="1071" t="str">
        <x:v>Regla transversal confirmada</x:v>
      </x:c>
    </x:row>
    <x:row r="96">
      <x:c r="A96" s="1071" t="str">
        <x:v>REGLAS_TRANSVERSALES</x:v>
      </x:c>
      <x:c r="B96" s="1071" t="str">
        <x:v>A22</x:v>
      </x:c>
      <x:c r="C96" s="1071" t="str"/>
      <x:c r="D96" s="1071" t="str">
        <x:v>Relación TIVE</x:v>
      </x:c>
      <x:c r="E96" s="1071" t="str">
        <x:v>Regla transversal confirmada</x:v>
      </x:c>
    </x:row>
    <x:row r="97">
      <x:c r="A97" s="1071" t="str">
        <x:v>REGLAS_TRANSVERSALES</x:v>
      </x:c>
      <x:c r="B97" s="1071" t="str">
        <x:v>B22</x:v>
      </x:c>
      <x:c r="C97" s="1071" t="str"/>
      <x:c r="D97" s="1071" t="str">
        <x:v>VEHICULO (1) ↔ TIVE (0..1) por idVehiculo; TIVE.idVehiculo es PK/FK</x:v>
      </x:c>
      <x:c r="E97" s="1071" t="str">
        <x:v>Regla transversal confirmada</x:v>
      </x:c>
    </x:row>
    <x:row r="98">
      <x:c r="A98" s="1071" t="str">
        <x:v>REGLAS_TRANSVERSALES</x:v>
      </x:c>
      <x:c r="B98" s="1071" t="str">
        <x:v>C22</x:v>
      </x:c>
      <x:c r="C98" s="1071" t="str"/>
      <x:c r="D98" s="1071" t="str">
        <x:v>RF09 / RF10 / RF11 / RF54 / RF55 / RF56</x:v>
      </x:c>
      <x:c r="E98" s="1071" t="str">
        <x:v>Regla transversal confirmada</x:v>
      </x:c>
    </x:row>
    <x:row r="99">
      <x:c r="A99" s="1071" t="str">
        <x:v>REGLAS_TRANSVERSALES</x:v>
      </x:c>
      <x:c r="B99" s="1071" t="str">
        <x:v>D22</x:v>
      </x:c>
      <x:c r="C99" s="1071" t="str"/>
      <x:c r="D99" s="1071" t="str">
        <x:v>VIN existente requisito funcional para insertar TIVE, no PK/FK ni clave de consulta. codigoVerificacion es dato documental candidato UNIQUE. TIVE no tiene versiones.</x:v>
      </x:c>
      <x:c r="E99" s="1071" t="str">
        <x:v>Regla transversal confirmada</x:v>
      </x:c>
    </x:row>
    <x:row r="100">
      <x:c r="A100" s="1071" t="str">
        <x:v>REGLAS_TRANSVERSALES</x:v>
      </x:c>
      <x:c r="B100" s="1071" t="str">
        <x:v>E22</x:v>
      </x:c>
      <x:c r="C100" s="1071" t="str"/>
      <x:c r="D100" s="1071" t="str">
        <x:v>CONFIRMADA por usuario · SQL por ajustar</x:v>
      </x:c>
      <x:c r="E100" s="1071" t="str">
        <x:v>Regla transversal confirmada</x:v>
      </x:c>
    </x:row>
    <x:row r="101">
      <x:c r="A101" s="1071" t="str">
        <x:v>REGLAS_TRANSVERSALES</x:v>
      </x:c>
      <x:c r="B101" s="1071" t="str">
        <x:v>A23</x:v>
      </x:c>
      <x:c r="C101" s="1071" t="str"/>
      <x:c r="D101" s="1071" t="str">
        <x:v>Imagen TIVE</x:v>
      </x:c>
      <x:c r="E101" s="1071" t="str">
        <x:v>Regla transversal confirmada</x:v>
      </x:c>
    </x:row>
    <x:row r="102">
      <x:c r="A102" s="1071" t="str">
        <x:v>REGLAS_TRANSVERSALES</x:v>
      </x:c>
      <x:c r="B102" s="1071" t="str">
        <x:v>B23</x:v>
      </x:c>
      <x:c r="C102" s="1071" t="str"/>
      <x:c r="D102" s="1071" t="str">
        <x:v>E_ImagenTIVE se vincula a TIVE mediante idVehiculo; imagen opcional, referencia estable</x:v>
      </x:c>
      <x:c r="E102" s="1071" t="str">
        <x:v>Regla transversal confirmada</x:v>
      </x:c>
    </x:row>
    <x:row r="103">
      <x:c r="A103" s="1071" t="str">
        <x:v>REGLAS_TRANSVERSALES</x:v>
      </x:c>
      <x:c r="B103" s="1071" t="str">
        <x:v>C23</x:v>
      </x:c>
      <x:c r="C103" s="1071" t="str"/>
      <x:c r="D103" s="1071" t="str">
        <x:v>RF54 / RF55 / RF56</x:v>
      </x:c>
      <x:c r="E103" s="1071" t="str">
        <x:v>Regla transversal confirmada</x:v>
      </x:c>
    </x:row>
    <x:row r="104">
      <x:c r="A104" s="1071" t="str">
        <x:v>REGLAS_TRANSVERSALES</x:v>
      </x:c>
      <x:c r="B104" s="1071" t="str">
        <x:v>D23</x:v>
      </x:c>
      <x:c r="C104" s="1071" t="str"/>
      <x:c r="D104" s="1071" t="str">
        <x:v>Editar codigoVerificacion no exige trasladar la imagen: FK idVehiculo se mantiene. Consistencia de archivo SQL/externo antes de mostrar éxito.</x:v>
      </x:c>
      <x:c r="E104" s="1071" t="str">
        <x:v>Regla transversal confirmada</x:v>
      </x:c>
    </x:row>
    <x:row r="105">
      <x:c r="A105" s="1071" t="str">
        <x:v>REGLAS_TRANSVERSALES</x:v>
      </x:c>
      <x:c r="B105" s="1071" t="str">
        <x:v>E23</x:v>
      </x:c>
      <x:c r="C105" s="1071" t="str"/>
      <x:c r="D105" s="1071" t="str">
        <x:v>CONTRATO propuesto coherente · revisar esquema final</x:v>
      </x:c>
      <x:c r="E105" s="1071" t="str">
        <x:v>Regla transversal confirmada</x:v>
      </x:c>
    </x:row>
    <x:row r="106">
      <x:c r="A106" s="1071" t="str">
        <x:v>REGLAS_TRANSVERSALES</x:v>
      </x:c>
      <x:c r="B106" s="1071" t="str">
        <x:v>A24</x:v>
      </x:c>
      <x:c r="C106" s="1071" t="str"/>
      <x:c r="D106" s="1071" t="str">
        <x:v>VIN con TIVE</x:v>
      </x:c>
      <x:c r="E106" s="1071" t="str">
        <x:v>Regla transversal confirmada</x:v>
      </x:c>
    </x:row>
    <x:row r="107">
      <x:c r="A107" s="1071" t="str">
        <x:v>REGLAS_TRANSVERSALES</x:v>
      </x:c>
      <x:c r="B107" s="1071" t="str">
        <x:v>B24</x:v>
      </x:c>
      <x:c r="C107" s="1071" t="str"/>
      <x:c r="D107" s="1071" t="str">
        <x:v>RF11 impide modificar/eliminar numeroVin cuando ya existe TIVE; procedimiento separado y controlado para corregirlo</x:v>
      </x:c>
      <x:c r="E107" s="1071" t="str">
        <x:v>Regla transversal confirmada</x:v>
      </x:c>
    </x:row>
    <x:row r="108">
      <x:c r="A108" s="1071" t="str">
        <x:v>REGLAS_TRANSVERSALES</x:v>
      </x:c>
      <x:c r="B108" s="1071" t="str">
        <x:v>C24</x:v>
      </x:c>
      <x:c r="C108" s="1071" t="str"/>
      <x:c r="D108" s="1071" t="str">
        <x:v>RF08 / RF11 / RF54 / RF56</x:v>
      </x:c>
      <x:c r="E108" s="1071" t="str">
        <x:v>Regla transversal confirmada</x:v>
      </x:c>
    </x:row>
    <x:row r="109">
      <x:c r="A109" s="1071" t="str">
        <x:v>REGLAS_TRANSVERSALES</x:v>
      </x:c>
      <x:c r="B109" s="1071" t="str">
        <x:v>D24</x:v>
      </x:c>
      <x:c r="C109" s="1071" t="str"/>
      <x:c r="D109" s="1071" t="str">
        <x:v>Bloqueo UI y backend; validación atómica ante la carrera RF11↔RF54. No cambiar idVehiculo ni actualizar TIVE por VIN.</x:v>
      </x:c>
      <x:c r="E109" s="1071" t="str">
        <x:v>Regla transversal confirmada</x:v>
      </x:c>
    </x:row>
    <x:row r="110">
      <x:c r="A110" s="1071" t="str">
        <x:v>REGLAS_TRANSVERSALES</x:v>
      </x:c>
      <x:c r="B110" s="1071" t="str">
        <x:v>E24</x:v>
      </x:c>
      <x:c r="C110" s="1071" t="str"/>
      <x:c r="D110" s="1071" t="str">
        <x:v>CONFIRMADA por usuario · procedimiento controlado pendiente de especificar</x:v>
      </x:c>
      <x:c r="E110" s="1071" t="str">
        <x:v>Regla transversal confirmada</x:v>
      </x:c>
    </x:row>
    <x:row r="111">
      <x:c r="A111" s="1071" t="str">
        <x:v>REGLAS_TRANSVERSALES</x:v>
      </x:c>
      <x:c r="B111" s="1071" t="str">
        <x:v>A25</x:v>
      </x:c>
      <x:c r="C111" s="1071" t="str"/>
      <x:c r="D111" s="1071" t="str">
        <x:v>Prioridad documental</x:v>
      </x:c>
      <x:c r="E111" s="1071" t="str">
        <x:v>Regla transversal confirmada</x:v>
      </x:c>
    </x:row>
    <x:row r="112">
      <x:c r="A112" s="1071" t="str">
        <x:v>REGLAS_TRANSVERSALES</x:v>
      </x:c>
      <x:c r="B112" s="1071" t="str">
        <x:v>B25</x:v>
      </x:c>
      <x:c r="C112" s="1071" t="str"/>
      <x:c r="D112" s="1071" t="str">
        <x:v>Las reglas de esta hoja y DECISIONES_CIERRE_20261021 prevalecen sobre hojas históricas de auditoría</x:v>
      </x:c>
      <x:c r="E112" s="1071" t="str">
        <x:v>Regla transversal confirmada</x:v>
      </x:c>
    </x:row>
    <x:row r="113">
      <x:c r="A113" s="1071" t="str">
        <x:v>REGLAS_TRANSVERSALES</x:v>
      </x:c>
      <x:c r="B113" s="1071" t="str">
        <x:v>C25</x:v>
      </x:c>
      <x:c r="C113" s="1071" t="str"/>
      <x:c r="D113" s="1071" t="str">
        <x:v>RF01–RF64</x:v>
      </x:c>
      <x:c r="E113" s="1071" t="str">
        <x:v>Regla transversal confirmada</x:v>
      </x:c>
    </x:row>
    <x:row r="114">
      <x:c r="A114" s="1071" t="str">
        <x:v>REGLAS_TRANSVERSALES</x:v>
      </x:c>
      <x:c r="B114" s="1071" t="str">
        <x:v>D25</x:v>
      </x:c>
      <x:c r="C114" s="1071" t="str"/>
      <x:c r="D114" s="1071" t="str">
        <x:v>No reescribir automáticamente flujos no afectados; conservar auditoría histórica y anotar nueva precedencia.</x:v>
      </x:c>
      <x:c r="E114" s="1071" t="str">
        <x:v>Regla transversal confirmada</x:v>
      </x:c>
    </x:row>
    <x:row r="115">
      <x:c r="A115" s="1071" t="str">
        <x:v>REGLAS_TRANSVERSALES</x:v>
      </x:c>
      <x:c r="B115" s="1071" t="str">
        <x:v>E25</x:v>
      </x:c>
      <x:c r="C115" s="1071" t="str"/>
      <x:c r="D115" s="1071" t="str">
        <x:v>Versión de reglas vigente 2026-10-21</x:v>
      </x:c>
      <x:c r="E115" s="1071" t="str">
        <x:v>Regla transversal confirmada</x:v>
      </x:c>
    </x:row>
    <x:row r="116">
      <x:c r="A116" s="1071" t="str">
        <x:v>EF_VEREDICTO_2110</x:v>
      </x:c>
      <x:c r="B116" s="1071" t="str">
        <x:v>B5</x:v>
      </x:c>
      <x:c r="C116" s="1071" t="str">
        <x:v>CONGELAMIENTO DOCUMENTAL PARCIAL VIABLE después de las correcciones de esta versión.</x:v>
      </x:c>
      <x:c r="D116" s="1071" t="str">
        <x:v>CONGELAMIENTO FUNCIONAL EF viable tras incorporar decisiones de identidad/planes/TIVE. Guía vigente: DECISIONES_CIERRE_20261021; no equivale a certificación física SQL o APIs.</x:v>
      </x:c>
      <x:c r="E116" s="1071" t="str">
        <x:v>Veredicto actual</x:v>
      </x:c>
    </x:row>
    <x:row r="117">
      <x:c r="A117" s="1071" t="str">
        <x:v>EF_VEREDICTO_2110</x:v>
      </x:c>
      <x:c r="B117" s="1071" t="str">
        <x:v>B11</x:v>
      </x:c>
      <x:c r="C117" s="1071" t="str">
        <x:v>RF53 vigente = reactivar cuenta; TIVE 1:1 sin versiones; Free máximo 1 vehículo ACTIVO; Premium según vigencia.</x:v>
      </x:c>
      <x:c r="D117" s="1071" t="str">
        <x:v>RF53 vigente = recuperación cuenta. VEHICULO.idVehiculo PK, numeroVin opcional; FREE: 1 registrado para altas normales, secundarios Premium heredados quedan inactivos; TIVE.idVehiculo PK/FK 1:0..1; RF11 bloquea cambio VIN si existe TIVE.</x:v>
      </x:c>
      <x:c r="E117" s="1071" t="str">
        <x:v>Resumen reglas nueva precedencia</x:v>
      </x:c>
    </x:row>
    <x:row r="118">
      <x:c r="A118" s="1071" t="str">
        <x:v>EF_VEREDICTO_2110</x:v>
      </x:c>
      <x:c r="B118" s="1071" t="str">
        <x:v>B12</x:v>
      </x:c>
      <x:c r="C118" s="1071" t="str">
        <x:v>Antes de programar, comprobar los puntos de EF_PENDIENTES_TEC y EF_CONTROL_64.</x:v>
      </x:c>
      <x:c r="D118" s="1071" t="str">
        <x:v>Antes de generar SQL, cotejar migración de PK/FK, UNIQUE VIN y placa, TIVE/imagen y transacciones de downgrade. Ver DECISIONES_CIERRE_20261021, MAPA_IMPACTO_CIERRE y CONTRATOS_PROG_VEH_TIVE.</x:v>
      </x:c>
      <x:c r="E118" s="1071" t="str">
        <x:v>Siguiente acción</x:v>
      </x:c>
    </x:row>
    <x:row r="119">
      <x:c r="A119" s="1071" t="str">
        <x:v>EF_VEREDICTO_2110</x:v>
      </x:c>
      <x:c r="B119" s="1071" t="str">
        <x:v>A18</x:v>
      </x:c>
      <x:c r="C119" s="1071" t="str"/>
      <x:c r="D119" s="1071" t="str">
        <x:v>NUEVA VERSIÓN · DECISIONES</x:v>
      </x:c>
      <x:c r="E119" s="1071" t="str">
        <x:v>Veredicto versión</x:v>
      </x:c>
    </x:row>
    <x:row r="120">
      <x:c r="A120" s="1071" t="str">
        <x:v>EF_VEREDICTO_2110</x:v>
      </x:c>
      <x:c r="B120" s="1071" t="str">
        <x:v>B18</x:v>
      </x:c>
      <x:c r="C120" s="1071" t="str"/>
      <x:c r="D120" s="1071" t="str">
        <x:v>Las cifras de correcciones anteriores (56 celdas, 11 reservas) corresponden al corte previo; las modificaciones de esta entrega se cuentan en CAMBIOS_DECISIONES_20261021.</x:v>
      </x:c>
      <x:c r="E120" s="1071" t="str">
        <x:v>Aclaración históricos</x:v>
      </x:c>
    </x:row>
    <x:row r="121">
      <x:c r="A121" s="1071" t="str">
        <x:v>PENDIENTES_VERIFICACION</x:v>
      </x:c>
      <x:c r="B121" s="1071" t="str">
        <x:v>A14</x:v>
      </x:c>
      <x:c r="C121" s="1071" t="str"/>
      <x:c r="D121" s="1071" t="str">
        <x:v>P011</x:v>
      </x:c>
      <x:c r="E121" s="1071" t="str">
        <x:v>Pendiente técnico de cierre</x:v>
      </x:c>
    </x:row>
    <x:row r="122">
      <x:c r="A122" s="1071" t="str">
        <x:v>PENDIENTES_VERIFICACION</x:v>
      </x:c>
      <x:c r="B122" s="1071" t="str">
        <x:v>B14</x:v>
      </x:c>
      <x:c r="C122" s="1071" t="str"/>
      <x:c r="D122" s="1071" t="str">
        <x:v>Cambio PK VEHICULO</x:v>
      </x:c>
      <x:c r="E122" s="1071" t="str">
        <x:v>Pendiente técnico de cierre</x:v>
      </x:c>
    </x:row>
    <x:row r="123">
      <x:c r="A123" s="1071" t="str">
        <x:v>PENDIENTES_VERIFICACION</x:v>
      </x:c>
      <x:c r="B123" s="1071" t="str">
        <x:v>C14</x:v>
      </x:c>
      <x:c r="C123" s="1071" t="str"/>
      <x:c r="D123" s="1071" t="str">
        <x:v>Modelo físico anterior pudo emplear NUMERO_VIN como PK, incompatible con VIN opcional.</x:v>
      </x:c>
      <x:c r="E123" s="1071" t="str">
        <x:v>Pendiente técnico de cierre</x:v>
      </x:c>
    </x:row>
    <x:row r="124">
      <x:c r="A124" s="1071" t="str">
        <x:v>PENDIENTES_VERIFICACION</x:v>
      </x:c>
      <x:c r="B124" s="1071" t="str">
        <x:v>D14</x:v>
      </x:c>
      <x:c r="C124" s="1071" t="str"/>
      <x:c r="D124" s="1071" t="str">
        <x:v>Diseñar migración segura a VEHICULO.idVehiculo; migrar TODAS las FK desde VIN/placa y revisar registros, índices y control de duplicados.</x:v>
      </x:c>
      <x:c r="E124" s="1071" t="str">
        <x:v>Pendiente técnico de cierre</x:v>
      </x:c>
    </x:row>
    <x:row r="125">
      <x:c r="A125" s="1071" t="str">
        <x:v>PENDIENTES_VERIFICACION</x:v>
      </x:c>
      <x:c r="B125" s="1071" t="str">
        <x:v>E14</x:v>
      </x:c>
      <x:c r="C125" s="1071" t="str"/>
      <x:c r="D125" s="1071" t="str">
        <x:v>Crítica</x:v>
      </x:c>
      <x:c r="E125" s="1071" t="str">
        <x:v>Pendiente técnico de cierre</x:v>
      </x:c>
    </x:row>
    <x:row r="126">
      <x:c r="A126" s="1071" t="str">
        <x:v>PENDIENTES_VERIFICACION</x:v>
      </x:c>
      <x:c r="B126" s="1071" t="str">
        <x:v>A15</x:v>
      </x:c>
      <x:c r="C126" s="1071" t="str"/>
      <x:c r="D126" s="1071" t="str">
        <x:v>P012</x:v>
      </x:c>
      <x:c r="E126" s="1071" t="str">
        <x:v>Pendiente técnico de cierre</x:v>
      </x:c>
    </x:row>
    <x:row r="127">
      <x:c r="A127" s="1071" t="str">
        <x:v>PENDIENTES_VERIFICACION</x:v>
      </x:c>
      <x:c r="B127" s="1071" t="str">
        <x:v>B15</x:v>
      </x:c>
      <x:c r="C127" s="1071" t="str"/>
      <x:c r="D127" s="1071" t="str">
        <x:v>FK TIVE 1:0..1</x:v>
      </x:c>
      <x:c r="E127" s="1071" t="str">
        <x:v>Pendiente técnico de cierre</x:v>
      </x:c>
    </x:row>
    <x:row r="128">
      <x:c r="A128" s="1071" t="str">
        <x:v>PENDIENTES_VERIFICACION</x:v>
      </x:c>
      <x:c r="B128" s="1071" t="str">
        <x:v>C15</x:v>
      </x:c>
      <x:c r="C128" s="1071" t="str"/>
      <x:c r="D128" s="1071" t="str">
        <x:v>TIVE pudo usar CODIGO_VERIFICACION como PK o numeroVin como FK; E_ImagenTIVE pudo usar el código.</x:v>
      </x:c>
      <x:c r="E128" s="1071" t="str">
        <x:v>Pendiente técnico de cierre</x:v>
      </x:c>
    </x:row>
    <x:row r="129">
      <x:c r="A129" s="1071" t="str">
        <x:v>PENDIENTES_VERIFICACION</x:v>
      </x:c>
      <x:c r="B129" s="1071" t="str">
        <x:v>D15</x:v>
      </x:c>
      <x:c r="C129" s="1071" t="str"/>
      <x:c r="D129" s="1071" t="str">
        <x:v>Hacer TIVE.idVehiculo PK/FK UNIQUE referenciada a VEHICULO.idVehiculo; migrar referencias de imagen; no generar TIVE duplicada.</x:v>
      </x:c>
      <x:c r="E129" s="1071" t="str">
        <x:v>Pendiente técnico de cierre</x:v>
      </x:c>
    </x:row>
    <x:row r="130">
      <x:c r="A130" s="1071" t="str">
        <x:v>PENDIENTES_VERIFICACION</x:v>
      </x:c>
      <x:c r="B130" s="1071" t="str">
        <x:v>E15</x:v>
      </x:c>
      <x:c r="C130" s="1071" t="str"/>
      <x:c r="D130" s="1071" t="str">
        <x:v>Crítica</x:v>
      </x:c>
      <x:c r="E130" s="1071" t="str">
        <x:v>Pendiente técnico de cierre</x:v>
      </x:c>
    </x:row>
    <x:row r="131">
      <x:c r="A131" s="1071" t="str">
        <x:v>PENDIENTES_VERIFICACION</x:v>
      </x:c>
      <x:c r="B131" s="1071" t="str">
        <x:v>A16</x:v>
      </x:c>
      <x:c r="C131" s="1071" t="str"/>
      <x:c r="D131" s="1071" t="str">
        <x:v>P013</x:v>
      </x:c>
      <x:c r="E131" s="1071" t="str">
        <x:v>Pendiente técnico de cierre</x:v>
      </x:c>
    </x:row>
    <x:row r="132">
      <x:c r="A132" s="1071" t="str">
        <x:v>PENDIENTES_VERIFICACION</x:v>
      </x:c>
      <x:c r="B132" s="1071" t="str">
        <x:v>B16</x:v>
      </x:c>
      <x:c r="C132" s="1071" t="str"/>
      <x:c r="D132" s="1071" t="str">
        <x:v>Corrección controlada VIN</x:v>
      </x:c>
      <x:c r="E132" s="1071" t="str">
        <x:v>Pendiente técnico de cierre</x:v>
      </x:c>
    </x:row>
    <x:row r="133">
      <x:c r="A133" s="1071" t="str">
        <x:v>PENDIENTES_VERIFICACION</x:v>
      </x:c>
      <x:c r="B133" s="1071" t="str">
        <x:v>C16</x:v>
      </x:c>
      <x:c r="C133" s="1071" t="str"/>
      <x:c r="D133" s="1071" t="str">
        <x:v>Se decidió bloquear cambios normales cuando exista TIVE, pero el flujo de corrección controlada no fue diseñado ni asignado a un RF.</x:v>
      </x:c>
      <x:c r="E133" s="1071" t="str">
        <x:v>Pendiente técnico de cierre</x:v>
      </x:c>
    </x:row>
    <x:row r="134">
      <x:c r="A134" s="1071" t="str">
        <x:v>PENDIENTES_VERIFICACION</x:v>
      </x:c>
      <x:c r="B134" s="1071" t="str">
        <x:v>D16</x:v>
      </x:c>
      <x:c r="C134" s="1071" t="str"/>
      <x:c r="D134" s="1071" t="str">
        <x:v>Definir responsable, autorización, verificación documental, trazabilidad y sincronización con datos de TIVE antes de implementarlo.</x:v>
      </x:c>
      <x:c r="E134" s="1071" t="str">
        <x:v>Pendiente técnico de cierre</x:v>
      </x:c>
    </x:row>
    <x:row r="135">
      <x:c r="A135" s="1071" t="str">
        <x:v>PENDIENTES_VERIFICACION</x:v>
      </x:c>
      <x:c r="B135" s="1071" t="str">
        <x:v>E16</x:v>
      </x:c>
      <x:c r="C135" s="1071" t="str"/>
      <x:c r="D135" s="1071" t="str">
        <x:v>Alta</x:v>
      </x:c>
      <x:c r="E135" s="1071" t="str">
        <x:v>Pendiente técnico de cierre</x:v>
      </x:c>
    </x:row>
    <x:row r="136">
      <x:c r="A136" s="1071" t="str">
        <x:v>PENDIENTES_VERIFICACION</x:v>
      </x:c>
      <x:c r="B136" s="1071" t="str">
        <x:v>A17</x:v>
      </x:c>
      <x:c r="C136" s="1071" t="str"/>
      <x:c r="D136" s="1071" t="str">
        <x:v>P014</x:v>
      </x:c>
      <x:c r="E136" s="1071" t="str">
        <x:v>Pendiente técnico de cierre</x:v>
      </x:c>
    </x:row>
    <x:row r="137">
      <x:c r="A137" s="1071" t="str">
        <x:v>PENDIENTES_VERIFICACION</x:v>
      </x:c>
      <x:c r="B137" s="1071" t="str">
        <x:v>B17</x:v>
      </x:c>
      <x:c r="C137" s="1071" t="str"/>
      <x:c r="D137" s="1071" t="str">
        <x:v>Free y principal al terminar Premium</x:v>
      </x:c>
      <x:c r="E137" s="1071" t="str">
        <x:v>Pendiente técnico de cierre</x:v>
      </x:c>
    </x:row>
    <x:row r="138">
      <x:c r="A138" s="1071" t="str">
        <x:v>PENDIENTES_VERIFICACION</x:v>
      </x:c>
      <x:c r="B138" s="1071" t="str">
        <x:v>C17</x:v>
      </x:c>
      <x:c r="C138" s="1071" t="str"/>
      <x:c r="D138" s="1071" t="str">
        <x:v>El escenario de downgrade supone vehículo principal elegible y activo; caso de ausencia de principal aún requiere regla.</x:v>
      </x:c>
      <x:c r="E138" s="1071" t="str">
        <x:v>Pendiente técnico de cierre</x:v>
      </x:c>
    </x:row>
    <x:row r="139">
      <x:c r="A139" s="1071" t="str">
        <x:v>PENDIENTES_VERIFICACION</x:v>
      </x:c>
      <x:c r="B139" s="1071" t="str">
        <x:v>D17</x:v>
      </x:c>
      <x:c r="C139" s="1071" t="str"/>
      <x:c r="D139" s="1071" t="str">
        <x:v>Definir caso de no existir principal activo y asegurar transacción/idempotencia al conservar secundarios inactivos.</x:v>
      </x:c>
      <x:c r="E139" s="1071" t="str">
        <x:v>Pendiente técnico de cierre</x:v>
      </x:c>
    </x:row>
    <x:row r="140">
      <x:c r="A140" s="1071" t="str">
        <x:v>PENDIENTES_VERIFICACION</x:v>
      </x:c>
      <x:c r="B140" s="1071" t="str">
        <x:v>E17</x:v>
      </x:c>
      <x:c r="C140" s="1071" t="str"/>
      <x:c r="D140" s="1071" t="str">
        <x:v>Alta</x:v>
      </x:c>
      <x:c r="E140" s="1071" t="str">
        <x:v>Pendiente técnico de cierre</x:v>
      </x:c>
    </x:row>
    <x:row r="141">
      <x:c r="A141" s="1071" t="str">
        <x:v>PENDIENTES_VERIFICACION</x:v>
      </x:c>
      <x:c r="B141" s="1071" t="str">
        <x:v>A18</x:v>
      </x:c>
      <x:c r="C141" s="1071" t="str"/>
      <x:c r="D141" s="1071" t="str">
        <x:v>P015</x:v>
      </x:c>
      <x:c r="E141" s="1071" t="str">
        <x:v>Pendiente técnico de cierre</x:v>
      </x:c>
    </x:row>
    <x:row r="142">
      <x:c r="A142" s="1071" t="str">
        <x:v>PENDIENTES_VERIFICACION</x:v>
      </x:c>
      <x:c r="B142" s="1071" t="str">
        <x:v>B18</x:v>
      </x:c>
      <x:c r="C142" s="1071" t="str"/>
      <x:c r="D142" s="1071" t="str">
        <x:v>Unicidad VIN, placa e imagen</x:v>
      </x:c>
      <x:c r="E142" s="1071" t="str">
        <x:v>Pendiente técnico de cierre</x:v>
      </x:c>
    </x:row>
    <x:row r="143">
      <x:c r="A143" s="1071" t="str">
        <x:v>PENDIENTES_VERIFICACION</x:v>
      </x:c>
      <x:c r="B143" s="1071" t="str">
        <x:v>C18</x:v>
      </x:c>
      <x:c r="C143" s="1071" t="str"/>
      <x:c r="D143" s="1071" t="str">
        <x:v>No se aportó SQL de índices; comparar antes de INSERT no basta con peticiones simultáneas.</x:v>
      </x:c>
      <x:c r="E143" s="1071" t="str">
        <x:v>Pendiente técnico de cierre</x:v>
      </x:c>
    </x:row>
    <x:row r="144">
      <x:c r="A144" s="1071" t="str">
        <x:v>PENDIENTES_VERIFICACION</x:v>
      </x:c>
      <x:c r="B144" s="1071" t="str">
        <x:v>D18</x:v>
      </x:c>
      <x:c r="C144" s="1071" t="str"/>
      <x:c r="D144" s="1071" t="str">
        <x:v>UNIQUE VIN nullable, unicidad de placa según dominio, FK imagen→TIVE por idVehiculo; pruebas de concurrencia RF08/RF11/RF54/RF56.</x:v>
      </x:c>
      <x:c r="E144" s="1071" t="str">
        <x:v>Pendiente técnico de cierre</x:v>
      </x:c>
    </x:row>
    <x:row r="145">
      <x:c r="A145" s="1071" t="str">
        <x:v>PENDIENTES_VERIFICACION</x:v>
      </x:c>
      <x:c r="B145" s="1071" t="str">
        <x:v>E18</x:v>
      </x:c>
      <x:c r="C145" s="1071" t="str"/>
      <x:c r="D145" s="1071" t="str">
        <x:v>Alta</x:v>
      </x:c>
      <x:c r="E145" s="1071" t="str">
        <x:v>Pendiente técnico de cierre</x:v>
      </x:c>
    </x:row>
    <x:row r="146">
      <x:c r="A146" s="1071" t="str">
        <x:v>EF_CONTROL_64</x:v>
      </x:c>
      <x:c r="B146" s="1071" t="str">
        <x:v>F9</x:v>
      </x:c>
      <x:c r="C146" s="1071" t="str">
        <x:v>Plan y unicidad de vehículo activo</x:v>
      </x:c>
      <x:c r="D146" s="1071" t="str">
        <x:v>RF08: PK idVehiculo/Free total registrado</x:v>
      </x:c>
      <x:c r="E146" s="1071" t="str">
        <x:v>Control RF: regla revisada</x:v>
      </x:c>
    </x:row>
    <x:row r="147">
      <x:c r="A147" s="1071" t="str">
        <x:v>EF_CONTROL_64</x:v>
      </x:c>
      <x:c r="B147" s="1071" t="str">
        <x:v>G9</x:v>
      </x:c>
      <x:c r="C147" s="1071" t="str">
        <x:v>Revalidar cupos y unicidad transaccional al programar</x:v>
      </x:c>
      <x:c r="D147" s="1071" t="str">
        <x:v>EF alineado con decisiones del 2026-10-21; validar PK/FK/UNIQUE y concurrencia en SQL definitivo.</x:v>
      </x:c>
      <x:c r="E147" s="1071" t="str">
        <x:v>Control RF: pendiente físico</x:v>
      </x:c>
    </x:row>
    <x:row r="148">
      <x:c r="A148" s="1071" t="str">
        <x:v>EF_CONTROL_64</x:v>
      </x:c>
      <x:c r="B148" s="1071" t="str">
        <x:v>E9</x:v>
      </x:c>
      <x:c r="C148" s="1071" t="str">
        <x:v>CONGELABLE EF</x:v>
      </x:c>
      <x:c r="D148" s="1071" t="str">
        <x:v>CONGELABLE EF · SQL POR VALIDAR</x:v>
      </x:c>
      <x:c r="E148" s="1071" t="str">
        <x:v>Control RF: estado EF</x:v>
      </x:c>
    </x:row>
    <x:row r="149">
      <x:c r="A149" s="1071" t="str">
        <x:v>EF_CONTROL_64</x:v>
      </x:c>
      <x:c r="B149" s="1071" t="str">
        <x:v>F10</x:v>
      </x:c>
      <x:c r="C149" s="1071" t="str">
        <x:v>Sin contradicción adicional documentada en EF</x:v>
      </x:c>
      <x:c r="D149" s="1071" t="str">
        <x:v>RF09: listado TIVE por idVehiculo</x:v>
      </x:c>
      <x:c r="E149" s="1071" t="str">
        <x:v>Control RF: regla revisada</x:v>
      </x:c>
    </x:row>
    <x:row r="150">
      <x:c r="A150" s="1071" t="str">
        <x:v>EF_CONTROL_64</x:v>
      </x:c>
      <x:c r="B150" s="1071" t="str">
        <x:v>G10</x:v>
      </x:c>
      <x:c r="C150" s="1071" t="str">
        <x:v>Comprobar pruebas y SQL durante implementación</x:v>
      </x:c>
      <x:c r="D150" s="1071" t="str">
        <x:v>EF alineado con decisiones del 2026-10-21; validar PK/FK/UNIQUE y concurrencia en SQL definitivo.</x:v>
      </x:c>
      <x:c r="E150" s="1071" t="str">
        <x:v>Control RF: pendiente físico</x:v>
      </x:c>
    </x:row>
    <x:row r="151">
      <x:c r="A151" s="1071" t="str">
        <x:v>EF_CONTROL_64</x:v>
      </x:c>
      <x:c r="B151" s="1071" t="str">
        <x:v>F11</x:v>
      </x:c>
      <x:c r="C151" s="1071" t="str">
        <x:v>Sin contradicción adicional documentada en EF</x:v>
      </x:c>
      <x:c r="D151" s="1071" t="str">
        <x:v>RF10: TIVE en detalle por idVehiculo</x:v>
      </x:c>
      <x:c r="E151" s="1071" t="str">
        <x:v>Control RF: regla revisada</x:v>
      </x:c>
    </x:row>
    <x:row r="152">
      <x:c r="A152" s="1071" t="str">
        <x:v>EF_CONTROL_64</x:v>
      </x:c>
      <x:c r="B152" s="1071" t="str">
        <x:v>G11</x:v>
      </x:c>
      <x:c r="C152" s="1071" t="str">
        <x:v>Comprobar pruebas y SQL durante implementación</x:v>
      </x:c>
      <x:c r="D152" s="1071" t="str">
        <x:v>EF alineado con decisiones del 2026-10-21; validar PK/FK/UNIQUE y concurrencia en SQL definitivo.</x:v>
      </x:c>
      <x:c r="E152" s="1071" t="str">
        <x:v>Control RF: pendiente físico</x:v>
      </x:c>
    </x:row>
    <x:row r="153">
      <x:c r="A153" s="1071" t="str">
        <x:v>EF_CONTROL_64</x:v>
      </x:c>
      <x:c r="B153" s="1071" t="str">
        <x:v>F12</x:v>
      </x:c>
      <x:c r="C153" s="1071" t="str">
        <x:v>Sin contradicción adicional documentada en EF</x:v>
      </x:c>
      <x:c r="D153" s="1071" t="str">
        <x:v>RF11: bloquear cambio VIN si TIVE</x:v>
      </x:c>
      <x:c r="E153" s="1071" t="str">
        <x:v>Control RF: regla revisada</x:v>
      </x:c>
    </x:row>
    <x:row r="154">
      <x:c r="A154" s="1071" t="str">
        <x:v>EF_CONTROL_64</x:v>
      </x:c>
      <x:c r="B154" s="1071" t="str">
        <x:v>G12</x:v>
      </x:c>
      <x:c r="C154" s="1071" t="str">
        <x:v>Comprobar pruebas y SQL durante implementación</x:v>
      </x:c>
      <x:c r="D154" s="1071" t="str">
        <x:v>EF alineado con decisiones del 2026-10-21; validar PK/FK/UNIQUE y concurrencia en SQL definitivo.</x:v>
      </x:c>
      <x:c r="E154" s="1071" t="str">
        <x:v>Control RF: pendiente físico</x:v>
      </x:c>
    </x:row>
    <x:row r="155">
      <x:c r="A155" s="1071" t="str">
        <x:v>EF_CONTROL_64</x:v>
      </x:c>
      <x:c r="B155" s="1071" t="str">
        <x:v>E12</x:v>
      </x:c>
      <x:c r="C155" s="1071" t="str">
        <x:v>CONGELABLE EF</x:v>
      </x:c>
      <x:c r="D155" s="1071" t="str">
        <x:v>CONGELABLE EF · SQL POR VALIDAR</x:v>
      </x:c>
      <x:c r="E155" s="1071" t="str">
        <x:v>Control RF: estado EF</x:v>
      </x:c>
    </x:row>
    <x:row r="156">
      <x:c r="A156" s="1071" t="str">
        <x:v>EF_CONTROL_64</x:v>
      </x:c>
      <x:c r="B156" s="1071" t="str">
        <x:v>F13</x:v>
      </x:c>
      <x:c r="C156" s="1071" t="str">
        <x:v>Activación de vehículos con Free/Premium</x:v>
      </x:c>
      <x:c r="D156" s="1071" t="str">
        <x:v>RF12: inactivos heredados Free</x:v>
      </x:c>
      <x:c r="E156" s="1071" t="str">
        <x:v>Control RF: regla revisada</x:v>
      </x:c>
    </x:row>
    <x:row r="157">
      <x:c r="A157" s="1071" t="str">
        <x:v>EF_CONTROL_64</x:v>
      </x:c>
      <x:c r="B157" s="1071" t="str">
        <x:v>G13</x:v>
      </x:c>
      <x:c r="C157" s="1071" t="str">
        <x:v>Garantizar exclusión de carreras de activación en backend</x:v>
      </x:c>
      <x:c r="D157" s="1071" t="str">
        <x:v>EF alineado con decisiones del 2026-10-21; validar PK/FK/UNIQUE y concurrencia en SQL definitivo.</x:v>
      </x:c>
      <x:c r="E157" s="1071" t="str">
        <x:v>Control RF: pendiente físico</x:v>
      </x:c>
    </x:row>
    <x:row r="158">
      <x:c r="A158" s="1071" t="str">
        <x:v>EF_CONTROL_64</x:v>
      </x:c>
      <x:c r="B158" s="1071" t="str">
        <x:v>F14</x:v>
      </x:c>
      <x:c r="C158" s="1071" t="str">
        <x:v>Sin contradicción adicional documentada en EF</x:v>
      </x:c>
      <x:c r="D158" s="1071" t="str">
        <x:v>RF13: principal activo Free</x:v>
      </x:c>
      <x:c r="E158" s="1071" t="str">
        <x:v>Control RF: regla revisada</x:v>
      </x:c>
    </x:row>
    <x:row r="159">
      <x:c r="A159" s="1071" t="str">
        <x:v>EF_CONTROL_64</x:v>
      </x:c>
      <x:c r="B159" s="1071" t="str">
        <x:v>G14</x:v>
      </x:c>
      <x:c r="C159" s="1071" t="str">
        <x:v>Comprobar pruebas y SQL durante implementación</x:v>
      </x:c>
      <x:c r="D159" s="1071" t="str">
        <x:v>EF alineado con decisiones del 2026-10-21; validar PK/FK/UNIQUE y concurrencia en SQL definitivo.</x:v>
      </x:c>
      <x:c r="E159" s="1071" t="str">
        <x:v>Control RF: pendiente físico</x:v>
      </x:c>
    </x:row>
    <x:row r="160">
      <x:c r="A160" s="1071" t="str">
        <x:v>EF_CONTROL_64</x:v>
      </x:c>
      <x:c r="B160" s="1071" t="str">
        <x:v>F31</x:v>
      </x:c>
      <x:c r="C160" s="1071" t="str">
        <x:v>Derechos suscripción y baja a Free</x:v>
      </x:c>
      <x:c r="D160" s="1071" t="str">
        <x:v>RF30: downgrade preserva vehículos</x:v>
      </x:c>
      <x:c r="E160" s="1071" t="str">
        <x:v>Control RF: regla revisada</x:v>
      </x:c>
    </x:row>
    <x:row r="161">
      <x:c r="A161" s="1071" t="str">
        <x:v>EF_CONTROL_64</x:v>
      </x:c>
      <x:c r="B161" s="1071" t="str">
        <x:v>G31</x:v>
      </x:c>
      <x:c r="C161" s="1071" t="str">
        <x:v>Validar política de gracia y job de downgrade con proveedor</x:v>
      </x:c>
      <x:c r="D161" s="1071" t="str">
        <x:v>EF alineado con decisiones del 2026-10-21; validar PK/FK/UNIQUE y concurrencia en SQL definitivo.</x:v>
      </x:c>
      <x:c r="E161" s="1071" t="str">
        <x:v>Control RF: pendiente físico</x:v>
      </x:c>
    </x:row>
    <x:row r="162">
      <x:c r="A162" s="1071" t="str">
        <x:v>EF_CONTROL_64</x:v>
      </x:c>
      <x:c r="B162" s="1071" t="str">
        <x:v>E31</x:v>
      </x:c>
      <x:c r="C162" s="1071" t="str">
        <x:v>CONGELABLE EF</x:v>
      </x:c>
      <x:c r="D162" s="1071" t="str">
        <x:v>CONGELABLE EF · SQL POR VALIDAR</x:v>
      </x:c>
      <x:c r="E162" s="1071" t="str">
        <x:v>Control RF: estado EF</x:v>
      </x:c>
    </x:row>
    <x:row r="163">
      <x:c r="A163" s="1071" t="str">
        <x:v>EF_CONTROL_64</x:v>
      </x:c>
      <x:c r="B163" s="1071" t="str">
        <x:v>F55</x:v>
      </x:c>
      <x:c r="C163" s="1071" t="str">
        <x:v>TIVE 1:1 e imagen transaccional</x:v>
      </x:c>
      <x:c r="D163" s="1071" t="str">
        <x:v>RF54: TIVE PK/FK idVehiculo e imagen</x:v>
      </x:c>
      <x:c r="E163" s="1071" t="str">
        <x:v>Control RF: regla revisada</x:v>
      </x:c>
    </x:row>
    <x:row r="164">
      <x:c r="A164" s="1071" t="str">
        <x:v>EF_CONTROL_64</x:v>
      </x:c>
      <x:c r="B164" s="1071" t="str">
        <x:v>G55</x:v>
      </x:c>
      <x:c r="C164" s="1071" t="str">
        <x:v>Corregido: autorizar al guardar; comprobar vinculación de imagen</x:v>
      </x:c>
      <x:c r="D164" s="1071" t="str">
        <x:v>EF alineado con decisiones del 2026-10-21; validar PK/FK/UNIQUE y concurrencia en SQL definitivo.</x:v>
      </x:c>
      <x:c r="E164" s="1071" t="str">
        <x:v>Control RF: pendiente físico</x:v>
      </x:c>
    </x:row>
    <x:row r="165">
      <x:c r="A165" s="1071" t="str">
        <x:v>EF_CONTROL_64</x:v>
      </x:c>
      <x:c r="B165" s="1071" t="str">
        <x:v>E55</x:v>
      </x:c>
      <x:c r="C165" s="1071" t="str">
        <x:v>CONGELABLE CON RESERVA TÉCNICA</x:v>
      </x:c>
      <x:c r="D165" s="1071" t="str">
        <x:v>CONGELABLE EF · SQL POR VALIDAR</x:v>
      </x:c>
      <x:c r="E165" s="1071" t="str">
        <x:v>Control RF: estado EF</x:v>
      </x:c>
    </x:row>
    <x:row r="166">
      <x:c r="A166" s="1071" t="str">
        <x:v>EF_CONTROL_64</x:v>
      </x:c>
      <x:c r="B166" s="1071" t="str">
        <x:v>F56</x:v>
      </x:c>
      <x:c r="C166" s="1071" t="str">
        <x:v>Consulta TIVE propia</x:v>
      </x:c>
      <x:c r="D166" s="1071" t="str">
        <x:v>RF55: lectura por idVehiculo</x:v>
      </x:c>
      <x:c r="E166" s="1071" t="str">
        <x:v>Control RF: regla revisada</x:v>
      </x:c>
    </x:row>
    <x:row r="167">
      <x:c r="A167" s="1071" t="str">
        <x:v>EF_CONTROL_64</x:v>
      </x:c>
      <x:c r="B167" s="1071" t="str">
        <x:v>G56</x:v>
      </x:c>
      <x:c r="C167" s="1071" t="str">
        <x:v>Necesita referencia de imagen y PK/FK definitiva</x:v>
      </x:c>
      <x:c r="D167" s="1071" t="str">
        <x:v>EF alineado con decisiones del 2026-10-21; validar PK/FK/UNIQUE y concurrencia en SQL definitivo.</x:v>
      </x:c>
      <x:c r="E167" s="1071" t="str">
        <x:v>Control RF: pendiente físico</x:v>
      </x:c>
    </x:row>
    <x:row r="168">
      <x:c r="A168" s="1071" t="str">
        <x:v>EF_CONTROL_64</x:v>
      </x:c>
      <x:c r="B168" s="1071" t="str">
        <x:v>E56</x:v>
      </x:c>
      <x:c r="C168" s="1071" t="str">
        <x:v>CONGELABLE EF</x:v>
      </x:c>
      <x:c r="D168" s="1071" t="str">
        <x:v>CONGELABLE EF · SQL POR VALIDAR</x:v>
      </x:c>
      <x:c r="E168" s="1071" t="str">
        <x:v>Control RF: estado EF</x:v>
      </x:c>
    </x:row>
    <x:row r="169">
      <x:c r="A169" s="1071" t="str">
        <x:v>EF_CONTROL_64</x:v>
      </x:c>
      <x:c r="B169" s="1071" t="str">
        <x:v>F57</x:v>
      </x:c>
      <x:c r="C169" s="1071" t="str">
        <x:v>Editar TIVE 1:1 sin historial</x:v>
      </x:c>
      <x:c r="D169" s="1071" t="str">
        <x:v>RF56: edición TIVE sin migración de imagen</x:v>
      </x:c>
      <x:c r="E169" s="1071" t="str">
        <x:v>Control RF: regla revisada</x:v>
      </x:c>
    </x:row>
    <x:row r="170">
      <x:c r="A170" s="1071" t="str">
        <x:v>EF_CONTROL_64</x:v>
      </x:c>
      <x:c r="B170" s="1071" t="str">
        <x:v>G57</x:v>
      </x:c>
      <x:c r="C170" s="1071" t="str">
        <x:v>Corregido: referencia imagen si cambia código; revisar FK</x:v>
      </x:c>
      <x:c r="D170" s="1071" t="str">
        <x:v>EF alineado con decisiones del 2026-10-21; validar PK/FK/UNIQUE y concurrencia en SQL definitivo.</x:v>
      </x:c>
      <x:c r="E170" s="1071" t="str">
        <x:v>Control RF: pendiente físico</x:v>
      </x:c>
    </x:row>
    <x:row r="171">
      <x:c r="A171" s="1071" t="str">
        <x:v>EF_CONTROL_64</x:v>
      </x:c>
      <x:c r="B171" s="1071" t="str">
        <x:v>E57</x:v>
      </x:c>
      <x:c r="C171" s="1071" t="str">
        <x:v>CONGELABLE CON RESERVA TÉCNICA</x:v>
      </x:c>
      <x:c r="D171" s="1071" t="str">
        <x:v>CONGELABLE EF · SQL POR VALIDAR</x:v>
      </x:c>
      <x:c r="E171" s="1071" t="str">
        <x:v>Control RF: estado EF</x:v>
      </x:c>
    </x:row>
    <x:row r="172">
      <x:c r="A172" t="str">
        <x:v>EF_VEREDICTO_2110</x:v>
      </x:c>
      <x:c r="B172" t="str">
        <x:v>A19</x:v>
      </x:c>
      <x:c r="C172" t="str"/>
      <x:c r="D172" t="str">
        <x:v>CAMBIOS DE ESTA VERSIÓN</x:v>
      </x:c>
      <x:c r="E172" t="str">
        <x:v>Vigencia cambios</x:v>
      </x:c>
    </x:row>
    <x:row r="173">
      <x:c r="A173" t="str">
        <x:v>EF_VEREDICTO_2110</x:v>
      </x:c>
      <x:c r="B173" t="str">
        <x:v>B19</x:v>
      </x:c>
      <x:c r="C173" t="str"/>
      <x:c r="D173" t="str">
        <x:v>171 celdas ajustadas para las cuatro decisiones confirmadas (incluye reglas y controles). Revisar CAMBIOS_DECISIONES_20261021 y MAPA_IMPACTO_CIERRE.</x:v>
      </x:c>
      <x:c r="E173" t="str">
        <x:v>Vigencia cambios</x:v>
      </x:c>
    </x:row>
    <x:row r="174">
      <x:c r="A174" t="str">
        <x:v>EF_VEREDICTO_2110</x:v>
      </x:c>
      <x:c r="B174" t="str">
        <x:v>A20</x:v>
      </x:c>
      <x:c r="C174" t="str"/>
      <x:c r="D174" t="str">
        <x:v>CAMBIO DE CLAVES FÍSICAS</x:v>
      </x:c>
      <x:c r="E174" t="str">
        <x:v>Vigencia claves</x:v>
      </x:c>
    </x:row>
    <x:row r="175">
      <x:c r="A175" t="str">
        <x:v>EF_VEREDICTO_2110</x:v>
      </x:c>
      <x:c r="B175" t="str">
        <x:v>B20</x:v>
      </x:c>
      <x:c r="C175" t="str"/>
      <x:c r="D175" t="str">
        <x:v>REQUISITO PREVIO AL SQL: migración de PK/FK VEHICULO.idVehiculo y TIVE.idVehiculo; índice VIN opcional; IMAGEN_TIVE por idVehiculo. Sin script físico confirmado.</x:v>
      </x:c>
      <x:c r="E175" t="str">
        <x:v>Vigencia claves</x:v>
      </x:c>
    </x:row>
    <x:row r="176">
      <x:c r="A176" t="str">
        <x:v>RF054-EF1</x:v>
      </x:c>
      <x:c r="B176" t="str">
        <x:v>G37</x:v>
      </x:c>
      <x:c r="C176" t="str">
        <x:v>Comprueba que CODIGO_VERIFICACION (clave primaria de TIVE en la normalización) no esté duplicado y verifica numeroTitulo según la regla de RF54. CODIGO_VERIFICACION es atributo de negocio y candidato UNIQUE, pero NO PK. La PK/FK de TIVE es idVehiculo; la unicidad adicional de numeroTitulo debe cotejarse con la regla funcional/SQL vigente.</x:v>
      </x:c>
      <x:c r="D176" t="str">
        <x:v>Comprueba que codigoVerificacion no esté duplicado entre documentos (atributo de negocio con unicidad a confirmar físicamente) y valida numeroTitulo según RF54. La PK y FK de TIVE es idVehiculo, nunca codigoVerificacion. La unicidad exacta de numeroTitulo debe cotejarse con la definición de datos.</x:v>
      </x:c>
      <x:c r="E176" t="str">
        <x:v>Eliminar referencia obsoleta a código como PK</x:v>
      </x:c>
    </x:row>
    <x:row r="177">
      <x:c r="A177" t="str">
        <x:v>RF055-EF1</x:v>
      </x:c>
      <x:c r="B177" t="str">
        <x:v>G8</x:v>
      </x:c>
      <x:c r="C177" t="str">
        <x:v>Consulta identificación y estado del vehículo, incluyendo numeroVin, para localizar su TIVE.</x:v>
      </x:c>
      <x:c r="D177" t="str">
        <x:v>Consulta por idVehiculo la identificación y el estado del vehículo propietario; incluye numeroVin como dato documental informativo, pero localiza la TIVE por TIVE.idVehiculo.</x:v>
      </x:c>
      <x:c r="E177" t="str">
        <x:v>Consulta TIVE por idVehiculo</x:v>
      </x:c>
    </x:row>
    <x:row r="178">
      <x:c r="A178" t="str">
        <x:v>RF011-EF1</x:v>
      </x:c>
      <x:c r="B178" t="str">
        <x:v>G18</x:v>
      </x:c>
      <x:c r="C178" t="str">
        <x:v>La interfaz muestra marca, modelo y color como textos editables; usoVehiculo, tipoMotor, combustible y tipoAceite mediante selectores con opción «Otro» y campo para especificar cuando se elija. Permite editar año, VIN, numeroSerie y numeroMotor cuando aplique. Si tipoMotor=ELÉCTRICO deshabilita y no exige numeroMotor, combustible y tipoAceite. La placa y el kilometraje vigente están bloqueados. «Gestionar foto» queda como acce</x:v>
      </x:c>
      <x:c r="D178" t="str">
        <x:v>Muestra marca, modelo y color como textos editables, y selectores de uso, motor, combustible y aceite con opción «Otro». Permite editar año, numeroSerie y numeroMotor cuando aplique. VIN solo es editable si tieneTIVE=false; si existe TIVE, se presenta bloqueado. La placa y el kilometraje vigente son de solo lectura; la foto se gestiona en otro RF.</x:v>
      </x:c>
      <x:c r="E178" t="str">
        <x:v>Interfaz VIN condicional, sin contradicciones</x:v>
      </x:c>
    </x:row>
    <x:row r="179">
      <x:c r="A179" t="str">
        <x:v>RF054-EF1</x:v>
      </x:c>
      <x:c r="B179" t="str">
        <x:v>G23</x:v>
      </x:c>
      <x:c r="C179" t="str">
        <x:v>[opt: imagen] Abre la cámara para capturar o la galería para elegir una imagen del documento.</x:v>
      </x:c>
      <x:c r="D179" t="str">
        <x:v>[opt: imagen] Abre únicamente la galería del dispositivo para seleccionar la foto de la TIVE, porque en este escenario se eligió GALERIA. La opción CAMARA tiene su propio recorrido alternativo.</x:v>
      </x:c>
      <x:c r="E179" t="str">
        <x:v>Selector galería consistente</x:v>
      </x:c>
    </x:row>
    <x:row r="180">
      <x:c r="A180" t="str">
        <x:v>CONTRATOS_PROG_VEH_TIVE</x:v>
      </x:c>
      <x:c r="B180" t="str">
        <x:v>D7</x:v>
      </x:c>
      <x:c r="C180" t="str">
        <x:v>FREE: total registrados previo = 0; PREMIUN vigente: según límite; devolver idVehiculo.</x:v>
      </x:c>
      <x:c r="D180" t="str">
        <x:v>FREE: total registrados previo = 0; PREMIUM vigente: según límite; devolver idVehiculo.</x:v>
      </x:c>
      <x:c r="E180" t="str">
        <x:v>Corregir tipografía Premium</x:v>
      </x:c>
    </x:row>
  </x:sheetData>
  <x:pageMargins left="0.7" right="0.7" top="0.75" bottom="0.75" header="0.3" footer="0.3"/>
</x:worksheet>
</file>

<file path=xl/worksheets/sheet1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s>
  <x:sheetData>
    <x:row r="1" ht="33" customHeight="1">
      <x:c r="A1" s="1525" t="str">
        <x:v>MYCAR | CONGELAMIENTO DE REQUERIMIENTOS · ESCENARIOS EXITOSOS</x:v>
      </x:c>
      <x:c r="B1" s="1525"/>
      <x:c r="C1" s="1525"/>
      <x:c r="D1" s="1525"/>
      <x:c r="E1" s="1525"/>
      <x:c r="F1" s="1525"/>
      <x:c r="G1" s="1525"/>
      <x:c r="H1" s="1525"/>
    </x:row>
    <x:row r="2" ht="34" customHeight="1">
      <x:c r="A2" s="1528" t="str">
        <x:v>Versión</x:v>
      </x:c>
      <x:c r="B2" s="1071" t="str">
        <x:v>EF-2026-10-21-D19</x:v>
      </x:c>
      <x:c r="C2" s="1071"/>
      <x:c r="D2" s="1071"/>
      <x:c r="E2" s="1071"/>
      <x:c r="F2" s="1071"/>
      <x:c r="G2" s="1071"/>
      <x:c r="H2" s="1071"/>
    </x:row>
    <x:row r="3" ht="34" customHeight="1">
      <x:c r="A3" s="1528" t="str">
        <x:v>Alcance</x:v>
      </x:c>
      <x:c r="B3" s="1071" t="str">
        <x:v>RF01–RF64: únicamente recorrido exitoso y reglas compartidas; no incluye escenarios alternativos ni implementación SQL/API.</x:v>
      </x:c>
      <x:c r="C3" s="1071"/>
      <x:c r="D3" s="1071"/>
      <x:c r="E3" s="1071"/>
      <x:c r="F3" s="1071"/>
      <x:c r="G3" s="1071"/>
      <x:c r="H3" s="1071"/>
    </x:row>
    <x:row r="4" ht="34" customHeight="1">
      <x:c r="A4" s="1528" t="str">
        <x:v>Estado global</x:v>
      </x:c>
      <x:c r="B4" s="1071" t="str">
        <x:v>CONGELAMIENTO DOCUMENTAL PARCIAL: 63 escenarios EF congelables como contrato funcional; RF51 condicional a proveedor real. No implica software probado.</x:v>
      </x:c>
      <x:c r="C4" s="1071"/>
      <x:c r="D4" s="1071"/>
      <x:c r="E4" s="1071"/>
      <x:c r="F4" s="1071"/>
      <x:c r="G4" s="1071"/>
      <x:c r="H4" s="1071"/>
    </x:row>
    <x:row r="5" ht="34" customHeight="1">
      <x:c r="A5" s="1528" t="str">
        <x:v>Precedencia</x:v>
      </x:c>
      <x:c r="B5" s="1071" t="str">
        <x:v>Las reglas de esta hoja, DECISIONES_D14_D19 y REGLAS_TRANSVERSALES prevalecen sobre observaciones históricas AUD_/EF_.</x:v>
      </x:c>
      <x:c r="C5" s="1071"/>
      <x:c r="D5" s="1071"/>
      <x:c r="E5" s="1071"/>
      <x:c r="F5" s="1071"/>
      <x:c r="G5" s="1071"/>
      <x:c r="H5" s="1071"/>
    </x:row>
    <x:row r="6" ht="34" customHeight="1">
      <x:c r="A6" s="1528" t="str">
        <x:v>Decisiones previas</x:v>
      </x:c>
      <x:c r="B6" s="1071" t="str">
        <x:v>D01–D04 y decisiones de placa por usuario, principal automático, licencia histórica y VIN por Soporte se mantienen.</x:v>
      </x:c>
      <x:c r="C6" s="1071"/>
      <x:c r="D6" s="1071"/>
      <x:c r="E6" s="1071"/>
      <x:c r="F6" s="1071"/>
      <x:c r="G6" s="1071"/>
      <x:c r="H6" s="1071"/>
    </x:row>
    <x:row r="7" ht="34" customHeight="1">
      <x:c r="A7" s="1528" t="str">
        <x:v>Límite Premium</x:v>
      </x:c>
      <x:c r="B7" s="1071" t="str">
        <x:v>Cupo por configuración de plan; sin límite fijo. Período de gracia solo si el proveedor confirma derecho vigente.</x:v>
      </x:c>
      <x:c r="C7" s="1071"/>
      <x:c r="D7" s="1071"/>
      <x:c r="E7" s="1071"/>
      <x:c r="F7" s="1071"/>
      <x:c r="G7" s="1071"/>
      <x:c r="H7" s="1071"/>
    </x:row>
    <x:row r="8" ht="34" customHeight="1">
      <x:c r="A8" s="1528" t="str">
        <x:v>SOAT</x:v>
      </x:c>
      <x:c r="B8" s="1071" t="str">
        <x:v>Un documento marcado ACTUAL por vehículo; los anteriores se mantienen históricos; cobertura VIGENTE/VENCIDA se computa por fechas.</x:v>
      </x:c>
      <x:c r="C8" s="1071"/>
      <x:c r="D8" s="1071"/>
      <x:c r="E8" s="1071"/>
      <x:c r="F8" s="1071"/>
      <x:c r="G8" s="1071"/>
      <x:c r="H8" s="1071"/>
    </x:row>
    <x:row r="9" ht="34" customHeight="1">
      <x:c r="A9" s="1528" t="str">
        <x:v>Alerta duplicada</x:v>
      </x:c>
      <x:c r="B9" s="1071" t="str">
        <x:v>Firma funcional de vehículo/tipo/criterio/objetivos/servicio OTRO normalizado; bloqueo solo de alertas activas, idempotencia.</x:v>
      </x:c>
      <x:c r="C9" s="1071"/>
      <x:c r="D9" s="1071"/>
      <x:c r="E9" s="1071"/>
      <x:c r="F9" s="1071"/>
      <x:c r="G9" s="1071"/>
      <x:c r="H9" s="1071"/>
    </x:row>
    <x:row r="10" ht="34" customHeight="1">
      <x:c r="A10" s="1528" t="str">
        <x:v>TIVE</x:v>
      </x:c>
      <x:c r="B10" s="1071" t="str">
        <x:v>Solo TIVE.idVehiculo (PK/FK) garantiza 1:0..1. No se ha validado UNIQUE global para codigoVerificacion ni numeroTitulo.</x:v>
      </x:c>
      <x:c r="C10" s="1071"/>
      <x:c r="D10" s="1071"/>
      <x:c r="E10" s="1071"/>
      <x:c r="F10" s="1071"/>
      <x:c r="G10" s="1071"/>
      <x:c r="H10" s="1071"/>
    </x:row>
    <x:row r="11" ht="34" customHeight="1">
      <x:c r="A11" s="1528" t="str">
        <x:v>VIN con TIVE</x:v>
      </x:c>
      <x:c r="B11" s="1071" t="str">
        <x:v>RF11 y RF56 no modifican el VIN. Corrección excepcional por Soporte autorizado y evidencia: proceso separado todavía por diseñar.</x:v>
      </x:c>
      <x:c r="C11" s="1071"/>
      <x:c r="D11" s="1071"/>
      <x:c r="E11" s="1071"/>
      <x:c r="F11" s="1071"/>
      <x:c r="G11" s="1071"/>
      <x:c r="H11" s="1071"/>
    </x:row>
    <x:row r="12" ht="34" customHeight="1">
      <x:c r="A12" s="1528" t="str">
        <x:v>Licencias</x:v>
      </x:c>
      <x:c r="B12" s="1071" t="str">
        <x:v>RF51 conserva EF de negocio, pero es NO IMPLEMENTABLE con supuestas API /dni y /licencia hasta verificar contrato, campos y autorización.</x:v>
      </x:c>
      <x:c r="C12" s="1071"/>
      <x:c r="D12" s="1071"/>
      <x:c r="E12" s="1071"/>
      <x:c r="F12" s="1071"/>
      <x:c r="G12" s="1071"/>
      <x:c r="H12" s="1071"/>
    </x:row>
    <x:row r="13" ht="34" customHeight="1">
      <x:c r="A13" s="1528" t="str">
        <x:v>Datos y cuenta</x:v>
      </x:c>
      <x:c r="B13" s="1071" t="str">
        <x:v>Los 30 días calendario permiten recuperar cuenta. Retención/supresión posterior al plazo se definirá con política legal; no afirmar cumplimiento definitivo.</x:v>
      </x:c>
      <x:c r="C13" s="1071"/>
      <x:c r="D13" s="1071"/>
      <x:c r="E13" s="1071"/>
      <x:c r="F13" s="1071"/>
      <x:c r="G13" s="1071"/>
      <x:c r="H13" s="1071"/>
    </x:row>
    <x:row r="14" ht="34" customHeight="1">
      <x:c r="A14" s="1528" t="str">
        <x:v>Congelamiento no cubre</x:v>
      </x:c>
      <x:c r="B14" s="1071" t="str">
        <x:v>MySQL físico, contratos externos, protección de datos aprobada, algoritmos de concurrencia implementados ni pruebas integradas.</x:v>
      </x:c>
      <x:c r="C14" s="1071"/>
      <x:c r="D14" s="1071"/>
      <x:c r="E14" s="1071"/>
      <x:c r="F14" s="1071"/>
      <x:c r="G14" s="1071"/>
      <x:c r="H14" s="1071"/>
    </x:row>
    <x:row r="15" ht="34" customHeight="1">
      <x:c r="A15" s="1528" t="str">
        <x:v>Próxima fase</x:v>
      </x:c>
      <x:c r="B15" s="1071" t="str">
        <x:v>Revisar y cerrar decisiones externas; luego diseño físico MySQL 8 usando contratos funcionales de estos RF.</x:v>
      </x:c>
      <x:c r="C15" s="1071"/>
      <x:c r="D15" s="1071"/>
      <x:c r="E15" s="1071"/>
      <x:c r="F15" s="1071"/>
      <x:c r="G15" s="1071"/>
      <x:c r="H15" s="1071"/>
    </x:row>
  </x:sheetData>
  <x:mergeCells>
    <x:mergeCell ref="A1:H1"/>
    <x:mergeCell ref="B2:H2"/>
    <x:mergeCell ref="B3:H3"/>
    <x:mergeCell ref="B4:H4"/>
    <x:mergeCell ref="B5:H5"/>
    <x:mergeCell ref="B6:H6"/>
    <x:mergeCell ref="B7:H7"/>
    <x:mergeCell ref="B8:H8"/>
    <x:mergeCell ref="B9:H9"/>
    <x:mergeCell ref="B10:H10"/>
    <x:mergeCell ref="B11:H11"/>
    <x:mergeCell ref="B12:H12"/>
    <x:mergeCell ref="B13:H13"/>
    <x:mergeCell ref="B14:H14"/>
    <x:mergeCell ref="B15:H15"/>
  </x:mergeCells>
  <x:pageMargins left="0.7" right="0.7" top="0.75" bottom="0.75" header="0.3" footer="0.3"/>
</x:worksheet>
</file>

<file path=xl/worksheets/sheet1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76" hidden="0" customWidth="1"/>
    <x:col min="4" max="4" width="24" hidden="0" customWidth="1"/>
    <x:col min="5" max="5" width="30" hidden="0" customWidth="1"/>
    <x:col min="6" max="6" width="49" hidden="0" customWidth="1"/>
  </x:cols>
  <x:sheetData>
    <x:row r="1" ht="27" customHeight="1">
      <x:c r="A1" s="1530" t="str">
        <x:v>ID</x:v>
      </x:c>
      <x:c r="B1" s="1530" t="str">
        <x:v>Ámbito</x:v>
      </x:c>
      <x:c r="C1" s="1530" t="str">
        <x:v>Regla funcional resultante</x:v>
      </x:c>
      <x:c r="D1" s="1530" t="str">
        <x:v>RF impactados</x:v>
      </x:c>
      <x:c r="E1" s="1530" t="str">
        <x:v>Estado</x:v>
      </x:c>
      <x:c r="F1" s="1530" t="str">
        <x:v>Pendiente para implementar</x:v>
      </x:c>
    </x:row>
    <x:row r="2" ht="66" customHeight="1">
      <x:c r="A2" s="1071" t="str">
        <x:v>D14</x:v>
      </x:c>
      <x:c r="B2" s="1071" t="str">
        <x:v>Premium y gracia</x:v>
      </x:c>
      <x:c r="C2" s="1071" t="str">
        <x:v>Cupo Premium registrados/activos desde configuración; período de gracia solo cuando proveedor verifica derecho a beneficios.</x:v>
      </x:c>
      <x:c r="D2" s="1071" t="str">
        <x:v>RF08/12/28/29/30/60; RF030_ALT_FIN_PREMIUM</x:v>
      </x:c>
      <x:c r="E2" s="1071" t="str">
        <x:v>DECIDIDA</x:v>
      </x:c>
      <x:c r="F2" s="1071" t="str">
        <x:v>SQL y respuesta real Google Play pendientes</x:v>
      </x:c>
    </x:row>
    <x:row r="3" ht="66" customHeight="1">
      <x:c r="A3" s="1071" t="str">
        <x:v>D15</x:v>
      </x:c>
      <x:c r="B3" s="1071" t="str">
        <x:v>Identificadores TIVE</x:v>
      </x:c>
      <x:c r="C3" s="1071" t="str">
        <x:v>TIVE.idVehiculo PK/FK 1:0..1. codigoVerificacion y numeroTitulo no se declaran UNIQUE globales sin respaldo oficial; reportar coincidencias.</x:v>
      </x:c>
      <x:c r="D3" s="1071" t="str">
        <x:v>RF54/56</x:v>
      </x:c>
      <x:c r="E3" s="1071" t="str">
        <x:v>DECIDIDA CON LIMITACIÓN</x:v>
      </x:c>
      <x:c r="F3" s="1071" t="str">
        <x:v>Confirmar reglas oficiales antes de UNIQUE adicionales</x:v>
      </x:c>
    </x:row>
    <x:row r="4" ht="66" customHeight="1">
      <x:c r="A4" s="1071" t="str">
        <x:v>D16</x:v>
      </x:c>
      <x:c r="B4" s="1071" t="str">
        <x:v>SOAT actual e histórico</x:v>
      </x:c>
      <x:c r="C4" s="1071" t="str">
        <x:v>Una póliza con esActual=true por vehículo, historial intacto; cobertura se calcula independientemente por fechas. Renovación atómica.</x:v>
      </x:c>
      <x:c r="D4" s="1071" t="str">
        <x:v>RF09/12/13/31/32/33</x:v>
      </x:c>
      <x:c r="E4" s="1071" t="str">
        <x:v>DECIDIDA</x:v>
      </x:c>
      <x:c r="F4" s="1071" t="str">
        <x:v>SQL índice único condicional y transacciones</x:v>
      </x:c>
    </x:row>
    <x:row r="5" ht="66" customHeight="1">
      <x:c r="A5" s="1071" t="str">
        <x:v>D17</x:v>
      </x:c>
      <x:c r="B5" s="1071" t="str">
        <x:v>Alertas equivalentes</x:v>
      </x:c>
      <x:c r="C5" s="1071" t="str">
        <x:v>Firma vehículo + tipo + criterio + objetivoFecha o SIN_FECHA + objetivoKm o SIN_KM + servicioOtro normalizado para OTRO; solo alertas activas.</x:v>
      </x:c>
      <x:c r="D5" s="1071" t="str">
        <x:v>RF22/23/24</x:v>
      </x:c>
      <x:c r="E5" s="1071" t="str">
        <x:v>DECIDIDA</x:v>
      </x:c>
      <x:c r="F5" s="1071" t="str">
        <x:v>Firma/índice único/idempotencia implementables en SQL</x:v>
      </x:c>
    </x:row>
    <x:row r="6" ht="66" customHeight="1">
      <x:c r="A6" s="1071" t="str">
        <x:v>D18</x:v>
      </x:c>
      <x:c r="B6" s="1071" t="str">
        <x:v>VIN excepcional</x:v>
      </x:c>
      <x:c r="C6" s="1071" t="str">
        <x:v>Con TIVE, bloquear cambio VIN en RF11/RF56; permitir excepción solo por soporte tras validación de evidencia, identidad y bitácora.</x:v>
      </x:c>
      <x:c r="D6" s="1071" t="str">
        <x:v>RF11/54/56</x:v>
      </x:c>
      <x:c r="E6" s="1071" t="str">
        <x:v>RESPONSABLE DECIDIDO</x:v>
      </x:c>
      <x:c r="F6" s="1071" t="str">
        <x:v>Proceso excepcional fuera de RF01–RF64 por diseñar</x:v>
      </x:c>
    </x:row>
    <x:row r="7" ht="66" customHeight="1">
      <x:c r="A7" s="1071" t="str">
        <x:v>D19</x:v>
      </x:c>
      <x:c r="B7" s="1071" t="str">
        <x:v>Licencias y privacidad</x:v>
      </x:c>
      <x:c r="C7" s="1071" t="str">
        <x:v>RF51 sujeto a proveedor autorizado y contrato real; recuperación cuenta 30 días calendario definida; supresión/anonimización posterior requiere política aprobada.</x:v>
      </x:c>
      <x:c r="D7" s="1071" t="str">
        <x:v>RF07/51/52/53</x:v>
      </x:c>
      <x:c r="E7" s="1071" t="str">
        <x:v>CONTRATOS/POLÍTICA PENDIENTES</x:v>
      </x:c>
      <x:c r="F7" s="1071" t="str">
        <x:v>No congelar detalles técnicos de API ni eliminación definitiva</x:v>
      </x:c>
    </x:row>
  </x:sheetData>
  <x:pageMargins left="0.7" right="0.7" top="0.75" bottom="0.75" header="0.3" footer="0.3"/>
</x:worksheet>
</file>

<file path=xl/worksheets/sheet1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6" hidden="0" customWidth="1"/>
    <x:col min="3" max="3" width="58" hidden="0" customWidth="1"/>
    <x:col min="4" max="4" width="24" hidden="0" customWidth="1"/>
    <x:col min="5" max="5" width="34" hidden="0" customWidth="1"/>
    <x:col min="6" max="6" width="72" hidden="0" customWidth="1"/>
    <x:col min="7" max="7" width="58" hidden="0" customWidth="1"/>
  </x:cols>
  <x:sheetData>
    <x:row r="1" ht="30" customHeight="1">
      <x:c r="A1" s="1530" t="str">
        <x:v>RF</x:v>
      </x:c>
      <x:c r="B1" s="1530" t="str">
        <x:v>Hoja EF</x:v>
      </x:c>
      <x:c r="C1" s="1530" t="str">
        <x:v>Nombre / función</x:v>
      </x:c>
      <x:c r="D1" s="1530" t="str">
        <x:v>Decisiones impactadas</x:v>
      </x:c>
      <x:c r="E1" s="1530" t="str">
        <x:v>Estado del EF</x:v>
      </x:c>
      <x:c r="F1" s="1530" t="str">
        <x:v>Regla / comentario</x:v>
      </x:c>
      <x:c r="G1" s="1530" t="str">
        <x:v>Bloqueo técnico fuera de EF</x:v>
      </x:c>
    </x:row>
    <x:row r="2" ht="36" customHeight="1">
      <x:c r="A2" s="1071" t="str">
        <x:v>RF01</x:v>
      </x:c>
      <x:c r="B2" s="1071" t="str">
        <x:v>RF001-E1</x:v>
      </x:c>
      <x:c r="C2" s="1071" t="str">
        <x:v>RF-001-Registrar usuario en la aplicación</x:v>
      </x:c>
      <x:c r="D2" s="1071" t="str">
        <x:v>Sin cambios por D14–D19</x:v>
      </x:c>
      <x:c r="E2" s="1071" t="str">
        <x:v>EF CONGELABLE DOCUMENTALMENTE</x:v>
      </x:c>
      <x:c r="F2" s="1071" t="str">
        <x:v>Escenario exitoso conservado; sin cambios necesarios por estas seis decisiones.</x:v>
      </x:c>
      <x:c r="G2" s="1071" t="str">
        <x:v>Diseñar SQL/servicios y probar; no bloquea congelamiento EF.</x:v>
      </x:c>
    </x:row>
    <x:row r="3" ht="36" customHeight="1">
      <x:c r="A3" s="1071" t="str">
        <x:v>RF02</x:v>
      </x:c>
      <x:c r="B3" s="1071" t="str">
        <x:v>RF002-E1</x:v>
      </x:c>
      <x:c r="C3" s="1071" t="str">
        <x:v>RF-002-Iniciar sesión en la aplicación</x:v>
      </x:c>
      <x:c r="D3" s="1071" t="str">
        <x:v>Sin cambios por D14–D19</x:v>
      </x:c>
      <x:c r="E3" s="1071" t="str">
        <x:v>EF CONGELABLE DOCUMENTALMENTE</x:v>
      </x:c>
      <x:c r="F3" s="1071" t="str">
        <x:v>Escenario exitoso conservado; sin cambios necesarios por estas seis decisiones.</x:v>
      </x:c>
      <x:c r="G3" s="1071" t="str">
        <x:v>Diseñar SQL/servicios y probar; no bloquea congelamiento EF.</x:v>
      </x:c>
    </x:row>
    <x:row r="4" ht="36" customHeight="1">
      <x:c r="A4" s="1071" t="str">
        <x:v>RF03</x:v>
      </x:c>
      <x:c r="B4" s="1071" t="str">
        <x:v>RF003-E1</x:v>
      </x:c>
      <x:c r="C4" s="1071" t="str">
        <x:v>RF-003-Recuperar acceso a la cuenta</x:v>
      </x:c>
      <x:c r="D4" s="1071" t="str">
        <x:v>Sin cambios por D14–D19</x:v>
      </x:c>
      <x:c r="E4" s="1071" t="str">
        <x:v>EF CONGELABLE DOCUMENTALMENTE</x:v>
      </x:c>
      <x:c r="F4" s="1071" t="str">
        <x:v>Escenario exitoso conservado; sin cambios necesarios por estas seis decisiones.</x:v>
      </x:c>
      <x:c r="G4" s="1071" t="str">
        <x:v>Diseñar SQL/servicios y probar; no bloquea congelamiento EF.</x:v>
      </x:c>
    </x:row>
    <x:row r="5" ht="36" customHeight="1">
      <x:c r="A5" s="1071" t="str">
        <x:v>RF04</x:v>
      </x:c>
      <x:c r="B5" s="1071" t="str">
        <x:v>RF004-E1</x:v>
      </x:c>
      <x:c r="C5" s="1071" t="str">
        <x:v>RF-004-Consultar y modificar datos personales</x:v>
      </x:c>
      <x:c r="D5" s="1071" t="str">
        <x:v>Sin cambios por D14–D19</x:v>
      </x:c>
      <x:c r="E5" s="1071" t="str">
        <x:v>EF CONGELABLE DOCUMENTALMENTE</x:v>
      </x:c>
      <x:c r="F5" s="1071" t="str">
        <x:v>Escenario exitoso conservado; sin cambios necesarios por estas seis decisiones.</x:v>
      </x:c>
      <x:c r="G5" s="1071" t="str">
        <x:v>Diseñar SQL/servicios y probar; no bloquea congelamiento EF.</x:v>
      </x:c>
    </x:row>
    <x:row r="6" ht="36" customHeight="1">
      <x:c r="A6" s="1071" t="str">
        <x:v>RF05</x:v>
      </x:c>
      <x:c r="B6" s="1071" t="str">
        <x:v>RF005-E1</x:v>
      </x:c>
      <x:c r="C6" s="1071" t="str">
        <x:v>RF-005-Cambiar contraseña</x:v>
      </x:c>
      <x:c r="D6" s="1071" t="str">
        <x:v>Sin cambios por D14–D19</x:v>
      </x:c>
      <x:c r="E6" s="1071" t="str">
        <x:v>EF CONGELABLE DOCUMENTALMENTE</x:v>
      </x:c>
      <x:c r="F6" s="1071" t="str">
        <x:v>Escenario exitoso conservado; sin cambios necesarios por estas seis decisiones.</x:v>
      </x:c>
      <x:c r="G6" s="1071" t="str">
        <x:v>Diseñar SQL/servicios y probar; no bloquea congelamiento EF.</x:v>
      </x:c>
    </x:row>
    <x:row r="7" ht="36" customHeight="1">
      <x:c r="A7" s="1071" t="str">
        <x:v>RF06</x:v>
      </x:c>
      <x:c r="B7" s="1071" t="str">
        <x:v>RF006-E1</x:v>
      </x:c>
      <x:c r="C7" s="1071" t="str">
        <x:v>RF-006-Cerrar sesión</x:v>
      </x:c>
      <x:c r="D7" s="1071" t="str">
        <x:v>Sin cambios por D14–D19</x:v>
      </x:c>
      <x:c r="E7" s="1071" t="str">
        <x:v>EF CONGELABLE DOCUMENTALMENTE</x:v>
      </x:c>
      <x:c r="F7" s="1071" t="str">
        <x:v>Escenario exitoso conservado; sin cambios necesarios por estas seis decisiones.</x:v>
      </x:c>
      <x:c r="G7" s="1071" t="str">
        <x:v>Diseñar SQL/servicios y probar; no bloquea congelamiento EF.</x:v>
      </x:c>
    </x:row>
    <x:row r="8" ht="36" customHeight="1">
      <x:c r="A8" s="1071" t="str">
        <x:v>RF07</x:v>
      </x:c>
      <x:c r="B8" s="1071" t="str">
        <x:v>RF007-E1</x:v>
      </x:c>
      <x:c r="C8" s="1071" t="str">
        <x:v>RF-007 — Solicitar eliminación de cuenta (30 días)</x:v>
      </x:c>
      <x:c r="D8" s="1071" t="str">
        <x:v>D19</x:v>
      </x:c>
      <x:c r="E8" s="1071" t="str">
        <x:v>EF CONGELABLE DOCUMENTALMENTE</x:v>
      </x:c>
      <x:c r="F8" s="1071" t="str">
        <x:v>Solicitud/recuperación de 30 días documentada; supresión posterior sujeta a política legal.</x:v>
      </x:c>
      <x:c r="G8" s="1071" t="str">
        <x:v>Definir política legal antes de eliminación definitiva.</x:v>
      </x:c>
    </x:row>
    <x:row r="9" ht="36" customHeight="1">
      <x:c r="A9" s="1071" t="str">
        <x:v>RF08</x:v>
      </x:c>
      <x:c r="B9" s="1071" t="str">
        <x:v>RF008-EF1</x:v>
      </x:c>
      <x:c r="C9" s="1071" t="str">
        <x:v>RF-008-Registrar vehículo</x:v>
      </x:c>
      <x:c r="D9" s="1071" t="str">
        <x:v>D14</x:v>
      </x:c>
      <x:c r="E9" s="1071" t="str">
        <x:v>EF CONGELABLE DOCUMENTALMENTE</x:v>
      </x:c>
      <x:c r="F9" s="1071" t="str">
        <x:v>Revalidar cupo Premium configurable y alta normal Free en backend.</x:v>
      </x:c>
      <x:c r="G9" s="1071" t="str">
        <x:v>Diseñar SQL/servicios y probar; no bloquea congelamiento EF.</x:v>
      </x:c>
    </x:row>
    <x:row r="10" ht="36" customHeight="1">
      <x:c r="A10" s="1071" t="str">
        <x:v>RF09</x:v>
      </x:c>
      <x:c r="B10" s="1071" t="str">
        <x:v>RF009-EF1</x:v>
      </x:c>
      <x:c r="C10" s="1071" t="str">
        <x:v>RF-009 Consultar vehículos registrados</x:v>
      </x:c>
      <x:c r="D10" s="1071" t="str">
        <x:v>D16</x:v>
      </x:c>
      <x:c r="E10" s="1071" t="str">
        <x:v>EF CONGELABLE DOCUMENTALMENTE</x:v>
      </x:c>
      <x:c r="F10" s="1071" t="str">
        <x:v>Estado SOAT mostrado según póliza ACTUAL y vigencia calculada.</x:v>
      </x:c>
      <x:c r="G10" s="1071" t="str">
        <x:v>Diseñar SQL/servicios y probar; no bloquea congelamiento EF.</x:v>
      </x:c>
    </x:row>
    <x:row r="11" ht="36" customHeight="1">
      <x:c r="A11" s="1071" t="str">
        <x:v>RF10</x:v>
      </x:c>
      <x:c r="B11" s="1071" t="str">
        <x:v>RF010-EF1</x:v>
      </x:c>
      <x:c r="C11" s="1071" t="str">
        <x:v>RF-010 Consultar detalle del vehículo</x:v>
      </x:c>
      <x:c r="D11" s="1071" t="str">
        <x:v>Sin cambios por D14–D19</x:v>
      </x:c>
      <x:c r="E11" s="1071" t="str">
        <x:v>EF CONGELABLE DOCUMENTALMENTE</x:v>
      </x:c>
      <x:c r="F11" s="1071" t="str">
        <x:v>Escenario exitoso conservado; sin cambios necesarios por estas seis decisiones.</x:v>
      </x:c>
      <x:c r="G11" s="1071" t="str">
        <x:v>Diseñar SQL/servicios y probar; no bloquea congelamiento EF.</x:v>
      </x:c>
    </x:row>
    <x:row r="12" ht="36" customHeight="1">
      <x:c r="A12" s="1071" t="str">
        <x:v>RF11</x:v>
      </x:c>
      <x:c r="B12" s="1071" t="str">
        <x:v>RF011-EF1</x:v>
      </x:c>
      <x:c r="C12" s="1071" t="str">
        <x:v>RF-011 Modificar datos del vehículo</x:v>
      </x:c>
      <x:c r="D12" s="1071" t="str">
        <x:v>D18</x:v>
      </x:c>
      <x:c r="E12" s="1071" t="str">
        <x:v>EF CONGELABLE DOCUMENTALMENTE</x:v>
      </x:c>
      <x:c r="F12" s="1071" t="str">
        <x:v>VIN con TIVE bloqueado en RF11. Soporte corrige por procedimiento futuro separado.</x:v>
      </x:c>
      <x:c r="G12" s="1071" t="str">
        <x:v>Proceso excepcional VIN requiere RF/procedimiento separado.</x:v>
      </x:c>
    </x:row>
    <x:row r="13" ht="36" customHeight="1">
      <x:c r="A13" s="1071" t="str">
        <x:v>RF12</x:v>
      </x:c>
      <x:c r="B13" s="1071" t="str">
        <x:v>RF012-EF1</x:v>
      </x:c>
      <x:c r="C13" s="1071" t="str">
        <x:v>RF-012 Activar o desactivar vehículo</x:v>
      </x:c>
      <x:c r="D13" s="1071" t="str">
        <x:v>D14, D16</x:v>
      </x:c>
      <x:c r="E13" s="1071" t="str">
        <x:v>EF CONGELABLE DOCUMENTALMENTE</x:v>
      </x:c>
      <x:c r="F13" s="1071" t="str">
        <x:v>Al activar consultar cupo Premium configurado o límite Free; mostrar SOAT actual.</x:v>
      </x:c>
      <x:c r="G13" s="1071" t="str">
        <x:v>Diseñar SQL/servicios y probar; no bloquea congelamiento EF.</x:v>
      </x:c>
    </x:row>
    <x:row r="14" ht="36" customHeight="1">
      <x:c r="A14" s="1071" t="str">
        <x:v>RF13</x:v>
      </x:c>
      <x:c r="B14" s="1071" t="str">
        <x:v>RF013-EF1</x:v>
      </x:c>
      <x:c r="C14" s="1071" t="str">
        <x:v>RF-013 Establecer vehículo principal</x:v>
      </x:c>
      <x:c r="D14" s="1071" t="str">
        <x:v>D16</x:v>
      </x:c>
      <x:c r="E14" s="1071" t="str">
        <x:v>EF CONGELABLE DOCUMENTALMENTE</x:v>
      </x:c>
      <x:c r="F14" s="1071" t="str">
        <x:v>No cambiar principal hacia vehículo INACTIVO; SOAT actual en listado.</x:v>
      </x:c>
      <x:c r="G14" s="1071" t="str">
        <x:v>Diseñar SQL/servicios y probar; no bloquea congelamiento EF.</x:v>
      </x:c>
    </x:row>
    <x:row r="15" ht="36" customHeight="1">
      <x:c r="A15" s="1071" t="str">
        <x:v>RF14</x:v>
      </x:c>
      <x:c r="B15" s="1071" t="str">
        <x:v>RF014-EF1</x:v>
      </x:c>
      <x:c r="C15" s="1071" t="str">
        <x:v>RF014 · ACTUALIZAR KILOMETRAJE</x:v>
      </x:c>
      <x:c r="D15" s="1071" t="str">
        <x:v>Sin cambios por D14–D19</x:v>
      </x:c>
      <x:c r="E15" s="1071" t="str">
        <x:v>EF CONGELABLE DOCUMENTALMENTE</x:v>
      </x:c>
      <x:c r="F15" s="1071" t="str">
        <x:v>Escenario exitoso conservado; sin cambios necesarios por estas seis decisiones.</x:v>
      </x:c>
      <x:c r="G15" s="1071" t="str">
        <x:v>Diseñar SQL/servicios y probar; no bloquea congelamiento EF.</x:v>
      </x:c>
    </x:row>
    <x:row r="16" ht="36" customHeight="1">
      <x:c r="A16" s="1071" t="str">
        <x:v>RF15</x:v>
      </x:c>
      <x:c r="B16" s="1071" t="str">
        <x:v>RF015-EF1</x:v>
      </x:c>
      <x:c r="C16" s="1071" t="str">
        <x:v>RF-015 Consultar historial de kilometraje</x:v>
      </x:c>
      <x:c r="D16" s="1071" t="str">
        <x:v>Sin cambios por D14–D19</x:v>
      </x:c>
      <x:c r="E16" s="1071" t="str">
        <x:v>EF CONGELABLE DOCUMENTALMENTE</x:v>
      </x:c>
      <x:c r="F16" s="1071" t="str">
        <x:v>Escenario exitoso conservado; sin cambios necesarios por estas seis decisiones.</x:v>
      </x:c>
      <x:c r="G16" s="1071" t="str">
        <x:v>Diseñar SQL/servicios y probar; no bloquea congelamiento EF.</x:v>
      </x:c>
    </x:row>
    <x:row r="17" ht="36" customHeight="1">
      <x:c r="A17" s="1071" t="str">
        <x:v>RF16</x:v>
      </x:c>
      <x:c r="B17" s="1071" t="str">
        <x:v>RF016-EF1</x:v>
      </x:c>
      <x:c r="C17" s="1071" t="str">
        <x:v>RF016 · CORREGIR KILOMETRAJE (MODO COMPARTIDO)</x:v>
      </x:c>
      <x:c r="D17" s="1071" t="str">
        <x:v>Sin cambios por D14–D19</x:v>
      </x:c>
      <x:c r="E17" s="1071" t="str">
        <x:v>EF CONGELABLE DOCUMENTALMENTE</x:v>
      </x:c>
      <x:c r="F17" s="1071" t="str">
        <x:v>Escenario exitoso conservado; sin cambios necesarios por estas seis decisiones.</x:v>
      </x:c>
      <x:c r="G17" s="1071" t="str">
        <x:v>Diseñar SQL/servicios y probar; no bloquea congelamiento EF.</x:v>
      </x:c>
    </x:row>
    <x:row r="18" ht="36" customHeight="1">
      <x:c r="A18" s="1071" t="str">
        <x:v>RF17</x:v>
      </x:c>
      <x:c r="B18" s="1071" t="str">
        <x:v>RF17</x:v>
      </x:c>
      <x:c r="C18" s="1071" t="str">
        <x:v>RF-017 — Registrar mantenimiento realizado</x:v>
      </x:c>
      <x:c r="D18" s="1071" t="str">
        <x:v>Sin cambios por D14–D19</x:v>
      </x:c>
      <x:c r="E18" s="1071" t="str">
        <x:v>EF CONGELABLE DOCUMENTALMENTE</x:v>
      </x:c>
      <x:c r="F18" s="1071" t="str">
        <x:v>Escenario exitoso conservado; sin cambios necesarios por estas seis decisiones.</x:v>
      </x:c>
      <x:c r="G18" s="1071" t="str">
        <x:v>Diseñar SQL/servicios y probar; no bloquea congelamiento EF.</x:v>
      </x:c>
    </x:row>
    <x:row r="19" ht="36" customHeight="1">
      <x:c r="A19" s="1071" t="str">
        <x:v>RF18</x:v>
      </x:c>
      <x:c r="B19" s="1071" t="str">
        <x:v>RF18</x:v>
      </x:c>
      <x:c r="C19" s="1071" t="str">
        <x:v>RF-018 - Consultar historial de mantenimiento.</x:v>
      </x:c>
      <x:c r="D19" s="1071" t="str">
        <x:v>Sin cambios por D14–D19</x:v>
      </x:c>
      <x:c r="E19" s="1071" t="str">
        <x:v>EF CONGELABLE DOCUMENTALMENTE</x:v>
      </x:c>
      <x:c r="F19" s="1071" t="str">
        <x:v>Escenario exitoso conservado; sin cambios necesarios por estas seis decisiones.</x:v>
      </x:c>
      <x:c r="G19" s="1071" t="str">
        <x:v>Diseñar SQL/servicios y probar; no bloquea congelamiento EF.</x:v>
      </x:c>
    </x:row>
    <x:row r="20" ht="36" customHeight="1">
      <x:c r="A20" s="1071" t="str">
        <x:v>RF19</x:v>
      </x:c>
      <x:c r="B20" s="1071" t="str">
        <x:v>RF19</x:v>
      </x:c>
      <x:c r="C20" s="1071" t="str">
        <x:v>RF-019- Consultar detalle de mantenimiento.</x:v>
      </x:c>
      <x:c r="D20" s="1071" t="str">
        <x:v>Sin cambios por D14–D19</x:v>
      </x:c>
      <x:c r="E20" s="1071" t="str">
        <x:v>EF CONGELABLE DOCUMENTALMENTE</x:v>
      </x:c>
      <x:c r="F20" s="1071" t="str">
        <x:v>Escenario exitoso conservado; sin cambios necesarios por estas seis decisiones.</x:v>
      </x:c>
      <x:c r="G20" s="1071" t="str">
        <x:v>Diseñar SQL/servicios y probar; no bloquea congelamiento EF.</x:v>
      </x:c>
    </x:row>
    <x:row r="21" ht="36" customHeight="1">
      <x:c r="A21" s="1071" t="str">
        <x:v>RF20</x:v>
      </x:c>
      <x:c r="B21" s="1071" t="str">
        <x:v>RF20</x:v>
      </x:c>
      <x:c r="C21" s="1071" t="str">
        <x:v>DIAGRAMA DE SECUENCIA</x:v>
      </x:c>
      <x:c r="D21" s="1071" t="str">
        <x:v>Sin cambios por D14–D19</x:v>
      </x:c>
      <x:c r="E21" s="1071" t="str">
        <x:v>EF CONGELABLE DOCUMENTALMENTE</x:v>
      </x:c>
      <x:c r="F21" s="1071" t="str">
        <x:v>Escenario exitoso conservado; sin cambios necesarios por estas seis decisiones.</x:v>
      </x:c>
      <x:c r="G21" s="1071" t="str">
        <x:v>Diseñar SQL/servicios y probar; no bloquea congelamiento EF.</x:v>
      </x:c>
    </x:row>
    <x:row r="22" ht="36" customHeight="1">
      <x:c r="A22" s="1071" t="str">
        <x:v>RF21</x:v>
      </x:c>
      <x:c r="B22" s="1071" t="str">
        <x:v>RF21</x:v>
      </x:c>
      <x:c r="C22" s="1071" t="str">
        <x:v>DIAGRAMA DE SECUENCIA</x:v>
      </x:c>
      <x:c r="D22" s="1071" t="str">
        <x:v>Sin cambios por D14–D19</x:v>
      </x:c>
      <x:c r="E22" s="1071" t="str">
        <x:v>EF CONGELABLE DOCUMENTALMENTE</x:v>
      </x:c>
      <x:c r="F22" s="1071" t="str">
        <x:v>Escenario exitoso conservado; sin cambios necesarios por estas seis decisiones.</x:v>
      </x:c>
      <x:c r="G22" s="1071" t="str">
        <x:v>Diseñar SQL/servicios y probar; no bloquea congelamiento EF.</x:v>
      </x:c>
    </x:row>
    <x:row r="23" ht="36" customHeight="1">
      <x:c r="A23" s="1071" t="str">
        <x:v>RF22</x:v>
      </x:c>
      <x:c r="B23" s="1071" t="str">
        <x:v>RF22</x:v>
      </x:c>
      <x:c r="C23" s="1071" t="str">
        <x:v>RF-022 — Crear alerta preventiva manual</x:v>
      </x:c>
      <x:c r="D23" s="1071" t="str">
        <x:v>D17</x:v>
      </x:c>
      <x:c r="E23" s="1071" t="str">
        <x:v>EF CONGELABLE DOCUMENTALMENTE</x:v>
      </x:c>
      <x:c r="F23" s="1071" t="str">
        <x:v>Firma de equivalencia única en verificación previa y en persistencia; idempotencia.</x:v>
      </x:c>
      <x:c r="G23" s="1071" t="str">
        <x:v>Diseñar SQL/servicios y probar; no bloquea congelamiento EF.</x:v>
      </x:c>
    </x:row>
    <x:row r="24" ht="36" customHeight="1">
      <x:c r="A24" s="1071" t="str">
        <x:v>RF23</x:v>
      </x:c>
      <x:c r="B24" s="1071" t="str">
        <x:v>RF23</x:v>
      </x:c>
      <x:c r="C24" s="1071" t="str">
        <x:v>RF23 · Consultar alertas registradas</x:v>
      </x:c>
      <x:c r="D24" s="1071" t="str">
        <x:v>D17</x:v>
      </x:c>
      <x:c r="E24" s="1071" t="str">
        <x:v>EF CONGELABLE DOCUMENTALMENTE</x:v>
      </x:c>
      <x:c r="F24" s="1071" t="str">
        <x:v>Solo transiciones de estado: no generar falsa equivalencia en histórico.</x:v>
      </x:c>
      <x:c r="G24" s="1071" t="str">
        <x:v>Diseñar SQL/servicios y probar; no bloquea congelamiento EF.</x:v>
      </x:c>
    </x:row>
    <x:row r="25" ht="36" customHeight="1">
      <x:c r="A25" s="1071" t="str">
        <x:v>RF24</x:v>
      </x:c>
      <x:c r="B25" s="1071" t="str">
        <x:v>RF24</x:v>
      </x:c>
      <x:c r="C25" s="1071" t="str">
        <x:v>RF24</x:v>
      </x:c>
      <x:c r="D25" s="1071" t="str">
        <x:v>D17</x:v>
      </x:c>
      <x:c r="E25" s="1071" t="str">
        <x:v>EF CONGELABLE DOCUMENTALMENTE</x:v>
      </x:c>
      <x:c r="F25" s="1071" t="str">
        <x:v>Las alertas REALIZADAS/ANULADAS no impiden programar ciclo nuevo.</x:v>
      </x:c>
      <x:c r="G25" s="1071" t="str">
        <x:v>Diseñar SQL/servicios y probar; no bloquea congelamiento EF.</x:v>
      </x:c>
    </x:row>
    <x:row r="26" ht="36" customHeight="1">
      <x:c r="A26" s="1071" t="str">
        <x:v>RF25</x:v>
      </x:c>
      <x:c r="B26" s="1071" t="str">
        <x:v>RF25</x:v>
      </x:c>
      <x:c r="C26" s="1071" t="str">
        <x:v>RF25</x:v>
      </x:c>
      <x:c r="D26" s="1071" t="str">
        <x:v>Sin cambios por D14–D19</x:v>
      </x:c>
      <x:c r="E26" s="1071" t="str">
        <x:v>EF CONGELABLE DOCUMENTALMENTE</x:v>
      </x:c>
      <x:c r="F26" s="1071" t="str">
        <x:v>Escenario exitoso conservado; sin cambios necesarios por estas seis decisiones.</x:v>
      </x:c>
      <x:c r="G26" s="1071" t="str">
        <x:v>Diseñar SQL/servicios y probar; no bloquea congelamiento EF.</x:v>
      </x:c>
    </x:row>
    <x:row r="27" ht="36" customHeight="1">
      <x:c r="A27" s="1071" t="str">
        <x:v>RF26</x:v>
      </x:c>
      <x:c r="B27" s="1071" t="str">
        <x:v>RF26</x:v>
      </x:c>
      <x:c r="C27" s="1071" t="str">
        <x:v>RF-026 — Filtrar historial según criterios</x:v>
      </x:c>
      <x:c r="D27" s="1071" t="str">
        <x:v>Sin cambios por D14–D19</x:v>
      </x:c>
      <x:c r="E27" s="1071" t="str">
        <x:v>EF CONGELABLE DOCUMENTALMENTE</x:v>
      </x:c>
      <x:c r="F27" s="1071" t="str">
        <x:v>Escenario exitoso conservado; sin cambios necesarios por estas seis decisiones.</x:v>
      </x:c>
      <x:c r="G27" s="1071" t="str">
        <x:v>Diseñar SQL/servicios y probar; no bloquea congelamiento EF.</x:v>
      </x:c>
    </x:row>
    <x:row r="28" ht="36" customHeight="1">
      <x:c r="A28" s="1071" t="str">
        <x:v>RF27</x:v>
      </x:c>
      <x:c r="B28" s="1071" t="str">
        <x:v>RF27</x:v>
      </x:c>
      <x:c r="C28" s="1071" t="str">
        <x:v>RF-027 — Exportar historial de mantenimientos</x:v>
      </x:c>
      <x:c r="D28" s="1071" t="str">
        <x:v>Sin cambios por D14–D19</x:v>
      </x:c>
      <x:c r="E28" s="1071" t="str">
        <x:v>EF CONGELABLE DOCUMENTALMENTE</x:v>
      </x:c>
      <x:c r="F28" s="1071" t="str">
        <x:v>Escenario exitoso conservado; sin cambios necesarios por estas seis decisiones.</x:v>
      </x:c>
      <x:c r="G28" s="1071" t="str">
        <x:v>Diseñar SQL/servicios y probar; no bloquea congelamiento EF.</x:v>
      </x:c>
    </x:row>
    <x:row r="29" ht="36" customHeight="1">
      <x:c r="A29" s="1071" t="str">
        <x:v>RF28</x:v>
      </x:c>
      <x:c r="B29" s="1071" t="str">
        <x:v>RF028-E1</x:v>
      </x:c>
      <x:c r="C29" s="1071" t="str">
        <x:v>RF-028-Consultar planes disponibles</x:v>
      </x:c>
      <x:c r="D29" s="1071" t="str">
        <x:v>D14</x:v>
      </x:c>
      <x:c r="E29" s="1071" t="str">
        <x:v>EF CONGELABLE DOCUMENTALMENTE</x:v>
      </x:c>
      <x:c r="F29" s="1071" t="str">
        <x:v>Comparativa sin cupo ni precio codificados.</x:v>
      </x:c>
      <x:c r="G29" s="1071" t="str">
        <x:v>Diseñar SQL/servicios y probar; no bloquea congelamiento EF.</x:v>
      </x:c>
    </x:row>
    <x:row r="30" ht="36" customHeight="1">
      <x:c r="A30" s="1071" t="str">
        <x:v>RF29</x:v>
      </x:c>
      <x:c r="B30" s="1071" t="str">
        <x:v>RF029-E1</x:v>
      </x:c>
      <x:c r="C30" s="1071" t="str">
        <x:v>RF-029-Contratar plan Premium</x:v>
      </x:c>
      <x:c r="D30" s="1071" t="str">
        <x:v>D14</x:v>
      </x:c>
      <x:c r="E30" s="1071" t="str">
        <x:v>EF CONGELABLE DOCUMENTALMENTE</x:v>
      </x:c>
      <x:c r="F30" s="1071" t="str">
        <x:v>Configuración vigente + gracia efectiva confirmada por proveedor.</x:v>
      </x:c>
      <x:c r="G30" s="1071" t="str">
        <x:v>Diseñar SQL/servicios y probar; no bloquea congelamiento EF.</x:v>
      </x:c>
    </x:row>
    <x:row r="31" ht="36" customHeight="1">
      <x:c r="A31" s="1071" t="str">
        <x:v>RF30</x:v>
      </x:c>
      <x:c r="B31" s="1071" t="str">
        <x:v>RF030-E1</x:v>
      </x:c>
      <x:c r="C31" s="1071" t="str">
        <x:v>RF-030-Consultar estado de suscripción</x:v>
      </x:c>
      <x:c r="D31" s="1071" t="str">
        <x:v>D14</x:v>
      </x:c>
      <x:c r="E31" s="1071" t="str">
        <x:v>EF CONGELABLE DOCUMENTALMENTE</x:v>
      </x:c>
      <x:c r="F31" s="1071" t="str">
        <x:v>Degradar solo tras derecho definitivamente finalizado y verificado.</x:v>
      </x:c>
      <x:c r="G31" s="1071" t="str">
        <x:v>Diseñar SQL/servicios y probar; no bloquea congelamiento EF.</x:v>
      </x:c>
    </x:row>
    <x:row r="32" ht="36" customHeight="1">
      <x:c r="A32" s="1071" t="str">
        <x:v>RF31</x:v>
      </x:c>
      <x:c r="B32" s="1071" t="str">
        <x:v>RF031-EF1</x:v>
      </x:c>
      <x:c r="C32" s="1071" t="str">
        <x:v>RF-031-Registrar información del SOAT del vehículo</x:v>
      </x:c>
      <x:c r="D32" s="1071" t="str">
        <x:v>D16</x:v>
      </x:c>
      <x:c r="E32" s="1071" t="str">
        <x:v>EF CONGELABLE DOCUMENTALMENTE</x:v>
      </x:c>
      <x:c r="F32" s="1071" t="str">
        <x:v>Registrar SOAT marcándolo ACTUAL solo si no existe otro actual.</x:v>
      </x:c>
      <x:c r="G32" s="1071" t="str">
        <x:v>Diseñar SQL/servicios y probar; no bloquea congelamiento EF.</x:v>
      </x:c>
    </x:row>
    <x:row r="33" ht="36" customHeight="1">
      <x:c r="A33" s="1071" t="str">
        <x:v>RF32</x:v>
      </x:c>
      <x:c r="B33" s="1071" t="str">
        <x:v>RF032-EF1</x:v>
      </x:c>
      <x:c r="C33" s="1071" t="str">
        <x:v>RF-032-Actualizar información del SOAT</x:v>
      </x:c>
      <x:c r="D33" s="1071" t="str">
        <x:v>D16</x:v>
      </x:c>
      <x:c r="E33" s="1071" t="str">
        <x:v>EF CONGELABLE DOCUMENTALMENTE</x:v>
      </x:c>
      <x:c r="F33" s="1071" t="str">
        <x:v>Renovación de SOAT deja el anterior HISTÓRICO y nuevo ACTUAL en una transacción.</x:v>
      </x:c>
      <x:c r="G33" s="1071" t="str">
        <x:v>Diseñar SQL/servicios y probar; no bloquea congelamiento EF.</x:v>
      </x:c>
    </x:row>
    <x:row r="34" ht="36" customHeight="1">
      <x:c r="A34" s="1071" t="str">
        <x:v>RF33</x:v>
      </x:c>
      <x:c r="B34" s="1071" t="str">
        <x:v>RF033-EF1</x:v>
      </x:c>
      <x:c r="C34" s="1071" t="str">
        <x:v>RF-033-Configurar recordatorio de vencimiento del SOAT</x:v>
      </x:c>
      <x:c r="D34" s="1071" t="str">
        <x:v>D16</x:v>
      </x:c>
      <x:c r="E34" s="1071" t="str">
        <x:v>EF CONGELABLE DOCUMENTALMENTE</x:v>
      </x:c>
      <x:c r="F34" s="1071" t="str">
        <x:v>Recordatorio vinculado al SOAT marcado ACTUAL.</x:v>
      </x:c>
      <x:c r="G34" s="1071" t="str">
        <x:v>Diseñar SQL/servicios y probar; no bloquea congelamiento EF.</x:v>
      </x:c>
    </x:row>
    <x:row r="35" ht="36" customHeight="1">
      <x:c r="A35" s="1071" t="str">
        <x:v>RF34</x:v>
      </x:c>
      <x:c r="B35" s="1071" t="str">
        <x:v>RF034-EF1</x:v>
      </x:c>
      <x:c r="C35" s="1071" t="str">
        <x:v>RF-034-Registrar taller asociado</x:v>
      </x:c>
      <x:c r="D35" s="1071" t="str">
        <x:v>Sin cambios por D14–D19</x:v>
      </x:c>
      <x:c r="E35" s="1071" t="str">
        <x:v>EF CONGELABLE DOCUMENTALMENTE</x:v>
      </x:c>
      <x:c r="F35" s="1071" t="str">
        <x:v>Escenario exitoso conservado; sin cambios necesarios por estas seis decisiones.</x:v>
      </x:c>
      <x:c r="G35" s="1071" t="str">
        <x:v>Diseñar SQL/servicios y probar; no bloquea congelamiento EF.</x:v>
      </x:c>
    </x:row>
    <x:row r="36" ht="36" customHeight="1">
      <x:c r="A36" s="1071" t="str">
        <x:v>RF35</x:v>
      </x:c>
      <x:c r="B36" s="1071" t="str">
        <x:v>RF035-EF1</x:v>
      </x:c>
      <x:c r="C36" s="1071" t="str">
        <x:v>RF-035-Modificar taller registrado</x:v>
      </x:c>
      <x:c r="D36" s="1071" t="str">
        <x:v>Sin cambios por D14–D19</x:v>
      </x:c>
      <x:c r="E36" s="1071" t="str">
        <x:v>EF CONGELABLE DOCUMENTALMENTE</x:v>
      </x:c>
      <x:c r="F36" s="1071" t="str">
        <x:v>Escenario exitoso conservado; sin cambios necesarios por estas seis decisiones.</x:v>
      </x:c>
      <x:c r="G36" s="1071" t="str">
        <x:v>Diseñar SQL/servicios y probar; no bloquea congelamiento EF.</x:v>
      </x:c>
    </x:row>
    <x:row r="37" ht="36" customHeight="1">
      <x:c r="A37" s="1071" t="str">
        <x:v>RF36</x:v>
      </x:c>
      <x:c r="B37" s="1071" t="str">
        <x:v>RF036-EF1</x:v>
      </x:c>
      <x:c r="C37" s="1071" t="str">
        <x:v>RF-036-Eliminar taller</x:v>
      </x:c>
      <x:c r="D37" s="1071" t="str">
        <x:v>Sin cambios por D14–D19</x:v>
      </x:c>
      <x:c r="E37" s="1071" t="str">
        <x:v>EF CONGELABLE DOCUMENTALMENTE</x:v>
      </x:c>
      <x:c r="F37" s="1071" t="str">
        <x:v>Escenario exitoso conservado; sin cambios necesarios por estas seis decisiones.</x:v>
      </x:c>
      <x:c r="G37" s="1071" t="str">
        <x:v>Diseñar SQL/servicios y probar; no bloquea congelamiento EF.</x:v>
      </x:c>
    </x:row>
    <x:row r="38" ht="36" customHeight="1">
      <x:c r="A38" s="1071" t="str">
        <x:v>RF37</x:v>
      </x:c>
      <x:c r="B38" s="1071" t="str">
        <x:v>RF037-EF1</x:v>
      </x:c>
      <x:c r="C38" s="1071" t="str">
        <x:v>RF-037-Marcar taller como favorito</x:v>
      </x:c>
      <x:c r="D38" s="1071" t="str">
        <x:v>Sin cambios por D14–D19</x:v>
      </x:c>
      <x:c r="E38" s="1071" t="str">
        <x:v>EF CONGELABLE DOCUMENTALMENTE</x:v>
      </x:c>
      <x:c r="F38" s="1071" t="str">
        <x:v>Escenario exitoso conservado; sin cambios necesarios por estas seis decisiones.</x:v>
      </x:c>
      <x:c r="G38" s="1071" t="str">
        <x:v>Diseñar SQL/servicios y probar; no bloquea congelamiento EF.</x:v>
      </x:c>
    </x:row>
    <x:row r="39" ht="36" customHeight="1">
      <x:c r="A39" s="1071" t="str">
        <x:v>RF38</x:v>
      </x:c>
      <x:c r="B39" s="1071" t="str">
        <x:v>RF038-E1</x:v>
      </x:c>
      <x:c r="C39" s="1071" t="str">
        <x:v>RF-038-Registrar foto de perfil</x:v>
      </x:c>
      <x:c r="D39" s="1071" t="str">
        <x:v>Sin cambios por D14–D19</x:v>
      </x:c>
      <x:c r="E39" s="1071" t="str">
        <x:v>EF CONGELABLE DOCUMENTALMENTE</x:v>
      </x:c>
      <x:c r="F39" s="1071" t="str">
        <x:v>Escenario exitoso conservado; sin cambios necesarios por estas seis decisiones.</x:v>
      </x:c>
      <x:c r="G39" s="1071" t="str">
        <x:v>Diseñar SQL/servicios y probar; no bloquea congelamiento EF.</x:v>
      </x:c>
    </x:row>
    <x:row r="40" ht="36" customHeight="1">
      <x:c r="A40" s="1071" t="str">
        <x:v>RF39</x:v>
      </x:c>
      <x:c r="B40" s="1071" t="str">
        <x:v>RF039-E1</x:v>
      </x:c>
      <x:c r="C40" s="1071" t="str">
        <x:v>RF-039-Actualizar foto de perfil</x:v>
      </x:c>
      <x:c r="D40" s="1071" t="str">
        <x:v>Sin cambios por D14–D19</x:v>
      </x:c>
      <x:c r="E40" s="1071" t="str">
        <x:v>EF CONGELABLE DOCUMENTALMENTE</x:v>
      </x:c>
      <x:c r="F40" s="1071" t="str">
        <x:v>Escenario exitoso conservado; sin cambios necesarios por estas seis decisiones.</x:v>
      </x:c>
      <x:c r="G40" s="1071" t="str">
        <x:v>Diseñar SQL/servicios y probar; no bloquea congelamiento EF.</x:v>
      </x:c>
    </x:row>
    <x:row r="41" ht="36" customHeight="1">
      <x:c r="A41" s="1071" t="str">
        <x:v>RF40</x:v>
      </x:c>
      <x:c r="B41" s="1071" t="str">
        <x:v>RF040-E1</x:v>
      </x:c>
      <x:c r="C41" s="1071" t="str">
        <x:v>RF-040-Eliminar foto de perfil</x:v>
      </x:c>
      <x:c r="D41" s="1071" t="str">
        <x:v>Sin cambios por D14–D19</x:v>
      </x:c>
      <x:c r="E41" s="1071" t="str">
        <x:v>EF CONGELABLE DOCUMENTALMENTE</x:v>
      </x:c>
      <x:c r="F41" s="1071" t="str">
        <x:v>Escenario exitoso conservado; sin cambios necesarios por estas seis decisiones.</x:v>
      </x:c>
      <x:c r="G41" s="1071" t="str">
        <x:v>Diseñar SQL/servicios y probar; no bloquea congelamiento EF.</x:v>
      </x:c>
    </x:row>
    <x:row r="42" ht="36" customHeight="1">
      <x:c r="A42" s="1071" t="str">
        <x:v>RF41</x:v>
      </x:c>
      <x:c r="B42" s="1071" t="str">
        <x:v>RF041-EF1</x:v>
      </x:c>
      <x:c r="C42" s="1071" t="str">
        <x:v>RF-041 Compartir información pública del vehículo</x:v>
      </x:c>
      <x:c r="D42" s="1071" t="str">
        <x:v>Sin cambios por D14–D19</x:v>
      </x:c>
      <x:c r="E42" s="1071" t="str">
        <x:v>EF CONGELABLE DOCUMENTALMENTE</x:v>
      </x:c>
      <x:c r="F42" s="1071" t="str">
        <x:v>Escenario exitoso conservado; sin cambios necesarios por estas seis decisiones.</x:v>
      </x:c>
      <x:c r="G42" s="1071" t="str">
        <x:v>Diseñar SQL/servicios y probar; no bloquea congelamiento EF.</x:v>
      </x:c>
    </x:row>
    <x:row r="43" ht="36" customHeight="1">
      <x:c r="A43" s="1071" t="str">
        <x:v>RF42</x:v>
      </x:c>
      <x:c r="B43" s="1071" t="str">
        <x:v>RF042-EF1</x:v>
      </x:c>
      <x:c r="C43" s="1071" t="str">
        <x:v>RF-042 Registrar imagen del vehículo</x:v>
      </x:c>
      <x:c r="D43" s="1071" t="str">
        <x:v>Sin cambios por D14–D19</x:v>
      </x:c>
      <x:c r="E43" s="1071" t="str">
        <x:v>EF CONGELABLE DOCUMENTALMENTE</x:v>
      </x:c>
      <x:c r="F43" s="1071" t="str">
        <x:v>Escenario exitoso conservado; sin cambios necesarios por estas seis decisiones.</x:v>
      </x:c>
      <x:c r="G43" s="1071" t="str">
        <x:v>Diseñar SQL/servicios y probar; no bloquea congelamiento EF.</x:v>
      </x:c>
    </x:row>
    <x:row r="44" ht="36" customHeight="1">
      <x:c r="A44" s="1071" t="str">
        <x:v>RF43</x:v>
      </x:c>
      <x:c r="B44" s="1071" t="str">
        <x:v>RF043-EF1</x:v>
      </x:c>
      <x:c r="C44" s="1071" t="str">
        <x:v>RF-043 Actualizar imagen del vehículo</x:v>
      </x:c>
      <x:c r="D44" s="1071" t="str">
        <x:v>Sin cambios por D14–D19</x:v>
      </x:c>
      <x:c r="E44" s="1071" t="str">
        <x:v>EF CONGELABLE DOCUMENTALMENTE</x:v>
      </x:c>
      <x:c r="F44" s="1071" t="str">
        <x:v>Escenario exitoso conservado; sin cambios necesarios por estas seis decisiones.</x:v>
      </x:c>
      <x:c r="G44" s="1071" t="str">
        <x:v>Diseñar SQL/servicios y probar; no bloquea congelamiento EF.</x:v>
      </x:c>
    </x:row>
    <x:row r="45" ht="36" customHeight="1">
      <x:c r="A45" s="1071" t="str">
        <x:v>RF44</x:v>
      </x:c>
      <x:c r="B45" s="1071" t="str">
        <x:v>RF044-EF1</x:v>
      </x:c>
      <x:c r="C45" s="1071" t="str">
        <x:v>RF-044-Gestionar ciclo de recordatorios de kilometraje</x:v>
      </x:c>
      <x:c r="D45" s="1071" t="str">
        <x:v>Sin cambios por D14–D19</x:v>
      </x:c>
      <x:c r="E45" s="1071" t="str">
        <x:v>EF CONGELABLE DOCUMENTALMENTE</x:v>
      </x:c>
      <x:c r="F45" s="1071" t="str">
        <x:v>Escenario exitoso conservado; sin cambios necesarios por estas seis decisiones.</x:v>
      </x:c>
      <x:c r="G45" s="1071" t="str">
        <x:v>Diseñar SQL/servicios y probar; no bloquea congelamiento EF.</x:v>
      </x:c>
    </x:row>
    <x:row r="46" ht="36" customHeight="1">
      <x:c r="A46" s="1071" t="str">
        <x:v>RF45</x:v>
      </x:c>
      <x:c r="B46" s="1071" t="str">
        <x:v>RF045-EF1</x:v>
      </x:c>
      <x:c r="C46" s="1071" t="str">
        <x:v>RF-045 Eliminar imagen del vehículo</x:v>
      </x:c>
      <x:c r="D46" s="1071" t="str">
        <x:v>Sin cambios por D14–D19</x:v>
      </x:c>
      <x:c r="E46" s="1071" t="str">
        <x:v>EF CONGELABLE DOCUMENTALMENTE</x:v>
      </x:c>
      <x:c r="F46" s="1071" t="str">
        <x:v>Escenario exitoso conservado; sin cambios necesarios por estas seis decisiones.</x:v>
      </x:c>
      <x:c r="G46" s="1071" t="str">
        <x:v>Diseñar SQL/servicios y probar; no bloquea congelamiento EF.</x:v>
      </x:c>
    </x:row>
    <x:row r="47" ht="36" customHeight="1">
      <x:c r="A47" s="1071" t="str">
        <x:v>RF46</x:v>
      </x:c>
      <x:c r="B47" s="1071" t="str">
        <x:v>RF046-EF1</x:v>
      </x:c>
      <x:c r="C47" s="1071" t="str">
        <x:v>RF-046-Consultar notificaciones</x:v>
      </x:c>
      <x:c r="D47" s="1071" t="str">
        <x:v>Sin cambios por D14–D19</x:v>
      </x:c>
      <x:c r="E47" s="1071" t="str">
        <x:v>EF CONGELABLE DOCUMENTALMENTE</x:v>
      </x:c>
      <x:c r="F47" s="1071" t="str">
        <x:v>Escenario exitoso conservado; sin cambios necesarios por estas seis decisiones.</x:v>
      </x:c>
      <x:c r="G47" s="1071" t="str">
        <x:v>Diseñar SQL/servicios y probar; no bloquea congelamiento EF.</x:v>
      </x:c>
    </x:row>
    <x:row r="48" ht="36" customHeight="1">
      <x:c r="A48" s="1071" t="str">
        <x:v>RF47</x:v>
      </x:c>
      <x:c r="B48" s="1071" t="str">
        <x:v>RF047-EF1</x:v>
      </x:c>
      <x:c r="C48" s="1071" t="str">
        <x:v>RF-047-Acceder al destino de una notificación</x:v>
      </x:c>
      <x:c r="D48" s="1071" t="str">
        <x:v>Sin cambios por D14–D19</x:v>
      </x:c>
      <x:c r="E48" s="1071" t="str">
        <x:v>EF CONGELABLE DOCUMENTALMENTE</x:v>
      </x:c>
      <x:c r="F48" s="1071" t="str">
        <x:v>Escenario exitoso conservado; sin cambios necesarios por estas seis decisiones.</x:v>
      </x:c>
      <x:c r="G48" s="1071" t="str">
        <x:v>Diseñar SQL/servicios y probar; no bloquea congelamiento EF.</x:v>
      </x:c>
    </x:row>
    <x:row r="49" ht="36" customHeight="1">
      <x:c r="A49" s="1071" t="str">
        <x:v>RF48</x:v>
      </x:c>
      <x:c r="B49" s="1071" t="str">
        <x:v>RF048-EF1</x:v>
      </x:c>
      <x:c r="C49" s="1071" t="str">
        <x:v>RF-048-Configurar preferencias de notificaciones externas</x:v>
      </x:c>
      <x:c r="D49" s="1071" t="str">
        <x:v>Sin cambios por D14–D19</x:v>
      </x:c>
      <x:c r="E49" s="1071" t="str">
        <x:v>EF CONGELABLE DOCUMENTALMENTE</x:v>
      </x:c>
      <x:c r="F49" s="1071" t="str">
        <x:v>Escenario exitoso conservado; sin cambios necesarios por estas seis decisiones.</x:v>
      </x:c>
      <x:c r="G49" s="1071" t="str">
        <x:v>Diseñar SQL/servicios y probar; no bloquea congelamiento EF.</x:v>
      </x:c>
    </x:row>
    <x:row r="50" ht="36" customHeight="1">
      <x:c r="A50" s="1071" t="str">
        <x:v>RF49</x:v>
      </x:c>
      <x:c r="B50" s="1071" t="str">
        <x:v>RF049-EF1</x:v>
      </x:c>
      <x:c r="C50" s="1071" t="str">
        <x:v>RF-049-Filtrar notificaciones por categoría</x:v>
      </x:c>
      <x:c r="D50" s="1071" t="str">
        <x:v>Sin cambios por D14–D19</x:v>
      </x:c>
      <x:c r="E50" s="1071" t="str">
        <x:v>EF CONGELABLE DOCUMENTALMENTE</x:v>
      </x:c>
      <x:c r="F50" s="1071" t="str">
        <x:v>Escenario exitoso conservado; sin cambios necesarios por estas seis decisiones.</x:v>
      </x:c>
      <x:c r="G50" s="1071" t="str">
        <x:v>Diseñar SQL/servicios y probar; no bloquea congelamiento EF.</x:v>
      </x:c>
    </x:row>
    <x:row r="51" ht="36" customHeight="1">
      <x:c r="A51" s="1071" t="str">
        <x:v>RF50</x:v>
      </x:c>
      <x:c r="B51" s="1071" t="str">
        <x:v>RF050-EF1</x:v>
      </x:c>
      <x:c r="C51" s="1071" t="str">
        <x:v>RF-050-Consultar resumen de Inicio</x:v>
      </x:c>
      <x:c r="D51" s="1071" t="str">
        <x:v>D16</x:v>
      </x:c>
      <x:c r="E51" s="1071" t="str">
        <x:v>EF CONGELABLE DOCUMENTALMENTE</x:v>
      </x:c>
      <x:c r="F51" s="1071" t="str">
        <x:v>Mostrar estado SOAT según cobertura a fecha, distinto de esActual.</x:v>
      </x:c>
      <x:c r="G51" s="1071" t="str">
        <x:v>Diseñar SQL/servicios y probar; no bloquea congelamiento EF.</x:v>
      </x:c>
    </x:row>
    <x:row r="52" ht="36" customHeight="1">
      <x:c r="A52" s="1071" t="str">
        <x:v>RF51</x:v>
      </x:c>
      <x:c r="B52" s="1071" t="str">
        <x:v>RF051-EF1</x:v>
      </x:c>
      <x:c r="C52" s="1071" t="str">
        <x:v>RF-051 — REGISTRAR LICENCIA — EF01</x:v>
      </x:c>
      <x:c r="D52" s="1071" t="str">
        <x:v>D14, D19</x:v>
      </x:c>
      <x:c r="E52" s="1071" t="str">
        <x:v>CONDICIONAL — PROVEEDOR</x:v>
      </x:c>
      <x:c r="F52" s="1071" t="str">
        <x:v>Proveedor DNI y licencias no verificado: EF condicional, no codificar /dni ni /licencia supuestos.</x:v>
      </x:c>
      <x:c r="G52" s="1071" t="str">
        <x:v>Validar contrato proveedor DNI/licencias y campos antes de programar.</x:v>
      </x:c>
    </x:row>
    <x:row r="53" ht="36" customHeight="1">
      <x:c r="A53" s="1071" t="str">
        <x:v>RF52</x:v>
      </x:c>
      <x:c r="B53" s="1071" t="str">
        <x:v>RF052-EF1</x:v>
      </x:c>
      <x:c r="C53" s="1071" t="str">
        <x:v>RF-052 — CONSULTAR LICENCIA — EF01</x:v>
      </x:c>
      <x:c r="D53" s="1071" t="str">
        <x:v>D19</x:v>
      </x:c>
      <x:c r="E53" s="1071" t="str">
        <x:v>EF CONGELABLE DOCUMENTALMENTE</x:v>
      </x:c>
      <x:c r="F53" s="1071" t="str">
        <x:v>Consulta de licencia ya guardada no implica consultar servicios externos.</x:v>
      </x:c>
      <x:c r="G53" s="1071" t="str">
        <x:v>Diseñar SQL/servicios y probar; no bloquea congelamiento EF.</x:v>
      </x:c>
    </x:row>
    <x:row r="54" ht="36" customHeight="1">
      <x:c r="A54" s="1071" t="str">
        <x:v>RF53</x:v>
      </x:c>
      <x:c r="B54" s="1071" t="str">
        <x:v>RF053-EF1</x:v>
      </x:c>
      <x:c r="C54" s="1071" t="str">
        <x:v>REACTIVAR CUENTA DENTRO DE LOS 30 DÍAS CALENDARIO · EF01</x:v>
      </x:c>
      <x:c r="D54" s="1071" t="str">
        <x:v>D19</x:v>
      </x:c>
      <x:c r="E54" s="1071" t="str">
        <x:v>EF CONGELABLE DOCUMENTALMENTE</x:v>
      </x:c>
      <x:c r="F54" s="1071" t="str">
        <x:v>30 días de recuperación definidos; retención posterior no aprobada.</x:v>
      </x:c>
      <x:c r="G54" s="1071" t="str">
        <x:v>Diseñar SQL/servicios y probar; no bloquea congelamiento EF.</x:v>
      </x:c>
    </x:row>
    <x:row r="55" ht="36" customHeight="1">
      <x:c r="A55" s="1071" t="str">
        <x:v>RF54</x:v>
      </x:c>
      <x:c r="B55" s="1071" t="str">
        <x:v>RF054-EF1</x:v>
      </x:c>
      <x:c r="C55" s="1071" t="str">
        <x:v>RF-054 Registrar TIVE</x:v>
      </x:c>
      <x:c r="D55" s="1071" t="str">
        <x:v>D15, D18</x:v>
      </x:c>
      <x:c r="E55" s="1071" t="str">
        <x:v>EF CONGELABLE DOCUMENTALMENTE</x:v>
      </x:c>
      <x:c r="F55" s="1071" t="str">
        <x:v>VIN previo; una TIVE por idVehiculo. Coincidencias de título/código no son UNIQUE confirmados.</x:v>
      </x:c>
      <x:c r="G55" s="1071" t="str">
        <x:v>Diseñar SQL/servicios y probar; no bloquea congelamiento EF.</x:v>
      </x:c>
    </x:row>
    <x:row r="56" ht="36" customHeight="1">
      <x:c r="A56" s="1071" t="str">
        <x:v>RF55</x:v>
      </x:c>
      <x:c r="B56" s="1071" t="str">
        <x:v>RF055-EF1</x:v>
      </x:c>
      <x:c r="C56" s="1071" t="str">
        <x:v>RF-055 Consultar TIVE</x:v>
      </x:c>
      <x:c r="D56" s="1071" t="str">
        <x:v>Sin cambios por D14–D19</x:v>
      </x:c>
      <x:c r="E56" s="1071" t="str">
        <x:v>EF CONGELABLE DOCUMENTALMENTE</x:v>
      </x:c>
      <x:c r="F56" s="1071" t="str">
        <x:v>Escenario exitoso conservado; sin cambios necesarios por estas seis decisiones.</x:v>
      </x:c>
      <x:c r="G56" s="1071" t="str">
        <x:v>Diseñar SQL/servicios y probar; no bloquea congelamiento EF.</x:v>
      </x:c>
    </x:row>
    <x:row r="57" ht="36" customHeight="1">
      <x:c r="A57" s="1071" t="str">
        <x:v>RF56</x:v>
      </x:c>
      <x:c r="B57" s="1071" t="str">
        <x:v>RF056-EF1</x:v>
      </x:c>
      <x:c r="C57" s="1071" t="str">
        <x:v>RF-056 Editar TIVE</x:v>
      </x:c>
      <x:c r="D57" s="1071" t="str">
        <x:v>D15, D18</x:v>
      </x:c>
      <x:c r="E57" s="1071" t="str">
        <x:v>EF CONGELABLE DOCUMENTALMENTE</x:v>
      </x:c>
      <x:c r="F57" s="1071" t="str">
        <x:v>Edición TIVE sin versiones; VIN no editable, coincidencias de identificadores informativas.</x:v>
      </x:c>
      <x:c r="G57" s="1071" t="str">
        <x:v>Diseñar SQL/servicios y probar; no bloquea congelamiento EF.</x:v>
      </x:c>
    </x:row>
    <x:row r="58" ht="36" customHeight="1">
      <x:c r="A58" s="1071" t="str">
        <x:v>RF57</x:v>
      </x:c>
      <x:c r="B58" s="1071" t="str">
        <x:v>RF057_EXITOSO</x:v>
      </x:c>
      <x:c r="C58" s="1071" t="str">
        <x:v>ACCEDER AL PANEL ADMINISTRATIVO</x:v>
      </x:c>
      <x:c r="D58" s="1071" t="str">
        <x:v>Sin cambios por D14–D19</x:v>
      </x:c>
      <x:c r="E58" s="1071" t="str">
        <x:v>EF CONGELABLE DOCUMENTALMENTE</x:v>
      </x:c>
      <x:c r="F58" s="1071" t="str">
        <x:v>Escenario exitoso conservado; sin cambios necesarios por estas seis decisiones.</x:v>
      </x:c>
      <x:c r="G58" s="1071" t="str">
        <x:v>Diseñar SQL/servicios y probar; no bloquea congelamiento EF.</x:v>
      </x:c>
    </x:row>
    <x:row r="59" ht="36" customHeight="1">
      <x:c r="A59" s="1071" t="str">
        <x:v>RF58</x:v>
      </x:c>
      <x:c r="B59" s="1071" t="str">
        <x:v>RF058_EXITOSO</x:v>
      </x:c>
      <x:c r="C59" s="1071" t="str">
        <x:v>CONSULTAR USUARIOS REGISTRADOS</x:v>
      </x:c>
      <x:c r="D59" s="1071" t="str">
        <x:v>Sin cambios por D14–D19</x:v>
      </x:c>
      <x:c r="E59" s="1071" t="str">
        <x:v>EF CONGELABLE DOCUMENTALMENTE</x:v>
      </x:c>
      <x:c r="F59" s="1071" t="str">
        <x:v>Escenario exitoso conservado; sin cambios necesarios por estas seis decisiones.</x:v>
      </x:c>
      <x:c r="G59" s="1071" t="str">
        <x:v>Diseñar SQL/servicios y probar; no bloquea congelamiento EF.</x:v>
      </x:c>
    </x:row>
    <x:row r="60" ht="36" customHeight="1">
      <x:c r="A60" s="1071" t="str">
        <x:v>RF59</x:v>
      </x:c>
      <x:c r="B60" s="1071" t="str">
        <x:v>RF059_EXITOSO</x:v>
      </x:c>
      <x:c r="C60" s="1071" t="str">
        <x:v>GESTIONAR ESTADO DE CUENTA: SUSPENSIÓN AUTORIZADA</x:v>
      </x:c>
      <x:c r="D60" s="1071" t="str">
        <x:v>Sin cambios por D14–D19</x:v>
      </x:c>
      <x:c r="E60" s="1071" t="str">
        <x:v>EF CONGELABLE DOCUMENTALMENTE</x:v>
      </x:c>
      <x:c r="F60" s="1071" t="str">
        <x:v>Escenario exitoso conservado; sin cambios necesarios por estas seis decisiones.</x:v>
      </x:c>
      <x:c r="G60" s="1071" t="str">
        <x:v>Diseñar SQL/servicios y probar; no bloquea congelamiento EF.</x:v>
      </x:c>
    </x:row>
    <x:row r="61" ht="36" customHeight="1">
      <x:c r="A61" s="1071" t="str">
        <x:v>RF60</x:v>
      </x:c>
      <x:c r="B61" s="1071" t="str">
        <x:v>RF060_EXITOSO</x:v>
      </x:c>
      <x:c r="C61" s="1071" t="str">
        <x:v>SUPERVISAR SUSCRIPCIONES Y VERIFICAR ESTADO</x:v>
      </x:c>
      <x:c r="D61" s="1071" t="str">
        <x:v>D14</x:v>
      </x:c>
      <x:c r="E61" s="1071" t="str">
        <x:v>EF CONGELABLE DOCUMENTALMENTE</x:v>
      </x:c>
      <x:c r="F61" s="1071" t="str">
        <x:v>Conciliación por estado confirmado del proveedor y gracia sin plazo presumido.</x:v>
      </x:c>
      <x:c r="G61" s="1071" t="str">
        <x:v>Diseñar SQL/servicios y probar; no bloquea congelamiento EF.</x:v>
      </x:c>
    </x:row>
    <x:row r="62" ht="36" customHeight="1">
      <x:c r="A62" s="1071" t="str">
        <x:v>RF61</x:v>
      </x:c>
      <x:c r="B62" s="1071" t="str">
        <x:v>RF061_EXITOSO</x:v>
      </x:c>
      <x:c r="C62" s="1071" t="str">
        <x:v>GESTIONAR INCIDENCIA REPORTADA POR USUARIO</x:v>
      </x:c>
      <x:c r="D62" s="1071" t="str">
        <x:v>Sin cambios por D14–D19</x:v>
      </x:c>
      <x:c r="E62" s="1071" t="str">
        <x:v>EF CONGELABLE DOCUMENTALMENTE</x:v>
      </x:c>
      <x:c r="F62" s="1071" t="str">
        <x:v>Escenario exitoso conservado; sin cambios necesarios por estas seis decisiones.</x:v>
      </x:c>
      <x:c r="G62" s="1071" t="str">
        <x:v>Diseñar SQL/servicios y probar; no bloquea congelamiento EF.</x:v>
      </x:c>
    </x:row>
    <x:row r="63" ht="36" customHeight="1">
      <x:c r="A63" s="1071" t="str">
        <x:v>RF62</x:v>
      </x:c>
      <x:c r="B63" s="1071" t="str">
        <x:v>RF062_EXITOSO</x:v>
      </x:c>
      <x:c r="C63" s="1071" t="str">
        <x:v>GESTIONAR CATÁLOGOS: REGISTRAR TIPO DE MANTENIMIENTO</x:v>
      </x:c>
      <x:c r="D63" s="1071" t="str">
        <x:v>Sin cambios por D14–D19</x:v>
      </x:c>
      <x:c r="E63" s="1071" t="str">
        <x:v>EF CONGELABLE DOCUMENTALMENTE</x:v>
      </x:c>
      <x:c r="F63" s="1071" t="str">
        <x:v>Escenario exitoso conservado; sin cambios necesarios por estas seis decisiones.</x:v>
      </x:c>
      <x:c r="G63" s="1071" t="str">
        <x:v>Diseñar SQL/servicios y probar; no bloquea congelamiento EF.</x:v>
      </x:c>
    </x:row>
    <x:row r="64" ht="36" customHeight="1">
      <x:c r="A64" s="1071" t="str">
        <x:v>RF63</x:v>
      </x:c>
      <x:c r="B64" s="1071" t="str">
        <x:v>RF063_EXITOSO</x:v>
      </x:c>
      <x:c r="C64" s="1071" t="str">
        <x:v>REPORTAR INCIDENCIA DESDE PERFIL</x:v>
      </x:c>
      <x:c r="D64" s="1071" t="str">
        <x:v>Sin cambios por D14–D19</x:v>
      </x:c>
      <x:c r="E64" s="1071" t="str">
        <x:v>EF CONGELABLE DOCUMENTALMENTE</x:v>
      </x:c>
      <x:c r="F64" s="1071" t="str">
        <x:v>Escenario exitoso conservado; sin cambios necesarios por estas seis decisiones.</x:v>
      </x:c>
      <x:c r="G64" s="1071" t="str">
        <x:v>Diseñar SQL/servicios y probar; no bloquea congelamiento EF.</x:v>
      </x:c>
    </x:row>
    <x:row r="65" ht="36" customHeight="1">
      <x:c r="A65" s="1071" t="str">
        <x:v>RF64</x:v>
      </x:c>
      <x:c r="B65" s="1071" t="str">
        <x:v>RF064_EXITOSO</x:v>
      </x:c>
      <x:c r="C65" s="1071" t="str">
        <x:v>CONSULTAR MIS INCIDENCIAS Y DETALLE CON AVANCES</x:v>
      </x:c>
      <x:c r="D65" s="1071" t="str">
        <x:v>Sin cambios por D14–D19</x:v>
      </x:c>
      <x:c r="E65" s="1071" t="str">
        <x:v>EF CONGELABLE DOCUMENTALMENTE</x:v>
      </x:c>
      <x:c r="F65" s="1071" t="str">
        <x:v>Escenario exitoso conservado; sin cambios necesarios por estas seis decisiones.</x:v>
      </x:c>
      <x:c r="G65" s="1071" t="str">
        <x:v>Diseñar SQL/servicios y probar; no bloquea congelamiento EF.</x:v>
      </x:c>
    </x:row>
  </x:sheetData>
  <x:pageMargins left="0.7" right="0.7" top="0.75" bottom="0.75" header="0.3" footer="0.3"/>
</x:worksheet>
</file>

<file path=xl/worksheets/sheet1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4" hidden="0" customWidth="1"/>
    <x:col min="3" max="3" width="18" hidden="0" customWidth="1"/>
    <x:col min="4" max="4" width="56" hidden="0" customWidth="1"/>
    <x:col min="5" max="5" width="94" hidden="0" customWidth="1"/>
    <x:col min="6" max="6" width="12" hidden="0" customWidth="1"/>
  </x:cols>
  <x:sheetData>
    <x:row r="1" ht="27" customHeight="1">
      <x:c r="A1" s="1530" t="str">
        <x:v>ID</x:v>
      </x:c>
      <x:c r="B1" s="1530" t="str">
        <x:v>Dominio</x:v>
      </x:c>
      <x:c r="C1" s="1530" t="str">
        <x:v>RF</x:v>
      </x:c>
      <x:c r="D1" s="1530" t="str">
        <x:v>Escenario / entrada</x:v>
      </x:c>
      <x:c r="E1" s="1530" t="str">
        <x:v>Resultado funcional esperado</x:v>
      </x:c>
      <x:c r="F1" s="1530" t="str">
        <x:v>Decisión</x:v>
      </x:c>
    </x:row>
    <x:row r="2" ht="40" customHeight="1">
      <x:c r="A2" s="1071" t="str">
        <x:v>T01</x:v>
      </x:c>
      <x:c r="B2" s="1071" t="str">
        <x:v>Premium configurable</x:v>
      </x:c>
      <x:c r="C2" s="1071" t="str">
        <x:v>RF08/RF29</x:v>
      </x:c>
      <x:c r="D2" s="1071" t="str">
        <x:v>Cambiar cupo Premium por configuración</x:v>
      </x:c>
      <x:c r="E2" s="1071" t="str">
        <x:v>El sistema aplica nuevo cupo sin modificar RF ni código. Registros permitidos hasta el límite configurado.</x:v>
      </x:c>
      <x:c r="F2" s="1071" t="str">
        <x:v>D14</x:v>
      </x:c>
    </x:row>
    <x:row r="3" ht="40" customHeight="1">
      <x:c r="A3" s="1071" t="str">
        <x:v>T02</x:v>
      </x:c>
      <x:c r="B3" s="1071" t="str">
        <x:v>Beneficio/gracia</x:v>
      </x:c>
      <x:c r="C3" s="1071" t="str">
        <x:v>RF30</x:v>
      </x:c>
      <x:c r="D3" s="1071" t="str">
        <x:v>Suscripción con gracia confirmada por proveedor</x:v>
      </x:c>
      <x:c r="E3" s="1071" t="str">
        <x:v>Conservar Premium si la respuesta certifica derecho, sin días fijos locales.</x:v>
      </x:c>
      <x:c r="F3" s="1071" t="str">
        <x:v>D14</x:v>
      </x:c>
    </x:row>
    <x:row r="4" ht="40" customHeight="1">
      <x:c r="A4" s="1071" t="str">
        <x:v>T03</x:v>
      </x:c>
      <x:c r="B4" s="1071" t="str">
        <x:v>Caída de proveedor</x:v>
      </x:c>
      <x:c r="C4" s="1071" t="str">
        <x:v>RF30/RF60</x:v>
      </x:c>
      <x:c r="D4" s="1071" t="str">
        <x:v>Consulta externa falla</x:v>
      </x:c>
      <x:c r="E4" s="1071" t="str">
        <x:v>No convertir error de comunicación en expiración del derecho.</x:v>
      </x:c>
      <x:c r="F4" s="1071" t="str">
        <x:v>D14</x:v>
      </x:c>
    </x:row>
    <x:row r="5" ht="40" customHeight="1">
      <x:c r="A5" s="1071" t="str">
        <x:v>T04</x:v>
      </x:c>
      <x:c r="B5" s="1071" t="str">
        <x:v>Fin Premium</x:v>
      </x:c>
      <x:c r="C5" s="1071" t="str">
        <x:v>RF30</x:v>
      </x:c>
      <x:c r="D5" s="1071" t="str">
        <x:v>Proveedor certifica fin definitivo</x:v>
      </x:c>
      <x:c r="E5" s="1071" t="str">
        <x:v>Conciliar a Free; solo principal activo; secundarios e históricos conservados.</x:v>
      </x:c>
      <x:c r="F5" s="1071" t="str">
        <x:v>D14</x:v>
      </x:c>
    </x:row>
    <x:row r="6" ht="40" customHeight="1">
      <x:c r="A6" s="1071" t="str">
        <x:v>T05</x:v>
      </x:c>
      <x:c r="B6" s="1071" t="str">
        <x:v>TIVE única</x:v>
      </x:c>
      <x:c r="C6" s="1071" t="str">
        <x:v>RF54</x:v>
      </x:c>
      <x:c r="D6" s="1071" t="str">
        <x:v>Intentar alta sobre mismo idVehiculo</x:v>
      </x:c>
      <x:c r="E6" s="1071" t="str">
        <x:v>Rechazar segunda TIVE por idVehiculo PK/FK, incluso bajo concurrencia.</x:v>
      </x:c>
      <x:c r="F6" s="1071" t="str">
        <x:v>D15</x:v>
      </x:c>
    </x:row>
    <x:row r="7" ht="40" customHeight="1">
      <x:c r="A7" s="1071" t="str">
        <x:v>T06</x:v>
      </x:c>
      <x:c r="B7" s="1071" t="str">
        <x:v>Códigos TIVE</x:v>
      </x:c>
      <x:c r="C7" s="1071" t="str">
        <x:v>RF54/RF56</x:v>
      </x:c>
      <x:c r="D7" s="1071" t="str">
        <x:v>Documento con codigoVerificacion o numeroTitulo igual a otro</x:v>
      </x:c>
      <x:c r="E7" s="1071" t="str">
        <x:v>Registrar coincidencia; no suponer bloqueo por UNIQUE hasta evidencia oficial.</x:v>
      </x:c>
      <x:c r="F7" s="1071" t="str">
        <x:v>D15</x:v>
      </x:c>
    </x:row>
    <x:row r="8" ht="40" customHeight="1">
      <x:c r="A8" s="1071" t="str">
        <x:v>T07</x:v>
      </x:c>
      <x:c r="B8" s="1071" t="str">
        <x:v>SOAT alta</x:v>
      </x:c>
      <x:c r="C8" s="1071" t="str">
        <x:v>RF31</x:v>
      </x:c>
      <x:c r="D8" s="1071" t="str">
        <x:v>Vehículo sin SOAT ACTUAL</x:v>
      </x:c>
      <x:c r="E8" s="1071" t="str">
        <x:v>Crear SOAT esActual=true y comprobar exclusividad.</x:v>
      </x:c>
      <x:c r="F8" s="1071" t="str">
        <x:v>D16</x:v>
      </x:c>
    </x:row>
    <x:row r="9" ht="40" customHeight="1">
      <x:c r="A9" s="1071" t="str">
        <x:v>T08</x:v>
      </x:c>
      <x:c r="B9" s="1071" t="str">
        <x:v>SOAT renovar</x:v>
      </x:c>
      <x:c r="C9" s="1071" t="str">
        <x:v>RF32</x:v>
      </x:c>
      <x:c r="D9" s="1071" t="str">
        <x:v>Renovar póliza actual</x:v>
      </x:c>
      <x:c r="E9" s="1071" t="str">
        <x:v>En operación atómica la anterior pasa a HISTÓRICA y la nueva a ACTUAL.</x:v>
      </x:c>
      <x:c r="F9" s="1071" t="str">
        <x:v>D16</x:v>
      </x:c>
    </x:row>
    <x:row r="10" ht="40" customHeight="1">
      <x:c r="A10" s="1071" t="str">
        <x:v>T09</x:v>
      </x:c>
      <x:c r="B10" s="1071" t="str">
        <x:v>SOAT fecha futura</x:v>
      </x:c>
      <x:c r="C10" s="1071" t="str">
        <x:v>RF32</x:v>
      </x:c>
      <x:c r="D10" s="1071" t="str">
        <x:v>Nueva póliza comienza en fecha futura</x:v>
      </x:c>
      <x:c r="E10" s="1071" t="str">
        <x:v>La marca ACTUAL señala registro más reciente, la cobertura a fecha no se falsea.</x:v>
      </x:c>
      <x:c r="F10" s="1071" t="str">
        <x:v>D16</x:v>
      </x:c>
    </x:row>
    <x:row r="11" ht="40" customHeight="1">
      <x:c r="A11" s="1071" t="str">
        <x:v>T10</x:v>
      </x:c>
      <x:c r="B11" s="1071" t="str">
        <x:v>Alerta idéntica</x:v>
      </x:c>
      <x:c r="C11" s="1071" t="str">
        <x:v>RF22</x:v>
      </x:c>
      <x:c r="D11" s="1071" t="str">
        <x:v>Dos creaciones concurrentes mismo objetivo</x:v>
      </x:c>
      <x:c r="E11" s="1071" t="str">
        <x:v>Una sola alerta activa con firmaEquivalencia y claveOperacion.</x:v>
      </x:c>
      <x:c r="F11" s="1071" t="str">
        <x:v>D17</x:v>
      </x:c>
    </x:row>
    <x:row r="12" ht="40" customHeight="1">
      <x:c r="A12" s="1071" t="str">
        <x:v>T11</x:v>
      </x:c>
      <x:c r="B12" s="1071" t="str">
        <x:v>Alerta OTRO</x:v>
      </x:c>
      <x:c r="C12" s="1071" t="str">
        <x:v>RF22</x:v>
      </x:c>
      <x:c r="D12" s="1071" t="str">
        <x:v>OTRO con tildes, mayúsculas y dobles espacios</x:v>
      </x:c>
      <x:c r="E12" s="1071" t="str">
        <x:v>Misma firma tras normalizar; nombre visible se conserva.</x:v>
      </x:c>
      <x:c r="F12" s="1071" t="str">
        <x:v>D17</x:v>
      </x:c>
    </x:row>
    <x:row r="13" ht="40" customHeight="1">
      <x:c r="A13" s="1071" t="str">
        <x:v>T12</x:v>
      </x:c>
      <x:c r="B13" s="1071" t="str">
        <x:v>Alerta nueva ronda</x:v>
      </x:c>
      <x:c r="C13" s="1071" t="str">
        <x:v>RF22/RF24</x:v>
      </x:c>
      <x:c r="D13" s="1071" t="str">
        <x:v>Alerta anterior REALIZADA, mismo criterio/objetivo</x:v>
      </x:c>
      <x:c r="E13" s="1071" t="str">
        <x:v>No bloquear nuevo ciclo por historial terminal.</x:v>
      </x:c>
      <x:c r="F13" s="1071" t="str">
        <x:v>D17</x:v>
      </x:c>
    </x:row>
    <x:row r="14" ht="40" customHeight="1">
      <x:c r="A14" s="1071" t="str">
        <x:v>T13</x:v>
      </x:c>
      <x:c r="B14" s="1071" t="str">
        <x:v>VIN bloqueado</x:v>
      </x:c>
      <x:c r="C14" s="1071" t="str">
        <x:v>RF11</x:v>
      </x:c>
      <x:c r="D14" s="1071" t="str">
        <x:v>Intentar modificar VIN con TIVE</x:v>
      </x:c>
      <x:c r="E14" s="1071" t="str">
        <x:v>Bloquear también desde backend; no alterar VEHICULO ni TIVE.</x:v>
      </x:c>
      <x:c r="F14" s="1071" t="str">
        <x:v>D18</x:v>
      </x:c>
    </x:row>
    <x:row r="15" ht="40" customHeight="1">
      <x:c r="A15" s="1071" t="str">
        <x:v>T14</x:v>
      </x:c>
      <x:c r="B15" s="1071" t="str">
        <x:v>Corrección soporte</x:v>
      </x:c>
      <x:c r="C15" s="1071" t="str">
        <x:v>RF11/RF54</x:v>
      </x:c>
      <x:c r="D15" s="1071" t="str">
        <x:v>Solicitud de corrección VIN respaldada por documento</x:v>
      </x:c>
      <x:c r="E15" s="1071" t="str">
        <x:v>Sin procedimiento autorizado aún: no ejecutar modificación; documentar futura revisión/auditoría.</x:v>
      </x:c>
      <x:c r="F15" s="1071" t="str">
        <x:v>D18</x:v>
      </x:c>
    </x:row>
    <x:row r="16" ht="40" customHeight="1">
      <x:c r="A16" s="1071" t="str">
        <x:v>T15</x:v>
      </x:c>
      <x:c r="B16" s="1071" t="str">
        <x:v>Proveedor desconocido</x:v>
      </x:c>
      <x:c r="C16" s="1071" t="str">
        <x:v>RF51</x:v>
      </x:c>
      <x:c r="D16" s="1071" t="str">
        <x:v>Sin servicio DNI/licencias contratado</x:v>
      </x:c>
      <x:c r="E16" s="1071" t="str">
        <x:v>No iniciar integración de producción ni asumir respuestas JSON.pe; EF queda condicional.</x:v>
      </x:c>
      <x:c r="F16" s="1071" t="str">
        <x:v>D19</x:v>
      </x:c>
    </x:row>
    <x:row r="17" ht="40" customHeight="1">
      <x:c r="A17" s="1071" t="str">
        <x:v>T16</x:v>
      </x:c>
      <x:c r="B17" s="1071" t="str">
        <x:v>Licencia guardada</x:v>
      </x:c>
      <x:c r="C17" s="1071" t="str">
        <x:v>RF52</x:v>
      </x:c>
      <x:c r="D17" s="1071" t="str">
        <x:v>Usuario Free con licencia previamente registrada</x:v>
      </x:c>
      <x:c r="E17" s="1071" t="str">
        <x:v>Consultar datos propios de solo lectura sin nuevas llamadas al proveedor.</x:v>
      </x:c>
      <x:c r="F17" s="1071" t="str">
        <x:v>D19</x:v>
      </x:c>
    </x:row>
    <x:row r="18" ht="40" customHeight="1">
      <x:c r="A18" s="1071" t="str">
        <x:v>T17</x:v>
      </x:c>
      <x:c r="B18" s="1071" t="str">
        <x:v>Eliminar cuenta</x:v>
      </x:c>
      <x:c r="C18" s="1071" t="str">
        <x:v>RF07/RF53</x:v>
      </x:c>
      <x:c r="D18" s="1071" t="str">
        <x:v>Cuenta dentro de 30 días y después</x:v>
      </x:c>
      <x:c r="E18" s="1071" t="str">
        <x:v>Dentro del plazo recuperable; procesamiento posterior depende de política legal vigente.</x:v>
      </x:c>
      <x:c r="F18" s="1071" t="str">
        <x:v>D19</x:v>
      </x:c>
    </x:row>
  </x:sheetData>
  <x:pageMargins left="0.7" right="0.7" top="0.75" bottom="0.75" header="0.3" footer="0.3"/>
</x:worksheet>
</file>

<file path=xl/worksheets/sheet1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1" hidden="0" customWidth="1"/>
    <x:col min="3" max="3" width="10" hidden="0" customWidth="1"/>
    <x:col min="4" max="4" width="72" hidden="0" customWidth="1"/>
    <x:col min="5" max="5" width="90" hidden="0" customWidth="1"/>
    <x:col min="6" max="6" width="50" hidden="0" customWidth="1"/>
  </x:cols>
  <x:sheetData>
    <x:row r="1" ht="26" customHeight="1">
      <x:c r="A1" s="1530" t="str">
        <x:v>Decisión</x:v>
      </x:c>
      <x:c r="B1" s="1530" t="str">
        <x:v>Hoja</x:v>
      </x:c>
      <x:c r="C1" s="1530" t="str">
        <x:v>Celda</x:v>
      </x:c>
      <x:c r="D1" s="1530" t="str">
        <x:v>Texto anterior</x:v>
      </x:c>
      <x:c r="E1" s="1530" t="str">
        <x:v>Texto actualizado</x:v>
      </x:c>
      <x:c r="F1" s="1530" t="str">
        <x:v>Motivo</x:v>
      </x:c>
    </x:row>
    <x:row r="2" ht="51" customHeight="1">
      <x:c r="A2" s="1071" t="str">
        <x:v>D14</x:v>
      </x:c>
      <x:c r="B2" s="1071" t="str">
        <x:v>RF028-E1</x:v>
      </x:c>
      <x:c r="C2" s="1071" t="str">
        <x:v>G19</x:v>
      </x:c>
      <x:c r="D2" s="1071" t="str">
        <x:v>La entidad devuelve precio, periodicidad, beneficios y límites de los planes vigentes; Premium mantiene el precio configurado de S/ 5 mensual.</x:v>
      </x:c>
      <x:c r="E2" s="1071" t="str">
        <x:v>La entidad entrega precio, periodicidad, beneficios y límites configurados en PLAN; el cupo Premium se consulta desde la configuración vigente, sin cifra fija en los RF. El precio y la política comercial también provienen de configuración, no de valores codificados.</x:v>
      </x:c>
      <x:c r="F2" s="1071" t="str">
        <x:v>Evitar limites y precios hardcodeados</x:v>
      </x:c>
    </x:row>
    <x:row r="3" ht="51" customHeight="1">
      <x:c r="A3" s="1071" t="str">
        <x:v>D14</x:v>
      </x:c>
      <x:c r="B3" s="1071" t="str">
        <x:v>RF028-E1</x:v>
      </x:c>
      <x:c r="C3" s="1071" t="str">
        <x:v>G22</x:v>
      </x:c>
      <x:c r="D3" s="1071" t="str">
        <x:v>Comparativa: FREE permite como máximo 1 vehículo registrado y 1 activo, no permite exportación de historial. PREMIUM vigente permite varios registrados y activos, y exportar historial. Si Premium vence, se conservan los vehículos extra como INACTIVOS sin borrar sus datos.</x:v>
      </x:c>
      <x:c r="E3" s="1071" t="str">
        <x:v>Comparativa: FREE permite una alta normal si no hay vehículos registrados y hasta un activo; conserva inactivos heredados de Premium. PREMIUM permite varios vehículos registrados y activos hasta cupo configurado (o sin límite si así consta). El derecho Premium incluye exclusivamente una gracia confirmada por el proveedor, si existe.</x:v>
      </x:c>
      <x:c r="F3" s="1071" t="str">
        <x:v>Cupo Premium parametrizado</x:v>
      </x:c>
    </x:row>
    <x:row r="4" ht="51" customHeight="1">
      <x:c r="A4" s="1071" t="str">
        <x:v>D14</x:v>
      </x:c>
      <x:c r="B4" s="1071" t="str">
        <x:v>RF029-E1</x:v>
      </x:c>
      <x:c r="C4" s="1071" t="str">
        <x:v>G19</x:v>
      </x:c>
      <x:c r="D4" s="1071" t="str">
        <x:v>La entidad devuelve precio, periodicidad, beneficios y límites de los planes vigentes.</x:v>
      </x:c>
      <x:c r="E4" s="1071" t="str">
        <x:v>La entidad devuelve precio, periodicidad, beneficios, cupoVehiculos y politicaGracia configurados por plan. Premium no tiene límite numérico fijo en RF; la gracia solo concede beneficio si el proveedor verifica expresamente derecho vigente.</x:v>
      </x:c>
      <x:c r="F4" s="1071" t="str">
        <x:v>Datos de plan configurables</x:v>
      </x:c>
    </x:row>
    <x:row r="5" ht="51" customHeight="1">
      <x:c r="A5" s="1071" t="str">
        <x:v>D14</x:v>
      </x:c>
      <x:c r="B5" s="1071" t="str">
        <x:v>RF029-E1</x:v>
      </x:c>
      <x:c r="C5" s="1071" t="str">
        <x:v>G22</x:v>
      </x:c>
      <x:c r="D5" s="1071" t="str">
        <x:v>Plan Free: solo permite un vehículo y no permite exportar el historial. Plan Premium: permite varios vehículos y exportar los mantenimientos.</x:v>
      </x:c>
      <x:c r="E5" s="1071" t="str">
        <x:v>FREE: un registro normal y un activo; conserva inactivos heredados de Premium y no permite exportar historial. PREMIUM: múltiples registros/activos según cupo configurado y exportación habilitada mientras exista derecho vigente o gracia confirmada oficialmente.</x:v>
      </x:c>
      <x:c r="F5" s="1071" t="str">
        <x:v>Comparativa consistente entre RF28/RF29</x:v>
      </x:c>
    </x:row>
    <x:row r="6" ht="51" customHeight="1">
      <x:c r="A6" s="1071" t="str">
        <x:v>D14</x:v>
      </x:c>
      <x:c r="B6" s="1071" t="str">
        <x:v>RF030-E1</x:v>
      </x:c>
      <x:c r="C6" s="1071" t="str">
        <x:v>G20</x:v>
      </x:c>
      <x:c r="D6" s="1071" t="str">
        <x:v>PREMIUM únicamente si la suscripción conserva derecho de uso vigente (incluido período de gracia válido, si aplica). Al finalizar efectivamente, pasa a FREE y la rutina automática RF030_ALT_FIN_PREMIUM deja únicamente el vehículo principal ACTIVO. El último pago es informativo, no otorga acceso sin vigencia. Con FREE persiste un solo vehículo ACTIVO (principal); los demás, si provenían de Premium, permanecen REGISTRADOS e INACTIVOS, visibles para consulta de historial. El límite de RF08 impide nuevos registros mientras exista cualquiera de ellos.</x:v>
      </x:c>
      <x:c r="E6" s="1071" t="str">
        <x:v>PREMIUM solo si el backend confirmó un derecho vigente o un período de gracia con beneficio confirmado por Google Play; duración y reglas de gracia no se inventan ni fijan en RF. Si el proveedor no responde, no degradar por ese fallo. Cuando se acredita fin definitivo del derecho, RF030_ALT_FIN_PREMIUM reconcilia a FREE y mantiene solo el principal activo.</x:v>
      </x:c>
      <x:c r="F6" s="1071" t="str">
        <x:v>Verificación derecho de uso y gracia</x:v>
      </x:c>
    </x:row>
    <x:row r="7" ht="51" customHeight="1">
      <x:c r="A7" s="1071" t="str">
        <x:v>D14</x:v>
      </x:c>
      <x:c r="B7" s="1071" t="str">
        <x:v>RF060_EXITOSO</x:v>
      </x:c>
      <x:c r="C7" s="1071" t="str">
        <x:v>G29</x:v>
      </x:c>
      <x:c r="D7" s="1071" t="str">
        <x:v>Devuelve vigencia autorizada.</x:v>
      </x:c>
      <x:c r="E7" s="1071" t="str">
        <x:v>El proveedor devuelve estado, fechas y derecho a beneficios verificables; si existe período de gracia, usar únicamente sus fechas/condiciones confirmadas, sin asumir duración predeterminada. La ausencia de respuesta no equivale a caducidad.</x:v>
      </x:c>
      <x:c r="F7" s="1071" t="str">
        <x:v>Conciliación con proveedor y gracia</x:v>
      </x:c>
    </x:row>
    <x:row r="8" ht="51" customHeight="1">
      <x:c r="A8" s="1071" t="str">
        <x:v>D14</x:v>
      </x:c>
      <x:c r="B8" s="1071" t="str">
        <x:v>RF030_ALT_FIN_PREMIUM</x:v>
      </x:c>
      <x:c r="C8" s="1071" t="str">
        <x:v>E5</x:v>
      </x:c>
      <x:c r="D8" s="1071" t="str">
        <x:v>Consulta derecho a uso; si gracia activa no degradar.</x:v>
      </x:c>
      <x:c r="E8" s="1071" t="str">
        <x:v>Selecciona candidatos para verificar derecho; la gracia no es un plazo fijo de MyCar: la mantiene solo si el proveedor confirma beneficio vigente.</x:v>
      </x:c>
      <x:c r="F8" s="1071" t="str">
        <x:v>Gracia configurable verificada</x:v>
      </x:c>
    </x:row>
    <x:row r="9" ht="51" customHeight="1">
      <x:c r="A9" s="1071" t="str">
        <x:v>D14</x:v>
      </x:c>
      <x:c r="B9" s="1071" t="str">
        <x:v>RF030_ALT_FIN_PREMIUM</x:v>
      </x:c>
      <x:c r="C9" s="1071" t="str">
        <x:v>E8</x:v>
      </x:c>
      <x:c r="D9" s="1071" t="str">
        <x:v>Fallo de proveedor NO implica degradación automática.</x:v>
      </x:c>
      <x:c r="E9" s="1071" t="str">
        <x:v>Devuelve vigencia, estado de gracia y fechas certificadas por el proveedor cuando estén disponibles. Error de conexión ≠ pérdida del derecho.</x:v>
      </x:c>
      <x:c r="F9" s="1071" t="str">
        <x:v>Gracia verificada y fallo proveedor</x:v>
      </x:c>
    </x:row>
    <x:row r="10" ht="51" customHeight="1">
      <x:c r="A10" s="1071" t="str">
        <x:v>D14</x:v>
      </x:c>
      <x:c r="B10" s="1071" t="str">
        <x:v>RF008-EF1</x:v>
      </x:c>
      <x:c r="C10" s="1071" t="str">
        <x:v>G17</x:v>
      </x:c>
      <x:c r="D10" s="1071" t="str">
        <x:v>Con FREE solo se permite registrar si cantidadRegistrados = 0 (límite total de 1 vehículo registrado). PREMIUM vigente admite múltiples según la configuración. Si FREE y cantidadRegistrados ≥ 1, el formulario NO se abre: ejecutar RF008_ALT_LIMITE_FREE. Decisión congelada: este límite se aplica a NUEVOS registros; el downgrade Premium→Free NO borra vehículos que ya estaban registrados.</x:v>
      </x:c>
      <x:c r="E10" s="1071" t="str">
        <x:v>FREE: alta permitida únicamente si totalRegistrados=0, incluyendo inactivos heredados. PREMIUM: alta dentro de cupoVehiculosRegistrados configurado o ilimitado si así está definido; no fijar números en RF. Revalidar en servidor.</x:v>
      </x:c>
      <x:c r="F10" s="1071" t="str">
        <x:v>Alta premium con cupo configurable</x:v>
      </x:c>
    </x:row>
    <x:row r="11" ht="51" customHeight="1">
      <x:c r="A11" s="1071" t="str">
        <x:v>D14</x:v>
      </x:c>
      <x:c r="B11" s="1071" t="str">
        <x:v>RF012-EF1</x:v>
      </x:c>
      <x:c r="C11" s="1071" t="str">
        <x:v>G19</x:v>
      </x:c>
      <x:c r="D11" s="1071" t="str">
        <x:v>Al ACTIVAR: si FREE y ya existe 1 vehículo ACTIVO (normalmente el principal), DENIEGA activar un segundo y dirige a RF012_ALT_CUPO_FREE; con PREMIUM vigente permite más según su configuración. No se reactivan automáticamente secundarios al renovar Premium.</x:v>
      </x:c>
      <x:c r="E11" s="1071" t="str">
        <x:v>ACTIVAR: FREE deniega segundo ACTIVO, conservando inactivos heredados. PREMIUM permite activar solo si activos + 1 no supera cupoVehiculosActivos configurado (o es ilimitado); revalidar plan y cupo en una transacción.</x:v>
      </x:c>
      <x:c r="F11" s="1071" t="str">
        <x:v>Activación con cupo configurable</x:v>
      </x:c>
    </x:row>
    <x:row r="12" ht="51" customHeight="1">
      <x:c r="A12" s="1071" t="str">
        <x:v>D15</x:v>
      </x:c>
      <x:c r="B12" s="1071" t="str">
        <x:v>RF054-EF1</x:v>
      </x:c>
      <x:c r="C12" s="1071" t="str">
        <x:v>F37</x:v>
      </x:c>
      <x:c r="D12" s="1071" t="str">
        <x:v>consultarIdentificadoresTIVE(numeroTitulo,codigoVerificacion)</x:v>
      </x:c>
      <x:c r="E12" s="1071" t="str">
        <x:v>consultarCoincidenciasIdentificadoresTIVE(numeroTitulo,codigoVerificacion)</x:v>
      </x:c>
      <x:c r="F12" s="1071" t="str">
        <x:v>Comprobar coincidencias sin presumir unicidad oficial</x:v>
      </x:c>
    </x:row>
    <x:row r="13" ht="51" customHeight="1">
      <x:c r="A13" s="1071" t="str">
        <x:v>D15</x:v>
      </x:c>
      <x:c r="B13" s="1071" t="str">
        <x:v>RF054-EF1</x:v>
      </x:c>
      <x:c r="C13" s="1071" t="str">
        <x:v>G37</x:v>
      </x:c>
      <x:c r="D13" s="1071" t="str">
        <x:v>Comprueba que codigoVerificacion no esté duplicado entre documentos (atributo de negocio con unicidad a confirmar físicamente) y valida numeroTitulo según RF54. La PK y FK de TIVE es idVehiculo, nunca codigoVerificacion. La unicidad exacta de numeroTitulo debe cotejarse con la definición de datos.</x:v>
      </x:c>
      <x:c r="E13" s="1071" t="str">
        <x:v>Consulta coincidencias de numeroTitulo y codigoVerificacion como control informativo y de calidad de datos. SIN contrato oficial validado, esas coincidencias no prueban duplicidad documental ni autorizan fijar UNIQUE global. Unicidad garantizada para la TIVE actual: TIVE.idVehiculo (PK/FK).</x:v>
      </x:c>
      <x:c r="F13" s="1071" t="str">
        <x:v>No imponer unicidad sin evidencia del dominio</x:v>
      </x:c>
    </x:row>
    <x:row r="14" ht="51" customHeight="1">
      <x:c r="A14" s="1071" t="str">
        <x:v>D15</x:v>
      </x:c>
      <x:c r="B14" s="1071" t="str">
        <x:v>RF054-EF1</x:v>
      </x:c>
      <x:c r="C14" s="1071" t="str">
        <x:v>F38</x:v>
      </x:c>
      <x:c r="D14" s="1071" t="str">
        <x:v>retornarDisponibilidadIdentificadores(codigoDisponible,tituloDisponible)</x:v>
      </x:c>
      <x:c r="E14" s="1071" t="str">
        <x:v>retornarCoincidenciasIdentificadores(datosCoincidencias)</x:v>
      </x:c>
      <x:c r="F14" s="1071" t="str">
        <x:v>Respuesta neutral de coincidencias</x:v>
      </x:c>
    </x:row>
    <x:row r="15" ht="51" customHeight="1">
      <x:c r="A15" s="1071" t="str">
        <x:v>D15</x:v>
      </x:c>
      <x:c r="B15" s="1071" t="str">
        <x:v>RF054-EF1</x:v>
      </x:c>
      <x:c r="C15" s="1071" t="str">
        <x:v>G38</x:v>
      </x:c>
      <x:c r="D15" s="1071" t="str">
        <x:v>Devuelve los resultados de disponibilidad de código de verificación y número de título.</x:v>
      </x:c>
      <x:c r="E15" s="1071" t="str">
        <x:v>Devuelve coincidencias para revisión/registro de trazabilidad; la decisión de imponer UNIQUE sobre codigoVerificacion o numeroTitulo queda PENDIENTE de validar su alcance oficial. Este escenario exitoso presupone documento válido y un idVehiculo sin TIVE.</x:v>
      </x:c>
      <x:c r="F15" s="1071" t="str">
        <x:v>No suponer tituloDisponible</x:v>
      </x:c>
    </x:row>
    <x:row r="16" ht="51" customHeight="1">
      <x:c r="A16" s="1071" t="str">
        <x:v>D15</x:v>
      </x:c>
      <x:c r="B16" s="1071" t="str">
        <x:v>RF054-EF1</x:v>
      </x:c>
      <x:c r="C16" s="1071" t="str">
        <x:v>G39</x:v>
      </x:c>
      <x:c r="D16" s="1071" t="str">
        <x:v>En UNA transacción: revalidar idUsuario propietario, VEHICULO.estado=ACTIVO, numeroVin presente, inexistencia de TIVE con igual idVehiculo (PK/FK 1:0..1) y unicidad de identificadores documentales exigidos. INSERT TIVE.idVehiculo = VEHICULO.idVehiculo. La imagen opcional se vincula con el MISMO idVehiculo y participa en el resultado consistente. Si alguna validación falla, no registrar ni confirmar éxito.</x:v>
      </x:c>
      <x:c r="E16" s="1071" t="str">
        <x:v>En UNA transacción, validar titularidad, vehículo ACTIVO con VIN informado y que no exista TIVE para idVehiculo (PK/FK 1:0..1). Insertar TIVE usando idVehiculo y registrar imagen opcional. No rechazar por coincidencia de codigoVerificacion/numeroTitulo como si fueran UNIQUE oficiales sin regla validada; las coincidencias se auditan. COMMIT solo tras persistencia consistente.</x:v>
      </x:c>
      <x:c r="F16" s="1071" t="str">
        <x:v>Unicidad verdadera por idVehiculo</x:v>
      </x:c>
    </x:row>
    <x:row r="17" ht="51" customHeight="1">
      <x:c r="A17" s="1071" t="str">
        <x:v>D15</x:v>
      </x:c>
      <x:c r="B17" s="1071" t="str">
        <x:v>RF056-EF1</x:v>
      </x:c>
      <x:c r="C17" s="1071" t="str">
        <x:v>F28</x:v>
      </x:c>
      <x:c r="D17" s="1071" t="str">
        <x:v>comprobarUnicidadExcluyendoTIVEActual(idVehiculo,codigoVerificacion,nroTitulo)</x:v>
      </x:c>
      <x:c r="E17" s="1071" t="str">
        <x:v>consultarCoincidenciasDocumentalesExcluyendoActual(idVehiculo,codigoVerificacion,numeroTitulo)</x:v>
      </x:c>
      <x:c r="F17" s="1071" t="str">
        <x:v>Consultar coincidencias sin asumir unicidad</x:v>
      </x:c>
    </x:row>
    <x:row r="18" ht="51" customHeight="1">
      <x:c r="A18" s="1071" t="str">
        <x:v>D15</x:v>
      </x:c>
      <x:c r="B18" s="1071" t="str">
        <x:v>RF056-EF1</x:v>
      </x:c>
      <x:c r="C18" s="1071" t="str">
        <x:v>G28</x:v>
      </x:c>
      <x:c r="D18" s="1071" t="str">
        <x:v>Contrasta identificadores de negocio propuestos contra otras TIVE excluyendo TIVE.idVehiculo actual; código de verificación no es PK. La regla de unicidad exacta de numeroTitulo queda condicionada al contrato definitivo de datos.</x:v>
      </x:c>
      <x:c r="E18" s="1071" t="str">
        <x:v>Compara numeroTitulo y codigoVerificacion con otras TIVE excluyendo idVehiculo actual; las coincidencias se registran para control y no equivalen por sí mismas a duplicidad oficial. Hasta verificar identificadores ante fuente autorizada, NO fijar UNIQUE global por estos dos atributos. VIN y placa no se editan desde RF56.</x:v>
      </x:c>
      <x:c r="F18" s="1071" t="str">
        <x:v>Separar identidad técnica de identificadores</x:v>
      </x:c>
    </x:row>
    <x:row r="19" ht="51" customHeight="1">
      <x:c r="A19" s="1071" t="str">
        <x:v>D15</x:v>
      </x:c>
      <x:c r="B19" s="1071" t="str">
        <x:v>RF056-EF1</x:v>
      </x:c>
      <x:c r="C19" s="1071" t="str">
        <x:v>F29</x:v>
      </x:c>
      <x:c r="D19" s="1071" t="str">
        <x:v>retornarIdentificadoresDisponibles(disponibilidad)</x:v>
      </x:c>
      <x:c r="E19" s="1071" t="str">
        <x:v>retornarCoincidenciasDocumentales(resultadoConsulta)</x:v>
      </x:c>
      <x:c r="F19" s="1071" t="str">
        <x:v>No confirmar disponibilidad oficial</x:v>
      </x:c>
    </x:row>
    <x:row r="20" ht="51" customHeight="1">
      <x:c r="A20" s="1071" t="str">
        <x:v>D15</x:v>
      </x:c>
      <x:c r="B20" s="1071" t="str">
        <x:v>RF056-EF1</x:v>
      </x:c>
      <x:c r="C20" s="1071" t="str">
        <x:v>G29</x:v>
      </x:c>
      <x:c r="D20" s="1071" t="str">
        <x:v>Confirma que los identificadores no producen duplicación ajena a la TIVE actual.</x:v>
      </x:c>
      <x:c r="E20" s="1071" t="str">
        <x:v>Devuelve el resultado de coincidencias; en el escenario exitoso el documento ya superó las validaciones locales de campos. Unicidad garantizada mediante TIVE.idVehiculo; requisitos de unicidad adicional quedan pendientes de certificación.</x:v>
      </x:c>
      <x:c r="F20" s="1071" t="str">
        <x:v>Resultado acorde con D15</x:v>
      </x:c>
    </x:row>
    <x:row r="21" ht="51" customHeight="1">
      <x:c r="A21" s="1071" t="str">
        <x:v>D15</x:v>
      </x:c>
      <x:c r="B21" s="1071" t="str">
        <x:v>RF056-EF1</x:v>
      </x:c>
      <x:c r="C21" s="1071" t="str">
        <x:v>G32</x:v>
      </x:c>
      <x:c r="D21" s="1071" t="str">
        <x:v>Dentro de UNA transacción, bloquear/revalidar idVehiculo propietario y ACTIVO, VIN requerido y TIVE existente; comprobar identificadores únicos y el codigoAnterior/versión para detectar edición concurrente. UPDATE TIVE WHERE idVehiculo=? sin INSERT de historial. Imagen referenciada por idVehiculo queda INTACTA aunque cambie codigoVerificacion. COMMIT único; ROLLBACK sin mostrar éxito ante fallo.</x:v>
      </x:c>
      <x:c r="E21" s="1071" t="str">
        <x:v>Dentro de UNA transacción, bloquear/revalidar idVehiculo propietario y ACTIVO, VIN requerido y TIVE existente; validar campos y registrar coincidencias documentales para revisión (sin imponer UNIQUE no confirmado) y el codigoAnterior/versión para detectar edición concurrente. UPDATE TIVE WHERE idVehiculo=? sin INSERT de historial. Imagen referenciada por idVehiculo queda INTACTA aunque cambie codigoVerificacion. COMMIT único; ROLLBACK sin mostrar éxito ante fallo.</x:v>
      </x:c>
      <x:c r="F21" s="1071" t="str">
        <x:v>Quitar restricción TIVE no confirmada</x:v>
      </x:c>
    </x:row>
    <x:row r="22" ht="51" customHeight="1">
      <x:c r="A22" s="1071" t="str">
        <x:v>D15</x:v>
      </x:c>
      <x:c r="B22" s="1071" t="str">
        <x:v>RF056-EF1</x:v>
      </x:c>
      <x:c r="C22" s="1071" t="str">
        <x:v>A31</x:v>
      </x:c>
      <x:c r="D22" s="1071" t="str">
        <x:v>BLOQUE 4 · Guardar los datos de TIVE con histórico según corresponda (Pasos 25–26)</x:v>
      </x:c>
      <x:c r="E22" s="1071" t="str">
        <x:v>BLOQUE 4 · Actualizar la TIVE única sin historial de versiones (Pasos 25–26)</x:v>
      </x:c>
      <x:c r="F22" s="1071" t="str">
        <x:v>Una única TIVE, sin historial</x:v>
      </x:c>
    </x:row>
    <x:row r="23" ht="51" customHeight="1">
      <x:c r="A23" s="1071" t="str">
        <x:v>D16</x:v>
      </x:c>
      <x:c r="B23" s="1071" t="str">
        <x:v>RF031-EF1</x:v>
      </x:c>
      <x:c r="C23" s="1071" t="str">
        <x:v>F21</x:v>
      </x:c>
      <x:c r="D23" s="1071" t="str">
        <x:v>consultarSOATVigente(idVehiculo)</x:v>
      </x:c>
      <x:c r="E23" s="1071" t="str">
        <x:v>consultarSOATActualRegistrado(idVehiculo)</x:v>
      </x:c>
      <x:c r="F23" s="1071" t="str">
        <x:v>SOAT actual identificado por marca lógica</x:v>
      </x:c>
    </x:row>
    <x:row r="24" ht="51" customHeight="1">
      <x:c r="A24" s="1071" t="str">
        <x:v>D16</x:v>
      </x:c>
      <x:c r="B24" s="1071" t="str">
        <x:v>RF031-EF1</x:v>
      </x:c>
      <x:c r="C24" s="1071" t="str">
        <x:v>G21</x:v>
      </x:c>
      <x:c r="D24" s="1071" t="str">
        <x:v>El controlador verifica que no exista otra vigencia SOAT actual para el vehículo.</x:v>
      </x:c>
      <x:c r="E24" s="1071" t="str">
        <x:v>Comprueba que no exista SOAT marcado como ACTUAL para este idVehiculo. ACTUAL designa documento seleccionado más reciente, no garantiza cobertura VIGENTE según sus fechas.</x:v>
      </x:c>
      <x:c r="F24" s="1071" t="str">
        <x:v>Diferenciar ACTUAL y VIGENTE</x:v>
      </x:c>
    </x:row>
    <x:row r="25" ht="51" customHeight="1">
      <x:c r="A25" s="1071" t="str">
        <x:v>D16</x:v>
      </x:c>
      <x:c r="B25" s="1071" t="str">
        <x:v>RF031-EF1</x:v>
      </x:c>
      <x:c r="C25" s="1071" t="str">
        <x:v>F22</x:v>
      </x:c>
      <x:c r="D25" s="1071" t="str">
        <x:v>retornarSOATVigente(existe=false)</x:v>
      </x:c>
      <x:c r="E25" s="1071" t="str">
        <x:v>retornarSOATActualRegistrado(existe=false)</x:v>
      </x:c>
      <x:c r="F25" s="1071" t="str">
        <x:v>Consistencia contrato SOAT</x:v>
      </x:c>
    </x:row>
    <x:row r="26" ht="51" customHeight="1">
      <x:c r="A26" s="1071" t="str">
        <x:v>D16</x:v>
      </x:c>
      <x:c r="B26" s="1071" t="str">
        <x:v>RF031-EF1</x:v>
      </x:c>
      <x:c r="C26" s="1071" t="str">
        <x:v>G22</x:v>
      </x:c>
      <x:c r="D26" s="1071" t="str">
        <x:v>La entidad confirma que el vehículo puede registrar una nueva vigencia.</x:v>
      </x:c>
      <x:c r="E26" s="1071" t="str">
        <x:v>En el EF inicial no existe SOAT ACTUAL. Si hay documentos históricos anteriores, no se destruyen; el alta asigna un único ACTUAL en transacción.</x:v>
      </x:c>
      <x:c r="F26" s="1071" t="str">
        <x:v>Historial SOAT y único actual</x:v>
      </x:c>
    </x:row>
    <x:row r="27" ht="51" customHeight="1">
      <x:c r="A27" s="1071" t="str">
        <x:v>D16</x:v>
      </x:c>
      <x:c r="B27" s="1071" t="str">
        <x:v>RF031-EF1</x:v>
      </x:c>
      <x:c r="C27" s="1071" t="str">
        <x:v>G33</x:v>
      </x:c>
      <x:c r="D27" s="1071" t="str">
        <x:v>Registra la vigencia con los datos obligatorios y opcionales, inicialmente sin recordatorio activo.</x:v>
      </x:c>
      <x:c r="E27" s="1071" t="str">
        <x:v>Inserta SOAT con esActual=true y recordatorioActivo=false en transacción con control de unicidad por idVehiculo; este EF inicial no encuentra documento ACTUAL. Su estado de cobertura VIGENTE/VENCIDO se calcula según fechas, independiente de esActual.</x:v>
      </x:c>
      <x:c r="F27" s="1071" t="str">
        <x:v>SOAT actual único y estado temporal aparte</x:v>
      </x:c>
    </x:row>
    <x:row r="28" ht="51" customHeight="1">
      <x:c r="A28" s="1071" t="str">
        <x:v>D16</x:v>
      </x:c>
      <x:c r="B28" s="1071" t="str">
        <x:v>RF032-EF1</x:v>
      </x:c>
      <x:c r="C28" s="1071" t="str">
        <x:v>G21</x:v>
      </x:c>
      <x:c r="D28" s="1071" t="str">
        <x:v>El controlador consulta la vigencia actual y la preferencia de recordatorio.</x:v>
      </x:c>
      <x:c r="E28" s="1071" t="str">
        <x:v>Consulta SOAT esActual=true del vehículo. Este es el documento actual registrado; su cobertura puede encontrarse VIGENTE, VENCIDA o futura según fechas, sin confundirse con esActual.</x:v>
      </x:c>
      <x:c r="F28" s="1071" t="str">
        <x:v>Distinguir documento y cobertura</x:v>
      </x:c>
    </x:row>
    <x:row r="29" ht="51" customHeight="1">
      <x:c r="A29" s="1071" t="str">
        <x:v>D16</x:v>
      </x:c>
      <x:c r="B29" s="1071" t="str">
        <x:v>RF032-EF1</x:v>
      </x:c>
      <x:c r="C29" s="1071" t="str">
        <x:v>G41</x:v>
      </x:c>
      <x:c r="D29" s="1071" t="str">
        <x:v>La entidad corrige la vigencia actual y sus datos opcionales sin crear otra vigencia y sin acreditar renovación.</x:v>
      </x:c>
      <x:c r="E29" s="1071" t="str">
        <x:v>Actualiza los datos del SOAT ACTUAL identificado por idSOAT, sin insertar otra versión ni tocar los históricos. Mantiene esActual=true y reevalúa cobertura y recordatorios por fechas.</x:v>
      </x:c>
      <x:c r="F29" s="1071" t="str">
        <x:v>Editar SOAT actual no crea versión</x:v>
      </x:c>
    </x:row>
    <x:row r="30" ht="51" customHeight="1">
      <x:c r="A30" s="1071" t="str">
        <x:v>D16</x:v>
      </x:c>
      <x:c r="B30" s="1071" t="str">
        <x:v>RF032-EF1</x:v>
      </x:c>
      <x:c r="C30" s="1071" t="str">
        <x:v>F63</x:v>
      </x:c>
      <x:c r="D30" s="1071" t="str">
        <x:v>registrarNuevaVigenciaVinculada(idVehiculo,idSOATAnterior,datosRenovacion,recordatorioActivo)</x:v>
      </x:c>
      <x:c r="E30" s="1071" t="str">
        <x:v>registrarRenovacionSOATAtomica(idVehiculo,idSOATAnterior,datosRenovacion,recordatorioActivo)</x:v>
      </x:c>
      <x:c r="F30" s="1071" t="str">
        <x:v>Renovación con marca actual atómica</x:v>
      </x:c>
    </x:row>
    <x:row r="31" ht="51" customHeight="1">
      <x:c r="A31" s="1071" t="str">
        <x:v>D16</x:v>
      </x:c>
      <x:c r="B31" s="1071" t="str">
        <x:v>RF032-EF1</x:v>
      </x:c>
      <x:c r="C31" s="1071" t="str">
        <x:v>G63</x:v>
      </x:c>
      <x:c r="D31" s="1071" t="str">
        <x:v>La entidad crea la nueva vigencia y conserva la anterior para trazabilidad.</x:v>
      </x:c>
      <x:c r="E31" s="1071" t="str">
        <x:v>En UNA transacción bloquear el conjunto de SOAT del vehículo, marcar esActual=false para idSOATAnterior y conservarlo HISTÓRICO; insertar idSOATNuevo con esActual=true y datos de renovación. Nunca dos ACTUALES ni borrado de vigencias antiguas. Si la nueva fechaInicio es futura, cobertura efectiva a fecha actual se calcula por periodos y no por esActual.</x:v>
      </x:c>
      <x:c r="F31" s="1071" t="str">
        <x:v>Un solo actual y documentos históricos</x:v>
      </x:c>
    </x:row>
    <x:row r="32" ht="51" customHeight="1">
      <x:c r="A32" s="1071" t="str">
        <x:v>D16</x:v>
      </x:c>
      <x:c r="B32" s="1071" t="str">
        <x:v>RF032-EF1</x:v>
      </x:c>
      <x:c r="C32" s="1071" t="str">
        <x:v>G64</x:v>
      </x:c>
      <x:c r="D32" s="1071" t="str">
        <x:v>La entidad confirma la nueva vigencia.</x:v>
      </x:c>
      <x:c r="E32" s="1071" t="str">
        <x:v>Confirma idSOATNuevo como ÚNICO ACTUAL y idSOATAnterior conservado HISTÓRICO; transición documental atómica antes de sincronizar seguimiento y notificaciones.</x:v>
      </x:c>
      <x:c r="F32" s="1071" t="str">
        <x:v>Resultado renovación SOAT</x:v>
      </x:c>
    </x:row>
    <x:row r="33" ht="51" customHeight="1">
      <x:c r="A33" s="1071" t="str">
        <x:v>D16</x:v>
      </x:c>
      <x:c r="B33" s="1071" t="str">
        <x:v>RF033-EF1</x:v>
      </x:c>
      <x:c r="C33" s="1071" t="str">
        <x:v>G22</x:v>
      </x:c>
      <x:c r="D33" s="1071" t="str">
        <x:v>El controlador consulta la vigencia y la preferencia actual.</x:v>
      </x:c>
      <x:c r="E33" s="1071" t="str">
        <x:v>Busca el SOAT marcado esActual=true para idVehiculo; estado de cobertura VIGENTE/VENCIDO se calcula por fechas. Los SOAT HISTÓRICOS son solo consulta.</x:v>
      </x:c>
      <x:c r="F33" s="1071" t="str">
        <x:v>SOAT recordatorio actual</x:v>
      </x:c>
    </x:row>
    <x:row r="34" ht="51" customHeight="1">
      <x:c r="A34" s="1071" t="str">
        <x:v>D17</x:v>
      </x:c>
      <x:c r="B34" s="1071" t="str">
        <x:v>RF22</x:v>
      </x:c>
      <x:c r="C34" s="1071" t="str">
        <x:v>F64</x:v>
      </x:c>
      <x:c r="D34" s="1071" t="str">
        <x:v>consultarAlertaEquivalenteVigente(id_vehiculo,id_tipo_mantenimiento,criterio,fecha_objetivo,km_objetivo,fecha_actual,servicio_otro_o_NULL)</x:v>
      </x:c>
      <x:c r="E34" s="1071" t="str">
        <x:v>consultarAlertaEquivalenteVigente(id_vehiculo,id_tipo_mantenimiento,criterio,fecha_objetivo,km_objetivo,servicio_otro_normalizado)</x:v>
      </x:c>
      <x:c r="F34" s="1071" t="str">
        <x:v>Firma de comparación sin fecha_actual</x:v>
      </x:c>
    </x:row>
    <x:row r="35" ht="51" customHeight="1">
      <x:c r="A35" s="1071" t="str">
        <x:v>D17</x:v>
      </x:c>
      <x:c r="B35" s="1071" t="str">
        <x:v>RF22</x:v>
      </x:c>
      <x:c r="C35" s="1071" t="str">
        <x:v>G64</x:v>
      </x:c>
      <x:c r="D35" s="1071" t="str">
        <x:v>Busca equivalencia por vehículo, tipo, criterio y objetivos. Para OTRO incorpora servicio_otro NORMALIZADO (espacios/caso/tildes para comparación; conserva texto visible), aunque el usuario no eligiera sugerencia. Ningún servicio OTRO diferente debe bloquear por compartir id_tipo.</x:v>
      </x:c>
      <x:c r="E35" s="1071" t="str">
        <x:v>Una alerta MANUAL activa es equivalente si coincide usuario/vehículo, id_tipo_mantenimiento, criterio, fecha_objetivo (o SIN_FECHA), km_objetivo (o SIN_KM) y, solo para OTRO, servicio_otro normalizado (minúsculas, trim, espacios, tildes). Estados activos: PROGRAMADA, PROXIMA, PENDIENTE, VENCIDA. REALIZADA/ANULADA no bloquean nuevos ciclos. fecha_actual NO forma parte de la clave.</x:v>
      </x:c>
      <x:c r="F35" s="1071" t="str">
        <x:v>Firma explícita de equivalencia</x:v>
      </x:c>
    </x:row>
    <x:row r="36" ht="51" customHeight="1">
      <x:c r="A36" s="1071" t="str">
        <x:v>D17</x:v>
      </x:c>
      <x:c r="B36" s="1071" t="str">
        <x:v>RF22</x:v>
      </x:c>
      <x:c r="C36" s="1071" t="str">
        <x:v>G90</x:v>
      </x:c>
      <x:c r="D36" s="1071" t="str">
        <x:v>BEGIN transacción compartida para alerta, historial y notificación. Debe proteger de dobles registros simultáneos mediante clave idempotente y restricción/índice efectivo de equivalencia; requiere comprobación en SQL físico.</x:v>
      </x:c>
      <x:c r="E36" s="1071" t="str">
        <x:v>BEGIN transacción para alerta/historial/aviso interno; solicitar idempotencia por operación y exclusividad de firmaEquivalenciaActiva calculada desde vehículo, tipo, criterio, objetivos y servicio OTRO normalizado. Comparar NULL con sentinelas normalizados. Evitar duplicados incluso ante dos peticiones concurrentes; COMMIT único antes de éxito.</x:v>
      </x:c>
      <x:c r="F36" s="1071" t="str">
        <x:v>Idempotencia firma equivalencia</x:v>
      </x:c>
    </x:row>
    <x:row r="37" ht="51" customHeight="1">
      <x:c r="A37" s="1071" t="str">
        <x:v>D17</x:v>
      </x:c>
      <x:c r="B37" s="1071" t="str">
        <x:v>RF22</x:v>
      </x:c>
      <x:c r="C37" s="1071" t="str">
        <x:v>F91</x:v>
      </x:c>
      <x:c r="D37" s="1071" t="str">
        <x:v>consultarAlertaEquivalenteVigente(id_vehiculo,id_tipo_mantenimiento,criterio,fecha_objetivo,km_objetivo,fecha_actual,servicio_otro_o_NULL)</x:v>
      </x:c>
      <x:c r="E37" s="1071" t="str">
        <x:v>consultarAlertaEquivalenteVigente(id_vehiculo,id_tipo_mantenimiento,criterio,fecha_objetivo,km_objetivo,servicio_otro_normalizado)</x:v>
      </x:c>
      <x:c r="F37" s="1071" t="str">
        <x:v>Misma firma en revalidación</x:v>
      </x:c>
    </x:row>
    <x:row r="38" ht="51" customHeight="1">
      <x:c r="A38" s="1071" t="str">
        <x:v>D17</x:v>
      </x:c>
      <x:c r="B38" s="1071" t="str">
        <x:v>RF22</x:v>
      </x:c>
      <x:c r="C38" s="1071" t="str">
        <x:v>G91</x:v>
      </x:c>
      <x:c r="D38" s="1071" t="str">
        <x:v>Reconsulta equivalencia vigente BAJO la transacción iniciada en el mensaje 81 y control de concurrencia. Condición EF: no existe. Dos solicitudes idénticas no deben registrar dos alertas.</x:v>
      </x:c>
      <x:c r="E38" s="1071" t="str">
        <x:v>Reconsulta la misma firmaEquivalenciaActiva definida al mostrar el resumen, dentro de la transacción y bajo control concurrente. Solo estados PROGRAMADA/PROXIMA/PENDIENTE/VENCIDA se consideran duplicado; fecha_actual no integra la identidad. Repetición con la misma claveOperacion no crea otra alerta.</x:v>
      </x:c>
      <x:c r="F38" s="1071" t="str">
        <x:v>Unificar verificación al guardar</x:v>
      </x:c>
    </x:row>
    <x:row r="39" ht="51" customHeight="1">
      <x:c r="A39" s="1071" t="str">
        <x:v>D17</x:v>
      </x:c>
      <x:c r="B39" s="1071" t="str">
        <x:v>RF22</x:v>
      </x:c>
      <x:c r="C39" s="1071" t="str">
        <x:v>G92</x:v>
      </x:c>
      <x:c r="D39" s="1071" t="str">
        <x:v>Devuelve ausencia de alerta equivalente para los mismos vehículo, tipo, criterio, objetivos y servicio_otro normalizado; conserva bloqueo hasta COMMIT.</x:v>
      </x:c>
      <x:c r="E39" s="1071" t="str">
        <x:v>Devuelve ausencia de firma activa equivalente bajo bloqueo/índice único efectivo; solo prosigue el EF si no hay otra alerta activa equivalente para el mismo vehículo, tipo, criterio, objetivos y OTRO normalizado.</x:v>
      </x:c>
      <x:c r="F39" s="1071" t="str">
        <x:v>No duplicidad inequívoca</x:v>
      </x:c>
    </x:row>
    <x:row r="40" ht="51" customHeight="1">
      <x:c r="A40" s="1071" t="str">
        <x:v>D17</x:v>
      </x:c>
      <x:c r="B40" s="1071" t="str">
        <x:v>RF22</x:v>
      </x:c>
      <x:c r="C40" s="1071" t="str">
        <x:v>G93</x:v>
      </x:c>
      <x:c r="D40" s="1071" t="str">
        <x:v>Valida duplicidad y reserva exclusividad de operación en la misma transacción. Si hay equivalente o claveOperacion ya utilizada, ROLLBACK/no crear nueva alerta.</x:v>
      </x:c>
      <x:c r="E40" s="1071" t="str">
        <x:v>Revalida firma activa e idempotencia dentro de una sola transacción. Si otro proceso insertó la firma o reutilizó la claveOperacion, no INSERT, no crea otro historial ni notificación; gestionar resultado por escenario alternativo.</x:v>
      </x:c>
      <x:c r="F40" s="1071" t="str">
        <x:v>Transacción contra doble inserción</x:v>
      </x:c>
    </x:row>
    <x:row r="41" ht="51" customHeight="1">
      <x:c r="A41" s="1071" t="str">
        <x:v>D18</x:v>
      </x:c>
      <x:c r="B41" s="1071" t="str">
        <x:v>RF011-EF1</x:v>
      </x:c>
      <x:c r="C41" s="1071" t="str">
        <x:v>G30</x:v>
      </x:c>
      <x:c r="D41" s="1071" t="str">
        <x:v>Solo cuando numeroVin cambia, E_Vehiculo verifica transaccionalmente por idVehiculo: (1) ausencia de TIVE vinculada a ese idVehiculo (consulta de existencia a TIVE), y (2) unicidad global del nuevo VIN cuando no es NULL. Si existe TIVE, se bloquea cualquier cambio normal, incluso borrar VIN; la corrección controlada es otro procedimiento, no RF11. Si no cambió, no se aplica esta validación de cambio.</x:v>
      </x:c>
      <x:c r="E41" s="1071" t="str">
        <x:v>En RF11, si numeroVin cambia, el servidor comprueba EN TRANSACCIÓN: (1) TIVE inexistente para idVehiculo; (2) VIN globalmente disponible si informado. Si TIVE existe, RF11 BLOQUEA el cambio, incluso si lo intenta por API. Corrección excepcional se tramita por SOPORTE con revisión documental en un procedimiento separado todavía NO incluido en RF01–RF64.</x:v>
      </x:c>
      <x:c r="F41" s="1071" t="str">
        <x:v>Separa edición ordinaria de corrección autorizada</x:v>
      </x:c>
    </x:row>
    <x:row r="42" ht="51" customHeight="1">
      <x:c r="A42" s="1071" t="str">
        <x:v>D18</x:v>
      </x:c>
      <x:c r="B42" s="1071" t="str">
        <x:v>RF054-EF1</x:v>
      </x:c>
      <x:c r="C42" s="1071" t="str">
        <x:v>G12</x:v>
      </x:c>
      <x:c r="D42" s="1071" t="str">
        <x:v>[alt] Si tiene VIN, continúa el evento exitoso. Si falta, abre I_AlertaVIN y deriva al proceso RF11; ese caso está separado en ALT_SIN_VIN. El VIN se valida como dato obligatorio para registrar la TIVE, no como identificador relacional de la TIVE; si falta se deriva a RF11 y el alta no sigue.</x:v>
      </x:c>
      <x:c r="E42" s="1071" t="str">
        <x:v>El VIN debe estar informado para registrar TIVE. Si falta, se solicita completarlo desde RF11. Una vez registrada TIVE, RF11 bloquea cualquier modificación ordinaria de VIN; solo procedimiento excepcional autorizado por Soporte, verificación documental y auditoría podrá corregir simultáneamente el dato de vehículo y su correspondencia documental.</x:v>
      </x:c>
      <x:c r="F42" s="1071" t="str">
        <x:v>Requisitos de VIN antes/después TIVE</x:v>
      </x:c>
    </x:row>
    <x:row r="43" ht="51" customHeight="1">
      <x:c r="A43" s="1071" t="str">
        <x:v>D18</x:v>
      </x:c>
      <x:c r="B43" s="1071" t="str">
        <x:v>RF056-EF1</x:v>
      </x:c>
      <x:c r="C43" s="1071" t="str">
        <x:v>G18</x:v>
      </x:c>
      <x:c r="D43" s="1071" t="str">
        <x:v>Presenta I_EditarTIVE con título, código y fecha precargados, datos registrales opcionales e imagen actual; no solicita datos de RF08.</x:v>
      </x:c>
      <x:c r="E43" s="1071" t="str">
        <x:v>El formulario permite modificar datos documentales autorizados (número de título, código de verificación, fecha de título, datos registrales), pero NO placa ni VIN del vehículo. Una discrepancia de VIN requiere solicitud a Soporte y revisión de evidencia, fuera de RF56.</x:v>
      </x:c>
      <x:c r="F43" s="1071" t="str">
        <x:v>VIN fuera de edición de TIVE</x:v>
      </x:c>
    </x:row>
    <x:row r="44" ht="51" customHeight="1">
      <x:c r="A44" s="1071" t="str">
        <x:v>D19</x:v>
      </x:c>
      <x:c r="B44" s="1071" t="str">
        <x:v>RF051-EF1</x:v>
      </x:c>
      <x:c r="C44" s="1071" t="str">
        <x:v>F27</x:v>
      </x:c>
      <x:c r="D44" s="1071" t="str">
        <x:v>consultarAPIJsonDNI(dni)</x:v>
      </x:c>
      <x:c r="E44" s="1071" t="str">
        <x:v>consultarProveedorDNIConfigurado(dni)</x:v>
      </x:c>
      <x:c r="F44" s="1071" t="str">
        <x:v>Método independiente de contrato externo</x:v>
      </x:c>
    </x:row>
    <x:row r="45" ht="51" customHeight="1">
      <x:c r="A45" s="1071" t="str">
        <x:v>D19</x:v>
      </x:c>
      <x:c r="B45" s="1071" t="str">
        <x:v>RF051-EF1</x:v>
      </x:c>
      <x:c r="C45" s="1071" t="str">
        <x:v>G27</x:v>
      </x:c>
      <x:c r="D45" s="1071" t="str">
        <x:v>El backend consulta /dni de JSON.pe.</x:v>
      </x:c>
      <x:c r="E45" s="1071" t="str">
        <x:v>Consulta DNI a través de ADAPTADOR de proveedor autorizado previamente contratado, con permiso de uso y esquema de respuesta verificados. Los nombres de endpoint /dni y proveedor JSON.pe del borrador son hipótesis: NO están certificados para producción.</x:v>
      </x:c>
      <x:c r="F45" s="1071" t="str">
        <x:v>No dar por confirmada API</x:v>
      </x:c>
    </x:row>
    <x:row r="46" ht="51" customHeight="1">
      <x:c r="A46" s="1071" t="str">
        <x:v>D19</x:v>
      </x:c>
      <x:c r="B46" s="1071" t="str">
        <x:v>RF051-EF1</x:v>
      </x:c>
      <x:c r="C46" s="1071" t="str">
        <x:v>G28</x:v>
      </x:c>
      <x:c r="D46" s="1071" t="str">
        <x:v>Confirma respuesta válida y coincidencia del DNI, conserva temporalmente nombres, apellidos y codigo_verificacion. La comparación posterior del dígito no constituye verificación fehaciente de identidad.</x:v>
      </x:c>
      <x:c r="E46" s="1071" t="str">
        <x:v>Valida DNI coincidente, nombre y datos disponibles según contrato real. El dígito verificador SOLO se usa si el proveedor lo entrega expresamente y permite ese uso; no constituye por sí solo prueba fehaciente de identidad. Este EF es condicional a esa disponibilidad.</x:v>
      </x:c>
      <x:c r="F46" s="1071" t="str">
        <x:v>Respuesta DNI dependiente proveedor</x:v>
      </x:c>
    </x:row>
    <x:row r="47" ht="51" customHeight="1">
      <x:c r="A47" s="1071" t="str">
        <x:v>D19</x:v>
      </x:c>
      <x:c r="B47" s="1071" t="str">
        <x:v>RF051-EF1</x:v>
      </x:c>
      <x:c r="C47" s="1071" t="str">
        <x:v>G35</x:v>
      </x:c>
      <x:c r="D47" s="1071" t="str">
        <x:v>Compara el valor ingresado con el obtenido previamente de JSON.pe, sin repetir la consulta DNI.</x:v>
      </x:c>
      <x:c r="E47" s="1071" t="str">
        <x:v>Compara el dígito ingresado con un campo verificador solo SI se encuentra definido y entregado en el contrato del proveedor. Si no existe esa capacidad, el procedimiento requiere rediseño antes de implementar RF51; no inventar respuesta.</x:v>
      </x:c>
      <x:c r="F47" s="1071" t="str">
        <x:v>No asumir codigo_verificacion proveedor</x:v>
      </x:c>
    </x:row>
    <x:row r="48" ht="51" customHeight="1">
      <x:c r="A48" s="1071" t="str">
        <x:v>D19</x:v>
      </x:c>
      <x:c r="B48" s="1071" t="str">
        <x:v>RF051-EF1</x:v>
      </x:c>
      <x:c r="C48" s="1071" t="str">
        <x:v>F36</x:v>
      </x:c>
      <x:c r="D48" s="1071" t="str">
        <x:v>consultarAPIJsonLicencia(dni)</x:v>
      </x:c>
      <x:c r="E48" s="1071" t="str">
        <x:v>consultarProveedorLicenciaConfigurado(dni)</x:v>
      </x:c>
      <x:c r="F48" s="1071" t="str">
        <x:v>Contrato licencias parametrizado</x:v>
      </x:c>
    </x:row>
    <x:row r="49" ht="51" customHeight="1">
      <x:c r="A49" s="1071" t="str">
        <x:v>D19</x:v>
      </x:c>
      <x:c r="B49" s="1071" t="str">
        <x:v>RF051-EF1</x:v>
      </x:c>
      <x:c r="C49" s="1071" t="str">
        <x:v>G36</x:v>
      </x:c>
      <x:c r="D49" s="1071" t="str">
        <x:v>Consulta /licencia de JSON.pe mediante el DNI validado en el proceso.</x:v>
      </x:c>
      <x:c r="E49" s="1071" t="str">
        <x:v>Consulta al proveedor autorizado de licencias mediante adaptador de backend y operación confirmada contractualmente. URL, endpoint y estructura de JSON.pe no se asumen disponibles; la implementación del RF51 queda BLOQUEADA hasta validar servicio, permisos, campos y respuestas reales.</x:v>
      </x:c>
      <x:c r="F49" s="1071" t="str">
        <x:v>API oficial no confirmada</x:v>
      </x:c>
    </x:row>
    <x:row r="50" ht="51" customHeight="1">
      <x:c r="A50" s="1071" t="str">
        <x:v>D19</x:v>
      </x:c>
      <x:c r="B50" s="1071" t="str">
        <x:v>RF007-E1</x:v>
      </x:c>
      <x:c r="C50" s="1071" t="str">
        <x:v>G17</x:v>
      </x:c>
      <x:c r="D50" s="1071" t="str">
        <x:v>Muestra la interfaz informativa con referencia a la Ley N.º 29733 y su Reglamento (DS N.º 016-2024-JUS). Identifica al responsable del tratamiento y un canal de privacidad/soporte; explica los datos implicados, la solicitud de supresión, las excepciones legales de conservación y el periodo de recuperación de 30 días definido por MyCar (NO impuesto universalmente por la ley). Distingue la solicitud en la app del ejercicio formal de derechos de datos personales, sujeto a plazos legales propios.</x:v>
      </x:c>
      <x:c r="E50" s="1071" t="str">
        <x:v>La interfaz muestra el aviso vigente de privacidad/eliminación con responsable, finalidades y canal de atención; indica 30 días CALENDARIO para recuperar la cuenta. El tratamiento posterior del dato (supresión, anonimización o conservación legal limitada) y el texto definitivo dependen de política legal aprobada. No afirmar cumplimiento normativo no validado.</x:v>
      </x:c>
      <x:c r="F50" s="1071" t="str">
        <x:v>Retención posterior por validar</x:v>
      </x:c>
    </x:row>
    <x:row r="51" ht="51" customHeight="1">
      <x:c r="A51" s="1071" t="str">
        <x:v>D19</x:v>
      </x:c>
      <x:c r="B51" s="1071" t="str">
        <x:v>RF007-E1</x:v>
      </x:c>
      <x:c r="C51" s="1071" t="str">
        <x:v>G18</x:v>
      </x:c>
      <x:c r="D51" s="1071" t="str">
        <x:v>Informa que MyCar concede 30 días para recuperar la cuenta antes de la supresión/anonimización de datos que proceda. La cuenta quedará inaccesible para uso normal, se detendrán emisiones sin cambiar preferencias, y el usuario recibirá un correo con fecha límite. Indica que los datos sujetos a conservación legal se mantendrán solo en la medida exigida y que el acceso a Soporte y derechos de protección de datos sigue disponible.</x:v>
      </x:c>
      <x:c r="E51" s="1071" t="str">
        <x:v>Aclara que la solicitud bloquea acceso ordinario durante 30 días calendario y que la cuenta puede recuperarse dentro del plazo. Tras vencer, el proceso ejecutará SOLO la política de retención/supresión aprobada por asesoría legal; no prometer borrado indiscriminado ni conservación indefinida.</x:v>
      </x:c>
      <x:c r="F51" s="1071" t="str">
        <x:v>Separar plazo de recuperación de conservación</x:v>
      </x:c>
    </x:row>
    <x:row r="52" ht="51" customHeight="1">
      <x:c r="A52" s="1071" t="str">
        <x:v>D16</x:v>
      </x:c>
      <x:c r="B52" s="1071" t="str">
        <x:v>RF009-EF1</x:v>
      </x:c>
      <x:c r="C52" s="1071" t="str">
        <x:v>G19</x:v>
      </x:c>
      <x:c r="D52" s="1071" t="str">
        <x:v>Consulta por cada vehículo si tiene un SOAT vigente, vencido o no registrado.</x:v>
      </x:c>
      <x:c r="E52" s="1071" t="str">
        <x:v>Consulta por cada vehículo si tiene un SOAT vigente, vencido o no registrado. La consulta devuelve por separado SOAT esActual y cobertura temporal calculada; anteriores quedan históricos.</x:v>
      </x:c>
      <x:c r="F52" s="1071" t="str">
        <x:v>Aclaración del estado SOAT</x:v>
      </x:c>
    </x:row>
    <x:row r="53" ht="51" customHeight="1">
      <x:c r="A53" s="1071" t="str">
        <x:v>D16</x:v>
      </x:c>
      <x:c r="B53" s="1071" t="str">
        <x:v>RF009-EF1</x:v>
      </x:c>
      <x:c r="C53" s="1071" t="str">
        <x:v>G45</x:v>
      </x:c>
      <x:c r="D53" s="1071" t="str">
        <x:v>Consulta el estado del SOAT de cada vehículo incluido en los resultados filtrados.</x:v>
      </x:c>
      <x:c r="E53" s="1071" t="str">
        <x:v>Consulta el estado del SOAT de cada vehículo incluido en los resultados filtrados. La consulta devuelve por separado SOAT esActual y cobertura temporal calculada; anteriores quedan históricos.</x:v>
      </x:c>
      <x:c r="F53" s="1071" t="str">
        <x:v>Aclaración del estado SOAT</x:v>
      </x:c>
    </x:row>
    <x:row r="54" ht="51" customHeight="1">
      <x:c r="A54" s="1071" t="str">
        <x:v>D16</x:v>
      </x:c>
      <x:c r="B54" s="1071" t="str">
        <x:v>RF012-EF1</x:v>
      </x:c>
      <x:c r="C54" s="1071" t="str">
        <x:v>G64</x:v>
      </x:c>
      <x:c r="D54" s="1071" t="str">
        <x:v>Consulta el SOAT asociado a cada vehículo y determina si está VIGENTE, VENCIDO o NO_REGISTRADO, según los datos del documento.</x:v>
      </x:c>
      <x:c r="E54" s="1071" t="str">
        <x:v>Para cada vehículo consultar el SOAT marcado esActual=true; VIGENTE/VENCIDO/FUTURO se determina por fechas de cobertura y no por la marca ACTUAL. Si no hay registro actual, NO_REGISTRADO. Las pólizas históricas se conservan y no reemplazan silenciosamente el documento actual.</x:v>
      </x:c>
      <x:c r="F54" s="1071" t="str">
        <x:v>Estado SOAT en listados</x:v>
      </x:c>
    </x:row>
    <x:row r="55" ht="51" customHeight="1">
      <x:c r="A55" s="1071" t="str">
        <x:v>D16</x:v>
      </x:c>
      <x:c r="B55" s="1071" t="str">
        <x:v>RF013-EF1</x:v>
      </x:c>
      <x:c r="C55" s="1071" t="str">
        <x:v>G41</x:v>
      </x:c>
      <x:c r="D55" s="1071" t="str">
        <x:v>Consulta el SOAT asociado a cada vehículo y determina si está VIGENTE, VENCIDO o NO_REGISTRADO, según los datos del documento.</x:v>
      </x:c>
      <x:c r="E55" s="1071" t="str">
        <x:v>Para cada vehículo consultar el SOAT marcado esActual=true; VIGENTE/VENCIDO/FUTURO se determina por fechas de cobertura y no por la marca ACTUAL. Si no hay registro actual, NO_REGISTRADO. Las pólizas históricas se conservan y no reemplazan silenciosamente el documento actual.</x:v>
      </x:c>
      <x:c r="F55" s="1071" t="str">
        <x:v>Estado SOAT en listados</x:v>
      </x:c>
    </x:row>
    <x:row r="56" ht="51" customHeight="1">
      <x:c r="A56" s="1071" t="str">
        <x:v>CONTROL</x:v>
      </x:c>
      <x:c r="B56" s="1071" t="str">
        <x:v>EF_VEREDICTO_2110</x:v>
      </x:c>
      <x:c r="C56" s="1071" t="str">
        <x:v>B5</x:v>
      </x:c>
      <x:c r="D56" s="1071" t="str">
        <x:v>CONGELAMIENTO FUNCIONAL EF viable tras incorporar decisiones de identidad/planes/TIVE. Guía vigente: DECISIONES_CIERRE_20261021; no equivale a certificación física SQL o APIs.</x:v>
      </x:c>
      <x:c r="E56" s="1071" t="str">
        <x:v>CONGELAMIENTO DE ESCENARIOS EXITOSOS (EF) con decisiones D14–D19 aplicadas. Fuente vigente: CIERRE_EF_20261021 y REGLAS_TRANSVERSALES. RF51 conserva bloqueo de integración externa; la supresión postplazo RF07 no está legalmente aprobada. No implica aprobación física SQL.</x:v>
      </x:c>
      <x:c r="F56" s="1071" t="str">
        <x:v>Actualizar precedencia</x:v>
      </x:c>
    </x:row>
    <x:row r="57" ht="51" customHeight="1">
      <x:c r="A57" s="1071" t="str">
        <x:v>CONTROL</x:v>
      </x:c>
      <x:c r="B57" s="1071" t="str">
        <x:v>EF_VEREDICTO_2110</x:v>
      </x:c>
      <x:c r="C57" s="1071" t="str">
        <x:v>B7</x:v>
      </x:c>
      <x:c r="D57" s="1071" t="str">
        <x:v>RF14, RF16, RF22, RF29, RF51, RF53, RF54, RF56, RF60, RF62 y RF63. No constituyen aprobación física del SQL/APIs.</x:v>
      </x:c>
      <x:c r="E57" s="1071" t="str">
        <x:v>Reservas SQL/servicios persisten. RF51: proveedor DNI/licencias sin contrato confirmado. RF07: política legal de retención tras 30 días sin validar. Procedimiento excepcional VIN con TIVE: fuera del alcance de RF01–RF64.</x:v>
      </x:c>
      <x:c r="F57" s="1071" t="str">
        <x:v>Riesgos realmente pendientes</x:v>
      </x:c>
    </x:row>
    <x:row r="58" ht="51" customHeight="1">
      <x:c r="A58" s="1071" t="str">
        <x:v>CONTROL</x:v>
      </x:c>
      <x:c r="B58" s="1071" t="str">
        <x:v>DECISIONES_CIERRE_20261021</x:v>
      </x:c>
      <x:c r="C58" s="1071" t="str">
        <x:v>A1</x:v>
      </x:c>
      <x:c r="D58" s="1071" t="str">
        <x:v>MYCAR | 4 DECISIONES CONFIRMADAS · 21 OCT 2026</x:v>
      </x:c>
      <x:c r="E58" s="1071" t="str">
        <x:v>MYCAR | DECISIONES PREVIAS D01–D04 Y NUEVO CIERRE D14–D19 · 21 OCT 2026</x:v>
      </x:c>
      <x:c r="F58" s="1071" t="str">
        <x:v>Evitar título obsoleto</x:v>
      </x:c>
    </x:row>
    <x:row r="59" ht="51" customHeight="1">
      <x:c r="A59" s="1071" t="str">
        <x:v>CONTROL</x:v>
      </x:c>
      <x:c r="B59" s="1071" t="str">
        <x:v>DECISIONES_CIERRE_20261021</x:v>
      </x:c>
      <x:c r="C59" s="1071" t="str">
        <x:v>C8</x:v>
      </x:c>
      <x:c r="D59" s="1071" t="str">
        <x:v>Solo escenarios exitosos EF. RF no afectados conservan mensaje y orden.</x:v>
      </x:c>
      <x:c r="E59" s="1071" t="str">
        <x:v>Congelamiento solo EF con las decisiones D01–D04 y D14–D19; RF51 queda condicional por contrato. Para decisiones y estado final: CIERRE_EF_20261021. No se han aprobado contratos, SQL ni política legal definitiva.</x:v>
      </x:c>
      <x:c r="F59" s="1071" t="str">
        <x:v>Actualizar alcance</x:v>
      </x:c>
    </x:row>
  </x:sheetData>
  <x:pageMargins left="0.7" right="0.7" top="0.75" bottom="0.75" header="0.3" footer="0.3"/>
</x:worksheet>
</file>

<file path=xl/worksheets/sheet119.xml><?xml version="1.0" encoding="utf-8"?>
<x:worksheet xmlns:x="http://schemas.openxmlformats.org/spreadsheetml/2006/main">
  <x:sheetFormatPr defaultRowHeight="15"/>
  <x:cols>
    <x:col min="1" max="1" width="17" hidden="0" customWidth="1"/>
    <x:col min="2" max="2" width="42" hidden="0" customWidth="1"/>
    <x:col min="3" max="3" width="100" hidden="0" customWidth="1"/>
  </x:cols>
  <x:sheetData>
    <x:row r="1" ht="36" customHeight="1">
      <x:c r="A1" s="1545" t="str">
        <x:v>MYCAR · DICTAMEN DE CONSOLIDACIÓN 28/10/2026</x:v>
      </x:c>
      <x:c r="B1" s="1545"/>
      <x:c r="C1" s="1545"/>
      <x:c r="D1" s="1545"/>
      <x:c r="E1" s="1545"/>
      <x:c r="F1" s="1545"/>
      <x:c r="G1" s="1545"/>
      <x:c r="H1" s="1545"/>
    </x:row>
    <x:row r="2" ht="28" customHeight="1">
      <x:c r="A2" s="1547" t="str">
        <x:v>Auditoría de coherencia documental y trazabilidad; NO certifica código ejecutándose ni aprobación de nuevas reglas RF65.</x:v>
      </x:c>
      <x:c r="B2" s="1547"/>
      <x:c r="C2" s="1547"/>
      <x:c r="D2" s="1547"/>
      <x:c r="E2" s="1547"/>
      <x:c r="F2" s="1547"/>
      <x:c r="G2" s="1547"/>
      <x:c r="H2" s="1547"/>
    </x:row>
    <x:row r="3">
      <x:c r="A3"/>
      <x:c r="B3"/>
      <x:c r="C3"/>
      <x:c r="D3"/>
      <x:c r="E3"/>
      <x:c r="F3"/>
      <x:c r="G3"/>
    </x:row>
    <x:row r="4" ht="30" customHeight="1">
      <x:c r="A4" s="1540" t="str">
        <x:v>Valor</x:v>
      </x:c>
      <x:c r="B4" s="1540" t="str">
        <x:v>Comprobación</x:v>
      </x:c>
      <x:c r="C4" s="1540" t="str">
        <x:v>Resultado / alcance</x:v>
      </x:c>
      <x:c r="D4"/>
      <x:c r="E4"/>
      <x:c r="F4"/>
      <x:c r="G4"/>
    </x:row>
    <x:row r="5" ht="35" customHeight="1">
      <x:c r="A5" s="1071" t="str">
        <x:v>11</x:v>
      </x:c>
      <x:c r="B5" s="1071" t="str">
        <x:v>RF exitosos sustituidos</x:v>
      </x:c>
      <x:c r="C5" s="1071" t="str">
        <x:v>Fuentes completas; se conservan los 11 diagramas de éxito con sus fórmulas y sus anexos.</x:v>
      </x:c>
      <x:c r="D5"/>
      <x:c r="E5"/>
      <x:c r="F5"/>
      <x:c r="G5"/>
    </x:row>
    <x:row r="6" ht="35" customHeight="1">
      <x:c r="A6" s="1071" t="str">
        <x:v>37</x:v>
      </x:c>
      <x:c r="B6" s="1071" t="str">
        <x:v>Anexos integrados</x:v>
      </x:c>
      <x:c r="C6" s="1071" t="str">
        <x:v>Pestañas no troncales añadidas, 23 de RF65 y 14 de Elsa, Fran y Nayu.</x:v>
      </x:c>
      <x:c r="D6"/>
      <x:c r="E6"/>
      <x:c r="F6"/>
      <x:c r="G6"/>
    </x:row>
    <x:row r="7" ht="35" customHeight="1">
      <x:c r="A7" s="1071" t="str">
        <x:v>34</x:v>
      </x:c>
      <x:c r="B7" s="1071" t="str">
        <x:v>RF con nota RF65</x:v>
      </x:c>
      <x:c r="C7" s="1071" t="str">
        <x:v>Condiciones post-MVP identificadas en la hoja de cada RF; no son cambios aprobados.</x:v>
      </x:c>
      <x:c r="D7"/>
      <x:c r="E7"/>
      <x:c r="F7"/>
      <x:c r="G7"/>
    </x:row>
    <x:row r="8" ht="35" customHeight="1">
      <x:c r="A8" s="1071" t="str">
        <x:v>13</x:v>
      </x:c>
      <x:c r="B8" s="1071" t="str">
        <x:v>Alternativos RF65</x:v>
      </x:c>
      <x:c r="C8" s="1071" t="str">
        <x:v>Hojas RF065_EA01–RF065_EA13 preservadas, sujetas a aprobación funcional.</x:v>
      </x:c>
      <x:c r="D8"/>
      <x:c r="E8"/>
      <x:c r="F8"/>
      <x:c r="G8"/>
    </x:row>
    <x:row r="9" ht="35" customHeight="1">
      <x:c r="A9" s="1071" t="str">
        <x:v>20</x:v>
      </x:c>
      <x:c r="B9" s="1071" t="str">
        <x:v>Reglas RF65</x:v>
      </x:c>
      <x:c r="C9" s="1071" t="str">
        <x:v>RN65-01 a RN65-20; índice corregido para contar las dos últimas.</x:v>
      </x:c>
      <x:c r="D9"/>
      <x:c r="E9"/>
      <x:c r="F9"/>
      <x:c r="G9"/>
    </x:row>
    <x:row r="10" ht="35" customHeight="1">
      <x:c r="A10" s="1071" t="str">
        <x:v>4</x:v>
      </x:c>
      <x:c r="B10" s="1071" t="str">
        <x:v>RF corregidos por coherencia directa</x:v>
      </x:c>
      <x:c r="C10" s="1071" t="str">
        <x:v>RF04 validación de nombre, apellido y edad; RF12/16 ejecución futura; RF50 solo lectura.</x:v>
      </x:c>
      <x:c r="D10"/>
      <x:c r="E10"/>
      <x:c r="F10"/>
      <x:c r="G10"/>
    </x:row>
    <x:row r="11" ht="35" customHeight="1">
      <x:c r="A11" s="1071" t="str">
        <x:v>PENDIENTE</x:v>
      </x:c>
      <x:c r="B11" s="1071" t="str">
        <x:v>Revisión técnica</x:v>
      </x:c>
      <x:c r="C11" s="1071" t="str">
        <x:v>BD mycar_mvp, contratos REST, migraciones, escenarios alternativos de los otros 11 RF.</x:v>
      </x:c>
    </x:row>
    <x:row r="12" ht="35" customHeight="1">
      <x:c r="A12" s="1071" t="str">
        <x:v>CONDICIONAL</x:v>
      </x:c>
      <x:c r="B12" s="1071" t="str">
        <x:v>Cambios RF65 a placa/VIN</x:v>
      </x:c>
      <x:c r="C12" s="1071" t="str">
        <x:v>No aplicar índice parcial ni liberar datos de vehículo sin aprobación del equipo.</x:v>
      </x:c>
    </x:row>
    <x:row r="13" ht="40" customHeight="1">
      <x:c r="A13" s="1549" t="str">
        <x:v>VEREDICTO</x:v>
      </x:c>
      <x:c r="B13" s="1549" t="str">
        <x:v>COHERENCIA DOCUMENTAL CON RESERVAS</x:v>
      </x:c>
      <x:c r="C13" s="1549" t="str">
        <x:v>Consolidado y trazable; RF65 queda propuesto y todas las validaciones físicas siguen pendientes.</x:v>
      </x:c>
    </x:row>
  </x:sheetData>
  <x:mergeCells>
    <x:mergeCell ref="A1:H1"/>
    <x:mergeCell ref="A2:H2"/>
  </x:mergeCell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25" hidden="0" customWidth="1"/>
    <x:col min="3" max="3" width="66" hidden="0" customWidth="1"/>
    <x:col min="4" max="4" width="76" hidden="0" customWidth="1"/>
    <x:col min="5" max="5" width="30" hidden="0" customWidth="1"/>
    <x:col min="6" max="6" width="23" hidden="0" customWidth="1"/>
  </x:cols>
  <x:sheetData>
    <x:row r="1" ht="34" customHeight="1">
      <x:c r="A1" t="str">
        <x:v>MYCAR | RF006-E1 — OBSERVACIONES Y VALIDACIONES PENDIENTES</x:v>
      </x:c>
      <x:c r="B1"/>
      <x:c r="C1"/>
      <x:c r="D1"/>
      <x:c r="E1"/>
      <x:c r="F1"/>
    </x:row>
    <x:row r="2" ht="28" customHeight="1">
      <x:c r="A2" t="str">
        <x:v>Anexo de control técnico — no modifica la secuencia BCE de 21 mensajes de la hoja RF006-E1.</x:v>
      </x:c>
      <x:c r="B2"/>
      <x:c r="C2"/>
      <x:c r="D2"/>
      <x:c r="E2"/>
      <x:c r="F2"/>
    </x:row>
    <x:row r="3">
      <x:c r="A3"/>
      <x:c r="B3"/>
      <x:c r="C3"/>
      <x:c r="D3"/>
      <x:c r="E3"/>
      <x:c r="F3"/>
    </x:row>
    <x:row r="4" ht="32" customHeight="1">
      <x:c r="A4" t="str">
        <x:v>ID</x:v>
      </x:c>
      <x:c r="B4" t="str">
        <x:v>Referencia</x:v>
      </x:c>
      <x:c r="C4" t="str">
        <x:v>Observación / requisito</x:v>
      </x:c>
      <x:c r="D4" t="str">
        <x:v>Criterio de verificación</x:v>
      </x:c>
      <x:c r="E4" t="str">
        <x:v>Estado</x:v>
      </x:c>
      <x:c r="F4" t="str">
        <x:v>Responsable sugerido</x:v>
      </x:c>
    </x:row>
    <x:row r="5" ht="70" customHeight="1">
      <x:c r="A5" t="str">
        <x:v>OBS-01</x:v>
      </x:c>
      <x:c r="B5" t="str">
        <x:v>RF006-E1!F23 / G23</x:v>
      </x:c>
      <x:c r="C5" t="str">
        <x:v>La identificación de la sesión actual se obtiene del contexto local; no debe requerir consulta previa al backend.</x:v>
      </x:c>
      <x:c r="D5" t="str">
        <x:v>Verificar que obtenerIdentificacionSesionLocal() no realiza una operación remota bloqueante y obtiene el identificador correcto.</x:v>
      </x:c>
      <x:c r="E5" t="str">
        <x:v>Pendiente de validación técnica</x:v>
      </x:c>
      <x:c r="F5" t="str">
        <x:v>Equipo Android</x:v>
      </x:c>
    </x:row>
    <x:row r="6" ht="70" customHeight="1">
      <x:c r="A6" t="str">
        <x:v>OBS-02</x:v>
      </x:c>
      <x:c r="B6" t="str">
        <x:v>RF006-E1!G23 / G27</x:v>
      </x:c>
      <x:c r="C6" t="str">
        <x:v>Antes de limpiar el contexto, debe prepararse temporalmente la información mínima necesaria para solicitar la revocación remota.</x:v>
      </x:c>
      <x:c r="D6" t="str">
        <x:v>Demostrar que la solicitud posterior puede ejecutarse con autorización válida sin restaurar credenciales ni mantener una sesión local autenticada. No se presupone persistencia, cola ni reintentos.</x:v>
      </x:c>
      <x:c r="E6" t="str">
        <x:v>Pendiente de definición y prueba</x:v>
      </x:c>
      <x:c r="F6" t="str">
        <x:v>Android + backend</x:v>
      </x:c>
    </x:row>
    <x:row r="7" ht="70" customHeight="1">
      <x:c r="A7" t="str">
        <x:v>OBS-03</x:v>
      </x:c>
      <x:c r="B7" t="str">
        <x:v>RF006-E1!F24 / G24</x:v>
      </x:c>
      <x:c r="C7" t="str">
        <x:v>La limpieza local debe eliminar credenciales y datos sensibles inmediatamente después de obtener la identificación, conservando solo configuraciones generales no sensibles.</x:v>
      </x:c>
      <x:c r="D7" t="str">
        <x:v>Comprobar que tras limpiarContextoSesion() no quedan credenciales utilizables ni datos sensibles accesibles y que la acción no depende de respuesta remota.</x:v>
      </x:c>
      <x:c r="E7" t="str">
        <x:v>Pendiente de prueba</x:v>
      </x:c>
      <x:c r="F7" t="str">
        <x:v>Equipo Android</x:v>
      </x:c>
    </x:row>
    <x:row r="8">
      <x:c r="A8" t="str">
        <x:v>OBS-04</x:v>
      </x:c>
      <x:c r="B8" t="str">
        <x:v>RF006-E1!F25:F26</x:v>
      </x:c>
      <x:c r="C8" t="str">
        <x:v>Bienvenida y la pantalla de acceso deben mostrarse sin esperar la revocación remota.</x:v>
      </x:c>
      <x:c r="D8" t="str">
        <x:v>Probar con backend lento o inaccesible: la interfaz debe mostrar Bienvenida y permanecer localmente desconectada.</x:v>
      </x:c>
      <x:c r="E8" t="str">
        <x:v>Pendiente de prueba</x:v>
      </x:c>
      <x:c r="F8" t="str">
        <x:v>Equipo Android</x:v>
      </x:c>
    </x:row>
    <x:row r="9">
      <x:c r="A9" t="str">
        <x:v>OBS-05</x:v>
      </x:c>
      <x:c r="B9" t="str">
        <x:v>RF006-E1!F27 / G27</x:v>
      </x:c>
      <x:c r="C9" t="str">
        <x:v>El backend debe validar que la solicitud está autorizada para revocar esa sesión; conocer idSesion por sí solo no autoriza la operación.</x:v>
      </x:c>
      <x:c r="D9" t="str">
        <x:v>Probar autorización válida e inválida y comprobar que una solicitud no autorizada no revoca sesiones ajenas. Definir contrato y controles técnicos en backend.</x:v>
      </x:c>
      <x:c r="E9" t="str">
        <x:v>Pendiente de diseño y prueba</x:v>
      </x:c>
      <x:c r="F9" t="str">
        <x:v>Equipo backend</x:v>
      </x:c>
    </x:row>
    <x:row r="10">
      <x:c r="A10" t="str">
        <x:v>OBS-06</x:v>
      </x:c>
      <x:c r="B10" t="str">
        <x:v>RF006-E1!F28 / G27</x:v>
      </x:c>
      <x:c r="C10" t="str">
        <x:v>confirmarCierreSesion() solo debe emitirse cuando la revocación remota se haya confirmado.</x:v>
      </x:c>
      <x:c r="D10" t="str">
        <x:v>Verificar que la confirmación no se emite ante error o ausencia de respuesta y no cambia el estado local ya cerrado.</x:v>
      </x:c>
      <x:c r="E10" t="str">
        <x:v>Pendiente de prueba</x:v>
      </x:c>
      <x:c r="F10" t="str">
        <x:v>Equipo backend</x:v>
      </x:c>
    </x:row>
    <x:row r="11">
      <x:c r="A11" t="str">
        <x:v>OBS-07</x:v>
      </x:c>
      <x:c r="B11" t="str">
        <x:v>RF006-E1!F27:F28</x:v>
      </x:c>
      <x:c r="C11" t="str">
        <x:v>La secuencia exitosa representa revocación confirmada; no especifica aquí la resolución de fallos remotos.</x:v>
      </x:c>
      <x:c r="D11" t="str">
        <x:v>Mantener el alcance de RF006-E1. Revisar fallos y excepciones posteriormente en sus propios escenarios, sin alterar este exitoso.</x:v>
      </x:c>
      <x:c r="E11" t="str">
        <x:v>Pendiente de revisión posterior</x:v>
      </x:c>
      <x:c r="F11" t="str">
        <x:v>Análisis funcional</x:v>
      </x:c>
    </x:row>
    <x:row r="12">
      <x:c r="A12" t="str">
        <x:v>OBS-08</x:v>
      </x:c>
      <x:c r="B12" t="str">
        <x:v>RF006-E1 (general)</x:v>
      </x:c>
      <x:c r="C12" t="str">
        <x:v>Las decisiones RF06-01, RF06-02, RF06-12 y RF06-15 a RF06-22 sustentan los 21 mensajes.</x:v>
      </x:c>
      <x:c r="D12" t="str">
        <x:v>Conservar la secuencia y verificar los contratos reales antes de declarar validada la implementación; aprobación documental no equivale a prueba técnica.</x:v>
      </x:c>
      <x:c r="E12" t="str">
        <x:v>Aprobado documentalmente / prueba pendiente</x:v>
      </x:c>
      <x:c r="F12" t="str">
        <x:v>Análisis + desarrollo</x:v>
      </x:c>
    </x:row>
    <x:row r="13">
      <x:c r="A13"/>
      <x:c r="B13"/>
      <x:c r="C13"/>
      <x:c r="D13"/>
      <x:c r="E13"/>
      <x:c r="F13"/>
    </x:row>
    <x:row r="14">
      <x:c r="A14" t="str">
        <x:v>ESTADO DEL DOCUMENTO: escenario exitoso aprobado documentalmente; dependencias técnicas y pruebas pendientes.</x:v>
      </x:c>
      <x:c r="B14"/>
      <x:c r="C14"/>
      <x:c r="D14"/>
      <x:c r="E14"/>
      <x:c r="F14"/>
    </x:row>
    <x:row r="15">
      <x:c r="A15"/>
      <x:c r="B15"/>
      <x:c r="C15"/>
      <x:c r="D15"/>
      <x:c r="E15"/>
      <x:c r="F15"/>
    </x:row>
    <x:row r="16">
      <x:c r="A16" t="str">
        <x:v>Alcance: esta hoja registra observaciones, no agrega mensajes BCE ni modifica alternativos, excepciones, otros RF o base de datos.</x:v>
      </x:c>
      <x:c r="B16"/>
      <x:c r="C16"/>
      <x:c r="D16"/>
      <x:c r="E16"/>
      <x:c r="F16"/>
    </x:row>
  </x:sheetData>
  <x:mergeCells>
    <x:mergeCell ref="A1:F1"/>
    <x:mergeCell ref="A2:F2"/>
    <x:mergeCell ref="A14:F14"/>
    <x:mergeCell ref="A16:F16"/>
  </x:mergeCells>
  <x:pageMargins left="0.7" right="0.7" top="0.75" bottom="0.75" header="0.3" footer="0.3"/>
</x:worksheet>
</file>

<file path=xl/worksheets/sheet121.xml><?xml version="1.0" encoding="utf-8"?>
<x:worksheet xmlns:x="http://schemas.openxmlformats.org/spreadsheetml/2006/main">
  <x:sheetFormatPr defaultRowHeight="15"/>
  <x:cols>
    <x:col min="1" max="1" width="22" hidden="0" customWidth="1"/>
    <x:col min="2" max="2" width="34" hidden="0" customWidth="1"/>
    <x:col min="3" max="3" width="90" hidden="0" customWidth="1"/>
    <x:col min="4" max="4" width="30" hidden="0" customWidth="1"/>
  </x:cols>
  <x:sheetData>
    <x:row r="1" ht="28" customHeight="1">
      <x:c r="A1" t="str">
        <x:v>ID / RF</x:v>
      </x:c>
      <x:c r="B1" t="str">
        <x:v>PUNTO REVISADO</x:v>
      </x:c>
      <x:c r="C1" t="str">
        <x:v>CAMBIO O DECISIÓN</x:v>
      </x:c>
      <x:c r="D1" t="str">
        <x:v>ESTADO</x:v>
      </x:c>
    </x:row>
    <x:row r="2" ht="64" customHeight="1">
      <x:c r="A2" t="str">
        <x:v>RF01</x:v>
      </x:c>
      <x:c r="B2" t="str">
        <x:v>Asignación de plan</x:v>
      </x:c>
      <x:c r="C2" t="str">
        <x:v>Usar E_Suscripcion (sin E_AsignacionPlan nueva); FREE ACTIVA + usuario + preferencias en 1 TX de Spring Boot sin trigger.</x:v>
      </x:c>
      <x:c r="D2" t="str">
        <x:v>AJUSTADO</x:v>
      </x:c>
    </x:row>
    <x:row r="3" ht="64" customHeight="1">
      <x:c r="A3" t="str">
        <x:v>RF02</x:v>
      </x:c>
      <x:c r="B3" t="str">
        <x:v>Bloqueo de login</x:v>
      </x:c>
      <x:c r="C3" t="str">
        <x:v>3 fallos de contraseña dentro 10 min → bloquear nuevos inicios por 10 min; cuenta ACTIVA y sesiones ya abiertas no afectadas.</x:v>
      </x:c>
      <x:c r="D3" t="str">
        <x:v>ACLARADO EN EF</x:v>
      </x:c>
    </x:row>
    <x:row r="4" ht="64" customHeight="1">
      <x:c r="A4" t="str">
        <x:v>RF02</x:v>
      </x:c>
      <x:c r="B4" t="str">
        <x:v>Errores alternativos</x:v>
      </x:c>
      <x:c r="C4" t="str">
        <x:v>Los cuatro A01–A04 originales no incluyen todas las ramas de credenciales incorrectas. Se documentan en anexo del Excel de alternativos, sin renumerar los existentes.</x:v>
      </x:c>
      <x:c r="D4" t="str">
        <x:v>REFERENCIA AL ANEXO</x:v>
      </x:c>
    </x:row>
    <x:row r="5" ht="64" customHeight="1">
      <x:c r="A5" t="str">
        <x:v>RF02 ↔ RF09</x:v>
      </x:c>
      <x:c r="B5" t="str">
        <x:v>Vehículo principal</x:v>
      </x:c>
      <x:c r="C5" t="str">
        <x:v>Control común C_ControlListadoVehiculos lee E_Vehiculo, sin C_ControlVehiculoPrincipal duplicado.</x:v>
      </x:c>
      <x:c r="D5" t="str">
        <x:v>HOMOLOGADO</x:v>
      </x:c>
    </x:row>
    <x:row r="6" ht="64" customHeight="1">
      <x:c r="A6" t="str">
        <x:v>RF06</x:v>
      </x:c>
      <x:c r="B6" t="str">
        <x:v>Logout</x:v>
      </x:c>
      <x:c r="C6" t="str">
        <x:v>Logout local inmediato y solicitud remota no bloqueante; EX03 debe evitar consulta remota previa a limpiar.</x:v>
      </x:c>
      <x:c r="D6" t="str">
        <x:v>CORREGIDO EN EA</x:v>
      </x:c>
    </x:row>
  </x:sheetData>
  <x:pageMargins left="0.7" right="0.7" top="0.75" bottom="0.75" header="0.3" footer="0.3"/>
</x:worksheet>
</file>

<file path=xl/worksheets/sheet122.xml><?xml version="1.0" encoding="utf-8"?>
<x:worksheet xmlns:x="http://schemas.openxmlformats.org/spreadsheetml/2006/main">
  <x:sheetFormatPr defaultRowHeight="15"/>
  <x:cols>
    <x:col min="1" max="1" width="26" hidden="0" customWidth="1"/>
    <x:col min="2" max="2" width="61" hidden="0" customWidth="1"/>
    <x:col min="3" max="3" width="63" hidden="0" customWidth="1"/>
    <x:col min="4" max="4" width="68" hidden="0" customWidth="1"/>
  </x:cols>
  <x:sheetData>
    <x:row r="1">
      <x:c r="A1" t="s">
        <x:v>5348</x:v>
      </x:c>
      <x:c r="B1"/>
      <x:c r="C1"/>
      <x:c r="D1"/>
    </x:row>
    <x:row r="2">
      <x:c r="A2"/>
      <x:c r="B2"/>
      <x:c r="C2"/>
      <x:c r="D2"/>
    </x:row>
    <x:row r="3">
      <x:c r="A3" t="s">
        <x:v>5349</x:v>
      </x:c>
      <x:c r="B3" t="s">
        <x:v>5350</x:v>
      </x:c>
      <x:c r="C3" t="s">
        <x:v>5351</x:v>
      </x:c>
      <x:c r="D3" t="s">
        <x:v>5352</x:v>
      </x:c>
    </x:row>
    <x:row r="4">
      <x:c r="A4" t="s">
        <x:v>5353</x:v>
      </x:c>
      <x:c r="B4" t="s">
        <x:v>5354</x:v>
      </x:c>
      <x:c r="C4" t="s">
        <x:v>5355</x:v>
      </x:c>
      <x:c r="D4" t="s">
        <x:v>5356</x:v>
      </x:c>
    </x:row>
    <x:row r="5">
      <x:c r="A5" t="s">
        <x:v>5357</x:v>
      </x:c>
      <x:c r="B5" t="s">
        <x:v>5358</x:v>
      </x:c>
      <x:c r="C5" t="s">
        <x:v>5359</x:v>
      </x:c>
      <x:c r="D5" t="s">
        <x:v>5360</x:v>
      </x:c>
    </x:row>
    <x:row r="6">
      <x:c r="A6"/>
      <x:c r="B6"/>
      <x:c r="C6"/>
      <x:c r="D6"/>
    </x:row>
    <x:row r="7">
      <x:c r="A7" t="s">
        <x:v>4973</x:v>
      </x:c>
      <x:c r="B7" t="s">
        <x:v>5361</x:v>
      </x:c>
      <x:c r="C7" t="s">
        <x:v>5362</x:v>
      </x:c>
      <x:c r="D7" t="s">
        <x:v>5363</x:v>
      </x:c>
    </x:row>
    <x:row r="8">
      <x:c r="A8" t="s">
        <x:v>4691</x:v>
      </x:c>
      <x:c r="B8" t="s">
        <x:v>5364</x:v>
      </x:c>
      <x:c r="C8" t="s">
        <x:v>5365</x:v>
      </x:c>
      <x:c r="D8" t="s">
        <x:v>5366</x:v>
      </x:c>
    </x:row>
    <x:row r="9">
      <x:c r="A9" t="s">
        <x:v>4692</x:v>
      </x:c>
      <x:c r="B9" t="s">
        <x:v>5367</x:v>
      </x:c>
      <x:c r="C9" t="s">
        <x:v>5368</x:v>
      </x:c>
      <x:c r="D9" t="s">
        <x:v>5369</x:v>
      </x:c>
    </x:row>
    <x:row r="10">
      <x:c r="A10" t="s">
        <x:v>4693</x:v>
      </x:c>
      <x:c r="B10" t="s">
        <x:v>5370</x:v>
      </x:c>
      <x:c r="C10" t="s">
        <x:v>5371</x:v>
      </x:c>
      <x:c r="D10" t="s">
        <x:v>5372</x:v>
      </x:c>
    </x:row>
    <x:row r="11">
      <x:c r="A11" t="s">
        <x:v>4568</x:v>
      </x:c>
      <x:c r="B11" t="s">
        <x:v>5373</x:v>
      </x:c>
      <x:c r="C11" t="s">
        <x:v>5374</x:v>
      </x:c>
      <x:c r="D11" t="str">
        <x:v>«Continuar» FINAL: origen normal → I_DetalleKilometraje; desde RF17 → formulario mantenimiento con borrador; «Ir a inicio» → I_Inicio. No hay segundo guardado.</x:v>
      </x:c>
    </x:row>
    <x:row r="12">
      <x:c r="A12" t="s">
        <x:v>5375</x:v>
      </x:c>
      <x:c r="B12" t="s">
        <x:v>5376</x:v>
      </x:c>
      <x:c r="C12" t="s">
        <x:v>5377</x:v>
      </x:c>
      <x:c r="D12" t="s">
        <x:v>5378</x:v>
      </x:c>
    </x:row>
    <x:row r="13">
      <x:c r="A13"/>
      <x:c r="B13"/>
      <x:c r="C13"/>
      <x:c r="D13"/>
    </x:row>
    <x:row r="14">
      <x:c r="A14"/>
      <x:c r="B14"/>
      <x:c r="C14"/>
      <x:c r="D14"/>
    </x:row>
    <x:row r="15">
      <x:c r="A15" t="s">
        <x:v>5379</x:v>
      </x:c>
      <x:c r="B15" t="s">
        <x:v>5380</x:v>
      </x:c>
      <x:c r="C15" t="s">
        <x:v>5381</x:v>
      </x:c>
      <x:c r="D15" t="s">
        <x:v>5382</x:v>
      </x:c>
    </x:row>
    <x:row r="16">
      <x:c r="A16" t="s">
        <x:v>5383</x:v>
      </x:c>
      <x:c r="B16" t="s">
        <x:v>5384</x:v>
      </x:c>
      <x:c r="C16" t="s">
        <x:v>5385</x:v>
      </x:c>
      <x:c r="D16" t="s">
        <x:v>5386</x:v>
      </x:c>
    </x:row>
    <x:row r="17">
      <x:c r="A17" t="s">
        <x:v>5387</x:v>
      </x:c>
      <x:c r="B17" t="s">
        <x:v>5388</x:v>
      </x:c>
      <x:c r="C17" t="s">
        <x:v>5389</x:v>
      </x:c>
      <x:c r="D17" t="s">
        <x:v>5390</x:v>
      </x:c>
    </x:row>
    <x:row r="18">
      <x:c r="A18" t="s">
        <x:v>5391</x:v>
      </x:c>
      <x:c r="B18" t="s">
        <x:v>5392</x:v>
      </x:c>
      <x:c r="C18" t="s">
        <x:v>5393</x:v>
      </x:c>
      <x:c r="D18" t="s">
        <x:v>5394</x:v>
      </x:c>
    </x:row>
    <x:row r="19">
      <x:c r="A19" t="s">
        <x:v>5395</x:v>
      </x:c>
      <x:c r="B19" t="s">
        <x:v>5396</x:v>
      </x:c>
      <x:c r="C19" t="s">
        <x:v>5397</x:v>
      </x:c>
      <x:c r="D19" t="s">
        <x:v>5398</x:v>
      </x:c>
    </x:row>
    <x:row r="20">
      <x:c r="A20"/>
      <x:c r="B20"/>
      <x:c r="C20"/>
      <x:c r="D20"/>
    </x:row>
    <x:row r="21">
      <x:c r="A21"/>
      <x:c r="B21"/>
      <x:c r="C21"/>
      <x:c r="D21"/>
    </x:row>
    <x:row r="22">
      <x:c r="A22" t="s">
        <x:v>5399</x:v>
      </x:c>
      <x:c r="B22" t="s">
        <x:v>5400</x:v>
      </x:c>
      <x:c r="C22" t="s">
        <x:v>5401</x:v>
      </x:c>
      <x:c r="D22" t="s">
        <x:v>5402</x:v>
      </x:c>
    </x:row>
    <x:row r="23">
      <x:c r="A23" t="s">
        <x:v>5403</x:v>
      </x:c>
      <x:c r="B23" t="s">
        <x:v>5404</x:v>
      </x:c>
      <x:c r="C23" t="s">
        <x:v>5405</x:v>
      </x:c>
      <x:c r="D23" t="s">
        <x:v>5406</x:v>
      </x:c>
    </x:row>
    <x:row r="24">
      <x:c r="A24" t="s">
        <x:v>5407</x:v>
      </x:c>
      <x:c r="B24" t="s">
        <x:v>5408</x:v>
      </x:c>
      <x:c r="C24" t="s">
        <x:v>5409</x:v>
      </x:c>
      <x:c r="D24" t="s">
        <x:v>5410</x:v>
      </x:c>
    </x:row>
    <x:row r="25">
      <x:c r="A25" t="s">
        <x:v>5411</x:v>
      </x:c>
      <x:c r="B25" t="s">
        <x:v>5412</x:v>
      </x:c>
      <x:c r="C25" t="s">
        <x:v>5413</x:v>
      </x:c>
      <x:c r="D25" t="s">
        <x:v>5414</x:v>
      </x:c>
    </x:row>
    <x:row r="26">
      <x:c r="A26" t="s">
        <x:v>5415</x:v>
      </x:c>
      <x:c r="B26" t="s">
        <x:v>5416</x:v>
      </x:c>
      <x:c r="C26" t="s">
        <x:v>5417</x:v>
      </x:c>
      <x:c r="D26" t="s">
        <x:v>5418</x:v>
      </x:c>
    </x:row>
    <x:row r="27">
      <x:c r="A27" t="s">
        <x:v>5419</x:v>
      </x:c>
      <x:c r="B27" t="s">
        <x:v>5420</x:v>
      </x:c>
      <x:c r="C27" t="s">
        <x:v>5421</x:v>
      </x:c>
      <x:c r="D27" t="s">
        <x:v>5422</x:v>
      </x:c>
    </x:row>
    <x:row r="28">
      <x:c r="A28" t="s">
        <x:v>5423</x:v>
      </x:c>
      <x:c r="B28" t="s">
        <x:v>5424</x:v>
      </x:c>
      <x:c r="C28" t="s">
        <x:v>5425</x:v>
      </x:c>
      <x:c r="D28" t="s">
        <x:v>5426</x:v>
      </x:c>
    </x:row>
    <x:row r="29">
      <x:c r="A29" t="s">
        <x:v>5427</x:v>
      </x:c>
      <x:c r="B29" t="s">
        <x:v>5428</x:v>
      </x:c>
      <x:c r="C29" t="s">
        <x:v>5429</x:v>
      </x:c>
      <x:c r="D29" t="s">
        <x:v>5430</x:v>
      </x:c>
    </x:row>
    <x:row r="30">
      <x:c r="A30" t="s">
        <x:v>5431</x:v>
      </x:c>
      <x:c r="B30" t="s">
        <x:v>5432</x:v>
      </x:c>
      <x:c r="C30" t="str">
        <x:v>RF14 termina con confirmación; botones Continuar (destino según origen) e Ir a inicio. La vista previa y el retorno Atrás no escriben.</x:v>
      </x:c>
      <x:c r="D30" t="s">
        <x:v>5433</x:v>
      </x:c>
    </x:row>
  </x:sheetData>
  <x:mergeCells>
    <x:mergeCell ref="A1:D1"/>
  </x:mergeCells>
  <x:pageMargins left="0.7" right="0.7" top="0.75" bottom="0.75" header="0.3" footer="0.3"/>
</x:worksheet>
</file>

<file path=xl/worksheets/sheet123.xml><?xml version="1.0" encoding="utf-8"?>
<x:worksheet xmlns:x="http://schemas.openxmlformats.org/spreadsheetml/2006/main">
  <x:sheetFormatPr defaultRowHeight="15"/>
  <x:cols>
    <x:col min="1" max="1" width="19" hidden="0" customWidth="1"/>
    <x:col min="2" max="2" width="47" hidden="0" customWidth="1"/>
    <x:col min="3" max="3" width="90" hidden="0" customWidth="1"/>
    <x:col min="4" max="4" width="28" hidden="0" customWidth="1"/>
    <x:col min="5" max="5" width="28" hidden="0" customWidth="1"/>
  </x:cols>
  <x:sheetData>
    <x:row r="1" ht="30" customHeight="1">
      <x:c r="A1" t="s">
        <x:v>5434</x:v>
      </x:c>
      <x:c r="B1" t="s">
        <x:v>5435</x:v>
      </x:c>
      <x:c r="C1" t="s">
        <x:v>5436</x:v>
      </x:c>
      <x:c r="D1" t="s">
        <x:v>5437</x:v>
      </x:c>
      <x:c r="E1" t="s">
        <x:v>5438</x:v>
      </x:c>
    </x:row>
    <x:row r="2" ht="51" customHeight="1">
      <x:c r="A2" t="s">
        <x:v>5439</x:v>
      </x:c>
      <x:c r="B2" t="s">
        <x:v>5440</x:v>
      </x:c>
      <x:c r="C2" t="str">
        <x:v>Plan operativo ÚNICO MVP: FREE (visible Gratis). RF01 crea cuenta + suscripción ACTIVE sin vencimiento + preferencias EN UNA TRANSACCIÓN Spring Boot; sin trigger; fallo revierte todo. Premium fuera del MVP.</x:v>
      </x:c>
      <x:c r="D2" t="s">
        <x:v>5441</x:v>
      </x:c>
      <x:c r="E2" t="str">
        <x:v>ACORDADO ELSA + SEBASTIÁN</x:v>
      </x:c>
    </x:row>
    <x:row r="3" ht="51" customHeight="1">
      <x:c r="A3" t="s">
        <x:v>5439</x:v>
      </x:c>
      <x:c r="B3" t="s">
        <x:v>5442</x:v>
      </x:c>
      <x:c r="C3" t="str">
        <x:v>FREE: máximo un vehículo registrado ACTIVO+INACTIVO. Validar antes del formulario. Al guardar: primero recuperar resultado CONFIRMADO por idOperacion, solo si NUEVA bloquear fila usuario y revalidar cupo; LIMITE_FREE solo a alta nueva sin cupo.</x:v>
      </x:c>
      <x:c r="D3" t="s">
        <x:v>5443</x:v>
      </x:c>
      <x:c r="E3" t="str">
        <x:v>ACORDADO FRANCESCA + SEBASTIÁN</x:v>
      </x:c>
    </x:row>
    <x:row r="4" ht="51" customHeight="1">
      <x:c r="A4" t="s">
        <x:v>5444</x:v>
      </x:c>
      <x:c r="B4" t="s">
        <x:v>5445</x:v>
      </x:c>
      <x:c r="C4" t="s">
        <x:v>5446</x:v>
      </x:c>
      <x:c r="D4" t="s">
        <x:v>5447</x:v>
      </x:c>
      <x:c r="E4" t="s">
        <x:v>5448</x:v>
      </x:c>
    </x:row>
    <x:row r="5" ht="51" customHeight="1">
      <x:c r="A5" t="s">
        <x:v>5444</x:v>
      </x:c>
      <x:c r="B5" t="s">
        <x:v>5449</x:v>
      </x:c>
      <x:c r="C5" t="str">
        <x:v>idOperacion se resuelve ANTES del cupo: confirmada e idéntica =&gt; mismo idVehiculo. Nueva =&gt; bloquear usuario, revalidar Free, insertar en una TX VEHICULO+lectura inicial+recordatorio+resultado; rollback total.</x:v>
      </x:c>
      <x:c r="D5" t="s">
        <x:v>5450</x:v>
      </x:c>
      <x:c r="E5" t="s">
        <x:v>5448</x:v>
      </x:c>
    </x:row>
    <x:row r="6" ht="51" customHeight="1">
      <x:c r="A6" t="s">
        <x:v>5451</x:v>
      </x:c>
      <x:c r="B6" t="s">
        <x:v>5452</x:v>
      </x:c>
      <x:c r="C6" t="str">
        <x:v>RF14: desde I_VistaPreviaKilometraje → Continuar → COMMIT → I_ConfirmacionKilometraje: Continuar (navegación condicional) o Ir a inicio (abandona borrador). Cancelar edición → origen; Atrás vista previa → editar. Nayu RF17 conserva borrador temporal.</x:v>
      </x:c>
      <x:c r="D6" t="s">
        <x:v>5447</x:v>
      </x:c>
      <x:c r="E6" t="s">
        <x:v>5448</x:v>
      </x:c>
    </x:row>
    <x:row r="7" ht="51" customHeight="1">
      <x:c r="A7" t="s">
        <x:v>5453</x:v>
      </x:c>
      <x:c r="B7" t="s">
        <x:v>5454</x:v>
      </x:c>
      <x:c r="C7" t="s">
        <x:v>5455</x:v>
      </x:c>
      <x:c r="D7" t="s">
        <x:v>5456</x:v>
      </x:c>
      <x:c r="E7" t="s">
        <x:v>5457</x:v>
      </x:c>
    </x:row>
    <x:row r="8">
      <x:c r="A8" t="s">
        <x:v>5458</x:v>
      </x:c>
      <x:c r="B8" t="s">
        <x:v>5459</x:v>
      </x:c>
      <x:c r="C8" t="str">
        <x:v>RF23 (Nayu) sincroniza estados al abrir Mis alertas, actualizando ALERTA+HISTORIAL_ALERTA en transacción solo si cambió el estado; RF14 NO sincroniza. Reglas tiempo/km/ambos y días calendarios aprobadas.</x:v>
      </x:c>
      <x:c r="D8" t="s">
        <x:v>5460</x:v>
      </x:c>
      <x:c r="E8" t="str">
        <x:v>APROBADO FUNCIONAL · VALIDAR BD</x:v>
      </x:c>
    </x:row>
    <x:row r="9">
      <x:c r="A9" t="s">
        <x:v>5461</x:v>
      </x:c>
      <x:c r="B9" t="s">
        <x:v>5462</x:v>
      </x:c>
      <x:c r="C9" t="str">
        <x:v>RF22/RF23: PROGRAMADA/PRÓXIMA/PENDIENTE/VENCIDA, ANULADA tras 30 días calendario desde primera evidencia verificable de VENCIDA; America/Lima; margen KM 10% EXACTO sin redondeo; estados por AMBOS con mayor prioridad.</x:v>
      </x:c>
      <x:c r="D9" t="s">
        <x:v>5460</x:v>
      </x:c>
      <x:c r="E9" t="str">
        <x:v>APROBADO CON NAYU · BD PENDIENTE</x:v>
      </x:c>
    </x:row>
    <x:row r="10">
      <x:c r="A10" t="s">
        <x:v>5463</x:v>
      </x:c>
      <x:c r="B10" t="s">
        <x:v>5464</x:v>
      </x:c>
      <x:c r="C10" t="str">
        <x:v>RF08 crea únicamente vehículo + lectura inicial + configuración de recordatorio, atómicos. NO crea alerta. RF22 crea alertas manuales con objetivos FUTUROS, evaluando estado inicial con reglas de RF23.</x:v>
      </x:c>
      <x:c r="D10" t="s">
        <x:v>5465</x:v>
      </x:c>
      <x:c r="E10" t="str">
        <x:v>APROBADO CON NAYU</x:v>
      </x:c>
    </x:row>
    <x:row r="11">
      <x:c r="A11" t="s">
        <x:v>5466</x:v>
      </x:c>
      <x:c r="B11" t="s">
        <x:v>5467</x:v>
      </x:c>
      <x:c r="C11" t="str">
        <x:v>RF14 confirma COMMIT de lectura independientemente. RF23 actualiza ALERTA+HISTORIAL_ALERTA al abrir Mis alertas; falla de RF23 no revierte lectura RF14 previamente confirmada.</x:v>
      </x:c>
      <x:c r="D11" t="s">
        <x:v>5460</x:v>
      </x:c>
      <x:c r="E11" t="str">
        <x:v>APROBADO CON NAYU</x:v>
      </x:c>
    </x:row>
    <x:row r="12">
      <x:c r="A12" t="s">
        <x:v>5468</x:v>
      </x:c>
      <x:c r="B12" t="s">
        <x:v>5469</x:v>
      </x:c>
      <x:c r="C12" t="s">
        <x:v>5470</x:v>
      </x:c>
      <x:c r="D12" t="s">
        <x:v>5456</x:v>
      </x:c>
      <x:c r="E12" t="s">
        <x:v>5457</x:v>
      </x:c>
    </x:row>
    <x:row r="13">
      <x:c r="A13" t="s">
        <x:v>5471</x:v>
      </x:c>
      <x:c r="B13" t="s">
        <x:v>5472</x:v>
      </x:c>
      <x:c r="C13" t="s">
        <x:v>5473</x:v>
      </x:c>
      <x:c r="D13" t="s">
        <x:v>5456</x:v>
      </x:c>
      <x:c r="E13" t="s">
        <x:v>5474</x:v>
      </x:c>
    </x:row>
    <x:row r="14">
      <x:c r="A14" t="s">
        <x:v>5471</x:v>
      </x:c>
      <x:c r="B14" t="s">
        <x:v>5475</x:v>
      </x:c>
      <x:c r="C14" t="s">
        <x:v>5476</x:v>
      </x:c>
      <x:c r="D14" t="s">
        <x:v>5456</x:v>
      </x:c>
      <x:c r="E14" t="s">
        <x:v>5474</x:v>
      </x:c>
    </x:row>
    <x:row r="15">
      <x:c r="A15" t="s">
        <x:v>5477</x:v>
      </x:c>
      <x:c r="B15" t="s">
        <x:v>5478</x:v>
      </x:c>
      <x:c r="C15" t="str">
        <x:v>Spring Boot resuelve idUsuario desde sesión VALIDADA. Cuenta SUSPENDIDA no puede ejecutar operación protegida; intento fallido RF02 solo bloquea nuevos logins, NO sesiones existentes. Duración y renovación técnicas por definir.</x:v>
      </x:c>
      <x:c r="D15" t="s">
        <x:v>5479</x:v>
      </x:c>
      <x:c r="E15" t="str">
        <x:v>APROBADO FUNCIONAL · SESIÓN TÉCNICA PENDIENTE</x:v>
      </x:c>
    </x:row>
    <x:row r="16">
      <x:c r="A16" t="s">
        <x:v>5480</x:v>
      </x:c>
      <x:c r="B16" t="s">
        <x:v>5481</x:v>
      </x:c>
      <x:c r="C16" t="str">
        <x:v>idVehiculo estable como PK lógica; idOperacion identifica escritura idempotente; tipos físicos y FK BIGINT propuestos, pendientes de auditoría de BD real. No modificar sin aprobación.</x:v>
      </x:c>
      <x:c r="D16" t="s">
        <x:v>5482</x:v>
      </x:c>
      <x:c r="E16" t="str">
        <x:v>DISEÑO LÓGICO · BD POR VALIDAR</x:v>
      </x:c>
    </x:row>
    <x:row r="17">
      <x:c r="A17" t="s">
        <x:v>5483</x:v>
      </x:c>
      <x:c r="B17" t="s">
        <x:v>5484</x:v>
      </x:c>
      <x:c r="C17" t="s">
        <x:v>5485</x:v>
      </x:c>
      <x:c r="D17" t="s">
        <x:v>5482</x:v>
      </x:c>
      <x:c r="E17" t="s">
        <x:v>5448</x:v>
      </x:c>
    </x:row>
  </x:sheetData>
  <x:pageMargins left="0.7" right="0.7" top="0.75" bottom="0.75" header="0.3" footer="0.3"/>
</x:worksheet>
</file>

<file path=xl/worksheets/sheet124.xml><?xml version="1.0" encoding="utf-8"?>
<x:worksheet xmlns:x="http://schemas.openxmlformats.org/spreadsheetml/2006/main">
  <x:sheetFormatPr defaultRowHeight="15"/>
  <x:cols>
    <x:col min="1" max="1" width="31" hidden="0" customWidth="1"/>
    <x:col min="2" max="2" width="90" hidden="0" customWidth="1"/>
    <x:col min="3" max="3" width="24" hidden="0" customWidth="1"/>
  </x:cols>
  <x:sheetData>
    <x:row r="1">
      <x:c r="A1" t="s">
        <x:v>5486</x:v>
      </x:c>
      <x:c r="B1" t="s">
        <x:v>5487</x:v>
      </x:c>
      <x:c r="C1" t="s">
        <x:v>417</x:v>
      </x:c>
    </x:row>
    <x:row r="2" ht="42" customHeight="1">
      <x:c r="A2" t="s">
        <x:v>5488</x:v>
      </x:c>
      <x:c r="B2" t="s">
        <x:v>5489</x:v>
      </x:c>
      <x:c r="C2" t="s">
        <x:v>421</x:v>
      </x:c>
    </x:row>
    <x:row r="3" ht="42" customHeight="1">
      <x:c r="A3" t="s">
        <x:v>5490</x:v>
      </x:c>
      <x:c r="B3" t="s">
        <x:v>5491</x:v>
      </x:c>
      <x:c r="C3" t="s">
        <x:v>5492</x:v>
      </x:c>
    </x:row>
    <x:row r="4" ht="42" customHeight="1">
      <x:c r="A4" t="s">
        <x:v>5493</x:v>
      </x:c>
      <x:c r="B4" t="s">
        <x:v>5494</x:v>
      </x:c>
      <x:c r="C4" t="s">
        <x:v>421</x:v>
      </x:c>
    </x:row>
    <x:row r="5" ht="42" customHeight="1">
      <x:c r="A5" t="s">
        <x:v>5495</x:v>
      </x:c>
      <x:c r="B5" t="s">
        <x:v>5496</x:v>
      </x:c>
      <x:c r="C5" t="s">
        <x:v>421</x:v>
      </x:c>
    </x:row>
    <x:row r="6" ht="42" customHeight="1">
      <x:c r="A6" t="s">
        <x:v>5497</x:v>
      </x:c>
      <x:c r="B6" t="s">
        <x:v>5498</x:v>
      </x:c>
      <x:c r="C6" t="s">
        <x:v>5492</x:v>
      </x:c>
    </x:row>
    <x:row r="7" ht="42" customHeight="1">
      <x:c r="A7" t="s">
        <x:v>5499</x:v>
      </x:c>
      <x:c r="B7" t="s">
        <x:v>5500</x:v>
      </x:c>
      <x:c r="C7" t="s">
        <x:v>5492</x:v>
      </x:c>
    </x:row>
    <x:row r="8">
      <x:c r="A8" t="s">
        <x:v>5501</x:v>
      </x:c>
      <x:c r="B8" t="s">
        <x:v>5502</x:v>
      </x:c>
      <x:c r="C8" t="s">
        <x:v>421</x:v>
      </x:c>
    </x:row>
    <x:row r="9">
      <x:c r="A9" t="s">
        <x:v>5503</x:v>
      </x:c>
      <x:c r="B9" t="str">
        <x:v>Confirmación final: botón Continuar (normal → detalle KM; desde RF17 → borrador mantenimiento), botón Ir a inicio; sin segundo guardado.</x:v>
      </x:c>
      <x:c r="C9" t="s">
        <x:v>421</x:v>
      </x:c>
    </x:row>
    <x:row r="10">
      <x:c r="A10" t="s">
        <x:v>5504</x:v>
      </x:c>
      <x:c r="B10" t="s">
        <x:v>5505</x:v>
      </x:c>
      <x:c r="C10" t="s">
        <x:v>473</x:v>
      </x:c>
    </x:row>
    <x:row r="11">
      <x:c r="A11" t="s">
        <x:v>5506</x:v>
      </x:c>
      <x:c r="B11" t="s">
        <x:v>5507</x:v>
      </x:c>
      <x:c r="C11" t="s">
        <x:v>5508</x:v>
      </x:c>
    </x:row>
    <x:row r="12">
      <x:c r="A12" t="s">
        <x:v>5509</x:v>
      </x:c>
      <x:c r="B12" t="s">
        <x:v>5510</x:v>
      </x:c>
      <x:c r="C12" t="s">
        <x:v>473</x:v>
      </x:c>
    </x:row>
    <x:row r="13">
      <x:c r="A13" t="s">
        <x:v>5511</x:v>
      </x:c>
      <x:c r="B13" t="s">
        <x:v>5512</x:v>
      </x:c>
      <x:c r="C13" t="s">
        <x:v>421</x:v>
      </x:c>
    </x:row>
    <x:row r="14">
      <x:c r="A14" t="s">
        <x:v>5513</x:v>
      </x:c>
      <x:c r="B14" t="str">
        <x:v>Tras confirmar el COMMIT, Continuar FINAL solo navega. Ruta normal relee km en detalle; ruta RF17 relee km para el mantenimiento sin cambiar km histórico del servicio.</x:v>
      </x:c>
      <x:c r="C14" t="s">
        <x:v>421</x:v>
      </x:c>
    </x:row>
    <x:row r="15">
      <x:c r="A15" t="s">
        <x:v>5514</x:v>
      </x:c>
      <x:c r="B15" t="s">
        <x:v>5515</x:v>
      </x:c>
      <x:c r="C15" t="s">
        <x:v>421</x:v>
      </x:c>
    </x:row>
    <x:row r="16">
      <x:c r="A16" t="s">
        <x:v>5516</x:v>
      </x:c>
      <x:c r="B16" t="s">
        <x:v>5517</x:v>
      </x:c>
      <x:c r="C16" t="s">
        <x:v>5518</x:v>
      </x:c>
    </x:row>
    <x:row r="17">
      <x:c r="A17" t="s">
        <x:v>5519</x:v>
      </x:c>
      <x:c r="B17" t="s">
        <x:v>5520</x:v>
      </x:c>
      <x:c r="C17" t="s">
        <x:v>5508</x:v>
      </x:c>
    </x:row>
  </x:sheetData>
  <x:pageMargins left="0.7" right="0.7" top="0.75" bottom="0.75" header="0.3" footer="0.3"/>
</x:worksheet>
</file>

<file path=xl/worksheets/sheet125.xml><?xml version="1.0" encoding="utf-8"?>
<x:worksheet xmlns:x="http://schemas.openxmlformats.org/spreadsheetml/2006/main">
  <x:sheetFormatPr defaultRowHeight="15"/>
  <x:cols>
    <x:col min="1" max="1" width="26" hidden="0" customWidth="1"/>
    <x:col min="2" max="2" width="76" hidden="0" customWidth="1"/>
    <x:col min="3" max="3" width="26" hidden="0" customWidth="1"/>
    <x:col min="4" max="4" width="49" hidden="0" customWidth="1"/>
    <x:col min="5" max="5" width="42" hidden="0" customWidth="1"/>
  </x:cols>
  <x:sheetData>
    <x:row r="1" ht="31.950000762939453" customHeight="1">
      <x:c r="A1" t="s">
        <x:v>5521</x:v>
      </x:c>
      <x:c r="B1" t="s">
        <x:v>5522</x:v>
      </x:c>
      <x:c r="C1" t="s">
        <x:v>5523</x:v>
      </x:c>
      <x:c r="D1" t="s">
        <x:v>5524</x:v>
      </x:c>
      <x:c r="E1" t="s">
        <x:v>5525</x:v>
      </x:c>
    </x:row>
    <x:row r="2" ht="70" customHeight="1">
      <x:c r="A2" t="s">
        <x:v>5526</x:v>
      </x:c>
      <x:c r="B2" t="s">
        <x:v>5527</x:v>
      </x:c>
      <x:c r="C2" t="s">
        <x:v>5528</x:v>
      </x:c>
      <x:c r="D2" t="s">
        <x:v>5529</x:v>
      </x:c>
      <x:c r="E2" t="s">
        <x:v>5530</x:v>
      </x:c>
    </x:row>
    <x:row r="3" ht="70" customHeight="1">
      <x:c r="A3" t="s">
        <x:v>5531</x:v>
      </x:c>
      <x:c r="B3" t="s">
        <x:v>5532</x:v>
      </x:c>
      <x:c r="C3" t="s">
        <x:v>5533</x:v>
      </x:c>
      <x:c r="D3" t="s">
        <x:v>5534</x:v>
      </x:c>
      <x:c r="E3" t="s">
        <x:v>5530</x:v>
      </x:c>
    </x:row>
    <x:row r="4" ht="70" customHeight="1">
      <x:c r="A4" t="str">
        <x:v>RF14 → Continuar / Inicio</x:v>
      </x:c>
      <x:c r="B4" t="str">
        <x:v>Confirmación RF14: Continuar no guarda; origen NORMAL → Detalle Kilometraje, origen RF17 → formulario conservado (borrador temporal, refrescar solo km vigente); Ir a inicio descarta borrador.</x:v>
      </x:c>
      <x:c r="C4" t="s">
        <x:v>5533</x:v>
      </x:c>
      <x:c r="D4" t="s">
        <x:v>5535</x:v>
      </x:c>
      <x:c r="E4" t="s">
        <x:v>5530</x:v>
      </x:c>
    </x:row>
    <x:row r="5" ht="70" customHeight="1">
      <x:c r="A5" t="s">
        <x:v>5536</x:v>
      </x:c>
      <x:c r="B5" t="s">
        <x:v>5537</x:v>
      </x:c>
      <x:c r="C5" t="s">
        <x:v>5538</x:v>
      </x:c>
      <x:c r="D5" t="s">
        <x:v>5539</x:v>
      </x:c>
      <x:c r="E5" t="str">
        <x:v>APROBADO: última lectura válida desde RF08 o RF14.</x:v>
      </x:c>
    </x:row>
    <x:row r="6" ht="70" customHeight="1">
      <x:c r="A6" t="s">
        <x:v>5540</x:v>
      </x:c>
      <x:c r="B6" t="s">
        <x:v>5541</x:v>
      </x:c>
      <x:c r="C6" t="s">
        <x:v>5542</x:v>
      </x:c>
      <x:c r="D6" t="s">
        <x:v>5543</x:v>
      </x:c>
      <x:c r="E6" t="str">
        <x:v>APROBADO: evaluación al abrir Mis alertas.</x:v>
      </x:c>
    </x:row>
    <x:row r="7" ht="70" customHeight="1">
      <x:c r="A7" t="s">
        <x:v>5544</x:v>
      </x:c>
      <x:c r="B7" t="s">
        <x:v>5545</x:v>
      </x:c>
      <x:c r="C7" t="s">
        <x:v>5542</x:v>
      </x:c>
      <x:c r="D7" t="s">
        <x:v>5546</x:v>
      </x:c>
      <x:c r="E7" t="str">
        <x:v>APROBADO funcional: una transición real en una sola transacción; sin entradas duplicadas.</x:v>
      </x:c>
    </x:row>
    <x:row r="8">
      <x:c r="A8" t="s">
        <x:v>5547</x:v>
      </x:c>
      <x:c r="B8" t="s">
        <x:v>5548</x:v>
      </x:c>
      <x:c r="C8" t="s">
        <x:v>5549</x:v>
      </x:c>
      <x:c r="D8" t="s">
        <x:v>5550</x:v>
      </x:c>
      <x:c r="E8" t="str">
        <x:v>ENDPOINT Y CAMPOS FÍSICOS por auditar, sin cambiar la regla funcional.</x:v>
      </x:c>
    </x:row>
    <x:row r="9">
      <x:c r="A9" t="s">
        <x:v>5551</x:v>
      </x:c>
      <x:c r="B9" t="s">
        <x:v>5552</x:v>
      </x:c>
      <x:c r="C9" t="s">
        <x:v>5542</x:v>
      </x:c>
      <x:c r="D9" t="s">
        <x:v>5553</x:v>
      </x:c>
      <x:c r="E9" t="s">
        <x:v>5554</x:v>
      </x:c>
    </x:row>
    <x:row r="10">
      <x:c r="A10" t="s">
        <x:v>5555</x:v>
      </x:c>
      <x:c r="B10" t="s">
        <x:v>5556</x:v>
      </x:c>
      <x:c r="C10" t="s">
        <x:v>5465</x:v>
      </x:c>
      <x:c r="D10" t="s">
        <x:v>5557</x:v>
      </x:c>
      <x:c r="E10" t="s">
        <x:v>5558</x:v>
      </x:c>
    </x:row>
    <x:row r="11">
      <x:c r="A11" t="s">
        <x:v>5559</x:v>
      </x:c>
      <x:c r="B11" t="s">
        <x:v>5560</x:v>
      </x:c>
      <x:c r="C11" t="s">
        <x:v>5561</x:v>
      </x:c>
      <x:c r="D11" t="s">
        <x:v>5562</x:v>
      </x:c>
      <x:c r="E11" t="s">
        <x:v>5558</x:v>
      </x:c>
    </x:row>
    <x:row r="12">
      <x:c r="A12" t="s">
        <x:v>5563</x:v>
      </x:c>
      <x:c r="B12" t="s">
        <x:v>5564</x:v>
      </x:c>
      <x:c r="C12" t="s">
        <x:v>5565</x:v>
      </x:c>
      <x:c r="D12" t="s">
        <x:v>5566</x:v>
      </x:c>
      <x:c r="E12" t="str">
        <x:v>APROBADO: km histórico independiente de odómetro vigente; verificación física pendiente.</x:v>
      </x:c>
    </x:row>
    <x:row r="13">
      <x:c r="A13" t="s">
        <x:v>5567</x:v>
      </x:c>
      <x:c r="B13" t="s">
        <x:v>5568</x:v>
      </x:c>
      <x:c r="C13" t="s">
        <x:v>5569</x:v>
      </x:c>
      <x:c r="D13" t="s">
        <x:v>5570</x:v>
      </x:c>
      <x:c r="E13" t="str">
        <x:v>SESIONES aprobadas funcionalmente; renovación/revocación/tipos físicos pendientes.</x:v>
      </x:c>
    </x:row>
    <x:row r="14">
      <x:c r="A14" t="s">
        <x:v>5571</x:v>
      </x:c>
      <x:c r="B14" t="s">
        <x:v>5572</x:v>
      </x:c>
      <x:c r="C14" t="s">
        <x:v>5573</x:v>
      </x:c>
      <x:c r="D14" t="s">
        <x:v>5574</x:v>
      </x:c>
      <x:c r="E14" t="str">
        <x:v>Siete códigos aprobados; verificar carga única.</x:v>
      </x:c>
    </x:row>
    <x:row r="15">
      <x:c r="A15" t="s">
        <x:v>5575</x:v>
      </x:c>
      <x:c r="B15" t="s">
        <x:v>5576</x:v>
      </x:c>
      <x:c r="C15" t="s">
        <x:v>5460</x:v>
      </x:c>
      <x:c r="D15" t="s">
        <x:v>5577</x:v>
      </x:c>
      <x:c r="E15" t="str">
        <x:v>RF14 ↔ RF17 aprobado: ruta confirmación → Continuar → borrador RF17.</x:v>
      </x:c>
    </x:row>
    <x:row r="16">
      <x:c r="A16" t="s">
        <x:v>5578</x:v>
      </x:c>
      <x:c r="B16" t="s">
        <x:v>5579</x:v>
      </x:c>
      <x:c r="C16" t="s">
        <x:v>5573</x:v>
      </x:c>
      <x:c r="D16" t="s">
        <x:v>5580</x:v>
      </x:c>
      <x:c r="E16" t="str">
        <x:v>Nayu corregirá RF17-EA01; última comparación al recibir archivo.</x:v>
      </x:c>
    </x:row>
  </x:sheetData>
  <x:pageMargins left="0.7" right="0.7" top="0.75" bottom="0.75" header="0.3" footer="0.3"/>
</x:worksheet>
</file>

<file path=xl/worksheets/sheet126.xml><?xml version="1.0" encoding="utf-8"?>
<x:worksheet xmlns:x="http://schemas.openxmlformats.org/spreadsheetml/2006/main">
  <x:sheetFormatPr defaultRowHeight="15"/>
  <x:cols>
    <x:col min="1" max="1" width="13" hidden="0" customWidth="1"/>
    <x:col min="2" max="2" width="24" hidden="0" customWidth="1"/>
    <x:col min="3" max="3" width="26" hidden="0" customWidth="1"/>
    <x:col min="4" max="4" width="14" hidden="0" customWidth="1"/>
    <x:col min="5" max="5" width="30" hidden="0" customWidth="1"/>
    <x:col min="6" max="6" width="42" hidden="0" customWidth="1"/>
    <x:col min="7" max="7" width="90" hidden="0" customWidth="1"/>
    <x:col min="8" max="8" width="13" hidden="0" customWidth="1"/>
  </x:cols>
  <x:sheetData>
    <x:row r="1" ht="32" customHeight="1">
      <x:c r="A1" t="str">
        <x:v>MYCAR · RF14 ↔ RF17 · INTEGRACIÓN MVP (ANEXO BCE; CONSERVA P01–P53 DE RF14)</x:v>
      </x:c>
      <x:c r="B1"/>
      <x:c r="C1"/>
      <x:c r="D1"/>
      <x:c r="E1"/>
      <x:c r="F1"/>
      <x:c r="G1"/>
      <x:c r="H1"/>
    </x:row>
    <x:row r="2" ht="29" customHeight="1">
      <x:c r="A2" t="str">
        <x:v>Esta hoja documenta SOLO el retorno condicional y cancelaciones; no modifica persistencia de RF14 ni altera los diagramas de Nayu.</x:v>
      </x:c>
      <x:c r="B2"/>
      <x:c r="C2"/>
      <x:c r="D2"/>
      <x:c r="E2"/>
      <x:c r="F2"/>
      <x:c r="G2"/>
      <x:c r="H2"/>
    </x:row>
    <x:row r="3" ht="29" customHeight="1">
      <x:c r="A3" t="str">
        <x:v>AMARILLO = MVP  ·  Contratos REST aún propuestos hasta aprobar autenticación y modelo físico compartido.</x:v>
      </x:c>
      <x:c r="B3"/>
      <x:c r="C3"/>
      <x:c r="D3"/>
      <x:c r="E3"/>
      <x:c r="F3"/>
      <x:c r="G3"/>
      <x:c r="H3"/>
    </x:row>
    <x:row r="4">
      <x:c r="A4"/>
      <x:c r="B4"/>
      <x:c r="C4"/>
      <x:c r="D4"/>
      <x:c r="E4"/>
      <x:c r="F4"/>
      <x:c r="G4"/>
      <x:c r="H4"/>
    </x:row>
    <x:row r="5" ht="28" customHeight="1">
      <x:c r="A5" t="str">
        <x:v>MENSAJE</x:v>
      </x:c>
      <x:c r="B5" t="str">
        <x:v>BLOQUE</x:v>
      </x:c>
      <x:c r="C5" t="str">
        <x:v>ORIGEN BCE</x:v>
      </x:c>
      <x:c r="D5" t="str">
        <x:v>FLECHA</x:v>
      </x:c>
      <x:c r="E5" t="str">
        <x:v>DESTINO BCE</x:v>
      </x:c>
      <x:c r="F5" t="str">
        <x:v>MÉTODO / EVENTO</x:v>
      </x:c>
      <x:c r="G5" t="str">
        <x:v>DESCRIPCIÓN / REGLA</x:v>
      </x:c>
      <x:c r="H5" t="str">
        <x:v>ALCANCE</x:v>
      </x:c>
    </x:row>
    <x:row r="6" ht="52" customHeight="1">
      <x:c r="A6" t="str">
        <x:v>INT01</x:v>
      </x:c>
      <x:c r="B6" t="str">
        <x:v>B1 · Origen RF17</x:v>
      </x:c>
      <x:c r="C6" t="str">
        <x:v>AS_Usuario</x:v>
      </x:c>
      <x:c r="D6" t="str">
        <x:v>→ llamada</x:v>
      </x:c>
      <x:c r="E6" t="str">
        <x:v>I_RegistroMantenimiento</x:v>
      </x:c>
      <x:c r="F6" t="str">
        <x:v>seleccionarActualizarKm()</x:v>
      </x:c>
      <x:c r="G6" t="str">
        <x:v>RF17 mantiene borrador temporal completo (vehículo, tipo, fecha, repuestos, observaciones, recomendaciones y km histórico si fue elegido).</x:v>
      </x:c>
      <x:c r="H6" t="str">
        <x:v>MVP</x:v>
      </x:c>
    </x:row>
    <x:row r="7" ht="52" customHeight="1">
      <x:c r="A7" t="str">
        <x:v>INT02</x:v>
      </x:c>
      <x:c r="B7" t="str">
        <x:v>B1 · Origen RF17</x:v>
      </x:c>
      <x:c r="C7" t="str">
        <x:v>I_RegistroMantenimiento</x:v>
      </x:c>
      <x:c r="D7" t="str">
        <x:v>→ llamada</x:v>
      </x:c>
      <x:c r="E7" t="str">
        <x:v>C_Navegacion</x:v>
      </x:c>
      <x:c r="F7" t="str">
        <x:v>abrirActualizarKm(origen=RF17,idVehiculo)</x:v>
      </x:c>
      <x:c r="G7" t="str">
        <x:v>Abre DIRECTAMENTE I_ActualizarKilometraje, sin pasar por I_DetalleKilometraje. Android mantiene origen y borrador en estado temporal.</x:v>
      </x:c>
      <x:c r="H7" t="str">
        <x:v>MVP</x:v>
      </x:c>
    </x:row>
    <x:row r="8">
      <x:c r="A8" t="str">
        <x:v>INT03</x:v>
      </x:c>
      <x:c r="B8" t="str">
        <x:v>B1 · Edición</x:v>
      </x:c>
      <x:c r="C8" t="str">
        <x:v>C_Navegacion</x:v>
      </x:c>
      <x:c r="D8" t="str">
        <x:v>→ llamada</x:v>
      </x:c>
      <x:c r="E8" t="str">
        <x:v>I_ActualizarKilometraje</x:v>
      </x:c>
      <x:c r="F8" t="str">
        <x:v>mostrarFormularioConLecturaVigente()</x:v>
      </x:c>
      <x:c r="G8" t="str">
        <x:v>Reutiliza el flujo RF14 P02–P17: km anterior solo lectura, nuevo editable y vista previa SIN escritura.</x:v>
      </x:c>
      <x:c r="H8" t="str">
        <x:v>MVP</x:v>
      </x:c>
    </x:row>
    <x:row r="9">
      <x:c r="A9" t="str">
        <x:v>INT04</x:v>
      </x:c>
      <x:c r="B9" t="str">
        <x:v>B2 · Atrás / editar</x:v>
      </x:c>
      <x:c r="C9" t="str">
        <x:v>AS_Usuario</x:v>
      </x:c>
      <x:c r="D9" t="str">
        <x:v>→ llamada</x:v>
      </x:c>
      <x:c r="E9" t="str">
        <x:v>I_VistaPreviaKilometraje</x:v>
      </x:c>
      <x:c r="F9" t="str">
        <x:v>volverAEditarOAtras()</x:v>
      </x:c>
      <x:c r="G9" t="str">
        <x:v>«Volver a editar» o Atrás de Android desde vista previa devuelve a I_ActualizarKilometraje; conserva km propuesto; NO persiste.</x:v>
      </x:c>
      <x:c r="H9" t="str">
        <x:v>MVP</x:v>
      </x:c>
    </x:row>
    <x:row r="10">
      <x:c r="A10" t="str">
        <x:v>INT05</x:v>
      </x:c>
      <x:c r="B10" t="str">
        <x:v>B2 · Cancelar</x:v>
      </x:c>
      <x:c r="C10" t="str">
        <x:v>AS_Usuario</x:v>
      </x:c>
      <x:c r="D10" t="str">
        <x:v>→ llamada</x:v>
      </x:c>
      <x:c r="E10" t="str">
        <x:v>I_ActualizarKilometraje</x:v>
      </x:c>
      <x:c r="F10" t="str">
        <x:v>cancelarActualizacion()</x:v>
      </x:c>
      <x:c r="G10" t="str">
        <x:v>Si cancela RF14 antes de guardar: retorna al origen. Desde RF17 recupera borrador; desde origen normal vuelve a detalle. NO guarda lectura.</x:v>
      </x:c>
      <x:c r="H10" t="str">
        <x:v>MVP</x:v>
      </x:c>
    </x:row>
    <x:row r="11">
      <x:c r="A11" t="str">
        <x:v>INT06</x:v>
      </x:c>
      <x:c r="B11" t="str">
        <x:v>B3 · Confirmar</x:v>
      </x:c>
      <x:c r="C11" t="str">
        <x:v>AS_Usuario</x:v>
      </x:c>
      <x:c r="D11" t="str">
        <x:v>→ llamada</x:v>
      </x:c>
      <x:c r="E11" t="str">
        <x:v>I_VistaPreviaKilometraje</x:v>
      </x:c>
      <x:c r="F11" t="str">
        <x:v>seleccionarContinuarDeVistaPrevia()</x:v>
      </x:c>
      <x:c r="G11" t="str">
        <x:v>ÚNICO evento de guardado de km. Pasa por RF14 P18–P24: sesión, estado activo, concurrencia, idOperacion y transacción.</x:v>
      </x:c>
      <x:c r="H11" t="str">
        <x:v>MVP</x:v>
      </x:c>
    </x:row>
    <x:row r="12">
      <x:c r="A12" t="str">
        <x:v>INT07</x:v>
      </x:c>
      <x:c r="B12" t="str">
        <x:v>B3 · Confirmar</x:v>
      </x:c>
      <x:c r="C12" t="str">
        <x:v>C_ControlKilometraje</x:v>
      </x:c>
      <x:c r="D12" t="str">
        <x:v>→ llamada</x:v>
      </x:c>
      <x:c r="E12" t="str">
        <x:v>I_ConfirmacionKilometraje</x:v>
      </x:c>
      <x:c r="F12" t="str">
        <x:v>mostrarConfirmacionTrasCommit()</x:v>
      </x:c>
      <x:c r="G12" t="str">
        <x:v>Solo con COMMIT confirmado: «Kilometraje actualizado correctamente» + botones Continuar / Ir a inicio. No se inserta segunda lectura.</x:v>
      </x:c>
      <x:c r="H12" t="str">
        <x:v>MVP</x:v>
      </x:c>
    </x:row>
    <x:row r="13">
      <x:c r="A13" t="str">
        <x:v>INT08</x:v>
      </x:c>
      <x:c r="B13" t="str">
        <x:v>B4 · Continuar final</x:v>
      </x:c>
      <x:c r="C13" t="str">
        <x:v>AS_Usuario</x:v>
      </x:c>
      <x:c r="D13" t="str">
        <x:v>→ llamada</x:v>
      </x:c>
      <x:c r="E13" t="str">
        <x:v>I_ConfirmacionKilometraje</x:v>
      </x:c>
      <x:c r="F13" t="str">
        <x:v>seleccionarContinuarFinal()</x:v>
      </x:c>
      <x:c r="G13" t="str">
        <x:v>SOLO NAVEGACIÓN, sin escritura. Si origen NORMAL → I_DetalleKilometraje. Si origen RF17 → I_RegistroMantenimiento conservando borrador.</x:v>
      </x:c>
      <x:c r="H13" t="str">
        <x:v>MVP</x:v>
      </x:c>
    </x:row>
    <x:row r="14">
      <x:c r="A14" t="str">
        <x:v>INT09</x:v>
      </x:c>
      <x:c r="B14" t="str">
        <x:v>B4 · Retorno RF17</x:v>
      </x:c>
      <x:c r="C14" t="str">
        <x:v>I_ConfirmacionKilometraje</x:v>
      </x:c>
      <x:c r="D14" t="str">
        <x:v>→ llamada</x:v>
      </x:c>
      <x:c r="E14" t="str">
        <x:v>C_Navegacion</x:v>
      </x:c>
      <x:c r="F14" t="str">
        <x:v>regresarAlFormularioRF17()</x:v>
      </x:c>
      <x:c r="G14" t="str">
        <x:v>Restaurar estado del formulario RF17 mientras sigue vivo el recorrido de mantenimiento. NO existe borrador persistido en BD.</x:v>
      </x:c>
      <x:c r="H14" t="str">
        <x:v>MVP</x:v>
      </x:c>
    </x:row>
    <x:row r="15">
      <x:c r="A15" t="str">
        <x:v>INT10</x:v>
      </x:c>
      <x:c r="B15" t="str">
        <x:v>B4 · Retorno RF17</x:v>
      </x:c>
      <x:c r="C15" t="str">
        <x:v>I_RegistroMantenimiento</x:v>
      </x:c>
      <x:c r="D15" t="str">
        <x:v>→ llamada</x:v>
      </x:c>
      <x:c r="E15" t="str">
        <x:v>C_ControlKilometraje</x:v>
      </x:c>
      <x:c r="F15" t="str">
        <x:v>consultarUltimaLecturaEfectiva(idVehiculo)</x:v>
      </x:c>
      <x:c r="G15" t="str">
        <x:v>Reconsulta km ACTUAL y fecha del servidor; no modifica lectura histórica del servicio, si ya se declaró.</x:v>
      </x:c>
      <x:c r="H15" t="str">
        <x:v>MVP</x:v>
      </x:c>
    </x:row>
    <x:row r="16">
      <x:c r="A16" t="str">
        <x:v>INT11</x:v>
      </x:c>
      <x:c r="B16" t="str">
        <x:v>B4 · Retorno RF17</x:v>
      </x:c>
      <x:c r="C16" t="str">
        <x:v>I_RegistroMantenimiento</x:v>
      </x:c>
      <x:c r="D16" t="str">
        <x:v>→ llamada</x:v>
      </x:c>
      <x:c r="E16" t="str">
        <x:v>AS_Usuario</x:v>
      </x:c>
      <x:c r="F16" t="str">
        <x:v>mostrarBorradorYKmVigente()</x:v>
      </x:c>
      <x:c r="G16" t="str">
        <x:v>Retorna a mantenimiento con borrador y última lectura; Guardar mantenimiento de RF17 es operación distinta, independiente del COMMIT de RF14.</x:v>
      </x:c>
      <x:c r="H16" t="str">
        <x:v>MVP</x:v>
      </x:c>
    </x:row>
    <x:row r="17">
      <x:c r="A17" t="str">
        <x:v>INT12</x:v>
      </x:c>
      <x:c r="B17" t="str">
        <x:v>B5 · Ir a inicio</x:v>
      </x:c>
      <x:c r="C17" t="str">
        <x:v>AS_Usuario</x:v>
      </x:c>
      <x:c r="D17" t="str">
        <x:v>→ llamada</x:v>
      </x:c>
      <x:c r="E17" t="str">
        <x:v>I_ConfirmacionKilometraje</x:v>
      </x:c>
      <x:c r="F17" t="str">
        <x:v>seleccionarIrInicio()</x:v>
      </x:c>
      <x:c r="G17" t="str">
        <x:v>Abre I_Inicio desde cualquier origen; si había borrador RF17 se descarta. Lectura ya confirmada permanece persistida.</x:v>
      </x:c>
      <x:c r="H17" t="str">
        <x:v>MVP</x:v>
      </x:c>
    </x:row>
    <x:row r="18">
      <x:c r="A18" t="str">
        <x:v>INT13</x:v>
      </x:c>
      <x:c r="B18" t="str">
        <x:v>B6 · Desconexión</x:v>
      </x:c>
      <x:c r="C18" t="str">
        <x:v>I_VistaPreviaKilometraje</x:v>
      </x:c>
      <x:c r="D18" t="str">
        <x:v>→ llamada</x:v>
      </x:c>
      <x:c r="E18" t="str">
        <x:v>C_ControlKilometraje</x:v>
      </x:c>
      <x:c r="F18" t="str">
        <x:v>consultarEstadoOperacion(idOperacion)</x:v>
      </x:c>
      <x:c r="G18" t="str">
        <x:v>Si el guardado tuvo resultado incierto, comprobar operación usando misma idOperacion antes de reintentar. Solo mostrar confirmación tras confirmar COMMIT.</x:v>
      </x:c>
      <x:c r="H18" t="str">
        <x:v>MVP</x:v>
      </x:c>
    </x:row>
    <x:row r="19">
      <x:c r="A19" t="str">
        <x:v>INT14</x:v>
      </x:c>
      <x:c r="B19" t="str">
        <x:v>B6 · Salida app</x:v>
      </x:c>
      <x:c r="C19" t="str">
        <x:v>C_Navegacion</x:v>
      </x:c>
      <x:c r="D19" t="str">
        <x:v>→ llamada</x:v>
      </x:c>
      <x:c r="E19" t="str">
        <x:v>I_RegistroMantenimiento</x:v>
      </x:c>
      <x:c r="F19" t="str">
        <x:v>descartarBorradorSiAbandona()</x:v>
      </x:c>
      <x:c r="G19" t="str">
        <x:v>Cancelar mantenimiento, ir a inicio, cerrar sesión o reabrir la app tras finalizarla: no recuperar automáticamente borrador; la sesión permanece independiente.</x:v>
      </x:c>
      <x:c r="H19" t="str">
        <x:v>MVP</x:v>
      </x:c>
    </x:row>
  </x:sheetData>
  <x:mergeCells>
    <x:mergeCell ref="A1:H1"/>
    <x:mergeCell ref="A2:H2"/>
    <x:mergeCell ref="A3:H3"/>
  </x:mergeCells>
  <x:pageMargins left="0.7" right="0.7" top="0.75" bottom="0.75" header="0.3" footer="0.3"/>
</x:worksheet>
</file>

<file path=xl/worksheets/sheet127.xml><?xml version="1.0" encoding="utf-8"?>
<x:worksheet xmlns:x="http://schemas.openxmlformats.org/spreadsheetml/2006/main">
  <x:sheetFormatPr defaultRowHeight="15"/>
  <x:cols>
    <x:col min="1" max="1" width="21" hidden="0" customWidth="1"/>
    <x:col min="2" max="2" width="83" hidden="0" customWidth="1"/>
    <x:col min="3" max="3" width="23" hidden="0" customWidth="1"/>
    <x:col min="4" max="4" width="25" hidden="0" customWidth="1"/>
  </x:cols>
  <x:sheetData>
    <x:row r="1" ht="32" customHeight="1">
      <x:c r="A1" t="str">
        <x:v>ÁREA</x:v>
      </x:c>
      <x:c r="B1" t="str">
        <x:v>DECISIÓN FUNCIONAL CERRADA</x:v>
      </x:c>
      <x:c r="C1" t="str">
        <x:v>RESPONSABLE</x:v>
      </x:c>
      <x:c r="D1" t="str">
        <x:v>ESTADO</x:v>
      </x:c>
    </x:row>
    <x:row r="2" ht="47" customHeight="1">
      <x:c r="A2" t="str">
        <x:v>Sesión</x:v>
      </x:c>
      <x:c r="B2" t="str">
        <x:v>Identidad y autorización en cada operación protegida desde sesión Spring Boot. Sesión expirada: renovar seguro o solicitar RF02.</x:v>
      </x:c>
      <x:c r="C2" t="str">
        <x:v>Elsa / todas</x:v>
      </x:c>
      <x:c r="D2" t="str">
        <x:v>CERRADO FUNCIONAL</x:v>
      </x:c>
    </x:row>
    <x:row r="3" ht="47" customHeight="1">
      <x:c r="A3" t="str">
        <x:v>Cuenta suspendida</x:v>
      </x:c>
      <x:c r="B3" t="str">
        <x:v>SUSPENDIDA bloquea operaciones protegidas incluso con sesión existente. Revocar TODAS las sesiones: decisión FUTURA, no presuponer.</x:v>
      </x:c>
      <x:c r="C3" t="str">
        <x:v>Elsa / equipo</x:v>
      </x:c>
      <x:c r="D3" t="str">
        <x:v>CERRADO + 1 PENDIENTE</x:v>
      </x:c>
    </x:row>
    <x:row r="4" ht="47" customHeight="1">
      <x:c r="A4" t="str">
        <x:v>Intentos incorrectos</x:v>
      </x:c>
      <x:c r="B4" t="str">
        <x:v>3 intentos en 10 min =&gt; bloquea login 10 min, cuenta sigue ACTIVA y sesiones existentes NO se afectan.</x:v>
      </x:c>
      <x:c r="C4" t="str">
        <x:v>Elsa</x:v>
      </x:c>
      <x:c r="D4" t="str">
        <x:v>CERRADO</x:v>
      </x:c>
    </x:row>
    <x:row r="5" ht="47" customHeight="1">
      <x:c r="A5" t="str">
        <x:v>Sesión dispositivo</x:v>
      </x:c>
      <x:c r="B5" t="str">
        <x:v>Nueva sesión mismo dispositivo reemplaza solo sesión anterior de ese dispositivo; otros dispositivos permanecen.</x:v>
      </x:c>
      <x:c r="C5" t="str">
        <x:v>Elsa</x:v>
      </x:c>
      <x:c r="D5" t="str">
        <x:v>CERRADO FUNCIONAL</x:v>
      </x:c>
    </x:row>
    <x:row r="6" ht="47" customHeight="1">
      <x:c r="A6" t="str">
        <x:v>RF06</x:v>
      </x:c>
      <x:c r="B6" t="str">
        <x:v>Eliminar credenciales sensibles locales + volver Bienvenida inmediatamente; solicitar revocación remota. Si falla, NO declarar remoto revocado.</x:v>
      </x:c>
      <x:c r="C6" t="str">
        <x:v>Elsa</x:v>
      </x:c>
      <x:c r="D6" t="str">
        <x:v>CERRADO</x:v>
      </x:c>
    </x:row>
    <x:row r="7" ht="47" customHeight="1">
      <x:c r="A7" t="str">
        <x:v>Registro RF01</x:v>
      </x:c>
      <x:c r="B7" t="str">
        <x:v>Usuario + Free ACTIVE sin fecha fin + preferencias, transacción Spring Boot sin trigger; rollback completo en fallo.</x:v>
      </x:c>
      <x:c r="C7" t="str">
        <x:v>Elsa / Sebastián</x:v>
      </x:c>
      <x:c r="D7" t="str">
        <x:v>CERRADO</x:v>
      </x:c>
    </x:row>
    <x:row r="8">
      <x:c r="A8" t="str">
        <x:v>Plan Free</x:v>
      </x:c>
      <x:c r="B8" t="str">
        <x:v>FREE técnico / Gratis visual; Free único plan operativo MVP; contar vehículos ACTIVO+INACTIVO.</x:v>
      </x:c>
      <x:c r="C8" t="str">
        <x:v>Sebastián / Fran</x:v>
      </x:c>
      <x:c r="D8" t="str">
        <x:v>CERRADO</x:v>
      </x:c>
    </x:row>
    <x:row r="9">
      <x:c r="A9" t="str">
        <x:v>RF08 cupo</x:v>
      </x:c>
      <x:c r="B9" t="str">
        <x:v>Cupo previo Free; POST: (1) auth, (2) idOperacion y hash, CONFIRMADA =&gt; mismo vehículo, (3) solo NUEVA bloquear usuario/cupo, (4) alta atómica de 3 objetos; LIMITE_FREE nunca para reintento confirmado.</x:v>
      </x:c>
      <x:c r="C9" t="str">
        <x:v>Fran / Sebastián</x:v>
      </x:c>
      <x:c r="D9" t="str">
        <x:v>CERRADO</x:v>
      </x:c>
    </x:row>
    <x:row r="10">
      <x:c r="A10" t="str">
        <x:v>RF08 placa</x:v>
      </x:c>
      <x:c r="B10" t="str">
        <x:v>^[A-Z][0-9][A-Z][0-9]{3}$; p.ej. A1B234; unique global también inactivos.</x:v>
      </x:c>
      <x:c r="C10" t="str">
        <x:v>Fran</x:v>
      </x:c>
      <x:c r="D10" t="str">
        <x:v>CERRADO</x:v>
      </x:c>
    </x:row>
    <x:row r="11">
      <x:c r="A11" t="str">
        <x:v>RF09/10</x:v>
      </x:c>
      <x:c r="B11" t="str">
        <x:v>Consulta exclusiva de vehículos propios activos/inactivos; detalle parcial si km indisponible; GET sin escritura.</x:v>
      </x:c>
      <x:c r="C11" t="str">
        <x:v>Fran</x:v>
      </x:c>
      <x:c r="D11" t="str">
        <x:v>CERRADO</x:v>
      </x:c>
    </x:row>
    <x:row r="12">
      <x:c r="A12" t="str">
        <x:v>RF14 ↔ RF17</x:v>
      </x:c>
      <x:c r="B12" t="str">
        <x:v>Edición → vista previa → único guardado → confirmación → Continuar: normal a Detalle KM, desde RF17 a borrador con km vigente.</x:v>
      </x:c>
      <x:c r="C12" t="str">
        <x:v>Fran / Nayu</x:v>
      </x:c>
      <x:c r="D12" t="str">
        <x:v>CERRADO</x:v>
      </x:c>
    </x:row>
    <x:row r="13">
      <x:c r="A13" t="str">
        <x:v>RF14 navegación</x:v>
      </x:c>
      <x:c r="B13" t="str">
        <x:v>Cancelar desde editor vuelve origen sin POST; Atrás o Volver a editar desde vista previa vuelve editor sin POST; Ir a inicio descarta borrador.</x:v>
      </x:c>
      <x:c r="C13" t="str">
        <x:v>Fran / Nayu</x:v>
      </x:c>
      <x:c r="D13" t="str">
        <x:v>CERRADO</x:v>
      </x:c>
    </x:row>
    <x:row r="14">
      <x:c r="A14" t="str">
        <x:v>RF14 desconexión</x:v>
      </x:c>
      <x:c r="B14" t="str">
        <x:v>Consultar resultado idOperacion antes de reintentar; no mostrar confirmación sin COMMIT verificado; final Continuar nunca POST.</x:v>
      </x:c>
      <x:c r="C14" t="str">
        <x:v>Fran / Nayu</x:v>
      </x:c>
      <x:c r="D14" t="str">
        <x:v>CERRADO</x:v>
      </x:c>
    </x:row>
    <x:row r="15">
      <x:c r="A15" t="str">
        <x:v>RF17 km</x:v>
      </x:c>
      <x:c r="B15" t="str">
        <x:v>Histórico del servicio independiente de lectura vigente; actualizar RF14 no altera km de servicio previamente elegido.</x:v>
      </x:c>
      <x:c r="C15" t="str">
        <x:v>Nayu / Fran</x:v>
      </x:c>
      <x:c r="D15" t="str">
        <x:v>CERRADO</x:v>
      </x:c>
    </x:row>
    <x:row r="16">
      <x:c r="A16" t="str">
        <x:v>RF17 alertas</x:v>
      </x:c>
      <x:c r="B16" t="str">
        <x:v>RF17 no crea ni marca REALIZADA ninguna alerta en MVP; RF22 manual; RF23 sincroniza al abrir.</x:v>
      </x:c>
      <x:c r="C16" t="str">
        <x:v>Nayu</x:v>
      </x:c>
      <x:c r="D16" t="str">
        <x:v>CERRADO</x:v>
      </x:c>
    </x:row>
    <x:row r="17">
      <x:c r="A17" t="str">
        <x:v>RF22 objetivos</x:v>
      </x:c>
      <x:c r="B17" t="str">
        <x:v>Objetivo futuro según criterio; inicial usa mismos umbrales RF23; rechazar objetivo ya alcanzado.</x:v>
      </x:c>
      <x:c r="C17" t="str">
        <x:v>Nayu</x:v>
      </x:c>
      <x:c r="D17" t="str">
        <x:v>CERRADO</x:v>
      </x:c>
    </x:row>
    <x:row r="18">
      <x:c r="A18" t="str">
        <x:v>RF23 estados</x:v>
      </x:c>
      <x:c r="B18" t="str">
        <x:v>30 días calendarios America/Lima desde primera evidencia VENCIDA; umbral km 10% exacto; ambos criterios, mayor estado.</x:v>
      </x:c>
      <x:c r="C18" t="str">
        <x:v>Nayu</x:v>
      </x:c>
      <x:c r="D18" t="str">
        <x:v>CERRADO FUNCIONAL</x:v>
      </x:c>
    </x:row>
    <x:row r="19">
      <x:c r="A19" t="str">
        <x:v>RF23 historial</x:v>
      </x:c>
      <x:c r="B19" t="str">
        <x:v>Registrar solo transición realmente ejecutada con actualización ALERTA + HISTORIAL_ALERTA atómicas y sin transición ficticia.</x:v>
      </x:c>
      <x:c r="C19" t="str">
        <x:v>Nayu</x:v>
      </x:c>
      <x:c r="D19" t="str">
        <x:v>CERRADO FUNCIONAL</x:v>
      </x:c>
    </x:row>
    <x:row r="20">
      <x:c r="A20" t="str">
        <x:v>BD</x:v>
      </x:c>
      <x:c r="B20" t="str">
        <x:v>Tabla sesion, actual trigger Free, PK/FK, fecha verificable VENCIDA, catalogos y migraciones deben auditarse; NO modificados.</x:v>
      </x:c>
      <x:c r="C20" t="str">
        <x:v>Todo el equipo</x:v>
      </x:c>
      <x:c r="D20" t="str">
        <x:v>PENDIENTE TÉCNICO</x:v>
      </x:c>
    </x:row>
  </x:sheetData>
  <x:pageMargins left="0.7" right="0.7" top="0.75" bottom="0.75" header="0.3" footer="0.3"/>
</x:worksheet>
</file>

<file path=xl/worksheets/sheet128.xml><?xml version="1.0" encoding="utf-8"?>
<x:worksheet xmlns:x="http://schemas.openxmlformats.org/spreadsheetml/2006/main">
  <x:sheetFormatPr defaultRowHeight="15"/>
  <x:cols>
    <x:col min="1" max="1" width="18" hidden="0" customWidth="1"/>
    <x:col min="2" max="2" width="39" hidden="0" customWidth="1"/>
    <x:col min="3" max="3" width="90" hidden="0" customWidth="1"/>
    <x:col min="4" max="4" width="70" hidden="0" customWidth="1"/>
  </x:cols>
  <x:sheetData>
    <x:row r="1" ht="34" customHeight="1">
      <x:c r="A1" t="str">
        <x:v>Paso</x:v>
      </x:c>
      <x:c r="B1" t="str">
        <x:v>Actor / componente</x:v>
      </x:c>
      <x:c r="C1" t="str">
        <x:v>Operación obligatoria</x:v>
      </x:c>
      <x:c r="D1" t="str">
        <x:v>Resultado / rama</x:v>
      </x:c>
    </x:row>
    <x:row r="2" ht="55" customHeight="1">
      <x:c r="A2" t="str">
        <x:v>01</x:v>
      </x:c>
      <x:c r="B2" t="str">
        <x:v>Spring Boot / Autorización</x:v>
      </x:c>
      <x:c r="C2" t="str">
        <x:v>Validar sesión, cuenta y permisos. Obtener idUsuario de sesión, no del body.</x:v>
      </x:c>
      <x:c r="D2" t="str">
        <x:v>Rechazar no autorizado.</x:v>
      </x:c>
    </x:row>
    <x:row r="3" ht="55" customHeight="1">
      <x:c r="A3" t="str">
        <x:v>02</x:v>
      </x:c>
      <x:c r="B3" t="str">
        <x:v>C_ControlRegistroVehiculo → E_Operacion</x:v>
      </x:c>
      <x:c r="C3" t="str">
        <x:v>Buscar (usuario, tipo REGISTRAR_VEHICULO, idOperacion); validar hash contenido.</x:v>
      </x:c>
      <x:c r="D3" t="str">
        <x:v>CONFIRMADA idéntica =&gt; mismo idVehiculo, misma lectura/recordatorio sin nuevo alta ni LIMITE_FREE. Distinto hash =&gt; conflicto. EN_PROCESO =&gt; reconciliar.</x:v>
      </x:c>
    </x:row>
    <x:row r="4" ht="55" customHeight="1">
      <x:c r="A4" t="str">
        <x:v>03</x:v>
      </x:c>
      <x:c r="B4" t="str">
        <x:v>C_ControlRegistroVehiculo → E_Usuario</x:v>
      </x:c>
      <x:c r="C4" t="str">
        <x:v>SOLO NUEVA: bloquear fila usuario para serializar altas del mismo titular.</x:v>
      </x:c>
      <x:c r="D4" t="str">
        <x:v>No permitir dos altas simultáneas Free.</x:v>
      </x:c>
    </x:row>
    <x:row r="5" ht="55" customHeight="1">
      <x:c r="A5" t="str">
        <x:v>04</x:v>
      </x:c>
      <x:c r="B5" t="str">
        <x:v>C_ControlRegistroVehiculo → E_Suscripcion / E_Vehiculo</x:v>
      </x:c>
      <x:c r="C5" t="str">
        <x:v>SOLO NUEVA: comprobar Free ACTIVA y contar activos e inactivos.</x:v>
      </x:c>
      <x:c r="D5" t="str">
        <x:v>Si &gt;=1, LIMITE_FREE; sin crear vehículo, km ni recordatorio.</x:v>
      </x:c>
    </x:row>
    <x:row r="6" ht="55" customHeight="1">
      <x:c r="A6" t="str">
        <x:v>05</x:v>
      </x:c>
      <x:c r="B6" t="str">
        <x:v>C_ControlRegistroVehiculo → Entidades</x:v>
      </x:c>
      <x:c r="C6" t="str">
        <x:v>SOLO NUEVA: comprobar global UNIQUE placa/VIN, guardar vehículo + lectura INICIAL + configuración KM en misma TX e idempotencia.</x:v>
      </x:c>
      <x:c r="D6" t="str">
        <x:v>COMMIT conjunto, idVehiculo único, respuesta duradera; rollback ante cualquier fallo.</x:v>
      </x:c>
    </x:row>
    <x:row r="7" ht="55" customHeight="1">
      <x:c r="A7" t="str">
        <x:v>06</x:v>
      </x:c>
      <x:c r="B7" t="str">
        <x:v>C_ControlRegistroVehiculo → I_ConfirmacionRegistroVehiculo</x:v>
      </x:c>
      <x:c r="C7" t="str">
        <x:v>Mostrar confirmación si COMMIT confirmado o resultado previo CONFIRMADA recuperado.</x:v>
      </x:c>
      <x:c r="D7" t="str">
        <x:v>Nunca falso LIMITE_FREE ni nuevo INSERT para mismo idOperacion.</x:v>
      </x:c>
    </x:row>
  </x:sheetData>
  <x:pageMargins left="0.7" right="0.7" top="0.75" bottom="0.75" header="0.3" footer="0.3"/>
</x:worksheet>
</file>

<file path=xl/worksheets/sheet129.xml><?xml version="1.0" encoding="utf-8"?>
<x:worksheet xmlns:x="http://schemas.openxmlformats.org/spreadsheetml/2006/main">
  <x:sheetFormatPr defaultRowHeight="15"/>
  <x:cols>
    <x:col min="1" max="1" width="33" hidden="0" customWidth="1"/>
    <x:col min="2" max="2" width="90" hidden="0" customWidth="1"/>
  </x:cols>
  <x:sheetData>
    <x:row r="1" ht="30" customHeight="1">
      <x:c r="A1" t="str">
        <x:v>MYCAR — GUÍA DE IMPLEMENTACIÓN MVP · NO REEMPLAZA LOS DIAGRAMAS COMPLETOS</x:v>
      </x:c>
      <x:c r="B1"/>
    </x:row>
    <x:row r="2" ht="25" customHeight="1">
      <x:c r="A2" t="str">
        <x:v>Responsable: Nayu · RF17 / RF18 / RF22 / RF23 · objetivo miércoles 28/10/2026</x:v>
      </x:c>
      <x:c r="B2"/>
    </x:row>
    <x:row r="3" ht="42" customHeight="1">
      <x:c r="A3" t="str">
        <x:v>Estado</x:v>
      </x:c>
      <x:c r="B3" t="str">
        <x:v>PROPUESTA para revisión del equipo; NO es contrato REST/SQL aprobado</x:v>
      </x:c>
    </x:row>
    <x:row r="4" ht="42" customHeight="1">
      <x:c r="A4" t="str">
        <x:v>Fuente original</x:v>
      </x:c>
      <x:c r="B4" t="str">
        <x:v>MyCar_RF01_RF64_EF_RF19_RF20_RF27_CON H1 H2H3 EN RF17(2).xlsx</x:v>
      </x:c>
    </x:row>
    <x:row r="5" ht="42" customHeight="1">
      <x:c r="A5" t="str">
        <x:v>Integridad</x:v>
      </x:c>
      <x:c r="B5" t="str">
        <x:v>Los métodos, mensajes y notas BCE originales (columnas A:G) se copiaron SIN CAMBIOS.</x:v>
      </x:c>
    </x:row>
    <x:row r="6" ht="42" customHeight="1">
      <x:c r="A6" t="str">
        <x:v>Cómo leer</x:v>
      </x:c>
      <x:c r="B6" t="str">
        <x:v>H = alcance por mensaje; I = comportamiento para programar MVP; J = quién debe confirmar; K = celda BCE original.</x:v>
      </x:c>
    </x:row>
    <x:row r="7" ht="42" customHeight="1">
      <x:c r="A7" t="str">
        <x:v>IMPLEMENTAR</x:v>
      </x:c>
      <x:c r="B7" t="str">
        <x:v>El mensaje original sigue vigente para el MVP; revisar integración de PK/FK con Fran.</x:v>
      </x:c>
    </x:row>
    <x:row r="8">
      <x:c r="A8" t="str">
        <x:v>ADAPTAR</x:v>
      </x:c>
      <x:c r="B8" t="str">
        <x:v>La funcionalidad se mantiene solo parcialmente. Programar según columna I, no literalmente la rama BCE completa.</x:v>
      </x:c>
    </x:row>
    <x:row r="9">
      <x:c r="A9" t="str">
        <x:v>FUTURO</x:v>
      </x:c>
      <x:c r="B9" t="str">
        <x:v>NO programar esta rama en el MVP. La secuencia histórica continúa conservada en A:G.</x:v>
      </x:c>
    </x:row>
    <x:row r="10">
      <x:c r="A10" t="str">
        <x:v>VALIDACIÓN TÉCNICA PENDIENTE</x:v>
      </x:c>
      <x:c r="B10" t="str">
        <x:v>Los acuerdos funcionales con Francesca ya fueron aprobados. Mantener PENDIENTE únicamente la verificación física de PostgreSQL mvp, los contratos REST y las pruebas de integración; no reabrir los umbrales ni la navegación aprobada.</x:v>
      </x:c>
    </x:row>
    <x:row r="11">
      <x:c r="A11" t="str">
        <x:v>CONDICIONAL</x:v>
      </x:c>
      <x:c r="B11" t="str">
        <x:v>Ejecutar solo si la condición y la BD real lo permiten; no crear dependencia de taller si no existe.</x:v>
      </x:c>
    </x:row>
    <x:row r="12">
      <x:c r="A12" t="str">
        <x:v>Regla central</x:v>
      </x:c>
      <x:c r="B12" t="str">
        <x:v>ACORDADO Nayu+Francesca: RF17 conserva independientemente el kilometraje histórico del servicio. RF22/RF23 consultan la última lectura efectiva válida del vehículo, originada en RF08 (inicial) o RF14 (posterior); RF23 no registra nuevas lecturas. Los datos persistidos se conservan al cerrar la APK o la sesión.</x:v>
      </x:c>
    </x:row>
    <x:row r="13">
      <x:c r="A13" t="str">
        <x:v>RF14 ↔ RF23</x:v>
      </x:c>
      <x:c r="B13" t="str">
        <x:v>APROBADO Nayu+Francesca: RF14 registra lecturas válidas con fecha de servidor, sin modificar alerta ni historial_alerta. RF23 realiza la sincronización transaccional de estados e historial al abrir «Mis alertas» y luego consulta la lista en modo solo lectura. Pendiente verificar contratos, idempotencia y esquema físico mvp.</x:v>
      </x:c>
    </x:row>
    <x:row r="14">
      <x:c r="A14" t="str">
        <x:v>Motor y notificaciones</x:v>
      </x:c>
      <x:c r="B14" t="str">
        <x:v>APROBADO MVP: no ejecutar motor periódico/autónomo ni crear notificaciones internas o push; únicamente RF23 sincroniza estados al abrir «Mis alertas». Conservar los pasos de notificación como FUTURO, sin exigir E_Notificacion en transacciones de RF22/RF23.</x:v>
      </x:c>
    </x:row>
    <x:row r="15">
      <x:c r="A15" t="str">
        <x:v>Alertas manuales</x:v>
      </x:c>
      <x:c r="B15" t="str">
        <x:v>RF22 SÍ crea alerta+historial; RF17-EA02 NO crea alerta vinculada en esta versión.</x:v>
      </x:c>
    </x:row>
    <x:row r="16">
      <x:c r="A16" t="str">
        <x:v>Tipos</x:v>
      </x:c>
      <x:c r="B16" t="str">
        <x:v>Un solo catálogo para RF17/RF22; cargar siete tipos iniciales en PostgreSQL, responsable por confirmar.</x:v>
      </x:c>
    </x:row>
    <x:row r="17">
      <x:c r="A17" t="str">
        <x:v>Talleres</x:v>
      </x:c>
      <x:c r="B17" t="str">
        <x:v>RF17 «Sin taller» fijo; sin selección/CRUD. RF18 no debe requerir datos de talleres del MVP.</x:v>
      </x:c>
    </x:row>
    <x:row r="18">
      <x:c r="A18" t="str">
        <x:v>RF23 ciclo de vida</x:v>
      </x:c>
      <x:c r="B18" t="str">
        <x:v>APROBADO FUNCIONALMENTE POR NAYU Y FRANCESCA (H05): mantener PROGRAMADA/PRÓXIMA/PENDIENTE/VENCIDA según umbrales; pasar a ANULADA tras 30 días calendario desde la primera entrada verificable en VENCIDA, usando America/Lima. Por KM: margen del 10 % exacto sin redondeo; en AMBOS prevalece el estado más avanzado y la primera fecha verificable de VENCIDA. RF23 sincroniza alerta e historial al abrir «Mis alertas» mediante transacción sin duplicados ni transiciones ficticias, sin motor periódico ni notificaciones. Distinguir fecha efectiva de VENCIDA de la fecha real de registro. PENDIENTE TÉCNICO: verificar columnas, lecturas históricas, fechas verificables, concurrencia y contratos de PostgreSQL mvp; no anular anticipadamente sin evidencia.</x:v>
      </x:c>
    </x:row>
    <x:row r="19">
      <x:c r="A19" t="str">
        <x:v>Trazabilidad</x:v>
      </x:c>
      <x:c r="B19" t="str">
        <x:v>Los números de mensaje y códigos EA se conservan, incluso los FUTUROS; nunca renumerar los diagramas.</x:v>
      </x:c>
    </x:row>
    <x:row r="20">
      <x:c r="A20" t="str">
        <x:v>Próximo paso</x:v>
      </x:c>
      <x:c r="B20" t="str">
        <x:v>Aprobar BD mvp y contratos Spring Boot/JSON, luego implementar Android Kotlin/ViewModel.</x:v>
      </x:c>
    </x:row>
    <x:row r="21">
      <x:c r="A21" t="str">
        <x:v>PERSISTENCIA APROBADA COMO REQUISITO</x:v>
      </x:c>
      <x:c r="B21" t="str">
        <x:v>Registros confirmados en PostgreSQL (RF17 mantenimiento/repuestos; RF22 alerta/historial) permanecen tras cerrar la APK o sesión. RF18 y RF23 recuperan datos del vehículo autorizado al volver a iniciar sesión. Borradores ViewModel NO son persistencia.</x:v>
      </x:c>
    </x:row>
    <x:row r="22">
      <x:c r="A22" t="str">
        <x:v>AUTENTICACIÓN Y PROPIEDAD</x:v>
      </x:c>
      <x:c r="B22" t="str">
        <x:v>id_usuario/idUsuario en mensajes BCE es CONTEXTO CONFIABLE de la sesión; Android no puede elegir libremente el propietario. Spring Boot debe verificar que el vehículo pertenezca al usuario autenticado. Elsa provee sesión; tus RF aplican autorización.</x:v>
      </x:c>
    </x:row>
    <x:row r="23">
      <x:c r="A23" t="str">
        <x:v>REGLAS DE FLECHAS BCE</x:v>
      </x:c>
      <x:c r="B23" t="str">
        <x:v>Véase REVISION_BCE y la columna L de cada hoja RF. Salida visual Interfaz→Actor no es una llamada a método remoto del usuario. Llamada/retorno/auto-mensaje conservan su representación original BCE.</x:v>
      </x:c>
    </x:row>
    <x:row r="24">
      <x:c r="A24" t="str">
        <x:v>RF23 SIN GET QUE ESCRIBA</x:v>
      </x:c>
      <x:c r="B24" t="str">
        <x:v>Propuesta de implementación: sincronización explícita por una operación de escritura del backend (p. ej. POST) y consulta posterior GET solo de lectura. Estado e historial en la MISMA transacción; antes de mostrar tarjetas actualizadas.</x:v>
      </x:c>
    </x:row>
    <x:row r="25">
      <x:c r="A25" t="str">
        <x:v>PRUEBAS PENDIENTES</x:v>
      </x:c>
      <x:c r="B25" t="str">
        <x:v>Probar cerrar/reabrir APK y sesión, cuenta ajena sin acceso, reintento tras COMMIT incierto, 30 días verificables, sincronización idempotente y lectura inicial RF08. No son pruebas aún ejecutadas.</x:v>
      </x:c>
    </x:row>
  </x:sheetData>
  <x:mergeCells>
    <x:mergeCell ref="A1:B1"/>
    <x:mergeCell ref="A2:B2"/>
  </x:mergeCells>
  <x:pageMargins left="0.7" right="0.7" top="0.75" bottom="0.75" header="0.3" footer="0.3"/>
</x:worksheet>
</file>

<file path=xl/worksheets/sheet130.xml><?xml version="1.0" encoding="utf-8"?>
<x:worksheet xmlns:x="http://schemas.openxmlformats.org/spreadsheetml/2006/main">
  <x:sheetFormatPr defaultRowHeight="15"/>
  <x:cols>
    <x:col min="1" max="1" width="11" hidden="0" customWidth="1"/>
    <x:col min="2" max="2" width="15" hidden="0" customWidth="1"/>
    <x:col min="3" max="3" width="25" hidden="0" customWidth="1"/>
    <x:col min="4" max="4" width="90" hidden="0" customWidth="1"/>
    <x:col min="5" max="5" width="61" hidden="0" customWidth="1"/>
    <x:col min="6" max="6" width="63" hidden="0" customWidth="1"/>
    <x:col min="7" max="7" width="43" hidden="0" customWidth="1"/>
  </x:cols>
  <x:sheetData>
    <x:row r="1" ht="28" customHeight="1">
      <x:c r="A1" t="str">
        <x:v>CODIGO</x:v>
      </x:c>
      <x:c r="B1" t="str">
        <x:v>RF</x:v>
      </x:c>
      <x:c r="C1" t="str">
        <x:v>ASUNTO</x:v>
      </x:c>
      <x:c r="D1" t="str">
        <x:v>PROPUESTA DOCUMENTADA</x:v>
      </x:c>
      <x:c r="E1" t="str">
        <x:v>QUIÉN LO CONFIRMA</x:v>
      </x:c>
      <x:c r="F1" t="str">
        <x:v>BLOQUEA QUÉ</x:v>
      </x:c>
      <x:c r="G1" t="str">
        <x:v>ESTADO</x:v>
      </x:c>
    </x:row>
    <x:row r="2" ht="68" customHeight="1">
      <x:c r="A2" t="str">
        <x:v>D01</x:v>
      </x:c>
      <x:c r="B2" t="str">
        <x:v>RF14/RF23</x:v>
      </x:c>
      <x:c r="C2" t="str">
        <x:v>Sincronización</x:v>
      </x:c>
      <x:c r="D2" t="str">
        <x:v>Aprobado Nayu+Fran: RF08 guarda lectura inicial fechada, RF14 guarda lecturas posteriores sin modificar alertas. RF23 sincroniza al abrir «Mis alertas» mediante COMANDO de escritura atómico (alerta.estado + historial_alerta, solo transición real y sin duplicados); luego GET de solo lectura. No hay motor periódico.</x:v>
      </x:c>
      <x:c r="E2" t="str">
        <x:v>Nayu y Fran: aprobado; Francesca RF08/RF14. Contrato físico compartido pendiente.</x:v>
      </x:c>
      <x:c r="F2" t="str">
        <x:v>Contrato sincronización y pruebas</x:v>
      </x:c>
      <x:c r="G2" t="str">
        <x:v>FUNCIONAL_APROBADO_BD_CONTRATO_PENDIENTE</x:v>
      </x:c>
    </x:row>
    <x:row r="3" ht="68" customHeight="1">
      <x:c r="A3" t="str">
        <x:v>D02</x:v>
      </x:c>
      <x:c r="B3" t="str">
        <x:v>RF23</x:v>
      </x:c>
      <x:c r="C3" t="str">
        <x:v>Cierre automático 30 días</x:v>
      </x:c>
      <x:c r="D3" t="str">
        <x:v>Regla funcional aprobada RF23: VENCIDA→ANULADA tras 30 días CALENDARIO America/Lima desde primera evidencia verificable de entrada real a VENCIDA (TIEMPO = fecha objetivo+15 días; KM = primera lectura válida que prueba objetivo + margen exacto 10%; AMBOS = primera evidencia). VERIFICACIÓN EN BASE DE DATOS PostgreSQL mvp PENDIENTE: comprobar fecha de lectura, validez, temporalidad de alerta e historial antes de cerrar contrato físico.</x:v>
      </x:c>
      <x:c r="E3" t="str">
        <x:v>Nayu y Fran: regla, umbrales, días calendario, zona, 10 % e historial aprobados. Fran: validar datos físicos BD.</x:v>
      </x:c>
      <x:c r="F3" t="str">
        <x:v>Motor de estados y pruebas</x:v>
      </x:c>
      <x:c r="G3" t="str">
        <x:v>APROBADO_FUNCIONALMENTE_PENDIENTE_VERIFICACION_BD_MVP</x:v>
      </x:c>
    </x:row>
    <x:row r="4" ht="68" customHeight="1">
      <x:c r="A4" t="str">
        <x:v>D03</x:v>
      </x:c>
      <x:c r="B4" t="str">
        <x:v>RF17/RF22</x:v>
      </x:c>
      <x:c r="C4" t="str">
        <x:v>Tipos semilla</x:v>
      </x:c>
      <x:c r="D4" t="str">
        <x:v>Catálogo lógico compartido RF17/RF22: CAMBIO_ACEITE, CAMBIO_FILTROS, REVISION_FRENOS, REVISION_NEUMATICOS, ALINEAMIENTO_BALANCEO, MANTENIMIENTO_GENERAL, OTRO. Tipos activos, semilla una sola vez. OTRO requiere especificar servicio, no crea nuevo tipo. RF62 administración futura.</x:v>
      </x:c>
      <x:c r="E4" t="str">
        <x:v>Nayu y Fran: siete nombres/códigos lógicos confirmados. Pendiente semilla, PK/FK y quién la ejecuta.</x:v>
      </x:c>
      <x:c r="F4" t="str">
        <x:v>Migración, RF17/RF22 lista tipos</x:v>
      </x:c>
      <x:c r="G4" t="str">
        <x:v>CATALOGO_LOGICO_APROBADO_CARGA_BD_PENDIENTE</x:v>
      </x:c>
    </x:row>
    <x:row r="5" ht="68" customHeight="1">
      <x:c r="A5" t="str">
        <x:v>D04</x:v>
      </x:c>
      <x:c r="B5" t="str">
        <x:v>RF17/RF18</x:v>
      </x:c>
      <x:c r="C5" t="str">
        <x:v>Taller</x:v>
      </x:c>
      <x:c r="D5" t="str">
        <x:v>RF17 «Sin taller» fijo, id_taller NULL/omitido; RF18 no debe depender de un taller inexistente.</x:v>
      </x:c>
      <x:c r="E5" t="str">
        <x:v>Nayu/Fran: alcance MVP «Sin taller» confirmado; verificar FK opcional en BD.</x:v>
      </x:c>
      <x:c r="F5" t="str">
        <x:v>FK y serializer JSON</x:v>
      </x:c>
      <x:c r="G5" t="str">
        <x:v>MVP_APROBADO_FK_PENDIENTE</x:v>
      </x:c>
    </x:row>
    <x:row r="6" ht="68" customHeight="1">
      <x:c r="A6" t="str">
        <x:v>D05</x:v>
      </x:c>
      <x:c r="B6" t="str">
        <x:v>RF17</x:v>
      </x:c>
      <x:c r="C6" t="str">
        <x:v>EA02 alerta vinculada</x:v>
      </x:c>
      <x:c r="D6" t="str">
        <x:v>Mantener diálogo; «Sí, crear alerta» deshabilitado y «No, solo guardar» funcional.</x:v>
      </x:c>
      <x:c r="E6" t="str">
        <x:v>Nayu/Fran: RF17-EA02 y autoatención de alertas futuros confirmados.</x:v>
      </x:c>
      <x:c r="F6" t="str">
        <x:v>UI y recorrido transaccional</x:v>
      </x:c>
      <x:c r="G6" t="str">
        <x:v>FUERA_MVP_APROBADO</x:v>
      </x:c>
    </x:row>
    <x:row r="7" ht="68" customHeight="1">
      <x:c r="A7" t="str">
        <x:v>D06</x:v>
      </x:c>
      <x:c r="B7" t="str">
        <x:v>RF22/RF23</x:v>
      </x:c>
      <x:c r="C7" t="str">
        <x:v>Avisos y motor autónomo</x:v>
      </x:c>
      <x:c r="D7" t="str">
        <x:v>Sin E_Notificacion ni motor programado en MVP; RF23 evalúa estados al abrir, incluida VENCIDA→ANULADA después de 30 días.</x:v>
      </x:c>
      <x:c r="E7" t="str">
        <x:v>Nayu/Fran: sin E_Notificacion ni motor automático durante MVP, confirmado.</x:v>
      </x:c>
      <x:c r="F7" t="str">
        <x:v>Operaciones backend</x:v>
      </x:c>
      <x:c r="G7" t="str">
        <x:v>FUERA_MVP_APROBADO</x:v>
      </x:c>
    </x:row>
    <x:row r="8">
      <x:c r="A8" t="str">
        <x:v>D07</x:v>
      </x:c>
      <x:c r="B8" t="str">
        <x:v>RF17–RF23</x:v>
      </x:c>
      <x:c r="C8" t="str">
        <x:v>Modelo físico</x:v>
      </x:c>
      <x:c r="D8" t="str">
        <x:v>Confirmar nombres exactos de tablas, columnas, esquema, claves, tipos, restricciones e índices en BD mvp.</x:v>
      </x:c>
      <x:c r="E8" t="str">
        <x:v>Equipo/Fran: validar esquema real de PostgreSQL mvp y migraciones físicas.</x:v>
      </x:c>
      <x:c r="F8" t="str">
        <x:v>Contratos y entidades Spring Boot</x:v>
      </x:c>
      <x:c r="G8" t="str">
        <x:v>PENDIENTE_VALIDACION_BD_REAL</x:v>
      </x:c>
    </x:row>
    <x:row r="9">
      <x:c r="A9" t="str">
        <x:v>D08</x:v>
      </x:c>
      <x:c r="B9" t="str">
        <x:v>RF14/RF17</x:v>
      </x:c>
      <x:c r="C9" t="str">
        <x:v>Concordancia y clave de operación</x:v>
      </x:c>
      <x:c r="D9" t="str">
        <x:v>RF17 → C_Navegacion → I_ActualizarKilometraje DIRECTO (sin Detalle vehículo) → I_VistaPreviaKilometraje → guardado RF14 mediante UNA idOperacion → I_ConfirmacionKilometraje → Continuar FINAL → C_Navegacion → I_RegistroMantenimiento con borrador. «claveOperacion» antigua es alias documental de idOperacion, NO segunda clave.</x:v>
      </x:c>
      <x:c r="E9" t="str">
        <x:v>Fran + Nayu: coincidencia documental revisada; contratos REST físicos pendientes de BD.</x:v>
      </x:c>
      <x:c r="F9" t="str">
        <x:v>Implementación Android Kotlin, pruebas de reintento y navegación; no modifica diseño de BD solo por navegación.</x:v>
      </x:c>
      <x:c r="G9" t="str">
        <x:v>ALINEADO_DOCUMENTALMENTE_API_PENDIENTE</x:v>
      </x:c>
    </x:row>
    <x:row r="10">
      <x:c r="A10" t="str">
        <x:v>D09</x:v>
      </x:c>
      <x:c r="B10" t="str">
        <x:v>RF17/RF22</x:v>
      </x:c>
      <x:c r="C10" t="str">
        <x:v>Kilometraje RF14</x:v>
      </x:c>
      <x:c r="D10" t="str">
        <x:v>RF17: conservar kilometraje histórico del servicio sin alterar odómetro vigente. RF22/RF23: usar última lectura efectiva válida, inicial de RF08 o posterior de RF14. RF14 no sincroniza alertas en MVP. Verificar en BD lectura, fecha y autorización.</x:v>
      </x:c>
      <x:c r="E10" t="str">
        <x:v>Nayu y Fran: responsabilidad RF08/RF14/RF17/RF22/RF23 aprobada; datos físicos/contrato pendientes.</x:v>
      </x:c>
      <x:c r="F10" t="str">
        <x:v>Contratos compartidos</x:v>
      </x:c>
      <x:c r="G10" t="str">
        <x:v>FUNCIONAL_APROBADO_CONTRATO_BD_PENDIENTE</x:v>
      </x:c>
    </x:row>
  </x:sheetData>
  <x:pageMargins left="0.7" right="0.7" top="0.75" bottom="0.75" header="0.3" footer="0.3"/>
</x:worksheet>
</file>

<file path=xl/worksheets/sheet131.xml><?xml version="1.0" encoding="utf-8"?>
<x:worksheet xmlns:x="http://schemas.openxmlformats.org/spreadsheetml/2006/main">
  <x:sheetFormatPr defaultRowHeight="15"/>
  <x:cols>
    <x:col min="1" max="1" width="12" hidden="0" customWidth="1"/>
    <x:col min="2" max="2" width="31" hidden="0" customWidth="1"/>
    <x:col min="3" max="3" width="28" hidden="0" customWidth="1"/>
    <x:col min="4" max="4" width="71" hidden="0" customWidth="1"/>
  </x:cols>
  <x:sheetData>
    <x:row r="1" ht="30" customHeight="1">
      <x:c r="A1" t="str">
        <x:v>MYCAR · AUDITORÍA PREENVÍO · SÍMBOLOS, FLECHAS Y RIESGOS DEL MVP</x:v>
      </x:c>
      <x:c r="B1"/>
      <x:c r="C1"/>
      <x:c r="D1"/>
    </x:row>
    <x:row r="2" ht="26" customHeight="1">
      <x:c r="A2" t="str">
        <x:v>Revisión de 712 mensajes BCE (4 RF EF: 307 mensajes + 29 EA: 405 mensajes), 25/10/2026. Anotaciones funcionales; contratos REST, BD y pruebas de integración pendientes.</x:v>
      </x:c>
      <x:c r="B2"/>
      <x:c r="C2"/>
      <x:c r="D2"/>
    </x:row>
    <x:row r="3">
      <x:c r="A3"/>
      <x:c r="B3"/>
      <x:c r="C3"/>
      <x:c r="D3"/>
    </x:row>
    <x:row r="4">
      <x:c r="A4" t="str">
        <x:v>CONTROL</x:v>
      </x:c>
      <x:c r="B4" t="str">
        <x:v>REVISIÓN</x:v>
      </x:c>
      <x:c r="C4" t="str">
        <x:v>RESULTADO</x:v>
      </x:c>
      <x:c r="D4" t="str">
        <x:v>CRITERIO Y EFECTO EN PROGRAMACIÓN</x:v>
      </x:c>
    </x:row>
    <x:row r="5" ht="64" customHeight="1">
      <x:c r="A5" t="str">
        <x:v>R01</x:v>
      </x:c>
      <x:c r="B5" t="str">
        <x:v>Integridad de RF y EA</x:v>
      </x:c>
      <x:c r="C5" t="str">
        <x:v>CONSERVADA</x:v>
      </x:c>
      <x:c r="D5" t="str">
        <x:v>4 RF exitosos (307 mensajes) y 29 EA (405 mensajes). Se preservan origen, destino, flecha, método y nota original en columnas A–G. RF17-EA01: 44 mensajes originales + 4 de integración = 48.</x:v>
      </x:c>
    </x:row>
    <x:row r="6" ht="64" customHeight="1">
      <x:c r="A6" t="str">
        <x:v>R02</x:v>
      </x:c>
      <x:c r="B6" t="str">
        <x:v>Patrón de nombres BCE</x:v>
      </x:c>
      <x:c r="C6" t="str">
        <x:v>CONSISTENTE</x:v>
      </x:c>
      <x:c r="D6" t="str">
        <x:v>AS_=Actor, I_=Interfaz, C_=Control, E_=Entidad. No se detectaron conexiones directas Actor↔Entidad ni Interfaz↔Entidad en 712 mensajes.</x:v>
      </x:c>
    </x:row>
    <x:row r="7" ht="64" customHeight="1">
      <x:c r="A7" t="str">
        <x:v>R03</x:v>
      </x:c>
      <x:c r="B7" t="str">
        <x:v>Flecha de llamada ►</x:v>
      </x:c>
      <x:c r="C7" t="str">
        <x:v>358 operaciones de módulo</x:v>
      </x:c>
      <x:c r="D7" t="str">
        <x:v>Mensajes entre objetos; leer C como emisor y E como receptor. No confundir los nombres BCE con endpoints públicos 1:1.</x:v>
      </x:c>
    </x:row>
    <x:row r="8">
      <x:c r="A8" t="str">
        <x:v>R04</x:v>
      </x:c>
      <x:c r="B8" t="str">
        <x:v>Flecha de retorno ◄ punteada</x:v>
      </x:c>
      <x:c r="C8" t="str">
        <x:v>178 devoluciones</x:v>
      </x:c>
      <x:c r="D8" t="str">
        <x:v>La flecha representa el retorno hacia la línea de vida invocadora; C y E ya identifican emisor/receptor. En RF23 hay otro estilo visual «◄ ─ ─» equivalente: unificar únicamente si se redibuja UML formal.</x:v>
      </x:c>
    </x:row>
    <x:row r="9">
      <x:c r="A9" t="str">
        <x:v>R05</x:v>
      </x:c>
      <x:c r="B9" t="str">
        <x:v>Autollamada ↩</x:v>
      </x:c>
      <x:c r="C9" t="str">
        <x:v>107 automensajes</x:v>
      </x:c>
      <x:c r="D9" t="str">
        <x:v>C=E en todos los automensajes revisados; corresponde a operación interna del mismo objeto.</x:v>
      </x:c>
    </x:row>
    <x:row r="10">
      <x:c r="A10" t="str">
        <x:v>R06</x:v>
      </x:c>
      <x:c r="B10" t="str">
        <x:v>Interfaz → Actor (salida visual)</x:v>
      </x:c>
      <x:c r="C10" t="str">
        <x:v>69 REPRESENTACIONES POR ACLARAR</x:v>
      </x:c>
      <x:c r="D10" t="str">
        <x:v>En las hojas originales están rotuladas «(llamada)». Son visualizar/mostrar; no deben codificarse como métodos remotos del usuario. Para UML de secuencia estricto dibujar una respuesta/salida visible o nota de interfaz; ver advertencia en columna L.</x:v>
      </x:c>
    </x:row>
    <x:row r="11">
      <x:c r="A11" t="str">
        <x:v>R07</x:v>
      </x:c>
      <x:c r="B11" t="str">
        <x:v>RF18-EA03: talleres</x:v>
      </x:c>
      <x:c r="C11" t="str">
        <x:v>CORREGIDO EN ANOTACIONES</x:v>
      </x:c>
      <x:c r="D11" t="str">
        <x:v>Rama de taller condicionada a disponibilidad REAL de BD; sin taller, RF18 debe seguir consultando mantenimientos. No crear obligación de taller/CRUD.</x:v>
      </x:c>
    </x:row>
    <x:row r="12">
      <x:c r="A12" t="str">
        <x:v>R08</x:v>
      </x:c>
      <x:c r="B12" t="str">
        <x:v>RF22-EA02: km inicial</x:v>
      </x:c>
      <x:c r="C12" t="str">
        <x:v>CORREGIDO EN ANOTACIONES</x:v>
      </x:c>
      <x:c r="D12" t="str">
        <x:v>Última lectura efectiva incluye RF08 INICIAL o RF14 posterior. Sin ninguna lectura, RF14 podría no poder reparar el registro: derivar a revisión/soporte, no inventar km.</x:v>
      </x:c>
    </x:row>
    <x:row r="13">
      <x:c r="A13" t="str">
        <x:v>R09</x:v>
      </x:c>
      <x:c r="B13" t="str">
        <x:v>RF23-EA02: orden de lectura</x:v>
      </x:c>
      <x:c r="C13" t="str">
        <x:v>CORREGIDO EN ANOTACIONES</x:v>
      </x:c>
      <x:c r="D13" t="str">
        <x:v>Primero reconciliar en escritura transaccional y luego leer estados persistidos. No enviar GET que ejecute escrituras ocultas; no hacer reconciliación doble.</x:v>
      </x:c>
    </x:row>
    <x:row r="14">
      <x:c r="A14" t="str">
        <x:v>R10</x:v>
      </x:c>
      <x:c r="B14" t="str">
        <x:v>RF23: H05 30 días</x:v>
      </x:c>
      <x:c r="C14" t="str">
        <x:v>APROBADO FUNCIONALMENTE NAYU + FRANCESCA / BD PENDIENTE</x:v>
      </x:c>
      <x:c r="D14" t="str">
        <x:v>Regla funcional VENCIDA→ANULADA; B ajustada utiliza fechas verificables. Fran confirma datos históricos y condiciones antes de implementar código definitivo.</x:v>
      </x:c>
    </x:row>
    <x:row r="15">
      <x:c r="A15" t="str">
        <x:v>R11</x:v>
      </x:c>
      <x:c r="B15" t="str">
        <x:v>Persistencia y autorización</x:v>
      </x:c>
      <x:c r="C15" t="str">
        <x:v>PENDIENTE PRUEBAS</x:v>
      </x:c>
      <x:c r="D15" t="str">
        <x:v>Datos confirmados quedan en PostgreSQL. Probar cierre de APK/sesión y recuperación por el mismo usuario; otra cuenta no puede consultar registros ajenos. ID usuario desde sesión.</x:v>
      </x:c>
    </x:row>
    <x:row r="16">
      <x:c r="A16" t="str">
        <x:v>R12</x:v>
      </x:c>
      <x:c r="B16" t="str">
        <x:v>Notificaciones y motor autónomo</x:v>
      </x:c>
      <x:c r="C16" t="str">
        <x:v>FUERA DEL MVP — ACORDADO</x:v>
      </x:c>
      <x:c r="D16" t="str">
        <x:v>RF22 registra alertas manuales e historial cuando corresponda; RF23 sincroniza estado e historial al abrir «Mis alertas» o cambiar vehículo dentro del módulo. Motor autónomo periódico y notificaciones automáticas FUERA DEL MVP por acuerdo funcional. Solo están pendientes los aspectos técnicos de PostgreSQL, contratos y pruebas.</x:v>
      </x:c>
    </x:row>
    <x:row r="17">
      <x:c r="A17" t="str">
        <x:v>R13</x:v>
      </x:c>
      <x:c r="B17" t="str">
        <x:v>Formalidad UML</x:v>
      </x:c>
      <x:c r="C17" t="str">
        <x:v>REVISIÓN DE TABLAS BCE, NO DIAGRAMA VISUAL</x:v>
      </x:c>
      <x:c r="D17" t="str">
        <x:v>Los archivos contienen flechas como texto en columna D, sin objetos gráficos UML. No se validaron líneas de vida, barras de activación, alt/opt/par ni geometría UML; no afirmar certificación UML completa.</x:v>
      </x:c>
    </x:row>
    <x:row r="18">
      <x:c r="A18" t="str">
        <x:v>R14</x:v>
      </x:c>
      <x:c r="B18" t="str">
        <x:v>Antes de programar</x:v>
      </x:c>
      <x:c r="C18" t="str">
        <x:v>REQUIERE CONSOLIDACIÓN</x:v>
      </x:c>
      <x:c r="D18" t="str">
        <x:v>Fran debe confirmar BD física, fechas/historial, permisos, tipos semilla, taller opcional, unicidad de alertas y contratos. Los Excel son propuesta anotada, no SQL ni API probados.</x:v>
      </x:c>
    </x:row>
  </x:sheetData>
  <x:mergeCells>
    <x:mergeCell ref="A1:D1"/>
    <x:mergeCell ref="A2:D2"/>
  </x:mergeCells>
  <x:pageMargins left="0.7" right="0.7" top="0.75" bottom="0.75" header="0.3" footer="0.3"/>
</x:worksheet>
</file>

<file path=xl/worksheets/sheet132.xml><?xml version="1.0" encoding="utf-8"?>
<x:worksheet xmlns:x="http://schemas.openxmlformats.org/spreadsheetml/2006/main">
  <x:sheetFormatPr defaultRowHeight="15"/>
  <x:cols>
    <x:col min="1" max="1" width="28" hidden="0" customWidth="1"/>
    <x:col min="2" max="2" width="63" hidden="0" customWidth="1"/>
    <x:col min="3" max="3" width="90" hidden="0" customWidth="1"/>
    <x:col min="4" max="4" width="29" hidden="0" customWidth="1"/>
  </x:cols>
  <x:sheetData>
    <x:row r="1" ht="44" customHeight="1">
      <x:c r="A1" t="str">
        <x:v>HALLAZGO / BLOQUE</x:v>
      </x:c>
      <x:c r="B1" t="str">
        <x:v>UBICACIONES COMPARADAS</x:v>
      </x:c>
      <x:c r="C1" t="str">
        <x:v>ACUERDO / CORRECCIÓN IMPLEMENTADA</x:v>
      </x:c>
      <x:c r="D1" t="str">
        <x:v>ESTADO</x:v>
      </x:c>
    </x:row>
    <x:row r="2" ht="70" customHeight="1">
      <x:c r="A2" t="str">
        <x:v>01 · Retorno RF14 EA07</x:v>
      </x:c>
      <x:c r="B2" t="str">
        <x:v>Fran: RF14_EA07 A7.10–A7.13; Nayu: RF17-EA01 A01.30a–A01.30d</x:v>
      </x:c>
      <x:c r="C2" t="str">
        <x:v>Desde I_ConfirmacionKilometraje → C_Navegacion. Continuar + origen RF17 → I_RegistroMantenimiento con borrador y reconsulta KM; origen normal → I_DetalleKilometraje. Ir a inicio → I_Inicio. Ramas mutuamente excluyentes.</x:v>
      </x:c>
      <x:c r="D2" t="str">
        <x:v>CORREGIDO EN AMBOS</x:v>
      </x:c>
    </x:row>
    <x:row r="3" ht="70" customHeight="1">
      <x:c r="A3" t="str">
        <x:v>02 · Botón antiguo</x:v>
      </x:c>
      <x:c r="B3" t="str">
        <x:v>Fran: RF014-EF1!A2; RF014-EF1 P16/P17/P23</x:v>
      </x:c>
      <x:c r="C3" t="str">
        <x:v>El único clic que PERSISTE es «Continuar» desde I_VistaPreviaKilometraje. «Continuar» en I_ConfirmacionKilometraje SOLO NAVEGA. No usar «Confirmar» como etiqueta de botón en A2.</x:v>
      </x:c>
      <x:c r="D3" t="str">
        <x:v>CORREGIDO FRAN</x:v>
      </x:c>
    </x:row>
    <x:row r="4" ht="70" customHeight="1">
      <x:c r="A4" t="str">
        <x:v>03 · Entrada directa</x:v>
      </x:c>
      <x:c r="B4" t="str">
        <x:v>Fran: INTEGRACION_RF17_RF14 INT02–INT03; Nayu: RF17-EA01 A01.14–A01.15</x:v>
      </x:c>
      <x:c r="C4" t="str">
        <x:v>Se abre I_ActualizarKilometraje DIRECTAMENTE desde I_RegistroMantenimiento mediante C_Navegacion; no pasa por I_DetalleVehiculo ni Detalle KM. Conserva borrador.</x:v>
      </x:c>
      <x:c r="D4" t="str">
        <x:v>ALINEADO / ANOTADO</x:v>
      </x:c>
    </x:row>
    <x:row r="5" ht="70" customHeight="1">
      <x:c r="A5" t="str">
        <x:v>04 · Una clave RF14</x:v>
      </x:c>
      <x:c r="B5" t="str">
        <x:v>Fran: RF014-EF1 P17/P23; RF14_EA07/EA08; Nayu: RF17-EA01 A01.25–A01.27</x:v>
      </x:c>
      <x:c r="C5" t="str">
        <x:v>Nombre ÚNICO idOperacion desde solicitud hasta COMMIT y reconciliación. «claveOperacion» era nombre antiguo para el MISMO identificador, NO una segunda clave. Mismo usuario + operación + payload: resultado confirmado recuperable antes de validar versión, sin duplicado.</x:v>
      </x:c>
      <x:c r="D5" t="str">
        <x:v>CORREGIDO / ALINEADO</x:v>
      </x:c>
    </x:row>
    <x:row r="6" ht="70" customHeight="1">
      <x:c r="A6" t="str">
        <x:v>05 · Fechas verificables RF23</x:v>
      </x:c>
      <x:c r="B6" t="str">
        <x:v>Nayu: RF23 y ACUERDOS_PENDIENTES D02</x:v>
      </x:c>
      <x:c r="C6" t="str">
        <x:v>Reglas funcionales de 30 días calendario, zona America/Lima y 10% sin redondeo se mantienen; aún NO se ha inspeccionado esquema vivo mvp ni migraciones para probar lecturas, validez y fechas verificables. No crear columnas sin auditar.</x:v>
      </x:c>
      <x:c r="D6" t="str">
        <x:v>PENDIENTE DE BD REAL</x:v>
      </x:c>
    </x:row>
    <x:row r="7" ht="70" customHeight="1">
      <x:c r="A7" t="str">
        <x:v>06 · No duplicar POST</x:v>
      </x:c>
      <x:c r="B7" t="str">
        <x:v>Fran: EA07 / EA08; Nayu: RF17-EA01 A01.25–A01.30d</x:v>
      </x:c>
      <x:c r="C7" t="str">
        <x:v>RF14 guarda una sola vez desde vista previa; repetición/timeout usa la MISMA idOperacion. Navegar desde confirmación o retornar a RF17 no dispara nuevo registro.</x:v>
      </x:c>
      <x:c r="D7" t="str">
        <x:v>ALINEADO</x:v>
      </x:c>
    </x:row>
    <x:row r="8">
      <x:c r="A8" t="str">
        <x:v>07 · Separación KM histórico</x:v>
      </x:c>
      <x:c r="B8" t="str">
        <x:v>Fran: INTEGRACION INT10–INT11; Nayu: RF17-EA01 A01.30c–A01.30d</x:v>
      </x:c>
      <x:c r="C8" t="str">
        <x:v>Actualizar km VIGENTE mostrado al regresar; mantener intacto el kilometraje histórico del servicio en el borrador RF17.</x:v>
      </x:c>
      <x:c r="D8" t="str">
        <x:v>ALINEADO</x:v>
      </x:c>
    </x:row>
    <x:row r="9">
      <x:c r="A9" t="str">
        <x:v>08 · Alcance MVP</x:v>
      </x:c>
      <x:c r="B9" t="str">
        <x:v>Fran RF14; Nayu RF17/RF23</x:v>
      </x:c>
      <x:c r="C9" t="str">
        <x:v>RF14 no sincroniza alerta/ historial; RF23 lo hace al entrar a Mis alertas. No activar motor autónomo en MVP.</x:v>
      </x:c>
      <x:c r="D9" t="str">
        <x:v>ALINEADO</x:v>
      </x:c>
    </x:row>
    <x:row r="10">
      <x:c r="A10" t="str">
        <x:v>—</x:v>
      </x:c>
      <x:c r="B10" t="str">
        <x:v>—</x:v>
      </x:c>
      <x:c r="C10" t="str">
        <x:v>—</x:v>
      </x:c>
      <x:c r="D10" t="str">
        <x:v>—</x:v>
      </x:c>
    </x:row>
    <x:row r="11">
      <x:c r="A11" t="str">
        <x:v>PRUEBAS CRUZADAS</x:v>
      </x:c>
      <x:c r="B11" t="str">
        <x:v>ESCENARIO</x:v>
      </x:c>
      <x:c r="C11" t="str">
        <x:v>RESULTADO ESPERADO</x:v>
      </x:c>
      <x:c r="D11" t="str">
        <x:v>ESTADO</x:v>
      </x:c>
    </x:row>
    <x:row r="12">
      <x:c r="A12" t="str">
        <x:v>P01 · retorno RF17</x:v>
      </x:c>
      <x:c r="B12" t="str">
        <x:v>Abrir RF17, completar borrador, entrar directamente RF14, guardar desde vista previa, pulsar Continuar final.</x:v>
      </x:c>
      <x:c r="C12" t="str">
        <x:v>Regresa por C_Navegacion a I_RegistroMantenimiento; borrador intacto, km vigente refrescado, km histórico preservado y UNA lectura.</x:v>
      </x:c>
      <x:c r="D12" t="str">
        <x:v>ESPECIFICADO / POR EJECUTAR</x:v>
      </x:c>
    </x:row>
    <x:row r="13">
      <x:c r="A13" t="str">
        <x:v>P02 · retorno normal</x:v>
      </x:c>
      <x:c r="B13" t="str">
        <x:v>Abrir RF14 desde Detalle Kilometraje, vista previa, Guardar, Continuar final.</x:v>
      </x:c>
      <x:c r="C13" t="str">
        <x:v>Regresa I_DetalleKilometraje sin segundo POST.</x:v>
      </x:c>
      <x:c r="D13" t="str">
        <x:v>ESPECIFICADO / POR EJECUTAR</x:v>
      </x:c>
    </x:row>
    <x:row r="14">
      <x:c r="A14" t="str">
        <x:v>P03 · Ir a inicio</x:v>
      </x:c>
      <x:c r="B14" t="str">
        <x:v>Completar RF14 desde RF17, pulsar Ir a inicio.</x:v>
      </x:c>
      <x:c r="C14" t="str">
        <x:v>Abandona borrador RF17 sin revertir lectura que ya tuvo COMMIT.</x:v>
      </x:c>
      <x:c r="D14" t="str">
        <x:v>ESPECIFICADO / POR EJECUTAR</x:v>
      </x:c>
    </x:row>
    <x:row r="15">
      <x:c r="A15" t="str">
        <x:v>P04 · reintento</x:v>
      </x:c>
      <x:c r="B15" t="str">
        <x:v>Doblepulsación o timeout posterior a COMMIT usando la misma idOperacion.</x:v>
      </x:c>
      <x:c r="C15" t="str">
        <x:v>Se devuelve el mismo idLectura. No nueva escritura ni conflicto falso por versión.</x:v>
      </x:c>
      <x:c r="D15" t="str">
        <x:v>ESPECIFICADO / POR EJECUTAR</x:v>
      </x:c>
    </x:row>
    <x:row r="16">
      <x:c r="A16" t="str">
        <x:v>P05 · cancelar / Atrás</x:v>
      </x:c>
      <x:c r="B16" t="str">
        <x:v>En vista previa pulsar Atrás, o Cancelar en formulario desde RF17.</x:v>
      </x:c>
      <x:c r="C16" t="str">
        <x:v>Atrás → editor RF14 sin escritura; Cancelar → RF17 con borrador, sin guardar lectura nueva.</x:v>
      </x:c>
      <x:c r="D16" t="str">
        <x:v>ESPECIFICADO / POR EJECUTAR</x:v>
      </x:c>
    </x:row>
    <x:row r="17">
      <x:c r="A17" t="str">
        <x:v>P06 · fechas RF23</x:v>
      </x:c>
      <x:c r="B17" t="str">
        <x:v>Ejecutar prueba con PostgreSQL mvp real: alerta creada, lecturas válidas fechadas, VENCIDA evidenciable y 30 días.</x:v>
      </x:c>
      <x:c r="C17" t="str">
        <x:v>Confirmar por esquema físico lecturas/fechas/id alerta/historial, antes de congelar contrato y columnas.</x:v>
      </x:c>
      <x:c r="D17" t="str">
        <x:v>PENDIENTE BD / SIN PROBAR</x:v>
      </x:c>
    </x:row>
  </x:sheetData>
  <x:pageMargins left="0.7" right="0.7" top="0.75" bottom="0.75" header="0.3" footer="0.3"/>
</x:worksheet>
</file>

<file path=xl/worksheets/sheet133.xml><?xml version="1.0" encoding="utf-8"?>
<x:worksheet xmlns:x="http://schemas.openxmlformats.org/spreadsheetml/2006/main">
  <x:sheetFormatPr defaultRowHeight="15"/>
  <x:cols>
    <x:col min="1" max="1" width="22" hidden="0" customWidth="1"/>
    <x:col min="2" max="2" width="34" hidden="0" customWidth="1"/>
    <x:col min="3" max="3" width="90" hidden="0" customWidth="1"/>
    <x:col min="4" max="4" width="30" hidden="0" customWidth="1"/>
  </x:cols>
  <x:sheetData>
    <x:row r="1" ht="28" customHeight="1">
      <x:c r="A1" t="str">
        <x:v>ID / RF</x:v>
      </x:c>
      <x:c r="B1" t="str">
        <x:v>PUNTO REVISADO</x:v>
      </x:c>
      <x:c r="C1" t="str">
        <x:v>CAMBIO O DECISIÓN</x:v>
      </x:c>
      <x:c r="D1" t="str">
        <x:v>ESTADO</x:v>
      </x:c>
    </x:row>
    <x:row r="2" ht="64" customHeight="1">
      <x:c r="A2" t="str">
        <x:v>RF23 P24</x:v>
      </x:c>
      <x:c r="B2" t="str">
        <x:v>Transacción</x:v>
      </x:c>
      <x:c r="C2" t="str">
        <x:v>MVP solo E_Alerta + E_HistorialAlerta; E_Notificacion queda en mensajes futuro sin ejecutar.</x:v>
      </x:c>
      <x:c r="D2" t="str">
        <x:v>AJUSTADO</x:v>
      </x:c>
    </x:row>
    <x:row r="3" ht="64" customHeight="1">
      <x:c r="A3" t="str">
        <x:v>RF23 P29–P32</x:v>
      </x:c>
      <x:c r="B3" t="str">
        <x:v>Notificaciones</x:v>
      </x:c>
      <x:c r="C3" t="str">
        <x:v>Marcar fuera del MVP sin borrar referencias de la versión completa.</x:v>
      </x:c>
      <x:c r="D3" t="str">
        <x:v>ACLARADO</x:v>
      </x:c>
    </x:row>
    <x:row r="4" ht="64" customHeight="1">
      <x:c r="A4" t="str">
        <x:v>RF23 P33</x:v>
      </x:c>
      <x:c r="B4" t="str">
        <x:v>COMMIT</x:v>
      </x:c>
      <x:c r="C4" t="str">
        <x:v>Confirmar exclusivamente cambio de alerta e historial en una transacción. Sin notificaciones en MVP.</x:v>
      </x:c>
      <x:c r="D4" t="str">
        <x:v>AJUSTADO</x:v>
      </x:c>
    </x:row>
    <x:row r="5" ht="64" customHeight="1">
      <x:c r="A5" t="str">
        <x:v>RF23 30 días</x:v>
      </x:c>
      <x:c r="B5" t="str">
        <x:v>Fechas verificables</x:v>
      </x:c>
      <x:c r="C5" t="str">
        <x:v>Los umbrales funcionales están acordados, pero falta auditar la BD mvp para evidencias/lecturas/fechas antes de aprobar implementación.</x:v>
      </x:c>
      <x:c r="D5" t="str">
        <x:v>PENDIENTE DE BD REAL</x:v>
      </x:c>
    </x:row>
  </x:sheetData>
  <x:pageMargins left="0.7" right="0.7" top="0.75" bottom="0.75" header="0.3" footer="0.3"/>
</x:worksheet>
</file>

<file path=xl/worksheets/sheet134.xml><?xml version="1.0" encoding="utf-8"?>
<x:worksheet xmlns:x="http://schemas.openxmlformats.org/spreadsheetml/2006/main">
  <x:sheetFormatPr defaultRowHeight="15"/>
  <x:cols>
    <x:col min="1" max="1" width="25" hidden="0" customWidth="1"/>
    <x:col min="2" max="2" width="41" hidden="0" customWidth="1"/>
    <x:col min="3" max="3" width="44" hidden="0" customWidth="1"/>
    <x:col min="4" max="4" width="36" hidden="0" customWidth="1"/>
    <x:col min="5" max="5" width="32" hidden="0" customWidth="1"/>
    <x:col min="6" max="6" width="39" hidden="0" customWidth="1"/>
    <x:col min="7" max="7" width="43" hidden="0" customWidth="1"/>
    <x:col min="8" max="8" width="32" hidden="0" customWidth="1"/>
  </x:cols>
  <x:sheetData>
    <x:row r="1" ht="39" customHeight="1">
      <x:c r="A1" t="str">
        <x:v>MYCAR  |  RF-065 · ELIMINAR VEHÍCULO  |  PROPUESTA AUDITADA</x:v>
      </x:c>
      <x:c r="B1"/>
      <x:c r="C1"/>
      <x:c r="D1"/>
      <x:c r="E1"/>
      <x:c r="F1"/>
      <x:c r="G1"/>
      <x:c r="H1"/>
    </x:row>
    <x:row r="2" ht="34" customHeight="1">
      <x:c r="A2" t="str">
        <x:v>EXTENSIÓN POST-MVP · No altera los 11 RF congelados · Borrado lógico reversible solo mediante un RF futuro expresamente aprobado</x:v>
      </x:c>
      <x:c r="B2" t="str">
        <x:v>EXTENSIÓN POST-MVP PROPUESTA · 11 RF actualizados conservados · RF65 NO APROBADO: sin migración SQL ni motor adicional</x:v>
      </x:c>
      <x:c r="C2"/>
      <x:c r="D2"/>
      <x:c r="E2"/>
      <x:c r="F2"/>
      <x:c r="G2"/>
      <x:c r="H2"/>
    </x:row>
    <x:row r="3">
      <x:c r="A3"/>
      <x:c r="B3"/>
      <x:c r="C3"/>
      <x:c r="D3"/>
      <x:c r="E3"/>
      <x:c r="F3"/>
      <x:c r="G3"/>
      <x:c r="H3"/>
    </x:row>
    <x:row r="4" ht="30" customHeight="1">
      <x:c r="A4" t="str">
        <x:v>ELEMENTO</x:v>
      </x:c>
      <x:c r="B4" t="str">
        <x:v>DESCRIPCIÓN</x:v>
      </x:c>
      <x:c r="C4" t="str">
        <x:v>CONTENIDO / ALCANCE</x:v>
      </x:c>
      <x:c r="D4" t="str">
        <x:v>CRITERIO</x:v>
      </x:c>
      <x:c r="E4" t="str">
        <x:v>ESTADO</x:v>
      </x:c>
      <x:c r="F4" t="str">
        <x:v>RESPONSABLE</x:v>
      </x:c>
      <x:c r="G4" t="str">
        <x:v>ALERTA DE CONSISTENCIA</x:v>
      </x:c>
      <x:c r="H4" t="str">
        <x:v>REVISIÓN</x:v>
      </x:c>
    </x:row>
    <x:row r="5" ht="62" customHeight="1">
      <x:c r="A5" t="str">
        <x:v>RF propuesto</x:v>
      </x:c>
      <x:c r="B5" t="str">
        <x:v>RF-065: Eliminar vehículo</x:v>
      </x:c>
      <x:c r="C5" t="str">
        <x:v>Un dueño elimina el registro visible del vehículo y lo retira del uso operativo</x:v>
      </x:c>
      <x:c r="D5" t="str">
        <x:v>Borrado lógico y preservación de FK</x:v>
      </x:c>
      <x:c r="E5" t="str">
        <x:v>PROPUESTO</x:v>
      </x:c>
      <x:c r="F5" t="str">
        <x:v>Francesca / equipo</x:v>
      </x:c>
      <x:c r="G5" t="str">
        <x:v>No confundir con RF12 (desactivar) ni RF07 (eliminar cuenta)</x:v>
      </x:c>
      <x:c r="H5" t="str">
        <x:v>2026-10-28</x:v>
      </x:c>
    </x:row>
    <x:row r="6" ht="62" customHeight="1">
      <x:c r="A6" t="str">
        <x:v>Evento exitoso</x:v>
      </x:c>
      <x:c r="B6" t="str">
        <x:v>01_RF065_EF1</x:v>
      </x:c>
      <x:c r="C6" t="str">
        <x:v>Diagrama secuencial BCE, autenticación, confirmación, transacción, principal, idempotencia</x:v>
      </x:c>
      <x:c r="D6" t="str">
        <x:v>Camino base: vehículo NO principal</x:v>
      </x:c>
      <x:c r="E6" t="str">
        <x:v>COMPLETO</x:v>
      </x:c>
      <x:c r="F6" t="str">
        <x:v>Francesca</x:v>
      </x:c>
      <x:c r="G6" t="str">
        <x:v>Sin escrituras en RF09/RF10 ni en RN de Nayu</x:v>
      </x:c>
      <x:c r="H6"/>
    </x:row>
    <x:row r="7" ht="62" customHeight="1">
      <x:c r="A7" t="str">
        <x:v>Ramas exitosas</x:v>
      </x:c>
      <x:c r="B7" t="str">
        <x:v>EA09 / EA10</x:v>
      </x:c>
      <x:c r="C7" t="str">
        <x:v>Principal eliminado con otros activos o sin ningún otro activo</x:v>
      </x:c>
      <x:c r="D7" t="str">
        <x:v>Elegir más antiguo / ningún principal</x:v>
      </x:c>
      <x:c r="E7" t="str">
        <x:v>PROPUESTA A VALIDAR</x:v>
      </x:c>
      <x:c r="F7" t="str">
        <x:v>Equipo</x:v>
      </x:c>
      <x:c r="G7" t="str">
        <x:v>Promoción atómica; NO activar inactivos</x:v>
      </x:c>
      <x:c r="H7"/>
    </x:row>
    <x:row r="8">
      <x:c r="A8" t="str">
        <x:v>Escenarios alternos</x:v>
      </x:c>
      <x:c r="B8" t="str">
        <x:v>EA01–EA13</x:v>
      </x:c>
      <x:c r="C8" t="str">
        <x:v>Cancelación, acceso, propiedad, idempotencia, concurrencia, fallos y entrega</x:v>
      </x:c>
      <x:c r="D8" t="str">
        <x:v>13 hojas con mensajes BCE</x:v>
      </x:c>
      <x:c r="E8" t="str">
        <x:v>COMPLETO</x:v>
      </x:c>
      <x:c r="F8" t="str">
        <x:v>Francesca</x:v>
      </x:c>
      <x:c r="G8" t="str">
        <x:v>Errores no declaran éxito sin COMMIT</x:v>
      </x:c>
      <x:c r="H8"/>
    </x:row>
    <x:row r="9">
      <x:c r="A9" t="str">
        <x:v>Reglas de negocio</x:v>
      </x:c>
      <x:c r="B9" t="str">
        <x:v>02_REGLAS_NEGOCIO</x:v>
      </x:c>
      <x:c r="C9" t="str">
        <x:v>Reglas RN65-01…RN65-20 (20 reglas) y origen de cada decisión. Las propuestas y cambios de BD requieren aprobación antes de implementarse.</x:v>
      </x:c>
      <x:c r="D9" t="str">
        <x:v>Confirmada / derivada / propuesta</x:v>
      </x:c>
      <x:c r="E9" t="str">
        <x:v>REQUIERE APROBACIÓN</x:v>
      </x:c>
      <x:c r="F9" t="str">
        <x:v>Equipo</x:v>
      </x:c>
      <x:c r="G9" t="str">
        <x:v>Distinguir reglas aprobadas de las nuevas</x:v>
      </x:c>
      <x:c r="H9"/>
    </x:row>
    <x:row r="10">
      <x:c r="A10" t="str">
        <x:v>Matriz escenarios</x:v>
      </x:c>
      <x:c r="B10" t="str">
        <x:v>03_MATRIZ_EA</x:v>
      </x:c>
      <x:c r="C10" t="str">
        <x:v>Desvíos, puntos BCE, respuesta, persistencia y cobertura</x:v>
      </x:c>
      <x:c r="D10" t="str">
        <x:v>13 casos EA / 2 variantes de éxito</x:v>
      </x:c>
      <x:c r="E10" t="str">
        <x:v>COMPLETO</x:v>
      </x:c>
      <x:c r="F10" t="str">
        <x:v>Francesca</x:v>
      </x:c>
      <x:c r="G10" t="str">
        <x:v>Consulta EA correspondiente para mensajes completos</x:v>
      </x:c>
      <x:c r="H10"/>
    </x:row>
    <x:row r="11">
      <x:c r="A11" t="str">
        <x:v>Diagrama UML</x:v>
      </x:c>
      <x:c r="B11" t="str">
        <x:v>04_MERMAID_UML</x:v>
      </x:c>
      <x:c r="C11" t="str">
        <x:v>Código Mermaid de secuencia para pegar en editor compatible</x:v>
      </x:c>
      <x:c r="D11" t="str">
        <x:v>Actor, boundary, controller, entity</x:v>
      </x:c>
      <x:c r="E11" t="str">
        <x:v>COMPLETO</x:v>
      </x:c>
      <x:c r="F11" t="str">
        <x:v>Francesca</x:v>
      </x:c>
      <x:c r="G11" t="str">
        <x:v>Incluye ramas principal/no principal y flujo sin activos</x:v>
      </x:c>
      <x:c r="H11"/>
    </x:row>
    <x:row r="12">
      <x:c r="A12" t="str">
        <x:v>Impacto BD</x:v>
      </x:c>
      <x:c r="B12" t="str">
        <x:v>05_IMPACTO_BD</x:v>
      </x:c>
      <x:c r="C12" t="str">
        <x:v>Tablas, locks, idempotencia, índices parciales y retención por definir</x:v>
      </x:c>
      <x:c r="D12" t="str">
        <x:v>No contiene DDL aplicado</x:v>
      </x:c>
      <x:c r="E12" t="str">
        <x:v>POR IMPLEMENTAR</x:v>
      </x:c>
      <x:c r="F12" t="str">
        <x:v>Backend / BD</x:v>
      </x:c>
      <x:c r="G12" t="str">
        <x:v>La unicidad de placa vigente debe revisarse</x:v>
      </x:c>
      <x:c r="H12"/>
    </x:row>
    <x:row r="13">
      <x:c r="A13" t="str">
        <x:v>Integración</x:v>
      </x:c>
      <x:c r="B13" t="str">
        <x:v>06_INTEGRACION_RF</x:v>
      </x:c>
      <x:c r="C13" t="str">
        <x:v>RF08/09/10/12/13/17/18/22/23/30/44/46/54–56</x:v>
      </x:c>
      <x:c r="D13" t="str">
        <x:v>Sin cambiar flujos ya aprobados</x:v>
      </x:c>
      <x:c r="E13" t="str">
        <x:v>REVISADO</x:v>
      </x:c>
      <x:c r="F13" t="str">
        <x:v>Equipo</x:v>
      </x:c>
      <x:c r="G13" t="str">
        <x:v>Alertas e históricos NO cambian a REALIZADA/ANULADA</x:v>
      </x:c>
      <x:c r="H13"/>
    </x:row>
    <x:row r="14">
      <x:c r="A14" t="str">
        <x:v>Pruebas</x:v>
      </x:c>
      <x:c r="B14" t="str">
        <x:v>07_PRUEBAS_TDD</x:v>
      </x:c>
      <x:c r="C14" t="str">
        <x:v>Casos prioritarios listos para implementar/verificar</x:v>
      </x:c>
      <x:c r="D14" t="str">
        <x:v>Pruebas de contrato y transacción</x:v>
      </x:c>
      <x:c r="E14" t="str">
        <x:v>POR IMPLEMENTAR</x:v>
      </x:c>
      <x:c r="F14" t="str">
        <x:v>Equipo</x:v>
      </x:c>
      <x:c r="G14" t="str">
        <x:v>Necesarias antes de declarar implementación lista</x:v>
      </x:c>
      <x:c r="H14"/>
    </x:row>
    <x:row r="15">
      <x:c r="A15" t="str">
        <x:v>Fuentes</x:v>
      </x:c>
      <x:c r="B15" t="str">
        <x:v>08_TRAZABILIDAD</x:v>
      </x:c>
      <x:c r="C15" t="str">
        <x:v>Archivos proporcionados y criterios de precedencia</x:v>
      </x:c>
      <x:c r="D15" t="str">
        <x:v>No usa versiones viejas como norma</x:v>
      </x:c>
      <x:c r="E15" t="str">
        <x:v>DOCUMENTADO</x:v>
      </x:c>
      <x:c r="F15" t="str">
        <x:v>Francesca</x:v>
      </x:c>
      <x:c r="G15" t="str">
        <x:v>RF-065 no existía entre RF001–RF064 del general</x:v>
      </x:c>
      <x:c r="H15"/>
    </x:row>
    <x:row r="16">
      <x:c r="A16" t="str">
        <x:v>Decisiones por aprobar</x:v>
      </x:c>
      <x:c r="B16" t="str">
        <x:v>RN65-01/05/12/14</x:v>
      </x:c>
      <x:c r="C16" t="str">
        <x:v>Borrado lógico, promoción automática, liberación de placa/VIN, retención</x:v>
      </x:c>
      <x:c r="D16" t="str">
        <x:v>No están congeladas por los RF originales</x:v>
      </x:c>
      <x:c r="E16" t="str">
        <x:v>PENDIENTE</x:v>
      </x:c>
      <x:c r="F16" t="str">
        <x:v>Docente / equipo</x:v>
      </x:c>
      <x:c r="G16" t="str">
        <x:v>No implementar índice nuevo sin acuerdo</x:v>
      </x:c>
      <x:c r="H16"/>
    </x:row>
  </x:sheetData>
  <x:mergeCells>
    <x:mergeCell ref="A1:H1"/>
    <x:mergeCell ref="A2:H2"/>
  </x:mergeCells>
  <x:pageMargins left="0.7" right="0.7" top="0.75" bottom="0.75" header="0.3" footer="0.3"/>
</x:worksheet>
</file>

<file path=xl/worksheets/sheet135.xml><?xml version="1.0" encoding="utf-8"?>
<x:worksheet xmlns:x="http://schemas.openxmlformats.org/spreadsheetml/2006/main">
  <x:sheetFormatPr defaultRowHeight="15"/>
  <x:cols>
    <x:col min="1" max="1" width="9" hidden="0" customWidth="1"/>
    <x:col min="2" max="2" width="12" hidden="0" customWidth="1"/>
    <x:col min="3" max="3" width="27" hidden="0" customWidth="1"/>
    <x:col min="4" max="4" width="19" hidden="0" customWidth="1"/>
    <x:col min="5" max="5" width="30" hidden="0" customWidth="1"/>
    <x:col min="6" max="6" width="54" hidden="0" customWidth="1"/>
    <x:col min="7" max="7" width="90" hidden="0" customWidth="1"/>
    <x:col min="8" max="8" width="28" hidden="0" customWidth="1"/>
  </x:cols>
  <x:sheetData>
    <x:row r="1" ht="40" customHeight="1">
      <x:c r="A1" t="str">
        <x:v>DIAGRAMA DE SECUENCIAS — RF-065 ELIMINAR VEHÍCULO | EVENTO EXITOSO</x:v>
      </x:c>
      <x:c r="B1"/>
      <x:c r="C1"/>
      <x:c r="D1"/>
      <x:c r="E1"/>
      <x:c r="F1"/>
      <x:c r="G1"/>
      <x:c r="H1"/>
    </x:row>
    <x:row r="2" ht="32" customHeight="1">
      <x:c r="A2" t="str">
        <x:v>BCE · 51 mensajes · 6 bloques · EF base: vehículo propio VIGENTE que NO es principal · Principales: ramas EA09/EA10 · PROPUESTA POST-MVP</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Clasificación</x:v>
      </x:c>
    </x:row>
    <x:row r="5" ht="26" customHeight="1">
      <x:c r="A5" t="str">
        <x:v>BLOQUE 1 · ACCESO, SESIÓN Y TITULARIDAD</x:v>
      </x:c>
      <x:c r="B5"/>
      <x:c r="C5"/>
      <x:c r="D5"/>
      <x:c r="E5"/>
      <x:c r="F5"/>
      <x:c r="G5"/>
      <x:c r="H5"/>
    </x:row>
    <x:row r="6">
      <x:c r="A6" t="n">
        <x:v>1</x:v>
      </x:c>
      <x:c r="B6" t="str">
        <x:v>B1</x:v>
      </x:c>
      <x:c r="C6" t="str">
        <x:v>AS_Usuario</x:v>
      </x:c>
      <x:c r="D6" t="str">
        <x:v>───► (llamada)</x:v>
      </x:c>
      <x:c r="E6" t="str">
        <x:v>I_DetalleVehiculo</x:v>
      </x:c>
      <x:c r="F6" t="str">
        <x:v>seleccionarEliminarVehiculo(idVehiculo)</x:v>
      </x:c>
      <x:c r="G6" t="str">
        <x:v>El usuario entra al detalle (RF10) y selecciona Eliminar vehículo; no es lo mismo que Desactivar (RF12).</x:v>
      </x:c>
      <x:c r="H6" t="str">
        <x:v>BASE</x:v>
      </x:c>
    </x:row>
    <x:row r="7">
      <x:c r="A7" t="n">
        <x:v>2</x:v>
      </x:c>
      <x:c r="B7" t="str">
        <x:v>B1</x:v>
      </x:c>
      <x:c r="C7" t="str">
        <x:v>I_DetalleVehiculo</x:v>
      </x:c>
      <x:c r="D7" t="str">
        <x:v>───► (llamada)</x:v>
      </x:c>
      <x:c r="E7" t="str">
        <x:v>C_ControlEliminacionVehiculo</x:v>
      </x:c>
      <x:c r="F7" t="str">
        <x:v>solicitarPrepararEliminacion(idVehiculo)</x:v>
      </x:c>
      <x:c r="G7" t="str">
        <x:v>Solicita preparación del nuevo RF. El idUsuario no se acepta libremente desde el cliente.</x:v>
      </x:c>
      <x:c r="H7" t="str">
        <x:v>BASE</x:v>
      </x:c>
    </x:row>
    <x:row r="8">
      <x:c r="A8" t="n">
        <x:v>3</x:v>
      </x:c>
      <x:c r="B8" t="str">
        <x:v>B1</x:v>
      </x:c>
      <x:c r="C8" t="str">
        <x:v>C_ControlEliminacionVehiculo</x:v>
      </x:c>
      <x:c r="D8" t="str">
        <x:v>───► (llamada)</x:v>
      </x:c>
      <x:c r="E8" t="str">
        <x:v>C_ControlAutorizacion</x:v>
      </x:c>
      <x:c r="F8" t="str">
        <x:v>validarSesionYPermiso(ELIMINAR_VEHICULO)</x:v>
      </x:c>
      <x:c r="G8" t="str">
        <x:v>Reutiliza la autorización protegida de Elsa; la cuenta debe estar ACTIVA.</x:v>
      </x:c>
      <x:c r="H8" t="str">
        <x:v>BASE</x:v>
      </x:c>
    </x:row>
    <x:row r="9">
      <x:c r="A9" t="n">
        <x:v>4</x:v>
      </x:c>
      <x:c r="B9" t="str">
        <x:v>B1</x:v>
      </x:c>
      <x:c r="C9" t="str">
        <x:v>C_ControlAutorizacion</x:v>
      </x:c>
      <x:c r="D9" t="str">
        <x:v>───► (llamada)</x:v>
      </x:c>
      <x:c r="E9" t="str">
        <x:v>E_Usuario</x:v>
      </x:c>
      <x:c r="F9" t="str">
        <x:v>consultarTitularYEstadoSesion()</x:v>
      </x:c>
      <x:c r="G9" t="str">
        <x:v>Resuelve idUsuario autenticado y estado de cuenta vigente incluso si la sesión fue emitida antes de una suspensión.</x:v>
      </x:c>
      <x:c r="H9" t="str">
        <x:v>BASE</x:v>
      </x:c>
    </x:row>
    <x:row r="10">
      <x:c r="A10" t="n">
        <x:v>5</x:v>
      </x:c>
      <x:c r="B10" t="str">
        <x:v>B1</x:v>
      </x:c>
      <x:c r="C10" t="str">
        <x:v>E_Usuario</x:v>
      </x:c>
      <x:c r="D10" t="str">
        <x:v>◄ ─ ─ (return)</x:v>
      </x:c>
      <x:c r="E10" t="str">
        <x:v>C_ControlAutorizacion</x:v>
      </x:c>
      <x:c r="F10" t="str">
        <x:v>retornarTitularCuenta(idUsuario,ACTIVA)</x:v>
      </x:c>
      <x:c r="G10" t="str">
        <x:v>En el exitoso la cuenta existe, es titular y está ACTIVA.</x:v>
      </x:c>
      <x:c r="H10" t="str">
        <x:v>BASE</x:v>
      </x:c>
    </x:row>
    <x:row r="11">
      <x:c r="A11" t="n">
        <x:v>6</x:v>
      </x:c>
      <x:c r="B11" t="str">
        <x:v>B1</x:v>
      </x:c>
      <x:c r="C11" t="str">
        <x:v>C_ControlAutorizacion</x:v>
      </x:c>
      <x:c r="D11" t="str">
        <x:v>◄ ─ ─ (return)</x:v>
      </x:c>
      <x:c r="E11" t="str">
        <x:v>C_ControlEliminacionVehiculo</x:v>
      </x:c>
      <x:c r="F11" t="str">
        <x:v>autorizarOperacion(idUsuario)</x:v>
      </x:c>
      <x:c r="G11" t="str">
        <x:v>Permiso verificado en servidor; nunca inferir propietario por el idVehiculo provisto.</x:v>
      </x:c>
      <x:c r="H11" t="str">
        <x:v>BASE</x:v>
      </x:c>
    </x:row>
    <x:row r="12">
      <x:c r="A12" t="n">
        <x:v>7</x:v>
      </x:c>
      <x:c r="B12" t="str">
        <x:v>B1</x:v>
      </x:c>
      <x:c r="C12" t="str">
        <x:v>C_ControlEliminacionVehiculo</x:v>
      </x:c>
      <x:c r="D12" t="str">
        <x:v>───► (llamada)</x:v>
      </x:c>
      <x:c r="E12" t="str">
        <x:v>E_Vehiculo</x:v>
      </x:c>
      <x:c r="F12" t="str">
        <x:v>consultarVehiculoPropioNoEliminado(idUsuario,idVehiculo)</x:v>
      </x:c>
      <x:c r="G12" t="str">
        <x:v>Solo obtiene vehículo ACTIVO o INACTIVO registrado y no eliminado lógicamente; si no existe o es ajeno, EA03.</x:v>
      </x:c>
      <x:c r="H12" t="str">
        <x:v>BASE</x:v>
      </x:c>
    </x:row>
    <x:row r="13">
      <x:c r="A13" t="n">
        <x:v>8</x:v>
      </x:c>
      <x:c r="B13" t="str">
        <x:v>B1</x:v>
      </x:c>
      <x:c r="C13" t="str">
        <x:v>E_Vehiculo</x:v>
      </x:c>
      <x:c r="D13" t="str">
        <x:v>◄ ─ ─ (return)</x:v>
      </x:c>
      <x:c r="E13" t="str">
        <x:v>C_ControlEliminacionVehiculo</x:v>
      </x:c>
      <x:c r="F13" t="str">
        <x:v>retornarVehiculoYVersion(datosVehiculo,version)</x:v>
      </x:c>
      <x:c r="G13" t="str">
        <x:v>Retorna marca, modelo, placa, estado ACTIVO/INACTIVO, esPrincipal y versión para advertencia contextual.</x:v>
      </x:c>
      <x:c r="H13" t="str">
        <x:v>BASE</x:v>
      </x:c>
    </x:row>
    <x:row r="14">
      <x:c r="A14" t="str">
        <x:v>BLOQUE 2 · DEPENDENCIAS Y CONFIRMACIÓN INFORMADA (SIN ESCRITURA)</x:v>
      </x:c>
      <x:c r="B14"/>
      <x:c r="C14"/>
      <x:c r="D14"/>
      <x:c r="E14"/>
      <x:c r="F14"/>
      <x:c r="G14"/>
      <x:c r="H14"/>
    </x:row>
    <x:row r="15">
      <x:c r="A15" t="n">
        <x:v>9</x:v>
      </x:c>
      <x:c r="B15" t="str">
        <x:v>B2</x:v>
      </x:c>
      <x:c r="C15" t="str">
        <x:v>C_ControlEliminacionVehiculo</x:v>
      </x:c>
      <x:c r="D15" t="str">
        <x:v>───► (llamada)</x:v>
      </x:c>
      <x:c r="E15" t="str">
        <x:v>E_Vehiculo</x:v>
      </x:c>
      <x:c r="F15" t="str">
        <x:v>consultarResumenDependencias(idVehiculo)</x:v>
      </x:c>
      <x:c r="G15" t="str">
        <x:v>Consulta existencia/conteos de mantenimientos, lecturas Km, alertas, SOAT actual/histórico, TIVE única, imágenes y configuración recordatorio; acceso por idVehiculo.</x:v>
      </x:c>
      <x:c r="H15" t="str">
        <x:v>BASE</x:v>
      </x:c>
    </x:row>
    <x:row r="16">
      <x:c r="A16" t="n">
        <x:v>10</x:v>
      </x:c>
      <x:c r="B16" t="str">
        <x:v>B2</x:v>
      </x:c>
      <x:c r="C16" t="str">
        <x:v>E_Vehiculo</x:v>
      </x:c>
      <x:c r="D16" t="str">
        <x:v>◄ ─ ─ (return)</x:v>
      </x:c>
      <x:c r="E16" t="str">
        <x:v>C_ControlEliminacionVehiculo</x:v>
      </x:c>
      <x:c r="F16" t="str">
        <x:v>retornarResumenDependencias(resumen)</x:v>
      </x:c>
      <x:c r="G16" t="str">
        <x:v>Los registros vinculados quedan preservados internamente en baja lógica; el usuario no podrá operarlos desde la interfaz normal.</x:v>
      </x:c>
      <x:c r="H16" t="str">
        <x:v>BASE</x:v>
      </x:c>
    </x:row>
    <x:row r="17">
      <x:c r="A17" t="n">
        <x:v>11</x:v>
      </x:c>
      <x:c r="B17" t="str">
        <x:v>B2</x:v>
      </x:c>
      <x:c r="C17" t="str">
        <x:v>C_ControlEliminacionVehiculo</x:v>
      </x:c>
      <x:c r="D17" t="str">
        <x:v>───► (llamada)</x:v>
      </x:c>
      <x:c r="E17" t="str">
        <x:v>E_Vehiculo</x:v>
      </x:c>
      <x:c r="F17" t="str">
        <x:v>consultarOtrosVehiculosActivos(idUsuario,idVehiculo)</x:v>
      </x:c>
      <x:c r="G17" t="str">
        <x:v>Identifica otros activos no eliminados para anticipar quién quedaría como principal sin activar los inactivos.</x:v>
      </x:c>
      <x:c r="H17" t="str">
        <x:v>BASE</x:v>
      </x:c>
    </x:row>
    <x:row r="18">
      <x:c r="A18" t="n">
        <x:v>12</x:v>
      </x:c>
      <x:c r="B18" t="str">
        <x:v>B2</x:v>
      </x:c>
      <x:c r="C18" t="str">
        <x:v>E_Vehiculo</x:v>
      </x:c>
      <x:c r="D18" t="str">
        <x:v>◄ ─ ─ (return)</x:v>
      </x:c>
      <x:c r="E18" t="str">
        <x:v>C_ControlEliminacionVehiculo</x:v>
      </x:c>
      <x:c r="F18" t="str">
        <x:v>retornarActivosRestantes(lista,versionCuenta)</x:v>
      </x:c>
      <x:c r="G18" t="str">
        <x:v>Incluye fechaAlta + idVehiculo para orden estable de posible reemplazo.</x:v>
      </x:c>
      <x:c r="H18" t="str">
        <x:v>BASE</x:v>
      </x:c>
    </x:row>
    <x:row r="19">
      <x:c r="A19" t="n">
        <x:v>13</x:v>
      </x:c>
      <x:c r="B19" t="str">
        <x:v>B2</x:v>
      </x:c>
      <x:c r="C19" t="str">
        <x:v>C_ControlEliminacionVehiculo</x:v>
      </x:c>
      <x:c r="D19" t="str">
        <x:v>↩ (auto-msg)</x:v>
      </x:c>
      <x:c r="E19" t="str">
        <x:v>C_ControlEliminacionVehiculo</x:v>
      </x:c>
      <x:c r="F19" t="str">
        <x:v>prepararAdvertenciaEliminacion(resumen,lista)</x:v>
      </x:c>
      <x:c r="G19" t="str">
        <x:v>Explica baja lógica, desaparición de RF09/10, suspensión de emisiones y preservación interna; si es principal, informa reemplazo o ausencia.</x:v>
      </x:c>
      <x:c r="H19" t="str">
        <x:v>BASE</x:v>
      </x:c>
    </x:row>
    <x:row r="20">
      <x:c r="A20" t="n">
        <x:v>14</x:v>
      </x:c>
      <x:c r="B20" t="str">
        <x:v>B2</x:v>
      </x:c>
      <x:c r="C20" t="str">
        <x:v>C_ControlEliminacionVehiculo</x:v>
      </x:c>
      <x:c r="D20" t="str">
        <x:v>───► (llamada)</x:v>
      </x:c>
      <x:c r="E20" t="str">
        <x:v>I_ConfirmacionOperacion</x:v>
      </x:c>
      <x:c r="F20" t="str">
        <x:v>mostrarConfirmacionEliminarVehiculo(resumen,impactoPrincipal)</x:v>
      </x:c>
      <x:c r="G20" t="str">
        <x:v>Muestra placa y nombre identificables, botones Eliminar/Cancelar; no ofrece recuperación a 30 días (esa regla solo es RF07).</x:v>
      </x:c>
      <x:c r="H20" t="str">
        <x:v>BASE</x:v>
      </x:c>
    </x:row>
    <x:row r="21">
      <x:c r="A21" t="n">
        <x:v>15</x:v>
      </x:c>
      <x:c r="B21" t="str">
        <x:v>B2</x:v>
      </x:c>
      <x:c r="C21" t="str">
        <x:v>I_ConfirmacionOperacion</x:v>
      </x:c>
      <x:c r="D21" t="str">
        <x:v>───► (llamada)</x:v>
      </x:c>
      <x:c r="E21" t="str">
        <x:v>AS_Usuario</x:v>
      </x:c>
      <x:c r="F21" t="str">
        <x:v>visualizarConfirmacionYConsecuencias()</x:v>
      </x:c>
      <x:c r="G21" t="str">
        <x:v>El usuario conoce que no hay restauración disponible en el MVP; puede cancelar sin persistir.</x:v>
      </x:c>
      <x:c r="H21" t="str">
        <x:v>BASE</x:v>
      </x:c>
    </x:row>
    <x:row r="22">
      <x:c r="A22" t="str">
        <x:v>BLOQUE 3 · CONFIRMACIÓN, DOBLE AUTORIZACIÓN E IDEMPOTENCIA</x:v>
      </x:c>
      <x:c r="B22"/>
      <x:c r="C22"/>
      <x:c r="D22"/>
      <x:c r="E22"/>
      <x:c r="F22"/>
      <x:c r="G22"/>
      <x:c r="H22"/>
    </x:row>
    <x:row r="23">
      <x:c r="A23" t="n">
        <x:v>16</x:v>
      </x:c>
      <x:c r="B23" t="str">
        <x:v>B3</x:v>
      </x:c>
      <x:c r="C23" t="str">
        <x:v>AS_Usuario</x:v>
      </x:c>
      <x:c r="D23" t="str">
        <x:v>───► (llamada)</x:v>
      </x:c>
      <x:c r="E23" t="str">
        <x:v>I_ConfirmacionOperacion</x:v>
      </x:c>
      <x:c r="F23" t="str">
        <x:v>confirmarEliminarVehiculo()</x:v>
      </x:c>
      <x:c r="G23" t="str">
        <x:v>Confirma una vez la operación de baja lógica.</x:v>
      </x:c>
      <x:c r="H23" t="str">
        <x:v>BASE</x:v>
      </x:c>
    </x:row>
    <x:row r="24">
      <x:c r="A24" t="n">
        <x:v>17</x:v>
      </x:c>
      <x:c r="B24" t="str">
        <x:v>B3</x:v>
      </x:c>
      <x:c r="C24" t="str">
        <x:v>I_ConfirmacionOperacion</x:v>
      </x:c>
      <x:c r="D24" t="str">
        <x:v>───► (llamada)</x:v>
      </x:c>
      <x:c r="E24" t="str">
        <x:v>C_ControlEliminacionVehiculo</x:v>
      </x:c>
      <x:c r="F24" t="str">
        <x:v>enviarConfirmacion(idVehiculo,idOperacion,versionVista)</x:v>
      </x:c>
      <x:c r="G24" t="str">
        <x:v>idOperacion estable por intento, generado antes del primer POST; la identidad se obtiene del token de sesión.</x:v>
      </x:c>
      <x:c r="H24" t="str">
        <x:v>BASE</x:v>
      </x:c>
    </x:row>
    <x:row r="25">
      <x:c r="A25" t="n">
        <x:v>18</x:v>
      </x:c>
      <x:c r="B25" t="str">
        <x:v>B3</x:v>
      </x:c>
      <x:c r="C25" t="str">
        <x:v>C_ControlEliminacionVehiculo</x:v>
      </x:c>
      <x:c r="D25" t="str">
        <x:v>───► (llamada)</x:v>
      </x:c>
      <x:c r="E25" t="str">
        <x:v>C_ControlAutorizacion</x:v>
      </x:c>
      <x:c r="F25" t="str">
        <x:v>revalidarPermisoAntesDeEscribir()</x:v>
      </x:c>
      <x:c r="G25" t="str">
        <x:v>Rechaza cuenta suspendida, pendiente de eliminación, sesión vencida o sin privilegios (EA02).</x:v>
      </x:c>
      <x:c r="H25" t="str">
        <x:v>BASE</x:v>
      </x:c>
    </x:row>
    <x:row r="26">
      <x:c r="A26" t="n">
        <x:v>19</x:v>
      </x:c>
      <x:c r="B26" t="str">
        <x:v>B3</x:v>
      </x:c>
      <x:c r="C26" t="str">
        <x:v>C_ControlAutorizacion</x:v>
      </x:c>
      <x:c r="D26" t="str">
        <x:v>◄ ─ ─ (return)</x:v>
      </x:c>
      <x:c r="E26" t="str">
        <x:v>C_ControlEliminacionVehiculo</x:v>
      </x:c>
      <x:c r="F26" t="str">
        <x:v>retornarTitularAutorizado(idUsuario)</x:v>
      </x:c>
      <x:c r="G26" t="str">
        <x:v>La operación protegida solo continúa con cuenta ACTIVA.</x:v>
      </x:c>
      <x:c r="H26" t="str">
        <x:v>BASE</x:v>
      </x:c>
    </x:row>
    <x:row r="27">
      <x:c r="A27" t="n">
        <x:v>20</x:v>
      </x:c>
      <x:c r="B27" t="str">
        <x:v>B3</x:v>
      </x:c>
      <x:c r="C27" t="str">
        <x:v>C_ControlEliminacionVehiculo</x:v>
      </x:c>
      <x:c r="D27" t="str">
        <x:v>───► (llamada)</x:v>
      </x:c>
      <x:c r="E27" t="str">
        <x:v>E_Operacion</x:v>
      </x:c>
      <x:c r="F27" t="str">
        <x:v>resolverIdempotencia(idUsuario,RF065,idOperacion,hashPayload)</x:v>
      </x:c>
      <x:c r="G27" t="str">
        <x:v>ANTES del bloqueo/cambio: CONFIRMADA+hash idéntico devuelve mismo resultado (EA04); hash diferente EA05; EN_PROCESO EA06.</x:v>
      </x:c>
      <x:c r="H27" t="str">
        <x:v>BASE</x:v>
      </x:c>
    </x:row>
    <x:row r="28">
      <x:c r="A28" t="n">
        <x:v>21</x:v>
      </x:c>
      <x:c r="B28" t="str">
        <x:v>B3</x:v>
      </x:c>
      <x:c r="C28" t="str">
        <x:v>E_Operacion</x:v>
      </x:c>
      <x:c r="D28" t="str">
        <x:v>◄ ─ ─ (return)</x:v>
      </x:c>
      <x:c r="E28" t="str">
        <x:v>C_ControlEliminacionVehiculo</x:v>
      </x:c>
      <x:c r="F28" t="str">
        <x:v>retornarOperacion(NUEVA)</x:v>
      </x:c>
      <x:c r="G28" t="str">
        <x:v>En el EF base, idOperacion es NUEVA; las ramas alternativas no ejecutan una segunda baja.</x:v>
      </x:c>
      <x:c r="H28" t="str">
        <x:v>BASE</x:v>
      </x:c>
    </x:row>
    <x:row r="29">
      <x:c r="A29" t="str">
        <x:v>BLOQUE 4 · BAJA LÓGICA + PRINCIPAL + AUDITORÍA EN UNA TRANSACCIÓN</x:v>
      </x:c>
      <x:c r="B29"/>
      <x:c r="C29"/>
      <x:c r="D29"/>
      <x:c r="E29"/>
      <x:c r="F29"/>
      <x:c r="G29"/>
      <x:c r="H29"/>
    </x:row>
    <x:row r="30">
      <x:c r="A30" t="n">
        <x:v>22</x:v>
      </x:c>
      <x:c r="B30" t="str">
        <x:v>B4</x:v>
      </x:c>
      <x:c r="C30" t="str">
        <x:v>C_ControlEliminacionVehiculo</x:v>
      </x:c>
      <x:c r="D30" t="str">
        <x:v>↩ (auto-msg)</x:v>
      </x:c>
      <x:c r="E30" t="str">
        <x:v>C_ControlEliminacionVehiculo</x:v>
      </x:c>
      <x:c r="F30" t="str">
        <x:v>iniciarTransaccionBD()</x:v>
      </x:c>
      <x:c r="G30" t="str">
        <x:v>Inicio transaccional real; mantener mismo orden de locks por usuario y vehículo que RF08, RF12, RF13 y conciliación RF30.</x:v>
      </x:c>
      <x:c r="H30" t="str">
        <x:v>BASE</x:v>
      </x:c>
    </x:row>
    <x:row r="31">
      <x:c r="A31" t="n">
        <x:v>23</x:v>
      </x:c>
      <x:c r="B31" t="str">
        <x:v>B4</x:v>
      </x:c>
      <x:c r="C31" t="str">
        <x:v>C_ControlEliminacionVehiculo</x:v>
      </x:c>
      <x:c r="D31" t="str">
        <x:v>───► (llamada)</x:v>
      </x:c>
      <x:c r="E31" t="str">
        <x:v>E_Usuario</x:v>
      </x:c>
      <x:c r="F31" t="str">
        <x:v>bloquearUsuarioYValidarCuentaACTIVA(idUsuario)</x:v>
      </x:c>
      <x:c r="G31" t="str">
        <x:v>SELECT ... FOR UPDATE del usuario (o lock de agregado) para serializar bajas/altas y principal; el backend controla titularidad.</x:v>
      </x:c>
      <x:c r="H31" t="str">
        <x:v>BASE</x:v>
      </x:c>
    </x:row>
    <x:row r="32">
      <x:c r="A32" t="n">
        <x:v>24</x:v>
      </x:c>
      <x:c r="B32" t="str">
        <x:v>B4</x:v>
      </x:c>
      <x:c r="C32" t="str">
        <x:v>E_Usuario</x:v>
      </x:c>
      <x:c r="D32" t="str">
        <x:v>◄ ─ ─ (return)</x:v>
      </x:c>
      <x:c r="E32" t="str">
        <x:v>C_ControlEliminacionVehiculo</x:v>
      </x:c>
      <x:c r="F32" t="str">
        <x:v>retornarUsuarioBloqueado(ACTIVA)</x:v>
      </x:c>
      <x:c r="G32" t="str">
        <x:v>Si la cuenta cambió de estado, ROLLBACK y EA02.</x:v>
      </x:c>
      <x:c r="H32" t="str">
        <x:v>BASE</x:v>
      </x:c>
    </x:row>
    <x:row r="33">
      <x:c r="A33" t="n">
        <x:v>25</x:v>
      </x:c>
      <x:c r="B33" t="str">
        <x:v>B4</x:v>
      </x:c>
      <x:c r="C33" t="str">
        <x:v>C_ControlEliminacionVehiculo</x:v>
      </x:c>
      <x:c r="D33" t="str">
        <x:v>───► (llamada)</x:v>
      </x:c>
      <x:c r="E33" t="str">
        <x:v>E_Vehiculo</x:v>
      </x:c>
      <x:c r="F33" t="str">
        <x:v>bloquearVehiculoPropioVigente(idUsuario,idVehiculo)</x:v>
      </x:c>
      <x:c r="G33" t="str">
        <x:v>Bloquea fila y verifica no ELIMINADO, pertenencia, versión y operación vigente; no confundir estado activo/inactivo con estado de registro.</x:v>
      </x:c>
      <x:c r="H33" t="str">
        <x:v>BASE</x:v>
      </x:c>
    </x:row>
    <x:row r="34">
      <x:c r="A34" t="n">
        <x:v>26</x:v>
      </x:c>
      <x:c r="B34" t="str">
        <x:v>B4</x:v>
      </x:c>
      <x:c r="C34" t="str">
        <x:v>E_Vehiculo</x:v>
      </x:c>
      <x:c r="D34" t="str">
        <x:v>◄ ─ ─ (return)</x:v>
      </x:c>
      <x:c r="E34" t="str">
        <x:v>C_ControlEliminacionVehiculo</x:v>
      </x:c>
      <x:c r="F34" t="str">
        <x:v>retornarVehiculoBloqueado(estado,esPrincipal,version)</x:v>
      </x:c>
      <x:c r="G34" t="str">
        <x:v>Si registro ya eliminado EA07; si cambió versión/datos clave respecto de confirmación EA08.</x:v>
      </x:c>
      <x:c r="H34" t="str">
        <x:v>BASE</x:v>
      </x:c>
    </x:row>
    <x:row r="35">
      <x:c r="A35" t="n">
        <x:v>27</x:v>
      </x:c>
      <x:c r="B35" t="str">
        <x:v>B4</x:v>
      </x:c>
      <x:c r="C35" t="str">
        <x:v>C_ControlEliminacionVehiculo</x:v>
      </x:c>
      <x:c r="D35" t="str">
        <x:v>───► (llamada)</x:v>
      </x:c>
      <x:c r="E35" t="str">
        <x:v>E_Vehiculo</x:v>
      </x:c>
      <x:c r="F35" t="str">
        <x:v>consultarActivosVigentesBajoBloqueo(idUsuario,idVehiculo)</x:v>
      </x:c>
      <x:c r="G35" t="str">
        <x:v>Vuelve a obtener otros ACTIVO y NO ELIMINADO dentro de transacción; resultados del diálogo no son fuente de verdad.</x:v>
      </x:c>
      <x:c r="H35" t="str">
        <x:v>BASE</x:v>
      </x:c>
    </x:row>
    <x:row r="36">
      <x:c r="A36" t="n">
        <x:v>28</x:v>
      </x:c>
      <x:c r="B36" t="str">
        <x:v>B4</x:v>
      </x:c>
      <x:c r="C36" t="str">
        <x:v>E_Vehiculo</x:v>
      </x:c>
      <x:c r="D36" t="str">
        <x:v>◄ ─ ─ (return)</x:v>
      </x:c>
      <x:c r="E36" t="str">
        <x:v>C_ControlEliminacionVehiculo</x:v>
      </x:c>
      <x:c r="F36" t="str">
        <x:v>retornarActivosCandidatos(listaOrdenada)</x:v>
      </x:c>
      <x:c r="G36" t="str">
        <x:v>Orden por fechaAlta ASC, idVehiculo ASC. Los inactivos no son candidatos; no se reactiva ninguno.</x:v>
      </x:c>
      <x:c r="H36" t="str">
        <x:v>BASE</x:v>
      </x:c>
    </x:row>
    <x:row r="37">
      <x:c r="A37" t="n">
        <x:v>29</x:v>
      </x:c>
      <x:c r="B37" t="str">
        <x:v>B4</x:v>
      </x:c>
      <x:c r="C37" t="str">
        <x:v>C_ControlEliminacionVehiculo</x:v>
      </x:c>
      <x:c r="D37" t="str">
        <x:v>↩ (auto-msg)</x:v>
      </x:c>
      <x:c r="E37" t="str">
        <x:v>C_ControlEliminacionVehiculo</x:v>
      </x:c>
      <x:c r="F37" t="str">
        <x:v>resolverPrincipalResultante(esPrincipal,listaActiva)</x:v>
      </x:c>
      <x:c r="G37" t="str">
        <x:v>Si no era principal, conservar el principal vigente (si falta, regularizar con el activo más antiguo); si era principal, escoger el más antiguo ACTIVO restante (EA09) o ninguno (EA10).</x:v>
      </x:c>
      <x:c r="H37" t="str">
        <x:v>BASE</x:v>
      </x:c>
    </x:row>
    <x:row r="38">
      <x:c r="A38" t="n">
        <x:v>30</x:v>
      </x:c>
      <x:c r="B38" t="str">
        <x:v>B4</x:v>
      </x:c>
      <x:c r="C38" t="str">
        <x:v>C_ControlEliminacionVehiculo</x:v>
      </x:c>
      <x:c r="D38" t="str">
        <x:v>───► (llamada)</x:v>
      </x:c>
      <x:c r="E38" t="str">
        <x:v>E_Vehiculo</x:v>
      </x:c>
      <x:c r="F38" t="str">
        <x:v>marcarBajaLogica(idVehiculo,ELIMINADO,fechaUTC,versionNueva)</x:v>
      </x:c>
      <x:c r="G38" t="str">
        <x:v>EstadoRegistro=ELIMINADO, esPrincipal=false y excluido de consultas/cupo; conserva idVehiculo y todas las FK históricas. La escritura exige condición de versión.</x:v>
      </x:c>
      <x:c r="H38" t="str">
        <x:v>BASE</x:v>
      </x:c>
    </x:row>
    <x:row r="39">
      <x:c r="A39" t="n">
        <x:v>31</x:v>
      </x:c>
      <x:c r="B39" t="str">
        <x:v>B4</x:v>
      </x:c>
      <x:c r="C39" t="str">
        <x:v>E_Vehiculo</x:v>
      </x:c>
      <x:c r="D39" t="str">
        <x:v>◄ ─ ─ (return)</x:v>
      </x:c>
      <x:c r="E39" t="str">
        <x:v>C_ControlEliminacionVehiculo</x:v>
      </x:c>
      <x:c r="F39" t="str">
        <x:v>retornarBajaLogicaAplicada(filas=1)</x:v>
      </x:c>
      <x:c r="G39" t="str">
        <x:v>Se verifica exactamente una fila; nunca fingir éxito si el UPDATE no afectó una fila.</x:v>
      </x:c>
      <x:c r="H39" t="str">
        <x:v>BASE</x:v>
      </x:c>
    </x:row>
    <x:row r="40">
      <x:c r="A40" t="n">
        <x:v>32</x:v>
      </x:c>
      <x:c r="B40" t="str">
        <x:v>B4</x:v>
      </x:c>
      <x:c r="C40" t="str">
        <x:v>C_ControlEliminacionVehiculo</x:v>
      </x:c>
      <x:c r="D40" t="str">
        <x:v>───► (llamada)</x:v>
      </x:c>
      <x:c r="E40" t="str">
        <x:v>E_Vehiculo</x:v>
      </x:c>
      <x:c r="F40" t="str">
        <x:v>garantizarPrincipalExclusivo(idUsuario,idNuevoPrincipalOpcional)</x:v>
      </x:c>
      <x:c r="G40" t="str">
        <x:v>En la misma transacción: conservar principal existente si era otro, o asignar elegido, o dejar sin principal si no quedan activos.</x:v>
      </x:c>
      <x:c r="H40" t="str">
        <x:v>BASE</x:v>
      </x:c>
    </x:row>
    <x:row r="41">
      <x:c r="A41" t="n">
        <x:v>33</x:v>
      </x:c>
      <x:c r="B41" t="str">
        <x:v>B4</x:v>
      </x:c>
      <x:c r="C41" t="str">
        <x:v>E_Vehiculo</x:v>
      </x:c>
      <x:c r="D41" t="str">
        <x:v>◄ ─ ─ (return)</x:v>
      </x:c>
      <x:c r="E41" t="str">
        <x:v>C_ControlEliminacionVehiculo</x:v>
      </x:c>
      <x:c r="F41" t="str">
        <x:v>retornarPrincipalResultante(idPrincipal|null)</x:v>
      </x:c>
      <x:c r="G41" t="str">
        <x:v>Confirma a lo sumo un principal, que debe ser ACTIVO y NO ELIMINADO.</x:v>
      </x:c>
      <x:c r="H41" t="str">
        <x:v>BASE</x:v>
      </x:c>
    </x:row>
    <x:row r="42">
      <x:c r="A42" t="n">
        <x:v>34</x:v>
      </x:c>
      <x:c r="B42" t="str">
        <x:v>B4</x:v>
      </x:c>
      <x:c r="C42" t="str">
        <x:v>C_ControlEliminacionVehiculo</x:v>
      </x:c>
      <x:c r="D42" t="str">
        <x:v>───► (llamada)</x:v>
      </x:c>
      <x:c r="E42" t="str">
        <x:v>E_Auditoria</x:v>
      </x:c>
      <x:c r="F42" t="str">
        <x:v>registrarBajaVehiculo(idUsuario,idVehiculo,estadoAnterior,fechaUTC)</x:v>
      </x:c>
      <x:c r="G42" t="str">
        <x:v>Registro auditable de actor, vehículo y resultado; no crear una nueva entidad de vehículo ni modificar historiales antiguos.</x:v>
      </x:c>
      <x:c r="H42" t="str">
        <x:v>BASE</x:v>
      </x:c>
    </x:row>
    <x:row r="43">
      <x:c r="A43" t="n">
        <x:v>35</x:v>
      </x:c>
      <x:c r="B43" t="str">
        <x:v>B4</x:v>
      </x:c>
      <x:c r="C43" t="str">
        <x:v>E_Auditoria</x:v>
      </x:c>
      <x:c r="D43" t="str">
        <x:v>◄ ─ ─ (return)</x:v>
      </x:c>
      <x:c r="E43" t="str">
        <x:v>C_ControlEliminacionVehiculo</x:v>
      </x:c>
      <x:c r="F43" t="str">
        <x:v>retornarEventoAuditado(idEvento)</x:v>
      </x:c>
      <x:c r="G43" t="str">
        <x:v>Auditoría escrita en la misma transacción.</x:v>
      </x:c>
      <x:c r="H43" t="str">
        <x:v>BASE</x:v>
      </x:c>
    </x:row>
    <x:row r="44">
      <x:c r="A44" t="n">
        <x:v>36</x:v>
      </x:c>
      <x:c r="B44" t="str">
        <x:v>B4</x:v>
      </x:c>
      <x:c r="C44" t="str">
        <x:v>C_ControlEliminacionVehiculo</x:v>
      </x:c>
      <x:c r="D44" t="str">
        <x:v>───► (llamada)</x:v>
      </x:c>
      <x:c r="E44" t="str">
        <x:v>E_Operacion</x:v>
      </x:c>
      <x:c r="F44" t="str">
        <x:v>registrarOperacionConfirmada(idOperacion,hash,resultado)</x:v>
      </x:c>
      <x:c r="G44" t="str">
        <x:v>Persistir estado CONFIRMADA y respuesta reutilizable en reintentos sin repetir eliminación.</x:v>
      </x:c>
      <x:c r="H44" t="str">
        <x:v>BASE</x:v>
      </x:c>
    </x:row>
    <x:row r="45">
      <x:c r="A45" t="n">
        <x:v>37</x:v>
      </x:c>
      <x:c r="B45" t="str">
        <x:v>B4</x:v>
      </x:c>
      <x:c r="C45" t="str">
        <x:v>E_Operacion</x:v>
      </x:c>
      <x:c r="D45" t="str">
        <x:v>◄ ─ ─ (return)</x:v>
      </x:c>
      <x:c r="E45" t="str">
        <x:v>C_ControlEliminacionVehiculo</x:v>
      </x:c>
      <x:c r="F45" t="str">
        <x:v>retornarComprobanteIdempotente()</x:v>
      </x:c>
      <x:c r="G45" t="str">
        <x:v>Comprobante preparado dentro de la transacción.</x:v>
      </x:c>
      <x:c r="H45" t="str">
        <x:v>BASE</x:v>
      </x:c>
    </x:row>
    <x:row r="46">
      <x:c r="A46" t="n">
        <x:v>38</x:v>
      </x:c>
      <x:c r="B46" t="str">
        <x:v>B4</x:v>
      </x:c>
      <x:c r="C46" t="str">
        <x:v>C_ControlEliminacionVehiculo</x:v>
      </x:c>
      <x:c r="D46" t="str">
        <x:v>───► (llamada)</x:v>
      </x:c>
      <x:c r="E46" t="str">
        <x:v>E_EventoOutbox</x:v>
      </x:c>
      <x:c r="F46" t="str">
        <x:v>registrarEventoPostCommit(VEHICULO_ELIMINADO,idVehiculo)</x:v>
      </x:c>
      <x:c r="G46" t="str">
        <x:v>Evento transaccional para invalidar cachés y reconciliar colas de avisos sin afectar la coherencia del COMMIT.</x:v>
      </x:c>
      <x:c r="H46" t="str">
        <x:v>BASE</x:v>
      </x:c>
    </x:row>
    <x:row r="47">
      <x:c r="A47" t="n">
        <x:v>39</x:v>
      </x:c>
      <x:c r="B47" t="str">
        <x:v>B4</x:v>
      </x:c>
      <x:c r="C47" t="str">
        <x:v>E_EventoOutbox</x:v>
      </x:c>
      <x:c r="D47" t="str">
        <x:v>◄ ─ ─ (return)</x:v>
      </x:c>
      <x:c r="E47" t="str">
        <x:v>C_ControlEliminacionVehiculo</x:v>
      </x:c>
      <x:c r="F47" t="str">
        <x:v>retornarEventoEncolado()</x:v>
      </x:c>
      <x:c r="G47" t="str">
        <x:v>Outbox persistido para reintentos seguros.</x:v>
      </x:c>
      <x:c r="H47" t="str">
        <x:v>BASE</x:v>
      </x:c>
    </x:row>
    <x:row r="48">
      <x:c r="A48" t="n">
        <x:v>40</x:v>
      </x:c>
      <x:c r="B48" t="str">
        <x:v>B4</x:v>
      </x:c>
      <x:c r="C48" t="str">
        <x:v>C_ControlEliminacionVehiculo</x:v>
      </x:c>
      <x:c r="D48" t="str">
        <x:v>↩ (auto-msg)</x:v>
      </x:c>
      <x:c r="E48" t="str">
        <x:v>C_ControlEliminacionVehiculo</x:v>
      </x:c>
      <x:c r="F48" t="str">
        <x:v>confirmarTransaccion(COMMIT)</x:v>
      </x:c>
      <x:c r="G48" t="str">
        <x:v>COMMIT único: baja, principal, auditoría, idempotencia y outbox. Ante error ROLLBACK total (EA11).</x:v>
      </x:c>
      <x:c r="H48" t="str">
        <x:v>BASE</x:v>
      </x:c>
    </x:row>
    <x:row r="49">
      <x:c r="A49" t="str">
        <x:v>BLOQUE 5 · RESULTADO Y NAVEGACIÓN POR RF09</x:v>
      </x:c>
      <x:c r="B49"/>
      <x:c r="C49"/>
      <x:c r="D49"/>
      <x:c r="E49"/>
      <x:c r="F49"/>
      <x:c r="G49"/>
      <x:c r="H49"/>
    </x:row>
    <x:row r="50">
      <x:c r="A50" t="n">
        <x:v>41</x:v>
      </x:c>
      <x:c r="B50" t="str">
        <x:v>B5</x:v>
      </x:c>
      <x:c r="C50" t="str">
        <x:v>C_ControlEliminacionVehiculo</x:v>
      </x:c>
      <x:c r="D50" t="str">
        <x:v>───► (llamada)</x:v>
      </x:c>
      <x:c r="E50" t="str">
        <x:v>C_ControlListadoVehiculos</x:v>
      </x:c>
      <x:c r="F50" t="str">
        <x:v>solicitarListadoVigenteActualizado(idUsuario)</x:v>
      </x:c>
      <x:c r="G50" t="str">
        <x:v>Solicita reconstruir RF09 sin introducir bajas lógicas en la lista de activos/inactivos.</x:v>
      </x:c>
      <x:c r="H50" t="str">
        <x:v>BASE</x:v>
      </x:c>
    </x:row>
    <x:row r="51">
      <x:c r="A51" t="n">
        <x:v>42</x:v>
      </x:c>
      <x:c r="B51" t="str">
        <x:v>B5</x:v>
      </x:c>
      <x:c r="C51" t="str">
        <x:v>C_ControlListadoVehiculos</x:v>
      </x:c>
      <x:c r="D51" t="str">
        <x:v>───► (llamada)</x:v>
      </x:c>
      <x:c r="E51" t="str">
        <x:v>E_Vehiculo</x:v>
      </x:c>
      <x:c r="F51" t="str">
        <x:v>consultarVehiculosRegistradosNoEliminados(idUsuario)</x:v>
      </x:c>
      <x:c r="G51" t="str">
        <x:v>Filtro estadoRegistro=VIGENTE; total para FREE y contadores RF09 excluye el registro eliminado.</x:v>
      </x:c>
      <x:c r="H51" t="str">
        <x:v>BASE</x:v>
      </x:c>
    </x:row>
    <x:row r="52">
      <x:c r="A52" t="n">
        <x:v>43</x:v>
      </x:c>
      <x:c r="B52" t="str">
        <x:v>B5</x:v>
      </x:c>
      <x:c r="C52" t="str">
        <x:v>E_Vehiculo</x:v>
      </x:c>
      <x:c r="D52" t="str">
        <x:v>◄ ─ ─ (return)</x:v>
      </x:c>
      <x:c r="E52" t="str">
        <x:v>C_ControlListadoVehiculos</x:v>
      </x:c>
      <x:c r="F52" t="str">
        <x:v>retornarVehiculosYPrincipal(lista,principal)</x:v>
      </x:c>
      <x:c r="G52" t="str">
        <x:v>Devuelve solo activos/inactivos vigentes y el nuevo principal o ninguno.</x:v>
      </x:c>
      <x:c r="H52" t="str">
        <x:v>BASE</x:v>
      </x:c>
    </x:row>
    <x:row r="53">
      <x:c r="A53" t="n">
        <x:v>44</x:v>
      </x:c>
      <x:c r="B53" t="str">
        <x:v>B5</x:v>
      </x:c>
      <x:c r="C53" t="str">
        <x:v>C_ControlListadoVehiculos</x:v>
      </x:c>
      <x:c r="D53" t="str">
        <x:v>◄ ─ ─ (return)</x:v>
      </x:c>
      <x:c r="E53" t="str">
        <x:v>C_ControlEliminacionVehiculo</x:v>
      </x:c>
      <x:c r="F53" t="str">
        <x:v>retornarListadoActualizado(lista,principal)</x:v>
      </x:c>
      <x:c r="G53" t="str">
        <x:v>Lista recuperada sin modificar historial KM, mantenimiento, alertas ni documentos.</x:v>
      </x:c>
      <x:c r="H53" t="str">
        <x:v>BASE</x:v>
      </x:c>
    </x:row>
    <x:row r="54">
      <x:c r="A54" t="n">
        <x:v>45</x:v>
      </x:c>
      <x:c r="B54" t="str">
        <x:v>B5</x:v>
      </x:c>
      <x:c r="C54" t="str">
        <x:v>C_ControlEliminacionVehiculo</x:v>
      </x:c>
      <x:c r="D54" t="str">
        <x:v>───► (llamada)</x:v>
      </x:c>
      <x:c r="E54" t="str">
        <x:v>I_Autos</x:v>
      </x:c>
      <x:c r="F54" t="str">
        <x:v>mostrarEliminacionExitosaYListado(resultado,lista)</x:v>
      </x:c>
      <x:c r="G54" t="str">
        <x:v>Confirma solo tras COMMIT. Si fue último vehículo, lista vacía con opción de agregar; si queda inactivo sin principal, no lo activa automáticamente.</x:v>
      </x:c>
      <x:c r="H54" t="str">
        <x:v>BASE</x:v>
      </x:c>
    </x:row>
    <x:row r="55">
      <x:c r="A55" t="n">
        <x:v>46</x:v>
      </x:c>
      <x:c r="B55" t="str">
        <x:v>B5</x:v>
      </x:c>
      <x:c r="C55" t="str">
        <x:v>I_Autos</x:v>
      </x:c>
      <x:c r="D55" t="str">
        <x:v>───► (llamada)</x:v>
      </x:c>
      <x:c r="E55" t="str">
        <x:v>AS_Usuario</x:v>
      </x:c>
      <x:c r="F55" t="str">
        <x:v>visualizarBajaExitosaYVehiculos()</x:v>
      </x:c>
      <x:c r="G55" t="str">
        <x:v>El usuario observa que el vehículo ya no aparece en Mis vehículos ni en selectores operativos.</x:v>
      </x:c>
      <x:c r="H55" t="str">
        <x:v>BASE</x:v>
      </x:c>
    </x:row>
    <x:row r="56">
      <x:c r="A56" t="str">
        <x:v>BLOQUE 6 · POST-COMMIT FUTURO: FILTROS Y EVENTOS (NO BLOQUEANTE)</x:v>
      </x:c>
      <x:c r="B56"/>
      <x:c r="C56"/>
      <x:c r="D56"/>
      <x:c r="E56"/>
      <x:c r="F56"/>
      <x:c r="G56"/>
      <x:c r="H56"/>
    </x:row>
    <x:row r="57">
      <x:c r="A57" t="n">
        <x:v>47</x:v>
      </x:c>
      <x:c r="B57" t="str">
        <x:v>B6</x:v>
      </x:c>
      <x:c r="C57" t="str">
        <x:v>C_ProcesadorOutbox</x:v>
      </x:c>
      <x:c r="D57" t="str">
        <x:v>───► (llamada)</x:v>
      </x:c>
      <x:c r="E57" t="str">
        <x:v>E_EventoOutbox</x:v>
      </x:c>
      <x:c r="F57" t="str">
        <x:v>consultarEventoPendiente(VEHICULO_ELIMINADO)</x:v>
      </x:c>
      <x:c r="G57" t="str">
        <x:v>Worker post-COMMIT lee eventos pendientes; si falla se conserva la cola para reintento.</x:v>
      </x:c>
      <x:c r="H57" t="str">
        <x:v>POST-COMMIT</x:v>
      </x:c>
    </x:row>
    <x:row r="58">
      <x:c r="A58" t="n">
        <x:v>48</x:v>
      </x:c>
      <x:c r="B58" t="str">
        <x:v>B6</x:v>
      </x:c>
      <x:c r="C58" t="str">
        <x:v>E_EventoOutbox</x:v>
      </x:c>
      <x:c r="D58" t="str">
        <x:v>◄ ─ ─ (return)</x:v>
      </x:c>
      <x:c r="E58" t="str">
        <x:v>C_ProcesadorOutbox</x:v>
      </x:c>
      <x:c r="F58" t="str">
        <x:v>retornarVehiculoEliminado(idVehiculo)</x:v>
      </x:c>
      <x:c r="G58" t="str">
        <x:v>Devuelve evento persistido y confirmado; no es una escritura del RF23.</x:v>
      </x:c>
      <x:c r="H58" t="str">
        <x:v>POST-COMMIT</x:v>
      </x:c>
    </x:row>
    <x:row r="59">
      <x:c r="A59" t="n">
        <x:v>49</x:v>
      </x:c>
      <x:c r="B59" t="str">
        <x:v>B6</x:v>
      </x:c>
      <x:c r="C59" t="str">
        <x:v>C_ProcesadorOutbox</x:v>
      </x:c>
      <x:c r="D59" t="str">
        <x:v>───► (llamada)</x:v>
      </x:c>
      <x:c r="E59" t="str">
        <x:v>C_ControlRecordatorioKilometraje</x:v>
      </x:c>
      <x:c r="F59" t="str">
        <x:v>invalidarProgramacionLocal(idVehiculo)</x:v>
      </x:c>
      <x:c r="G59" t="str">
        <x:v>El programador RF44 siempre valida VIGENTE en backend para impedir emisiones, aun si worker falla.</x:v>
      </x:c>
      <x:c r="H59" t="str">
        <x:v>POST-COMMIT</x:v>
      </x:c>
    </x:row>
    <x:row r="60">
      <x:c r="A60" t="n">
        <x:v>50</x:v>
      </x:c>
      <x:c r="B60" t="str">
        <x:v>B6</x:v>
      </x:c>
      <x:c r="C60" t="str">
        <x:v>C_ProcesadorOutbox</x:v>
      </x:c>
      <x:c r="D60" t="str">
        <x:v>───► (llamada)</x:v>
      </x:c>
      <x:c r="E60" t="str">
        <x:v>C_ControlAlerta</x:v>
      </x:c>
      <x:c r="F60" t="str">
        <x:v>suprimirAvisosFuturos(idVehiculo)</x:v>
      </x:c>
      <x:c r="G60" t="str">
        <x:v>No recalcula RF23 ni inventa transiciones; preserva E_Alerta e historial.</x:v>
      </x:c>
      <x:c r="H60" t="str">
        <x:v>POST-COMMIT</x:v>
      </x:c>
    </x:row>
    <x:row r="61">
      <x:c r="A61" t="n">
        <x:v>51</x:v>
      </x:c>
      <x:c r="B61" t="str">
        <x:v>B6</x:v>
      </x:c>
      <x:c r="C61" t="str">
        <x:v>C_ProcesadorOutbox</x:v>
      </x:c>
      <x:c r="D61" t="str">
        <x:v>───► (llamada)</x:v>
      </x:c>
      <x:c r="E61" t="str">
        <x:v>C_ControlNotificacion</x:v>
      </x:c>
      <x:c r="F61" t="str">
        <x:v>retirarVehiculoDeColasFuturas(idVehiculo)</x:v>
      </x:c>
      <x:c r="G61" t="str">
        <x:v>No afecta licencia PERSONAL; una falla se reintenta mediante outbox EA12.</x:v>
      </x:c>
      <x:c r="H61" t="str">
        <x:v>POST-COMMIT</x:v>
      </x:c>
    </x:row>
    <x:row r="62">
      <x:c r="A62"/>
      <x:c r="B62"/>
      <x:c r="C62"/>
      <x:c r="D62"/>
      <x:c r="E62"/>
      <x:c r="F62"/>
      <x:c r="G62"/>
      <x:c r="H62"/>
    </x:row>
    <x:row r="63">
      <x:c r="A63" t="str">
        <x:v>INVARIANTE: hasta COMMIT no existe éxito. RF23 NO cambia estados por eliminar; RF07 sí tiene 30 días, RF65 NO.</x:v>
      </x:c>
      <x:c r="B63"/>
      <x:c r="C63"/>
      <x:c r="D63"/>
      <x:c r="E63"/>
      <x:c r="F63"/>
      <x:c r="G63"/>
      <x:c r="H63"/>
    </x:row>
  </x:sheetData>
  <x:mergeCells>
    <x:mergeCell ref="A1:H1"/>
    <x:mergeCell ref="A2:H2"/>
    <x:mergeCell ref="A5:H5"/>
    <x:mergeCell ref="A14:H14"/>
    <x:mergeCell ref="A22:H22"/>
    <x:mergeCell ref="A29:H29"/>
    <x:mergeCell ref="A49:H49"/>
    <x:mergeCell ref="A56:H56"/>
    <x:mergeCell ref="A63:H63"/>
  </x:mergeCells>
  <x:pageMargins left="0.7" right="0.7" top="0.75" bottom="0.75" header="0.3" footer="0.3"/>
</x:worksheet>
</file>

<file path=xl/worksheets/sheet136.xml><?xml version="1.0" encoding="utf-8"?>
<x:worksheet xmlns:x="http://schemas.openxmlformats.org/spreadsheetml/2006/main">
  <x:sheetFormatPr defaultRowHeight="15"/>
  <x:cols>
    <x:col min="1" max="1" width="13" hidden="0" customWidth="1"/>
    <x:col min="2" max="2" width="42" hidden="0" customWidth="1"/>
    <x:col min="3" max="3" width="90" hidden="0" customWidth="1"/>
    <x:col min="4" max="4" width="28" hidden="0" customWidth="1"/>
    <x:col min="5" max="5" width="53" hidden="0" customWidth="1"/>
    <x:col min="6" max="6" width="66" hidden="0" customWidth="1"/>
    <x:col min="7" max="7" width="16" hidden="0" customWidth="1"/>
    <x:col min="8" max="8" width="16" hidden="0" customWidth="1"/>
  </x:cols>
  <x:sheetData>
    <x:row r="1" ht="32" customHeight="1">
      <x:c r="A1" t="str">
        <x:v>RF-065 · REGLAS DE NEGOCIO Y NIVEL DE APROBACIÓN</x:v>
      </x:c>
      <x:c r="B1"/>
      <x:c r="C1"/>
      <x:c r="D1"/>
      <x:c r="E1"/>
      <x:c r="F1"/>
      <x:c r="G1"/>
      <x:c r="H1"/>
    </x:row>
    <x:row r="2" ht="32" customHeight="1">
      <x:c r="A2" t="str">
        <x:v>Las reglas marcadas PROPUESTA o CAMBIO DE BD no existían congeladas: se deben validar ANTES de programar.</x:v>
      </x:c>
      <x:c r="B2"/>
      <x:c r="C2"/>
      <x:c r="D2"/>
      <x:c r="E2"/>
      <x:c r="F2"/>
      <x:c r="G2"/>
      <x:c r="H2"/>
    </x:row>
    <x:row r="3">
      <x:c r="A3"/>
      <x:c r="B3"/>
      <x:c r="C3"/>
      <x:c r="D3"/>
      <x:c r="E3"/>
      <x:c r="F3"/>
      <x:c r="G3"/>
      <x:c r="H3"/>
    </x:row>
    <x:row r="4" ht="30" customHeight="1">
      <x:c r="A4" t="str">
        <x:v>ID</x:v>
      </x:c>
      <x:c r="B4" t="str">
        <x:v>Regla</x:v>
      </x:c>
      <x:c r="C4" t="str">
        <x:v>Definición verificable</x:v>
      </x:c>
      <x:c r="D4" t="str">
        <x:v>Estado de decisión</x:v>
      </x:c>
      <x:c r="E4" t="str">
        <x:v>Fuente/derivación</x:v>
      </x:c>
      <x:c r="F4" t="str">
        <x:v>Impacto de implementación</x:v>
      </x:c>
      <x:c r="G4"/>
      <x:c r="H4"/>
    </x:row>
    <x:row r="5" ht="70" customHeight="1">
      <x:c r="A5" t="str">
        <x:v>RN65-01</x:v>
      </x:c>
      <x:c r="B5" t="str">
        <x:v>Borrado lógico de VEHICULO; no borrar en cascada las referencias FK</x:v>
      </x:c>
      <x:c r="C5" t="str">
        <x:v>El usuario deja de ver/operar el vehículo; los historiales quedan restringidos para integridad/retención según política legal. No se ofrece restauración automática.</x:v>
      </x:c>
      <x:c r="D5" t="str">
        <x:v>PROPUESTA NUEVA</x:v>
      </x:c>
      <x:c r="E5" t="str">
        <x:v>RF36 baja lógica / RF21 anulación lógica</x:v>
      </x:c>
      <x:c r="F5" t="str">
        <x:v>BD: estado_registro, eliminado_en, eliminado_por</x:v>
      </x:c>
      <x:c r="G5"/>
      <x:c r="H5"/>
    </x:row>
    <x:row r="6" ht="70" customHeight="1">
      <x:c r="A6" t="str">
        <x:v>RN65-02</x:v>
      </x:c>
      <x:c r="B6" t="str">
        <x:v>Solo titular autenticado con cuenta ACTIVA puede eliminar</x:v>
      </x:c>
      <x:c r="C6" t="str">
        <x:v>La identidad proviene del backend, nunca idUsuario libre; usuarios ajenos reciben respuesta indistinguible de inexistente.</x:v>
      </x:c>
      <x:c r="D6" t="str">
        <x:v>DERIVADA / CERRADA</x:v>
      </x:c>
      <x:c r="E6" t="str">
        <x:v>Acuerdos de sesión de Elsa / RF09-RF10</x:v>
      </x:c>
      <x:c r="F6" t="str">
        <x:v>API / autorización</x:v>
      </x:c>
      <x:c r="G6"/>
      <x:c r="H6"/>
    </x:row>
    <x:row r="7" ht="70" customHeight="1">
      <x:c r="A7" t="str">
        <x:v>RN65-03</x:v>
      </x:c>
      <x:c r="B7" t="str">
        <x:v>Puede solicitar eliminación de ACTIVO o INACTIVO</x:v>
      </x:c>
      <x:c r="C7" t="str">
        <x:v>Estado operativo distinto de estado de registro; ELIMINADO no es tercer estado operativo visible.</x:v>
      </x:c>
      <x:c r="D7" t="str">
        <x:v>PROPUESTA NUEVA</x:v>
      </x:c>
      <x:c r="E7" t="str">
        <x:v>RF09/RF10 consultan ambos estados</x:v>
      </x:c>
      <x:c r="F7" t="str">
        <x:v>Interfaz / BD</x:v>
      </x:c>
      <x:c r="G7"/>
      <x:c r="H7"/>
    </x:row>
    <x:row r="8">
      <x:c r="A8" t="str">
        <x:v>RN65-04</x:v>
      </x:c>
      <x:c r="B8" t="str">
        <x:v>Eliminar no es desactivar manualmente</x:v>
      </x:c>
      <x:c r="C8" t="str">
        <x:v>RF12 bloquea desactivar principal/último activo. RF65 es baja distinta: puede dejar lista vacía con advertencia explícita.</x:v>
      </x:c>
      <x:c r="D8" t="str">
        <x:v>PROPUESTA NUEVA</x:v>
      </x:c>
      <x:c r="E8" t="str">
        <x:v>RF12/RF13</x:v>
      </x:c>
      <x:c r="F8" t="str">
        <x:v>UX y reglas</x:v>
      </x:c>
      <x:c r="G8"/>
      <x:c r="H8"/>
    </x:row>
    <x:row r="9">
      <x:c r="A9" t="str">
        <x:v>RN65-05</x:v>
      </x:c>
      <x:c r="B9" t="str">
        <x:v>Si se elimina al principal, asignar otro ACTIVO más antiguo</x:v>
      </x:c>
      <x:c r="C9" t="str">
        <x:v>Orden fechaAlta asc, idVehiculo asc; cambio atómico; si no queda otro activo =&gt; ningún principal; no promover INACTIVO.</x:v>
      </x:c>
      <x:c r="D9" t="str">
        <x:v>DERIVADA + MECÁNICA PROPUESTA</x:v>
      </x:c>
      <x:c r="E9" t="str">
        <x:v>Decisión: activo más antiguo es principal; RF13</x:v>
      </x:c>
      <x:c r="F9" t="str">
        <x:v>Bloqueos/índice único</x:v>
      </x:c>
      <x:c r="G9"/>
      <x:c r="H9"/>
    </x:row>
    <x:row r="10">
      <x:c r="A10" t="str">
        <x:v>RN65-06</x:v>
      </x:c>
      <x:c r="B10" t="str">
        <x:v>Si se elimina un NO principal, conservar principal actual</x:v>
      </x:c>
      <x:c r="C10" t="str">
        <x:v>Mantener el principal ACTIVO vigente; si falta por inconsistencia previa, regularizar con el activo más antiguo. No activar INACTIVOS.</x:v>
      </x:c>
      <x:c r="D10" t="str">
        <x:v>DERIVADA</x:v>
      </x:c>
      <x:c r="E10" t="str">
        <x:v>RF13 y RF30</x:v>
      </x:c>
      <x:c r="F10" t="str">
        <x:v>Backend</x:v>
      </x:c>
      <x:c r="G10"/>
      <x:c r="H10"/>
    </x:row>
    <x:row r="11">
      <x:c r="A11" t="str">
        <x:v>RN65-07</x:v>
      </x:c>
      <x:c r="B11" t="str">
        <x:v>Si no queda activo, no hay principal</x:v>
      </x:c>
      <x:c r="C11" t="str">
        <x:v>Puede haber INACTIVOS históricos; ninguno se reactiva por la baja; la cuenta permanece ACTIVA.</x:v>
      </x:c>
      <x:c r="D11" t="str">
        <x:v>CONFIRMADA EN PRINCIPIO</x:v>
      </x:c>
      <x:c r="E11" t="str">
        <x:v>Decisión sin activos =&gt; ninguno</x:v>
      </x:c>
      <x:c r="F11" t="str">
        <x:v>UX / RF12 activación futura</x:v>
      </x:c>
      <x:c r="G11"/>
      <x:c r="H11"/>
    </x:row>
    <x:row r="12">
      <x:c r="A12" t="str">
        <x:v>RN65-08</x:v>
      </x:c>
      <x:c r="B12" t="str">
        <x:v>Free/ Premium no bloquea eliminar</x:v>
      </x:c>
      <x:c r="C12" t="str">
        <x:v>RF08 cuenta todos los registrados vigentes (ACTIVOS+INACTIVOS); después de la baja el contador excluye ELIMINADOS; plan no se altera.</x:v>
      </x:c>
      <x:c r="D12" t="str">
        <x:v>PROPUESTA NUEVA</x:v>
      </x:c>
      <x:c r="E12" t="str">
        <x:v>RF08 / RF30</x:v>
      </x:c>
      <x:c r="F12" t="str">
        <x:v>Contadores / cupos</x:v>
      </x:c>
      <x:c r="G12"/>
      <x:c r="H12"/>
    </x:row>
    <x:row r="13">
      <x:c r="A13" t="str">
        <x:v>RN65-09</x:v>
      </x:c>
      <x:c r="B13" t="str">
        <x:v>Todas las FK conservan idVehiculo</x:v>
      </x:c>
      <x:c r="C13" t="str">
        <x:v>Mantenimientos, kilómetros, alertas + historial, SOAT, TIVE 1:0..1, imágenes y recordatorio no apuntan al VIN ni placa.</x:v>
      </x:c>
      <x:c r="D13" t="str">
        <x:v>DERIVADA / CERRADA</x:v>
      </x:c>
      <x:c r="E13" t="str">
        <x:v>Reglas transversales; TIVE PK/FK por idVehiculo</x:v>
      </x:c>
      <x:c r="F13" t="str">
        <x:v>FK y filtro acceso</x:v>
      </x:c>
      <x:c r="G13"/>
      <x:c r="H13"/>
    </x:row>
    <x:row r="14">
      <x:c r="A14" t="str">
        <x:v>RN65-10</x:v>
      </x:c>
      <x:c r="B14" t="str">
        <x:v>No crear cambios de estado ficticios de alertas</x:v>
      </x:c>
      <x:c r="C14" t="str">
        <x:v>RF23 es único responsable de sincronizar transiciones reales; eliminación solo impide nuevas acciones y avisos.</x:v>
      </x:c>
      <x:c r="D14" t="str">
        <x:v>DERIVADA / CERRADA</x:v>
      </x:c>
      <x:c r="E14" t="str">
        <x:v>Nayu RF22/RF23 y RF14</x:v>
      </x:c>
      <x:c r="F14" t="str">
        <x:v>Motor/filtros RF23</x:v>
      </x:c>
      <x:c r="G14"/>
      <x:c r="H14"/>
    </x:row>
    <x:row r="15">
      <x:c r="A15" t="str">
        <x:v>RN65-11</x:v>
      </x:c>
      <x:c r="B15" t="str">
        <x:v>Recordatorio y colas no emiten al eliminar</x:v>
      </x:c>
      <x:c r="C15" t="str">
        <x:v>RF44 y RF46 deben filtrar estadoRegistro VIGENTE desde su fuente; outbox postcommit invalida cachés/colas.</x:v>
      </x:c>
      <x:c r="D15" t="str">
        <x:v>PROPUESTA NUEVA</x:v>
      </x:c>
      <x:c r="E15" t="str">
        <x:v>RF44 / RF46 / RF12</x:v>
      </x:c>
      <x:c r="F15" t="str">
        <x:v>Scheduler / Outbox</x:v>
      </x:c>
      <x:c r="G15"/>
      <x:c r="H15"/>
    </x:row>
    <x:row r="16">
      <x:c r="A16" t="str">
        <x:v>RN65-12</x:v>
      </x:c>
      <x:c r="B16" t="str">
        <x:v>Placa única GLOBAL entre vehículos NO ELIMINADOS</x:v>
      </x:c>
      <x:c r="C16" t="str">
        <x:v>La unicidad global vigente incluye ACTIVO e INACTIVO; para permitir nuevo registro de una placa tras baja lógica se requiere índice parcial.</x:v>
      </x:c>
      <x:c r="D16" t="str">
        <x:v>CAMBIO DE BD POR APROBAR</x:v>
      </x:c>
      <x:c r="E16" t="str">
        <x:v>Acuerdos finales 2026-10-25: unique global</x:v>
      </x:c>
      <x:c r="F16" t="str">
        <x:v>Migrar UNIQUE global a UNIQUE WHERE vigente</x:v>
      </x:c>
      <x:c r="G16"/>
      <x:c r="H16"/>
    </x:row>
    <x:row r="17">
      <x:c r="A17" t="str">
        <x:v>RN65-13</x:v>
      </x:c>
      <x:c r="B17" t="str">
        <x:v>VIN opcional único entre registros vigentes</x:v>
      </x:c>
      <x:c r="C17" t="str">
        <x:v>No usar VIN como PK; cuando se re-registra un mismo vehículo tras eliminación, crear NUEVO idVehiculo sin resucitar historial.</x:v>
      </x:c>
      <x:c r="D17" t="str">
        <x:v>CAMBIO DE BD POR APROBAR</x:v>
      </x:c>
      <x:c r="E17" t="str">
        <x:v>RF08/54, VIN único si existe</x:v>
      </x:c>
      <x:c r="F17" t="str">
        <x:v>Índice parcial opcional</x:v>
      </x:c>
      <x:c r="G17"/>
      <x:c r="H17"/>
    </x:row>
    <x:row r="18">
      <x:c r="A18" t="str">
        <x:v>RN65-14</x:v>
      </x:c>
      <x:c r="B18" t="str">
        <x:v>Sin plazo automático de 30 días para vehículo</x:v>
      </x:c>
      <x:c r="C18" t="str">
        <x:v>Los 30 días calendarios aplican SOLO a solicitud de eliminación de CUENTA RF07 y recuperación RF53; retención/purga vehículo aún NO aprobada.</x:v>
      </x:c>
      <x:c r="D18" t="str">
        <x:v>DISTINCIÓN CONFIRMADA</x:v>
      </x:c>
      <x:c r="E18" t="str">
        <x:v>RF07/RF53</x:v>
      </x:c>
      <x:c r="F18" t="str">
        <x:v>Política de privacidad pendiente</x:v>
      </x:c>
      <x:c r="G18"/>
      <x:c r="H18"/>
    </x:row>
    <x:row r="19">
      <x:c r="A19" t="str">
        <x:v>RN65-15</x:v>
      </x:c>
      <x:c r="B19" t="str">
        <x:v>Confirmación previa explica consecuencias reales</x:v>
      </x:c>
      <x:c r="C19" t="str">
        <x:v>La UI debe distinguir de eliminar foto RF45 y de desactivar RF12; advertir que no hay restauración y que históricos quedan internamente.</x:v>
      </x:c>
      <x:c r="D19" t="str">
        <x:v>PROPUESTA NUEVA</x:v>
      </x:c>
      <x:c r="E19" t="str">
        <x:v>RF45 / RF07</x:v>
      </x:c>
      <x:c r="F19" t="str">
        <x:v>Copia UI por aprobar</x:v>
      </x:c>
      <x:c r="G19"/>
      <x:c r="H19"/>
    </x:row>
    <x:row r="20">
      <x:c r="A20" t="str">
        <x:v>RN65-16</x:v>
      </x:c>
      <x:c r="B20" t="str">
        <x:v>Idempotencia: mismo intento no duplica efectos</x:v>
      </x:c>
      <x:c r="C20" t="str">
        <x:v>idOperacion UUID + hash payload + usuario + RF; hash distinto =&gt; conflicto; confirmada =&gt; mismo resultado; en proceso =&gt; verificar.</x:v>
      </x:c>
      <x:c r="D20" t="str">
        <x:v>DERIVADA / CERRADA</x:v>
      </x:c>
      <x:c r="E20" t="str">
        <x:v>RF08/RF14 acuerdos de operación</x:v>
      </x:c>
      <x:c r="F20" t="str">
        <x:v>E_Operacion / índices</x:v>
      </x:c>
      <x:c r="G20"/>
      <x:c r="H20"/>
    </x:row>
    <x:row r="21">
      <x:c r="A21" t="str">
        <x:v>RN65-17</x:v>
      </x:c>
      <x:c r="B21" t="str">
        <x:v>Revalidación y serialización transaccional</x:v>
      </x:c>
      <x:c r="C21" t="str">
        <x:v>Bloquear usuario+vehículo, validar estado/version, seleccionar principal, baja, auditoría, resultado y outbox con COMMIT único; error =&gt; ROLLBACK.</x:v>
      </x:c>
      <x:c r="D21" t="str">
        <x:v>DERIVADA + EXTENSIÓN</x:v>
      </x:c>
      <x:c r="E21" t="str">
        <x:v>RF08/RF12/RF13/RF30</x:v>
      </x:c>
      <x:c r="F21" t="str">
        <x:v>Transacciones y orden de locks</x:v>
      </x:c>
      <x:c r="G21"/>
      <x:c r="H21"/>
    </x:row>
    <x:row r="22">
      <x:c r="A22" t="str">
        <x:v>RN65-18</x:v>
      </x:c>
      <x:c r="B22" t="str">
        <x:v>Postcommit no revierte un COMMIT confirmado</x:v>
      </x:c>
      <x:c r="C22" t="str">
        <x:v>Una caída de red/cola no duplica baja. Consultar E_Operacion para mostrar éxito solo cuando confirmado.</x:v>
      </x:c>
      <x:c r="D22" t="str">
        <x:v>DERIVADA / CERRADA</x:v>
      </x:c>
      <x:c r="E22" t="str">
        <x:v>RF14 alternativos/reintento</x:v>
      </x:c>
      <x:c r="F22" t="str">
        <x:v>API y workers</x:v>
      </x:c>
      <x:c r="G22"/>
      <x:c r="H22"/>
    </x:row>
    <x:row r="23">
      <x:c r="A23" t="str">
        <x:v>RN65-19</x:v>
      </x:c>
      <x:c r="B23" t="str">
        <x:v>Licencia personal y cuenta siguen independientes</x:v>
      </x:c>
      <x:c r="C23" t="str">
        <x:v>Eliminar un vehículo no elimina licencia RF51/52 ni solicita eliminación de cuenta RF07.</x:v>
      </x:c>
      <x:c r="D23" t="str">
        <x:v>DERIVADA / CERRADA</x:v>
      </x:c>
      <x:c r="E23" t="str">
        <x:v>Elsa, Nayu RF23 licencia</x:v>
      </x:c>
      <x:c r="F23" t="str">
        <x:v>Consultas licencia</x:v>
      </x:c>
      <x:c r="G23"/>
      <x:c r="H23"/>
    </x:row>
    <x:row r="24">
      <x:c r="A24" t="str">
        <x:v>RN65-20</x:v>
      </x:c>
      <x:c r="B24" t="str">
        <x:v>Datos eliminados no son seleccionables ni mutables</x:v>
      </x:c>
      <x:c r="C24" t="str">
        <x:v>RF09/10/11/14/17/18/22/23/31/54/56 deben filtrar vigentes en acciones ordinarias, incluso con idVehiculo antiguo.</x:v>
      </x:c>
      <x:c r="D24" t="str">
        <x:v>PROPUESTA NUEVA</x:v>
      </x:c>
      <x:c r="E24" t="str">
        <x:v>RFs vehículo / mantenimiento</x:v>
      </x:c>
      <x:c r="F24" t="str">
        <x:v>Backend y UI</x:v>
      </x:c>
      <x:c r="G24"/>
      <x:c r="H24"/>
    </x:row>
  </x:sheetData>
  <x:mergeCells>
    <x:mergeCell ref="A1:H1"/>
    <x:mergeCell ref="A2:H2"/>
  </x:mergeCells>
  <x:pageMargins left="0.7" right="0.7" top="0.75" bottom="0.75" header="0.3" footer="0.3"/>
</x:worksheet>
</file>

<file path=xl/worksheets/sheet137.xml><?xml version="1.0" encoding="utf-8"?>
<x:worksheet xmlns:x="http://schemas.openxmlformats.org/spreadsheetml/2006/main">
  <x:sheetFormatPr defaultRowHeight="15"/>
  <x:cols>
    <x:col min="1" max="1" width="12" hidden="0" customWidth="1"/>
    <x:col min="2" max="2" width="66" hidden="0" customWidth="1"/>
    <x:col min="3" max="3" width="26" hidden="0" customWidth="1"/>
    <x:col min="4" max="4" width="28" hidden="0" customWidth="1"/>
    <x:col min="5" max="5" width="68" hidden="0" customWidth="1"/>
    <x:col min="6" max="6" width="48" hidden="0" customWidth="1"/>
    <x:col min="7" max="7" width="51" hidden="0" customWidth="1"/>
    <x:col min="8" max="8" width="22" hidden="0" customWidth="1"/>
  </x:cols>
  <x:sheetData>
    <x:row r="1" ht="32" customHeight="1">
      <x:c r="A1" t="str">
        <x:v>RF-065 · MATRIZ DE COBERTURA DE ESCENARIOS ALTERNATIVOS Y RAMAS EXITOSAS</x:v>
      </x:c>
      <x:c r="B1"/>
      <x:c r="C1"/>
      <x:c r="D1"/>
      <x:c r="E1"/>
      <x:c r="F1"/>
      <x:c r="G1"/>
      <x:c r="H1"/>
    </x:row>
    <x:row r="2" ht="32" customHeight="1">
      <x:c r="A2" t="str">
        <x:v>EA09 y EA10 son ALT de secuencia con RESULTADO EXITOSO; no se deben tratar como errores.</x:v>
      </x:c>
      <x:c r="B2"/>
      <x:c r="C2"/>
      <x:c r="D2"/>
      <x:c r="E2"/>
      <x:c r="F2"/>
      <x:c r="G2"/>
      <x:c r="H2"/>
    </x:row>
    <x:row r="3">
      <x:c r="A3"/>
      <x:c r="B3"/>
      <x:c r="C3"/>
      <x:c r="D3"/>
      <x:c r="E3"/>
      <x:c r="F3"/>
      <x:c r="G3"/>
      <x:c r="H3"/>
    </x:row>
    <x:row r="4" ht="30" customHeight="1">
      <x:c r="A4" t="str">
        <x:v>EA</x:v>
      </x:c>
      <x:c r="B4" t="str">
        <x:v>Descripción</x:v>
      </x:c>
      <x:c r="C4" t="str">
        <x:v>Desvío de EF</x:v>
      </x:c>
      <x:c r="D4" t="str">
        <x:v>Resultado</x:v>
      </x:c>
      <x:c r="E4" t="str">
        <x:v>Regla transaccional</x:v>
      </x:c>
      <x:c r="F4" t="str">
        <x:v>Vista / salida</x:v>
      </x:c>
      <x:c r="G4" t="str">
        <x:v>No se debe hacer</x:v>
      </x:c>
      <x:c r="H4" t="str">
        <x:v>Clase</x:v>
      </x:c>
    </x:row>
    <x:row r="5" ht="68" customHeight="1">
      <x:c r="A5" t="str">
        <x:v>EA01</x:v>
      </x:c>
      <x:c r="B5" t="str">
        <x:v>Cancelar en pantalla de confirmación</x:v>
      </x:c>
      <x:c r="C5" t="str">
        <x:v>Paso EF15–EF16 / B2–B3</x:v>
      </x:c>
      <x:c r="D5" t="str">
        <x:v>SIN_CAMBIO</x:v>
      </x:c>
      <x:c r="E5" t="str">
        <x:v>Sin mutación salvo cuando se indica COMMIT; BCE detallado en pestaña EA01</x:v>
      </x:c>
      <x:c r="F5" t="str">
        <x:v>I_Autos o I_ConfirmacionOperacion</x:v>
      </x:c>
      <x:c r="G5" t="str">
        <x:v>No llamar backend POST</x:v>
      </x:c>
      <x:c r="H5" t="str">
        <x:v>ALTERNATIVO</x:v>
      </x:c>
    </x:row>
    <x:row r="6" ht="68" customHeight="1">
      <x:c r="A6" t="str">
        <x:v>EA02</x:v>
      </x:c>
      <x:c r="B6" t="str">
        <x:v>Sesión expirada, cuenta suspendida o pendiente de eliminar</x:v>
      </x:c>
      <x:c r="C6" t="str">
        <x:v>EF3–EF6 o EF18–EF19</x:v>
      </x:c>
      <x:c r="D6" t="str">
        <x:v>DENEGADA</x:v>
      </x:c>
      <x:c r="E6" t="str">
        <x:v>Sin mutación salvo cuando se indica COMMIT; BCE detallado en pestaña EA02</x:v>
      </x:c>
      <x:c r="F6" t="str">
        <x:v>I_Autos o I_ConfirmacionOperacion</x:v>
      </x:c>
      <x:c r="G6" t="str">
        <x:v>No aceptar token suspendido</x:v>
      </x:c>
      <x:c r="H6" t="str">
        <x:v>ALTERNATIVO</x:v>
      </x:c>
    </x:row>
    <x:row r="7" ht="68" customHeight="1">
      <x:c r="A7" t="str">
        <x:v>EA03</x:v>
      </x:c>
      <x:c r="B7" t="str">
        <x:v>Vehículo inexistente, ajeno o eliminado</x:v>
      </x:c>
      <x:c r="C7" t="str">
        <x:v>EF7 / EF26</x:v>
      </x:c>
      <x:c r="D7" t="str">
        <x:v>NO_ENCONTRADO</x:v>
      </x:c>
      <x:c r="E7" t="str">
        <x:v>Sin mutación salvo cuando se indica COMMIT; BCE detallado en pestaña EA03</x:v>
      </x:c>
      <x:c r="F7" t="str">
        <x:v>I_Autos o I_ConfirmacionOperacion</x:v>
      </x:c>
      <x:c r="G7" t="str">
        <x:v>No filtrar el propietario ajeno</x:v>
      </x:c>
      <x:c r="H7" t="str">
        <x:v>ALTERNATIVO</x:v>
      </x:c>
    </x:row>
    <x:row r="8">
      <x:c r="A8" t="str">
        <x:v>EA04</x:v>
      </x:c>
      <x:c r="B8" t="str">
        <x:v>Reenvío del mismo idOperacion ya CONFIRMADA</x:v>
      </x:c>
      <x:c r="C8" t="str">
        <x:v>EF21–EF22 / B3</x:v>
      </x:c>
      <x:c r="D8" t="str">
        <x:v>IDEMPOTENTE</x:v>
      </x:c>
      <x:c r="E8" t="str">
        <x:v>Sin mutación salvo cuando se indica COMMIT; BCE detallado en pestaña EA04</x:v>
      </x:c>
      <x:c r="F8" t="str">
        <x:v>I_Autos o I_ConfirmacionOperacion</x:v>
      </x:c>
      <x:c r="G8" t="str">
        <x:v>No duplicar UPDATE ni auditoría</x:v>
      </x:c>
      <x:c r="H8" t="str">
        <x:v>ALTERNATIVO</x:v>
      </x:c>
    </x:row>
    <x:row r="9">
      <x:c r="A9" t="str">
        <x:v>EA05</x:v>
      </x:c>
      <x:c r="B9" t="str">
        <x:v>idOperacion reutilizado con datos distintos</x:v>
      </x:c>
      <x:c r="C9" t="str">
        <x:v>EF21–EF22 / B3</x:v>
      </x:c>
      <x:c r="D9" t="str">
        <x:v>CONFLICTO</x:v>
      </x:c>
      <x:c r="E9" t="str">
        <x:v>Sin mutación salvo cuando se indica COMMIT; BCE detallado en pestaña EA05</x:v>
      </x:c>
      <x:c r="F9" t="str">
        <x:v>I_Autos o I_ConfirmacionOperacion</x:v>
      </x:c>
      <x:c r="G9" t="str">
        <x:v>No reutilizar clave conflictiva</x:v>
      </x:c>
      <x:c r="H9" t="str">
        <x:v>ALTERNATIVO</x:v>
      </x:c>
    </x:row>
    <x:row r="10">
      <x:c r="A10" t="str">
        <x:v>EA06</x:v>
      </x:c>
      <x:c r="B10" t="str">
        <x:v>Solicitud anterior EN_PROCESO / respuesta indeterminada</x:v>
      </x:c>
      <x:c r="C10" t="str">
        <x:v>EF21–EF22</x:v>
      </x:c>
      <x:c r="D10" t="str">
        <x:v>CONSULTAR_ESTADO</x:v>
      </x:c>
      <x:c r="E10" t="str">
        <x:v>Sin mutación salvo cuando se indica COMMIT; BCE detallado en pestaña EA06</x:v>
      </x:c>
      <x:c r="F10" t="str">
        <x:v>I_Autos o I_ConfirmacionOperacion</x:v>
      </x:c>
      <x:c r="G10" t="str">
        <x:v>No afirmar éxito no confirmado</x:v>
      </x:c>
      <x:c r="H10" t="str">
        <x:v>ALTERNATIVO</x:v>
      </x:c>
    </x:row>
    <x:row r="11">
      <x:c r="A11" t="str">
        <x:v>EA07</x:v>
      </x:c>
      <x:c r="B11" t="str">
        <x:v>Vehículo eliminado concurrentemente con otra operación</x:v>
      </x:c>
      <x:c r="C11" t="str">
        <x:v>EF26–EF27</x:v>
      </x:c>
      <x:c r="D11" t="str">
        <x:v>SIN_NUEVA_ESCRITURA</x:v>
      </x:c>
      <x:c r="E11" t="str">
        <x:v>Sin mutación salvo cuando se indica COMMIT; BCE detallado en pestaña EA07</x:v>
      </x:c>
      <x:c r="F11" t="str">
        <x:v>I_Autos o I_ConfirmacionOperacion</x:v>
      </x:c>
      <x:c r="G11" t="str">
        <x:v>No borrar dos veces</x:v>
      </x:c>
      <x:c r="H11" t="str">
        <x:v>ALTERNATIVO</x:v>
      </x:c>
    </x:row>
    <x:row r="12">
      <x:c r="A12" t="str">
        <x:v>EA08</x:v>
      </x:c>
      <x:c r="B12" t="str">
        <x:v>Cambio de versión / principal mientras se confirmaba</x:v>
      </x:c>
      <x:c r="C12" t="str">
        <x:v>EF26–EF30 / B4</x:v>
      </x:c>
      <x:c r="D12" t="str">
        <x:v>RECONFIRMAR</x:v>
      </x:c>
      <x:c r="E12" t="str">
        <x:v>Sin mutación salvo cuando se indica COMMIT; BCE detallado en pestaña EA08</x:v>
      </x:c>
      <x:c r="F12" t="str">
        <x:v>I_Autos o I_ConfirmacionOperacion</x:v>
      </x:c>
      <x:c r="G12" t="str">
        <x:v>No persistir con versión vieja</x:v>
      </x:c>
      <x:c r="H12" t="str">
        <x:v>ALTERNATIVO</x:v>
      </x:c>
    </x:row>
    <x:row r="13">
      <x:c r="A13" t="str">
        <x:v>EA09</x:v>
      </x:c>
      <x:c r="B13" t="str">
        <x:v>Se elimina principal y quedan otros vehículos ACTIVOS</x:v>
      </x:c>
      <x:c r="C13" t="str">
        <x:v>EF28–EF34 / rama exitosa</x:v>
      </x:c>
      <x:c r="D13" t="str">
        <x:v>EXITO_CON_REASIGNACION</x:v>
      </x:c>
      <x:c r="E13" t="str">
        <x:v>Sin mutación salvo cuando se indica COMMIT; BCE detallado en pestaña EA09</x:v>
      </x:c>
      <x:c r="F13" t="str">
        <x:v>I_Autos o I_ConfirmacionOperacion</x:v>
      </x:c>
      <x:c r="G13" t="str">
        <x:v>No activar INACTIVOS</x:v>
      </x:c>
      <x:c r="H13" t="str">
        <x:v>EXITOSO</x:v>
      </x:c>
    </x:row>
    <x:row r="14">
      <x:c r="A14" t="str">
        <x:v>EA10</x:v>
      </x:c>
      <x:c r="B14" t="str">
        <x:v>Se elimina último ACTIVO y quedan solo INACTIVOS o ninguno</x:v>
      </x:c>
      <x:c r="C14" t="str">
        <x:v>EF28–EF34 / rama exitosa</x:v>
      </x:c>
      <x:c r="D14" t="str">
        <x:v>EXITO_SIN_PRINCIPAL</x:v>
      </x:c>
      <x:c r="E14" t="str">
        <x:v>Sin mutación salvo cuando se indica COMMIT; BCE detallado en pestaña EA10</x:v>
      </x:c>
      <x:c r="F14" t="str">
        <x:v>I_Autos o I_ConfirmacionOperacion</x:v>
      </x:c>
      <x:c r="G14" t="str">
        <x:v>No forzar un principal inexistente</x:v>
      </x:c>
      <x:c r="H14" t="str">
        <x:v>EXITOSO</x:v>
      </x:c>
    </x:row>
    <x:row r="15">
      <x:c r="A15" t="str">
        <x:v>EA11</x:v>
      </x:c>
      <x:c r="B15" t="str">
        <x:v>Fallo de BD en baja, principal, auditoría u operación</x:v>
      </x:c>
      <x:c r="C15" t="str">
        <x:v>EF31–EF40 / B4</x:v>
      </x:c>
      <x:c r="D15" t="str">
        <x:v>ROLLBACK</x:v>
      </x:c>
      <x:c r="E15" t="str">
        <x:v>Sin mutación salvo cuando se indica COMMIT; BCE detallado en pestaña EA11</x:v>
      </x:c>
      <x:c r="F15" t="str">
        <x:v>I_Autos o I_ConfirmacionOperacion</x:v>
      </x:c>
      <x:c r="G15" t="str">
        <x:v>No COMMIT parcial</x:v>
      </x:c>
      <x:c r="H15" t="str">
        <x:v>ALTERNATIVO</x:v>
      </x:c>
    </x:row>
    <x:row r="16">
      <x:c r="A16" t="str">
        <x:v>EA12</x:v>
      </x:c>
      <x:c r="B16" t="str">
        <x:v>Falla la limpieza de caché/cola DESPUÉS de COMMIT</x:v>
      </x:c>
      <x:c r="C16" t="str">
        <x:v>EF46–EF49 / B6</x:v>
      </x:c>
      <x:c r="D16" t="str">
        <x:v>EXITO_CON_REINTENTO</x:v>
      </x:c>
      <x:c r="E16" t="str">
        <x:v>Sin mutación salvo cuando se indica COMMIT; BCE detallado en pestaña EA12</x:v>
      </x:c>
      <x:c r="F16" t="str">
        <x:v>I_Autos o I_ConfirmacionOperacion</x:v>
      </x:c>
      <x:c r="G16" t="str">
        <x:v>No revertir por caché</x:v>
      </x:c>
      <x:c r="H16" t="str">
        <x:v>EXITOSO</x:v>
      </x:c>
    </x:row>
    <x:row r="17">
      <x:c r="A17" t="str">
        <x:v>EA13</x:v>
      </x:c>
      <x:c r="B17" t="str">
        <x:v>Pérdida de red tras COMMIT; cliente no conoce respuesta</x:v>
      </x:c>
      <x:c r="C17" t="str">
        <x:v>EF41–EF45 / B5</x:v>
      </x:c>
      <x:c r="D17" t="str">
        <x:v>RECONCILIACION</x:v>
      </x:c>
      <x:c r="E17" t="str">
        <x:v>Sin mutación salvo cuando se indica COMMIT; BCE detallado en pestaña EA13</x:v>
      </x:c>
      <x:c r="F17" t="str">
        <x:v>I_Autos o I_ConfirmacionOperacion</x:v>
      </x:c>
      <x:c r="G17" t="str">
        <x:v>No emitir nueva baja sin consultar</x:v>
      </x:c>
      <x:c r="H17" t="str">
        <x:v>ALTERNATIVO</x:v>
      </x:c>
    </x:row>
  </x:sheetData>
  <x:mergeCells>
    <x:mergeCell ref="A1:H1"/>
    <x:mergeCell ref="A2:H2"/>
  </x:mergeCells>
  <x:pageMargins left="0.7" right="0.7" top="0.75" bottom="0.75" header="0.3" footer="0.3"/>
</x:worksheet>
</file>

<file path=xl/worksheets/sheet138.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EA01 · CANCELAR EN PANTALLA DE CONFIRMACIÓN</x:v>
      </x:c>
      <x:c r="B1"/>
      <x:c r="C1"/>
      <x:c r="D1"/>
      <x:c r="E1"/>
      <x:c r="F1"/>
      <x:c r="G1"/>
      <x:c r="H1"/>
    </x:row>
    <x:row r="2" ht="32" customHeight="1">
      <x:c r="A2" t="str">
        <x:v>Desvío: Paso EF15–EF16 / B2–B3   |   Resultado: SIN_CAMBIO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EA01</x:v>
      </x:c>
      <x:c r="C5" t="str">
        <x:v>AS_Usuario</x:v>
      </x:c>
      <x:c r="D5" t="str">
        <x:v>───► (llamada)</x:v>
      </x:c>
      <x:c r="E5" t="str">
        <x:v>I_ConfirmacionOperacion</x:v>
      </x:c>
      <x:c r="F5" t="str">
        <x:v>seleccionarCancelar()</x:v>
      </x:c>
      <x:c r="G5" t="str">
        <x:v>No confirma la baja.</x:v>
      </x:c>
      <x:c r="H5" t="str">
        <x:v>SIN_CAMBIO</x:v>
      </x:c>
    </x:row>
    <x:row r="6" ht="68" customHeight="1">
      <x:c r="A6" t="n">
        <x:v>2</x:v>
      </x:c>
      <x:c r="B6" t="str">
        <x:v>EA01</x:v>
      </x:c>
      <x:c r="C6" t="str">
        <x:v>I_ConfirmacionOperacion</x:v>
      </x:c>
      <x:c r="D6" t="str">
        <x:v>───► (llamada)</x:v>
      </x:c>
      <x:c r="E6" t="str">
        <x:v>C_Navegacion</x:v>
      </x:c>
      <x:c r="F6" t="str">
        <x:v>cancelarEliminacionSinGuardar()</x:v>
      </x:c>
      <x:c r="G6" t="str">
        <x:v>No se envía POST ni idOperacion a BD.</x:v>
      </x:c>
      <x:c r="H6" t="str">
        <x:v>SIN_CAMBIO</x:v>
      </x:c>
    </x:row>
    <x:row r="7" ht="68" customHeight="1">
      <x:c r="A7" t="n">
        <x:v>3</x:v>
      </x:c>
      <x:c r="B7" t="str">
        <x:v>EA01</x:v>
      </x:c>
      <x:c r="C7" t="str">
        <x:v>C_Navegacion</x:v>
      </x:c>
      <x:c r="D7" t="str">
        <x:v>───► (llamada)</x:v>
      </x:c>
      <x:c r="E7" t="str">
        <x:v>I_DetalleVehiculo</x:v>
      </x:c>
      <x:c r="F7" t="str">
        <x:v>volverADetalleActual()</x:v>
      </x:c>
      <x:c r="G7" t="str">
        <x:v>Retorna al detalle RF10, sin mutación.</x:v>
      </x:c>
      <x:c r="H7" t="str">
        <x:v>SIN_CAMBIO</x:v>
      </x:c>
    </x:row>
    <x:row r="8">
      <x:c r="A8" t="n">
        <x:v>4</x:v>
      </x:c>
      <x:c r="B8" t="str">
        <x:v>EA01</x:v>
      </x:c>
      <x:c r="C8" t="str">
        <x:v>I_DetalleVehiculo</x:v>
      </x:c>
      <x:c r="D8" t="str">
        <x:v>───► (llamada)</x:v>
      </x:c>
      <x:c r="E8" t="str">
        <x:v>AS_Usuario</x:v>
      </x:c>
      <x:c r="F8" t="str">
        <x:v>mostrarVehiculoSinCambios()</x:v>
      </x:c>
      <x:c r="G8" t="str">
        <x:v>Conserva principal, estado e históricos.</x:v>
      </x:c>
      <x:c r="H8" t="str">
        <x:v>SIN_CAMBIO</x:v>
      </x:c>
    </x:row>
    <x:row r="9">
      <x:c r="A9"/>
      <x:c r="B9"/>
      <x:c r="C9"/>
      <x:c r="D9"/>
      <x:c r="E9"/>
      <x:c r="F9"/>
      <x:c r="G9"/>
      <x:c r="H9"/>
    </x:row>
    <x:row r="10">
      <x:c r="A10" t="str">
        <x:v>RETORNO: si la vía exige COMMIT, continuar con la verificación, auditoría y salida del EF. Caso contrario, terminar SIN cambios.</x:v>
      </x:c>
      <x:c r="B10"/>
      <x:c r="C10"/>
      <x:c r="D10"/>
      <x:c r="E10"/>
      <x:c r="F10"/>
      <x:c r="G10"/>
      <x:c r="H10"/>
    </x:row>
  </x:sheetData>
  <x:mergeCells>
    <x:mergeCell ref="A1:H1"/>
    <x:mergeCell ref="A2:H2"/>
    <x:mergeCell ref="A10:H10"/>
  </x:mergeCells>
  <x:pageMargins left="0.7" right="0.7" top="0.75" bottom="0.75" header="0.3" footer="0.3"/>
</x:worksheet>
</file>

<file path=xl/worksheets/sheet139.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EA02 · SESIÓN EXPIRADA, CUENTA SUSPENDIDA O PENDIENTE DE ELIMINAR</x:v>
      </x:c>
      <x:c r="B1"/>
      <x:c r="C1"/>
      <x:c r="D1"/>
      <x:c r="E1"/>
      <x:c r="F1"/>
      <x:c r="G1"/>
      <x:c r="H1"/>
    </x:row>
    <x:row r="2" ht="32" customHeight="1">
      <x:c r="A2" t="str">
        <x:v>Desvío: EF3–EF6 o EF18–EF19   |   Resultado: DENEGADA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EA02</x:v>
      </x:c>
      <x:c r="C5" t="str">
        <x:v>C_ControlEliminacionVehiculo</x:v>
      </x:c>
      <x:c r="D5" t="str">
        <x:v>───► (llamada)</x:v>
      </x:c>
      <x:c r="E5" t="str">
        <x:v>C_ControlAutorizacion</x:v>
      </x:c>
      <x:c r="F5" t="str">
        <x:v>revalidarSesionYCuenta()</x:v>
      </x:c>
      <x:c r="G5" t="str">
        <x:v>Evalúa token y estado ACTIVA actual.</x:v>
      </x:c>
      <x:c r="H5" t="str">
        <x:v>DENEGADA</x:v>
      </x:c>
    </x:row>
    <x:row r="6" ht="68" customHeight="1">
      <x:c r="A6" t="n">
        <x:v>2</x:v>
      </x:c>
      <x:c r="B6" t="str">
        <x:v>EA02</x:v>
      </x:c>
      <x:c r="C6" t="str">
        <x:v>C_ControlAutorizacion</x:v>
      </x:c>
      <x:c r="D6" t="str">
        <x:v>───► (llamada)</x:v>
      </x:c>
      <x:c r="E6" t="str">
        <x:v>E_Usuario</x:v>
      </x:c>
      <x:c r="F6" t="str">
        <x:v>consultarCuentaProtegida()</x:v>
      </x:c>
      <x:c r="G6" t="str">
        <x:v>No confía en sesión antigua si cambió estado.</x:v>
      </x:c>
      <x:c r="H6" t="str">
        <x:v>DENEGADA</x:v>
      </x:c>
    </x:row>
    <x:row r="7" ht="68" customHeight="1">
      <x:c r="A7" t="n">
        <x:v>3</x:v>
      </x:c>
      <x:c r="B7" t="str">
        <x:v>EA02</x:v>
      </x:c>
      <x:c r="C7" t="str">
        <x:v>E_Usuario</x:v>
      </x:c>
      <x:c r="D7" t="str">
        <x:v>───► (llamada)</x:v>
      </x:c>
      <x:c r="E7" t="str">
        <x:v>C_ControlAutorizacion</x:v>
      </x:c>
      <x:c r="F7" t="str">
        <x:v>retornarCuentaNoAutorizada()</x:v>
      </x:c>
      <x:c r="G7" t="str">
        <x:v>SUSPENDIDA/PENDIENTE_ELIMINACION o token vencido.</x:v>
      </x:c>
      <x:c r="H7" t="str">
        <x:v>DENEGADA</x:v>
      </x:c>
    </x:row>
    <x:row r="8">
      <x:c r="A8" t="n">
        <x:v>4</x:v>
      </x:c>
      <x:c r="B8" t="str">
        <x:v>EA02</x:v>
      </x:c>
      <x:c r="C8" t="str">
        <x:v>C_ControlAutorizacion</x:v>
      </x:c>
      <x:c r="D8" t="str">
        <x:v>───► (llamada)</x:v>
      </x:c>
      <x:c r="E8" t="str">
        <x:v>C_ControlEliminacionVehiculo</x:v>
      </x:c>
      <x:c r="F8" t="str">
        <x:v>denegarOperacion()</x:v>
      </x:c>
      <x:c r="G8" t="str">
        <x:v>No bloquear ni modificar vehículo.</x:v>
      </x:c>
      <x:c r="H8" t="str">
        <x:v>DENEGADA</x:v>
      </x:c>
    </x:row>
    <x:row r="9">
      <x:c r="A9" t="n">
        <x:v>5</x:v>
      </x:c>
      <x:c r="B9" t="str">
        <x:v>EA02</x:v>
      </x:c>
      <x:c r="C9" t="str">
        <x:v>C_ControlEliminacionVehiculo</x:v>
      </x:c>
      <x:c r="D9" t="str">
        <x:v>───► (llamada)</x:v>
      </x:c>
      <x:c r="E9" t="str">
        <x:v>I_DetalleVehiculo</x:v>
      </x:c>
      <x:c r="F9" t="str">
        <x:v>mostrarAccesoNoDisponible()</x:v>
      </x:c>
      <x:c r="G9" t="str">
        <x:v>Cuenta no habilitada; si expiró la sesión, solicitar autenticación RF02.</x:v>
      </x:c>
      <x:c r="H9" t="str">
        <x:v>DENEGADA</x:v>
      </x:c>
    </x:row>
    <x:row r="10">
      <x:c r="A10" t="n">
        <x:v>6</x:v>
      </x:c>
      <x:c r="B10" t="str">
        <x:v>EA02</x:v>
      </x:c>
      <x:c r="C10" t="str">
        <x:v>I_DetalleVehiculo</x:v>
      </x:c>
      <x:c r="D10" t="str">
        <x:v>───► (llamada)</x:v>
      </x:c>
      <x:c r="E10" t="str">
        <x:v>AS_Usuario</x:v>
      </x:c>
      <x:c r="F10" t="str">
        <x:v>visualizarErrorDeAcceso()</x:v>
      </x:c>
      <x:c r="G10" t="str">
        <x:v>Sin datos protegidos ni falsa confirmación.</x:v>
      </x:c>
      <x:c r="H10" t="str">
        <x:v>DENEGADA</x:v>
      </x:c>
    </x:row>
    <x:row r="11">
      <x:c r="A11"/>
      <x:c r="B11"/>
      <x:c r="C11"/>
      <x:c r="D11"/>
      <x:c r="E11"/>
      <x:c r="F11"/>
      <x:c r="G11"/>
      <x:c r="H11"/>
    </x:row>
    <x:row r="12">
      <x:c r="A12" t="str">
        <x:v>RETORNO: si la vía exige COMMIT, continuar con la verificación, auditoría y salida del EF. Caso contrario, terminar SIN cambios.</x:v>
      </x:c>
      <x:c r="B12"/>
      <x:c r="C12"/>
      <x:c r="D12"/>
      <x:c r="E12"/>
      <x:c r="F12"/>
      <x:c r="G12"/>
      <x:c r="H12"/>
    </x:row>
  </x:sheetData>
  <x:mergeCells>
    <x:mergeCell ref="A1:H1"/>
    <x:mergeCell ref="A2:H2"/>
    <x:mergeCell ref="A12:H12"/>
  </x:mergeCells>
  <x:pageMargins left="0.7" right="0.7" top="0.75" bottom="0.75" header="0.3" footer="0.3"/>
</x:worksheet>
</file>

<file path=xl/worksheets/sheet140.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EA03 · VEHÍCULO INEXISTENTE, AJENO O ELIMINADO</x:v>
      </x:c>
      <x:c r="B1"/>
      <x:c r="C1"/>
      <x:c r="D1"/>
      <x:c r="E1"/>
      <x:c r="F1"/>
      <x:c r="G1"/>
      <x:c r="H1"/>
    </x:row>
    <x:row r="2" ht="32" customHeight="1">
      <x:c r="A2" t="str">
        <x:v>Desvío: EF7 / EF26   |   Resultado: NO_ENCONTRADO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EA03</x:v>
      </x:c>
      <x:c r="C5" t="str">
        <x:v>C_ControlEliminacionVehiculo</x:v>
      </x:c>
      <x:c r="D5" t="str">
        <x:v>───► (llamada)</x:v>
      </x:c>
      <x:c r="E5" t="str">
        <x:v>E_Vehiculo</x:v>
      </x:c>
      <x:c r="F5" t="str">
        <x:v>consultarVehiculoPropioNoEliminado(idUsuario,idVehiculo)</x:v>
      </x:c>
      <x:c r="G5" t="str">
        <x:v>Consulta filtrada por dueño y estado de registro.</x:v>
      </x:c>
      <x:c r="H5" t="str">
        <x:v>NO_ENCONTRADO</x:v>
      </x:c>
    </x:row>
    <x:row r="6" ht="68" customHeight="1">
      <x:c r="A6" t="n">
        <x:v>2</x:v>
      </x:c>
      <x:c r="B6" t="str">
        <x:v>EA03</x:v>
      </x:c>
      <x:c r="C6" t="str">
        <x:v>E_Vehiculo</x:v>
      </x:c>
      <x:c r="D6" t="str">
        <x:v>───► (llamada)</x:v>
      </x:c>
      <x:c r="E6" t="str">
        <x:v>C_ControlEliminacionVehiculo</x:v>
      </x:c>
      <x:c r="F6" t="str">
        <x:v>retornarSinVehiculoVisible()</x:v>
      </x:c>
      <x:c r="G6" t="str">
        <x:v>Misma respuesta para ajeno e inexistente; no filtrar datos sensibles.</x:v>
      </x:c>
      <x:c r="H6" t="str">
        <x:v>NO_ENCONTRADO</x:v>
      </x:c>
    </x:row>
    <x:row r="7" ht="68" customHeight="1">
      <x:c r="A7" t="n">
        <x:v>3</x:v>
      </x:c>
      <x:c r="B7" t="str">
        <x:v>EA03</x:v>
      </x:c>
      <x:c r="C7" t="str">
        <x:v>C_ControlEliminacionVehiculo</x:v>
      </x:c>
      <x:c r="D7" t="str">
        <x:v>───► (llamada)</x:v>
      </x:c>
      <x:c r="E7" t="str">
        <x:v>I_Autos</x:v>
      </x:c>
      <x:c r="F7" t="str">
        <x:v>mostrarVehiculoNoDisponible()</x:v>
      </x:c>
      <x:c r="G7" t="str">
        <x:v>Regresa a listado RF09 sin exponer el dueño de un registro ajeno.</x:v>
      </x:c>
      <x:c r="H7" t="str">
        <x:v>NO_ENCONTRADO</x:v>
      </x:c>
    </x:row>
    <x:row r="8">
      <x:c r="A8" t="n">
        <x:v>4</x:v>
      </x:c>
      <x:c r="B8" t="str">
        <x:v>EA03</x:v>
      </x:c>
      <x:c r="C8" t="str">
        <x:v>I_Autos</x:v>
      </x:c>
      <x:c r="D8" t="str">
        <x:v>───► (llamada)</x:v>
      </x:c>
      <x:c r="E8" t="str">
        <x:v>AS_Usuario</x:v>
      </x:c>
      <x:c r="F8" t="str">
        <x:v>visualizarListadoSeguro()</x:v>
      </x:c>
      <x:c r="G8" t="str">
        <x:v>Cero cambios en BD.</x:v>
      </x:c>
      <x:c r="H8" t="str">
        <x:v>NO_ENCONTRADO</x:v>
      </x:c>
    </x:row>
    <x:row r="9">
      <x:c r="A9"/>
      <x:c r="B9"/>
      <x:c r="C9"/>
      <x:c r="D9"/>
      <x:c r="E9"/>
      <x:c r="F9"/>
      <x:c r="G9"/>
      <x:c r="H9"/>
    </x:row>
    <x:row r="10">
      <x:c r="A10" t="str">
        <x:v>RETORNO: si la vía exige COMMIT, continuar con la verificación, auditoría y salida del EF. Caso contrario, terminar SIN cambios.</x:v>
      </x:c>
      <x:c r="B10"/>
      <x:c r="C10"/>
      <x:c r="D10"/>
      <x:c r="E10"/>
      <x:c r="F10"/>
      <x:c r="G10"/>
      <x:c r="H10"/>
    </x:row>
  </x:sheetData>
  <x:mergeCells>
    <x:mergeCell ref="A1:H1"/>
    <x:mergeCell ref="A2:H2"/>
    <x:mergeCell ref="A10:H10"/>
  </x:mergeCells>
  <x:pageMargins left="0.7" right="0.7" top="0.75" bottom="0.75" header="0.3" footer="0.3"/>
</x:worksheet>
</file>

<file path=xl/worksheets/sheet141.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EA04 · REENVÍO DEL MISMO IDOPERACION YA CONFIRMADA</x:v>
      </x:c>
      <x:c r="B1"/>
      <x:c r="C1"/>
      <x:c r="D1"/>
      <x:c r="E1"/>
      <x:c r="F1"/>
      <x:c r="G1"/>
      <x:c r="H1"/>
    </x:row>
    <x:row r="2" ht="32" customHeight="1">
      <x:c r="A2" t="str">
        <x:v>Desvío: EF21–EF22 / B3   |   Resultado: IDEMPOTENTE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EA04</x:v>
      </x:c>
      <x:c r="C5" t="str">
        <x:v>C_ControlEliminacionVehiculo</x:v>
      </x:c>
      <x:c r="D5" t="str">
        <x:v>───► (llamada)</x:v>
      </x:c>
      <x:c r="E5" t="str">
        <x:v>E_Operacion</x:v>
      </x:c>
      <x:c r="F5" t="str">
        <x:v>resolverIdempotencia(idUsuario,RF065,idOperacion,hash)</x:v>
      </x:c>
      <x:c r="G5" t="str">
        <x:v>La solicitud anterior tenía mismo hash y fue COMMIT.</x:v>
      </x:c>
      <x:c r="H5" t="str">
        <x:v>IDEMPOTENTE</x:v>
      </x:c>
    </x:row>
    <x:row r="6" ht="68" customHeight="1">
      <x:c r="A6" t="n">
        <x:v>2</x:v>
      </x:c>
      <x:c r="B6" t="str">
        <x:v>EA04</x:v>
      </x:c>
      <x:c r="C6" t="str">
        <x:v>E_Operacion</x:v>
      </x:c>
      <x:c r="D6" t="str">
        <x:v>───► (llamada)</x:v>
      </x:c>
      <x:c r="E6" t="str">
        <x:v>C_ControlEliminacionVehiculo</x:v>
      </x:c>
      <x:c r="F6" t="str">
        <x:v>retornarOperacion(CONFIRMADA,comprobanteAnterior)</x:v>
      </x:c>
      <x:c r="G6" t="str">
        <x:v>Resultado previo, mismo idVehiculo eliminado y principal resultante.</x:v>
      </x:c>
      <x:c r="H6" t="str">
        <x:v>IDEMPOTENTE</x:v>
      </x:c>
    </x:row>
    <x:row r="7" ht="68" customHeight="1">
      <x:c r="A7" t="n">
        <x:v>3</x:v>
      </x:c>
      <x:c r="B7" t="str">
        <x:v>EA04</x:v>
      </x:c>
      <x:c r="C7" t="str">
        <x:v>C_ControlEliminacionVehiculo</x:v>
      </x:c>
      <x:c r="D7" t="str">
        <x:v>───► (llamada)</x:v>
      </x:c>
      <x:c r="E7" t="str">
        <x:v>I_Autos</x:v>
      </x:c>
      <x:c r="F7" t="str">
        <x:v>mostrarComprobanteSinNuevoUPDATE()</x:v>
      </x:c>
      <x:c r="G7" t="str">
        <x:v>No repite baja, auditoría, ni outbox.</x:v>
      </x:c>
      <x:c r="H7" t="str">
        <x:v>IDEMPOTENTE</x:v>
      </x:c>
    </x:row>
    <x:row r="8">
      <x:c r="A8" t="n">
        <x:v>4</x:v>
      </x:c>
      <x:c r="B8" t="str">
        <x:v>EA04</x:v>
      </x:c>
      <x:c r="C8" t="str">
        <x:v>I_Autos</x:v>
      </x:c>
      <x:c r="D8" t="str">
        <x:v>───► (llamada)</x:v>
      </x:c>
      <x:c r="E8" t="str">
        <x:v>AS_Usuario</x:v>
      </x:c>
      <x:c r="F8" t="str">
        <x:v>visualizarResultadoAnterior()</x:v>
      </x:c>
      <x:c r="G8" t="str">
        <x:v>Solo confirmación anteriormente persistida.</x:v>
      </x:c>
      <x:c r="H8" t="str">
        <x:v>IDEMPOTENTE</x:v>
      </x:c>
    </x:row>
    <x:row r="9">
      <x:c r="A9"/>
      <x:c r="B9"/>
      <x:c r="C9"/>
      <x:c r="D9"/>
      <x:c r="E9"/>
      <x:c r="F9"/>
      <x:c r="G9"/>
      <x:c r="H9"/>
    </x:row>
    <x:row r="10">
      <x:c r="A10" t="str">
        <x:v>RETORNO: si la vía exige COMMIT, continuar con la verificación, auditoría y salida del EF. Caso contrario, terminar SIN cambios.</x:v>
      </x:c>
      <x:c r="B10"/>
      <x:c r="C10"/>
      <x:c r="D10"/>
      <x:c r="E10"/>
      <x:c r="F10"/>
      <x:c r="G10"/>
      <x:c r="H10"/>
    </x:row>
  </x:sheetData>
  <x:mergeCells>
    <x:mergeCell ref="A1:H1"/>
    <x:mergeCell ref="A2:H2"/>
    <x:mergeCell ref="A10:H10"/>
  </x:mergeCells>
  <x:pageMargins left="0.7" right="0.7" top="0.75" bottom="0.75" header="0.3" footer="0.3"/>
</x:worksheet>
</file>

<file path=xl/worksheets/sheet142.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EA05 · IDOPERACION REUTILIZADO CON DATOS DISTINTOS</x:v>
      </x:c>
      <x:c r="B1"/>
      <x:c r="C1"/>
      <x:c r="D1"/>
      <x:c r="E1"/>
      <x:c r="F1"/>
      <x:c r="G1"/>
      <x:c r="H1"/>
    </x:row>
    <x:row r="2" ht="32" customHeight="1">
      <x:c r="A2" t="str">
        <x:v>Desvío: EF21–EF22 / B3   |   Resultado: CONFLICTO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EA05</x:v>
      </x:c>
      <x:c r="C5" t="str">
        <x:v>C_ControlEliminacionVehiculo</x:v>
      </x:c>
      <x:c r="D5" t="str">
        <x:v>───► (llamada)</x:v>
      </x:c>
      <x:c r="E5" t="str">
        <x:v>E_Operacion</x:v>
      </x:c>
      <x:c r="F5" t="str">
        <x:v>validarHashOperacion(idOperacion,hashNuevo)</x:v>
      </x:c>
      <x:c r="G5" t="str">
        <x:v>El idOperacion ya pertenece a otro payload del mismo usuario/tipo.</x:v>
      </x:c>
      <x:c r="H5" t="str">
        <x:v>CONFLICTO</x:v>
      </x:c>
    </x:row>
    <x:row r="6" ht="68" customHeight="1">
      <x:c r="A6" t="n">
        <x:v>2</x:v>
      </x:c>
      <x:c r="B6" t="str">
        <x:v>EA05</x:v>
      </x:c>
      <x:c r="C6" t="str">
        <x:v>E_Operacion</x:v>
      </x:c>
      <x:c r="D6" t="str">
        <x:v>───► (llamada)</x:v>
      </x:c>
      <x:c r="E6" t="str">
        <x:v>C_ControlEliminacionVehiculo</x:v>
      </x:c>
      <x:c r="F6" t="str">
        <x:v>retornarConflictoIdempotencia()</x:v>
      </x:c>
      <x:c r="G6" t="str">
        <x:v>Se detecta reutilización inválida.</x:v>
      </x:c>
      <x:c r="H6" t="str">
        <x:v>CONFLICTO</x:v>
      </x:c>
    </x:row>
    <x:row r="7" ht="68" customHeight="1">
      <x:c r="A7" t="n">
        <x:v>3</x:v>
      </x:c>
      <x:c r="B7" t="str">
        <x:v>EA05</x:v>
      </x:c>
      <x:c r="C7" t="str">
        <x:v>C_ControlEliminacionVehiculo</x:v>
      </x:c>
      <x:c r="D7" t="str">
        <x:v>───► (llamada)</x:v>
      </x:c>
      <x:c r="E7" t="str">
        <x:v>I_ConfirmacionOperacion</x:v>
      </x:c>
      <x:c r="F7" t="str">
        <x:v>mostrarConflictoOperacion()</x:v>
      </x:c>
      <x:c r="G7" t="str">
        <x:v>Solicitar nueva acción controlada; jamás usar clave duplicada para otro vehículo.</x:v>
      </x:c>
      <x:c r="H7" t="str">
        <x:v>CONFLICTO</x:v>
      </x:c>
    </x:row>
    <x:row r="8">
      <x:c r="A8" t="n">
        <x:v>4</x:v>
      </x:c>
      <x:c r="B8" t="str">
        <x:v>EA05</x:v>
      </x:c>
      <x:c r="C8" t="str">
        <x:v>I_ConfirmacionOperacion</x:v>
      </x:c>
      <x:c r="D8" t="str">
        <x:v>───► (llamada)</x:v>
      </x:c>
      <x:c r="E8" t="str">
        <x:v>AS_Usuario</x:v>
      </x:c>
      <x:c r="F8" t="str">
        <x:v>visualizarAvisoSinCambios()</x:v>
      </x:c>
      <x:c r="G8" t="str">
        <x:v>No hay baja ni reasignación.</x:v>
      </x:c>
      <x:c r="H8" t="str">
        <x:v>CONFLICTO</x:v>
      </x:c>
    </x:row>
    <x:row r="9">
      <x:c r="A9"/>
      <x:c r="B9"/>
      <x:c r="C9"/>
      <x:c r="D9"/>
      <x:c r="E9"/>
      <x:c r="F9"/>
      <x:c r="G9"/>
      <x:c r="H9"/>
    </x:row>
    <x:row r="10">
      <x:c r="A10" t="str">
        <x:v>RETORNO: si la vía exige COMMIT, continuar con la verificación, auditoría y salida del EF. Caso contrario, terminar SIN cambios.</x:v>
      </x:c>
      <x:c r="B10"/>
      <x:c r="C10"/>
      <x:c r="D10"/>
      <x:c r="E10"/>
      <x:c r="F10"/>
      <x:c r="G10"/>
      <x:c r="H10"/>
    </x:row>
  </x:sheetData>
  <x:mergeCells>
    <x:mergeCell ref="A1:H1"/>
    <x:mergeCell ref="A2:H2"/>
    <x:mergeCell ref="A10:H10"/>
  </x:mergeCells>
  <x:pageMargins left="0.7" right="0.7" top="0.75" bottom="0.75" header="0.3" footer="0.3"/>
</x:worksheet>
</file>

<file path=xl/worksheets/sheet143.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EA06 · SOLICITUD ANTERIOR EN_PROCESO / RESPUESTA INDETERMINADA</x:v>
      </x:c>
      <x:c r="B1"/>
      <x:c r="C1"/>
      <x:c r="D1"/>
      <x:c r="E1"/>
      <x:c r="F1"/>
      <x:c r="G1"/>
      <x:c r="H1"/>
    </x:row>
    <x:row r="2" ht="32" customHeight="1">
      <x:c r="A2" t="str">
        <x:v>Desvío: EF21–EF22   |   Resultado: CONSULTAR_ESTADO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EA06</x:v>
      </x:c>
      <x:c r="C5" t="str">
        <x:v>C_ControlEliminacionVehiculo</x:v>
      </x:c>
      <x:c r="D5" t="str">
        <x:v>───► (llamada)</x:v>
      </x:c>
      <x:c r="E5" t="str">
        <x:v>E_Operacion</x:v>
      </x:c>
      <x:c r="F5" t="str">
        <x:v>consultarEstadoOperacion(idOperacion)</x:v>
      </x:c>
      <x:c r="G5" t="str">
        <x:v>Existe solicitud previa EN_PROCESO.</x:v>
      </x:c>
      <x:c r="H5" t="str">
        <x:v>CONSULTAR_ESTADO</x:v>
      </x:c>
    </x:row>
    <x:row r="6" ht="68" customHeight="1">
      <x:c r="A6" t="n">
        <x:v>2</x:v>
      </x:c>
      <x:c r="B6" t="str">
        <x:v>EA06</x:v>
      </x:c>
      <x:c r="C6" t="str">
        <x:v>E_Operacion</x:v>
      </x:c>
      <x:c r="D6" t="str">
        <x:v>───► (llamada)</x:v>
      </x:c>
      <x:c r="E6" t="str">
        <x:v>C_ControlEliminacionVehiculo</x:v>
      </x:c>
      <x:c r="F6" t="str">
        <x:v>retornarOperacion(EN_PROCESO)</x:v>
      </x:c>
      <x:c r="G6" t="str">
        <x:v>No se conoce un COMMIT confirmado.</x:v>
      </x:c>
      <x:c r="H6" t="str">
        <x:v>CONSULTAR_ESTADO</x:v>
      </x:c>
    </x:row>
    <x:row r="7" ht="68" customHeight="1">
      <x:c r="A7" t="n">
        <x:v>3</x:v>
      </x:c>
      <x:c r="B7" t="str">
        <x:v>EA06</x:v>
      </x:c>
      <x:c r="C7" t="str">
        <x:v>C_ControlEliminacionVehiculo</x:v>
      </x:c>
      <x:c r="D7" t="str">
        <x:v>───► (llamada)</x:v>
      </x:c>
      <x:c r="E7" t="str">
        <x:v>I_ConfirmacionOperacion</x:v>
      </x:c>
      <x:c r="F7" t="str">
        <x:v>mostrarVerificacionPendiente()</x:v>
      </x:c>
      <x:c r="G7" t="str">
        <x:v>Consultar E_Operacion con misma clave; no generar segundo intento automático.</x:v>
      </x:c>
      <x:c r="H7" t="str">
        <x:v>CONSULTAR_ESTADO</x:v>
      </x:c>
    </x:row>
    <x:row r="8">
      <x:c r="A8" t="n">
        <x:v>4</x:v>
      </x:c>
      <x:c r="B8" t="str">
        <x:v>EA06</x:v>
      </x:c>
      <x:c r="C8" t="str">
        <x:v>I_ConfirmacionOperacion</x:v>
      </x:c>
      <x:c r="D8" t="str">
        <x:v>───► (llamada)</x:v>
      </x:c>
      <x:c r="E8" t="str">
        <x:v>AS_Usuario</x:v>
      </x:c>
      <x:c r="F8" t="str">
        <x:v>visualizarEstadoNoConfirmado()</x:v>
      </x:c>
      <x:c r="G8" t="str">
        <x:v>No declarar vehículo eliminado sin resultado verificable.</x:v>
      </x:c>
      <x:c r="H8" t="str">
        <x:v>CONSULTAR_ESTADO</x:v>
      </x:c>
    </x:row>
    <x:row r="9">
      <x:c r="A9"/>
      <x:c r="B9"/>
      <x:c r="C9"/>
      <x:c r="D9"/>
      <x:c r="E9"/>
      <x:c r="F9"/>
      <x:c r="G9"/>
      <x:c r="H9"/>
    </x:row>
    <x:row r="10">
      <x:c r="A10" t="str">
        <x:v>RETORNO: si la vía exige COMMIT, continuar con la verificación, auditoría y salida del EF. Caso contrario, terminar SIN cambios.</x:v>
      </x:c>
      <x:c r="B10"/>
      <x:c r="C10"/>
      <x:c r="D10"/>
      <x:c r="E10"/>
      <x:c r="F10"/>
      <x:c r="G10"/>
      <x:c r="H10"/>
    </x:row>
  </x:sheetData>
  <x:mergeCells>
    <x:mergeCell ref="A1:H1"/>
    <x:mergeCell ref="A2:H2"/>
    <x:mergeCell ref="A10:H10"/>
  </x:mergeCells>
  <x:pageMargins left="0.7" right="0.7" top="0.75" bottom="0.75" header="0.3" footer="0.3"/>
</x:worksheet>
</file>

<file path=xl/worksheets/sheet144.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EA07 · VEHÍCULO ELIMINADO CONCURRENTEMENTE CON OTRA OPERACIÓN</x:v>
      </x:c>
      <x:c r="B1"/>
      <x:c r="C1"/>
      <x:c r="D1"/>
      <x:c r="E1"/>
      <x:c r="F1"/>
      <x:c r="G1"/>
      <x:c r="H1"/>
    </x:row>
    <x:row r="2" ht="32" customHeight="1">
      <x:c r="A2" t="str">
        <x:v>Desvío: EF26–EF27   |   Resultado: SIN_NUEVA_ESCRITURA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EA07</x:v>
      </x:c>
      <x:c r="C5" t="str">
        <x:v>C_ControlEliminacionVehiculo</x:v>
      </x:c>
      <x:c r="D5" t="str">
        <x:v>───► (llamada)</x:v>
      </x:c>
      <x:c r="E5" t="str">
        <x:v>E_Vehiculo</x:v>
      </x:c>
      <x:c r="F5" t="str">
        <x:v>bloquearVehiculoPropioVigente(idUsuario,idVehiculo)</x:v>
      </x:c>
      <x:c r="G5" t="str">
        <x:v>Otra baja distinta ganó la concurrencia.</x:v>
      </x:c>
      <x:c r="H5" t="str">
        <x:v>SIN_NUEVA_ESCRITURA</x:v>
      </x:c>
    </x:row>
    <x:row r="6" ht="68" customHeight="1">
      <x:c r="A6" t="n">
        <x:v>2</x:v>
      </x:c>
      <x:c r="B6" t="str">
        <x:v>EA07</x:v>
      </x:c>
      <x:c r="C6" t="str">
        <x:v>E_Vehiculo</x:v>
      </x:c>
      <x:c r="D6" t="str">
        <x:v>───► (llamada)</x:v>
      </x:c>
      <x:c r="E6" t="str">
        <x:v>C_ControlEliminacionVehiculo</x:v>
      </x:c>
      <x:c r="F6" t="str">
        <x:v>retornarEstadoRegistro(ELIMINADO)</x:v>
      </x:c>
      <x:c r="G6" t="str">
        <x:v>La baja actual ya no puede aplicarse.</x:v>
      </x:c>
      <x:c r="H6" t="str">
        <x:v>SIN_NUEVA_ESCRITURA</x:v>
      </x:c>
    </x:row>
    <x:row r="7" ht="68" customHeight="1">
      <x:c r="A7" t="n">
        <x:v>3</x:v>
      </x:c>
      <x:c r="B7" t="str">
        <x:v>EA07</x:v>
      </x:c>
      <x:c r="C7" t="str">
        <x:v>C_ControlEliminacionVehiculo</x:v>
      </x:c>
      <x:c r="D7" t="str">
        <x:v>───► (llamada)</x:v>
      </x:c>
      <x:c r="E7" t="str">
        <x:v>C_ControlEliminacionVehiculo</x:v>
      </x:c>
      <x:c r="F7" t="str">
        <x:v>rollbackYMarcarResultadoNoAplicado()</x:v>
      </x:c>
      <x:c r="G7" t="str">
        <x:v>No duplica auditoría ni cambia el principal otra vez.</x:v>
      </x:c>
      <x:c r="H7" t="str">
        <x:v>SIN_NUEVA_ESCRITURA</x:v>
      </x:c>
    </x:row>
    <x:row r="8">
      <x:c r="A8" t="n">
        <x:v>4</x:v>
      </x:c>
      <x:c r="B8" t="str">
        <x:v>EA07</x:v>
      </x:c>
      <x:c r="C8" t="str">
        <x:v>C_ControlEliminacionVehiculo</x:v>
      </x:c>
      <x:c r="D8" t="str">
        <x:v>───► (llamada)</x:v>
      </x:c>
      <x:c r="E8" t="str">
        <x:v>I_Autos</x:v>
      </x:c>
      <x:c r="F8" t="str">
        <x:v>mostrarVehiculoYaNoDisponible()</x:v>
      </x:c>
      <x:c r="G8" t="str">
        <x:v>Consultar lista actualizada; el resultado es distinto de un reintento idéntico EA04.</x:v>
      </x:c>
      <x:c r="H8" t="str">
        <x:v>SIN_NUEVA_ESCRITURA</x:v>
      </x:c>
    </x:row>
    <x:row r="9">
      <x:c r="A9" t="n">
        <x:v>5</x:v>
      </x:c>
      <x:c r="B9" t="str">
        <x:v>EA07</x:v>
      </x:c>
      <x:c r="C9" t="str">
        <x:v>I_Autos</x:v>
      </x:c>
      <x:c r="D9" t="str">
        <x:v>───► (llamada)</x:v>
      </x:c>
      <x:c r="E9" t="str">
        <x:v>AS_Usuario</x:v>
      </x:c>
      <x:c r="F9" t="str">
        <x:v>visualizarListadoActual()</x:v>
      </x:c>
      <x:c r="G9" t="str">
        <x:v>No afirmar que ESTA operación eliminó el vehículo.</x:v>
      </x:c>
      <x:c r="H9" t="str">
        <x:v>SIN_NUEVA_ESCRITURA</x:v>
      </x:c>
    </x:row>
    <x:row r="10">
      <x:c r="A10"/>
      <x:c r="B10"/>
      <x:c r="C10"/>
      <x:c r="D10"/>
      <x:c r="E10"/>
      <x:c r="F10"/>
      <x:c r="G10"/>
      <x:c r="H10"/>
    </x:row>
    <x:row r="11">
      <x:c r="A11" t="str">
        <x:v>RETORNO: si la vía exige COMMIT, continuar con la verificación, auditoría y salida del EF. Caso contrario, terminar SIN cambios.</x:v>
      </x:c>
      <x:c r="B11"/>
      <x:c r="C11"/>
      <x:c r="D11"/>
      <x:c r="E11"/>
      <x:c r="F11"/>
      <x:c r="G11"/>
      <x:c r="H11"/>
    </x:row>
  </x:sheetData>
  <x:mergeCells>
    <x:mergeCell ref="A1:H1"/>
    <x:mergeCell ref="A2:H2"/>
    <x:mergeCell ref="A11:H11"/>
  </x:mergeCells>
  <x:pageMargins left="0.7" right="0.7" top="0.75" bottom="0.75" header="0.3" footer="0.3"/>
</x:worksheet>
</file>

<file path=xl/worksheets/sheet145.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EA08 · CAMBIO DE VERSIÓN / PRINCIPAL MIENTRAS SE CONFIRMABA</x:v>
      </x:c>
      <x:c r="B1"/>
      <x:c r="C1"/>
      <x:c r="D1"/>
      <x:c r="E1"/>
      <x:c r="F1"/>
      <x:c r="G1"/>
      <x:c r="H1"/>
    </x:row>
    <x:row r="2" ht="32" customHeight="1">
      <x:c r="A2" t="str">
        <x:v>Desvío: EF26–EF30 / B4   |   Resultado: RECONFIRMAR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EA08</x:v>
      </x:c>
      <x:c r="C5" t="str">
        <x:v>C_ControlEliminacionVehiculo</x:v>
      </x:c>
      <x:c r="D5" t="str">
        <x:v>───► (llamada)</x:v>
      </x:c>
      <x:c r="E5" t="str">
        <x:v>E_Vehiculo</x:v>
      </x:c>
      <x:c r="F5" t="str">
        <x:v>validarVersionYContextoConfirmado()</x:v>
      </x:c>
      <x:c r="G5" t="str">
        <x:v>Cambió estado, titularidad o principal respecto del resumen mostrado.</x:v>
      </x:c>
      <x:c r="H5" t="str">
        <x:v>RECONFIRMAR</x:v>
      </x:c>
    </x:row>
    <x:row r="6" ht="68" customHeight="1">
      <x:c r="A6" t="n">
        <x:v>2</x:v>
      </x:c>
      <x:c r="B6" t="str">
        <x:v>EA08</x:v>
      </x:c>
      <x:c r="C6" t="str">
        <x:v>E_Vehiculo</x:v>
      </x:c>
      <x:c r="D6" t="str">
        <x:v>───► (llamada)</x:v>
      </x:c>
      <x:c r="E6" t="str">
        <x:v>C_ControlEliminacionVehiculo</x:v>
      </x:c>
      <x:c r="F6" t="str">
        <x:v>retornarConflictoVersion(versionActual)</x:v>
      </x:c>
      <x:c r="G6" t="str">
        <x:v>No debe ejecutarse sobre advertencia desactualizada.</x:v>
      </x:c>
      <x:c r="H6" t="str">
        <x:v>RECONFIRMAR</x:v>
      </x:c>
    </x:row>
    <x:row r="7" ht="68" customHeight="1">
      <x:c r="A7" t="n">
        <x:v>3</x:v>
      </x:c>
      <x:c r="B7" t="str">
        <x:v>EA08</x:v>
      </x:c>
      <x:c r="C7" t="str">
        <x:v>C_ControlEliminacionVehiculo</x:v>
      </x:c>
      <x:c r="D7" t="str">
        <x:v>───► (llamada)</x:v>
      </x:c>
      <x:c r="E7" t="str">
        <x:v>C_ControlEliminacionVehiculo</x:v>
      </x:c>
      <x:c r="F7" t="str">
        <x:v>revertirTransaccionSinCambios()</x:v>
      </x:c>
      <x:c r="G7" t="str">
        <x:v>ROLLBACK completo.</x:v>
      </x:c>
      <x:c r="H7" t="str">
        <x:v>RECONFIRMAR</x:v>
      </x:c>
    </x:row>
    <x:row r="8">
      <x:c r="A8" t="n">
        <x:v>4</x:v>
      </x:c>
      <x:c r="B8" t="str">
        <x:v>EA08</x:v>
      </x:c>
      <x:c r="C8" t="str">
        <x:v>C_ControlEliminacionVehiculo</x:v>
      </x:c>
      <x:c r="D8" t="str">
        <x:v>───► (llamada)</x:v>
      </x:c>
      <x:c r="E8" t="str">
        <x:v>I_ConfirmacionOperacion</x:v>
      </x:c>
      <x:c r="F8" t="str">
        <x:v>mostrarResumenVigenteParaReconfirmar()</x:v>
      </x:c>
      <x:c r="G8" t="str">
        <x:v>Reconsultar y pedir nueva confirmación. Nueva clave de operación si cambia payload.</x:v>
      </x:c>
      <x:c r="H8" t="str">
        <x:v>RECONFIRMAR</x:v>
      </x:c>
    </x:row>
    <x:row r="9">
      <x:c r="A9" t="n">
        <x:v>5</x:v>
      </x:c>
      <x:c r="B9" t="str">
        <x:v>EA08</x:v>
      </x:c>
      <x:c r="C9" t="str">
        <x:v>I_ConfirmacionOperacion</x:v>
      </x:c>
      <x:c r="D9" t="str">
        <x:v>───► (llamada)</x:v>
      </x:c>
      <x:c r="E9" t="str">
        <x:v>AS_Usuario</x:v>
      </x:c>
      <x:c r="F9" t="str">
        <x:v>visualizarNuevoImpacto()</x:v>
      </x:c>
      <x:c r="G9" t="str">
        <x:v>No se reasigna principal antes de aceptar el nuevo impacto.</x:v>
      </x:c>
      <x:c r="H9" t="str">
        <x:v>RECONFIRMAR</x:v>
      </x:c>
    </x:row>
    <x:row r="10">
      <x:c r="A10"/>
      <x:c r="B10"/>
      <x:c r="C10"/>
      <x:c r="D10"/>
      <x:c r="E10"/>
      <x:c r="F10"/>
      <x:c r="G10"/>
      <x:c r="H10"/>
    </x:row>
    <x:row r="11">
      <x:c r="A11" t="str">
        <x:v>RETORNO: si la vía exige COMMIT, continuar con la verificación, auditoría y salida del EF. Caso contrario, terminar SIN cambios.</x:v>
      </x:c>
      <x:c r="B11"/>
      <x:c r="C11"/>
      <x:c r="D11"/>
      <x:c r="E11"/>
      <x:c r="F11"/>
      <x:c r="G11"/>
      <x:c r="H11"/>
    </x:row>
  </x:sheetData>
  <x:mergeCells>
    <x:mergeCell ref="A1:H1"/>
    <x:mergeCell ref="A2:H2"/>
    <x:mergeCell ref="A11:H11"/>
  </x:mergeCells>
  <x:pageMargins left="0.7" right="0.7" top="0.75" bottom="0.75" header="0.3" footer="0.3"/>
</x:worksheet>
</file>

<file path=xl/worksheets/sheet146.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EA09 · SE ELIMINA PRINCIPAL Y QUEDAN OTROS VEHÍCULOS ACTIVOS</x:v>
      </x:c>
      <x:c r="B1"/>
      <x:c r="C1"/>
      <x:c r="D1"/>
      <x:c r="E1"/>
      <x:c r="F1"/>
      <x:c r="G1"/>
      <x:c r="H1"/>
    </x:row>
    <x:row r="2" ht="32" customHeight="1">
      <x:c r="A2" t="str">
        <x:v>Desvío: EF28–EF34 / rama exitosa   |   Resultado: EXITO_CON_REASIGNACION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EA09</x:v>
      </x:c>
      <x:c r="C5" t="str">
        <x:v>C_ControlEliminacionVehiculo</x:v>
      </x:c>
      <x:c r="D5" t="str">
        <x:v>───► (llamada)</x:v>
      </x:c>
      <x:c r="E5" t="str">
        <x:v>E_Vehiculo</x:v>
      </x:c>
      <x:c r="F5" t="str">
        <x:v>consultarActivosRestantesOrdenados()</x:v>
      </x:c>
      <x:c r="G5" t="str">
        <x:v>Bajo lock existe al menos un ACTIVO VIGENTE distinto del que se elimina.</x:v>
      </x:c>
      <x:c r="H5" t="str">
        <x:v>EXITO_CON_REASIGNACION</x:v>
      </x:c>
    </x:row>
    <x:row r="6" ht="68" customHeight="1">
      <x:c r="A6" t="n">
        <x:v>2</x:v>
      </x:c>
      <x:c r="B6" t="str">
        <x:v>EA09</x:v>
      </x:c>
      <x:c r="C6" t="str">
        <x:v>E_Vehiculo</x:v>
      </x:c>
      <x:c r="D6" t="str">
        <x:v>───► (llamada)</x:v>
      </x:c>
      <x:c r="E6" t="str">
        <x:v>C_ControlEliminacionVehiculo</x:v>
      </x:c>
      <x:c r="F6" t="str">
        <x:v>retornarCandidatosOrdenados(fechaAlta,idVehiculo)</x:v>
      </x:c>
      <x:c r="G6" t="str">
        <x:v>Se elige el más antiguo; empate por idVehiculo.</x:v>
      </x:c>
      <x:c r="H6" t="str">
        <x:v>EXITO_CON_REASIGNACION</x:v>
      </x:c>
    </x:row>
    <x:row r="7" ht="68" customHeight="1">
      <x:c r="A7" t="n">
        <x:v>3</x:v>
      </x:c>
      <x:c r="B7" t="str">
        <x:v>EA09</x:v>
      </x:c>
      <x:c r="C7" t="str">
        <x:v>C_ControlEliminacionVehiculo</x:v>
      </x:c>
      <x:c r="D7" t="str">
        <x:v>───► (llamada)</x:v>
      </x:c>
      <x:c r="E7" t="str">
        <x:v>E_Vehiculo</x:v>
      </x:c>
      <x:c r="F7" t="str">
        <x:v>marcarBajaLogicaDelPrincipal(idVehiculo)</x:v>
      </x:c>
      <x:c r="G7" t="str">
        <x:v>Deja eliminado al original dentro de la misma transacción.</x:v>
      </x:c>
      <x:c r="H7" t="str">
        <x:v>EXITO_CON_REASIGNACION</x:v>
      </x:c>
    </x:row>
    <x:row r="8">
      <x:c r="A8" t="n">
        <x:v>4</x:v>
      </x:c>
      <x:c r="B8" t="str">
        <x:v>EA09</x:v>
      </x:c>
      <x:c r="C8" t="str">
        <x:v>C_ControlEliminacionVehiculo</x:v>
      </x:c>
      <x:c r="D8" t="str">
        <x:v>───► (llamada)</x:v>
      </x:c>
      <x:c r="E8" t="str">
        <x:v>E_Vehiculo</x:v>
      </x:c>
      <x:c r="F8" t="str">
        <x:v>asignarNuevoPrincipalUnico(idVehiculoElegido)</x:v>
      </x:c>
      <x:c r="G8" t="str">
        <x:v>NUNCA promover INACTIVO ni activar por plan.</x:v>
      </x:c>
      <x:c r="H8" t="str">
        <x:v>EXITO_CON_REASIGNACION</x:v>
      </x:c>
    </x:row>
    <x:row r="9">
      <x:c r="A9" t="n">
        <x:v>5</x:v>
      </x:c>
      <x:c r="B9" t="str">
        <x:v>EA09</x:v>
      </x:c>
      <x:c r="C9" t="str">
        <x:v>E_Vehiculo</x:v>
      </x:c>
      <x:c r="D9" t="str">
        <x:v>───► (llamada)</x:v>
      </x:c>
      <x:c r="E9" t="str">
        <x:v>C_ControlEliminacionVehiculo</x:v>
      </x:c>
      <x:c r="F9" t="str">
        <x:v>retornarPrincipalNuevo(idVehiculoElegido)</x:v>
      </x:c>
      <x:c r="G9" t="str">
        <x:v>Verificar exactamente un principal activo.</x:v>
      </x:c>
      <x:c r="H9" t="str">
        <x:v>EXITO_CON_REASIGNACION</x:v>
      </x:c>
    </x:row>
    <x:row r="10">
      <x:c r="A10" t="n">
        <x:v>6</x:v>
      </x:c>
      <x:c r="B10" t="str">
        <x:v>EA09</x:v>
      </x:c>
      <x:c r="C10" t="str">
        <x:v>C_ControlEliminacionVehiculo</x:v>
      </x:c>
      <x:c r="D10" t="str">
        <x:v>───► (llamada)</x:v>
      </x:c>
      <x:c r="E10" t="str">
        <x:v>I_Autos</x:v>
      </x:c>
      <x:c r="F10" t="str">
        <x:v>mostrarConfirmacionYNuevoPrincipal()</x:v>
      </x:c>
      <x:c r="G10" t="str">
        <x:v>Solo tras COMMIT/auditoría/idempotencia del B4; mostrar orden RF09.</x:v>
      </x:c>
      <x:c r="H10" t="str">
        <x:v>EXITO_CON_REASIGNACION</x:v>
      </x:c>
    </x:row>
    <x:row r="11">
      <x:c r="A11" t="n">
        <x:v>7</x:v>
      </x:c>
      <x:c r="B11" t="str">
        <x:v>EA09</x:v>
      </x:c>
      <x:c r="C11" t="str">
        <x:v>I_Autos</x:v>
      </x:c>
      <x:c r="D11" t="str">
        <x:v>───► (llamada)</x:v>
      </x:c>
      <x:c r="E11" t="str">
        <x:v>AS_Usuario</x:v>
      </x:c>
      <x:c r="F11" t="str">
        <x:v>visualizarCambioAutomatico()</x:v>
      </x:c>
      <x:c r="G11" t="str">
        <x:v>Variante EXITOSA, no error. RF13 sigue disponible para elegir principal manualmente.</x:v>
      </x:c>
      <x:c r="H11" t="str">
        <x:v>EXITO_CON_REASIGNACION</x:v>
      </x:c>
    </x:row>
    <x:row r="12">
      <x:c r="A12"/>
      <x:c r="B12"/>
      <x:c r="C12"/>
      <x:c r="D12"/>
      <x:c r="E12"/>
      <x:c r="F12"/>
      <x:c r="G12"/>
      <x:c r="H12"/>
    </x:row>
    <x:row r="13">
      <x:c r="A13" t="str">
        <x:v>RETORNO: si la vía exige COMMIT, continuar con la verificación, auditoría y salida del EF. Caso contrario, terminar SIN cambios.</x:v>
      </x:c>
      <x:c r="B13"/>
      <x:c r="C13"/>
      <x:c r="D13"/>
      <x:c r="E13"/>
      <x:c r="F13"/>
      <x:c r="G13"/>
      <x:c r="H13"/>
    </x:row>
  </x:sheetData>
  <x:mergeCells>
    <x:mergeCell ref="A1:H1"/>
    <x:mergeCell ref="A2:H2"/>
    <x:mergeCell ref="A13:H13"/>
  </x:mergeCells>
  <x:pageMargins left="0.7" right="0.7" top="0.75" bottom="0.75" header="0.3" footer="0.3"/>
</x:worksheet>
</file>

<file path=xl/worksheets/sheet147.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EA10 · SE ELIMINA ÚLTIMO ACTIVO Y QUEDAN SOLO INACTIVOS O NINGUNO</x:v>
      </x:c>
      <x:c r="B1"/>
      <x:c r="C1"/>
      <x:c r="D1"/>
      <x:c r="E1"/>
      <x:c r="F1"/>
      <x:c r="G1"/>
      <x:c r="H1"/>
    </x:row>
    <x:row r="2" ht="32" customHeight="1">
      <x:c r="A2" t="str">
        <x:v>Desvío: EF28–EF34 / rama exitosa   |   Resultado: EXITO_SIN_PRINCIPAL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EA10</x:v>
      </x:c>
      <x:c r="C5" t="str">
        <x:v>C_ControlEliminacionVehiculo</x:v>
      </x:c>
      <x:c r="D5" t="str">
        <x:v>───► (llamada)</x:v>
      </x:c>
      <x:c r="E5" t="str">
        <x:v>E_Vehiculo</x:v>
      </x:c>
      <x:c r="F5" t="str">
        <x:v>consultarOtrosActivos()</x:v>
      </x:c>
      <x:c r="G5" t="str">
        <x:v>Bajo lock NO existen otros ACTIVOS VIGENTES.</x:v>
      </x:c>
      <x:c r="H5" t="str">
        <x:v>EXITO_SIN_PRINCIPAL</x:v>
      </x:c>
    </x:row>
    <x:row r="6" ht="68" customHeight="1">
      <x:c r="A6" t="n">
        <x:v>2</x:v>
      </x:c>
      <x:c r="B6" t="str">
        <x:v>EA10</x:v>
      </x:c>
      <x:c r="C6" t="str">
        <x:v>E_Vehiculo</x:v>
      </x:c>
      <x:c r="D6" t="str">
        <x:v>───► (llamada)</x:v>
      </x:c>
      <x:c r="E6" t="str">
        <x:v>C_ControlEliminacionVehiculo</x:v>
      </x:c>
      <x:c r="F6" t="str">
        <x:v>retornarListaActivosVacia()</x:v>
      </x:c>
      <x:c r="G6" t="str">
        <x:v>Puede haber registrados INACTIVOS; no se consideran candidatos.</x:v>
      </x:c>
      <x:c r="H6" t="str">
        <x:v>EXITO_SIN_PRINCIPAL</x:v>
      </x:c>
    </x:row>
    <x:row r="7" ht="68" customHeight="1">
      <x:c r="A7" t="n">
        <x:v>3</x:v>
      </x:c>
      <x:c r="B7" t="str">
        <x:v>EA10</x:v>
      </x:c>
      <x:c r="C7" t="str">
        <x:v>C_ControlEliminacionVehiculo</x:v>
      </x:c>
      <x:c r="D7" t="str">
        <x:v>───► (llamada)</x:v>
      </x:c>
      <x:c r="E7" t="str">
        <x:v>E_Vehiculo</x:v>
      </x:c>
      <x:c r="F7" t="str">
        <x:v>marcarBajaLogicaYPrincipalNulo(idVehiculo)</x:v>
      </x:c>
      <x:c r="G7" t="str">
        <x:v>Se permite eliminación informada del último activo, distinto de la desactivación RF12.</x:v>
      </x:c>
      <x:c r="H7" t="str">
        <x:v>EXITO_SIN_PRINCIPAL</x:v>
      </x:c>
    </x:row>
    <x:row r="8">
      <x:c r="A8" t="n">
        <x:v>4</x:v>
      </x:c>
      <x:c r="B8" t="str">
        <x:v>EA10</x:v>
      </x:c>
      <x:c r="C8" t="str">
        <x:v>E_Vehiculo</x:v>
      </x:c>
      <x:c r="D8" t="str">
        <x:v>───► (llamada)</x:v>
      </x:c>
      <x:c r="E8" t="str">
        <x:v>C_ControlEliminacionVehiculo</x:v>
      </x:c>
      <x:c r="F8" t="str">
        <x:v>retornarSinPrincipal()</x:v>
      </x:c>
      <x:c r="G8" t="str">
        <x:v>Ningún vehículo queda principal; INACTIVOS siguen inactivos.</x:v>
      </x:c>
      <x:c r="H8" t="str">
        <x:v>EXITO_SIN_PRINCIPAL</x:v>
      </x:c>
    </x:row>
    <x:row r="9">
      <x:c r="A9" t="n">
        <x:v>5</x:v>
      </x:c>
      <x:c r="B9" t="str">
        <x:v>EA10</x:v>
      </x:c>
      <x:c r="C9" t="str">
        <x:v>C_ControlEliminacionVehiculo</x:v>
      </x:c>
      <x:c r="D9" t="str">
        <x:v>───► (llamada)</x:v>
      </x:c>
      <x:c r="E9" t="str">
        <x:v>I_Autos</x:v>
      </x:c>
      <x:c r="F9" t="str">
        <x:v>mostrarListadoSinPrincipal()</x:v>
      </x:c>
      <x:c r="G9" t="str">
        <x:v>Tras COMMIT; si aún hay inactivos puede usarse RF12 para activar si cupo permite.</x:v>
      </x:c>
      <x:c r="H9" t="str">
        <x:v>EXITO_SIN_PRINCIPAL</x:v>
      </x:c>
    </x:row>
    <x:row r="10">
      <x:c r="A10" t="n">
        <x:v>6</x:v>
      </x:c>
      <x:c r="B10" t="str">
        <x:v>EA10</x:v>
      </x:c>
      <x:c r="C10" t="str">
        <x:v>I_Autos</x:v>
      </x:c>
      <x:c r="D10" t="str">
        <x:v>───► (llamada)</x:v>
      </x:c>
      <x:c r="E10" t="str">
        <x:v>AS_Usuario</x:v>
      </x:c>
      <x:c r="F10" t="str">
        <x:v>visualizarEstadoSinActivo()</x:v>
      </x:c>
      <x:c r="G10" t="str">
        <x:v>Si no queda ninguno, RF08 podrá comprobar cupo 0. Sin activar automáticamente.</x:v>
      </x:c>
      <x:c r="H10" t="str">
        <x:v>EXITO_SIN_PRINCIPAL</x:v>
      </x:c>
    </x:row>
    <x:row r="11">
      <x:c r="A11"/>
      <x:c r="B11"/>
      <x:c r="C11"/>
      <x:c r="D11"/>
      <x:c r="E11"/>
      <x:c r="F11"/>
      <x:c r="G11"/>
      <x:c r="H11"/>
    </x:row>
    <x:row r="12">
      <x:c r="A12" t="str">
        <x:v>RETORNO: si la vía exige COMMIT, continuar con la verificación, auditoría y salida del EF. Caso contrario, terminar SIN cambios.</x:v>
      </x:c>
      <x:c r="B12"/>
      <x:c r="C12"/>
      <x:c r="D12"/>
      <x:c r="E12"/>
      <x:c r="F12"/>
      <x:c r="G12"/>
      <x:c r="H12"/>
    </x:row>
  </x:sheetData>
  <x:mergeCells>
    <x:mergeCell ref="A1:H1"/>
    <x:mergeCell ref="A2:H2"/>
    <x:mergeCell ref="A12:H12"/>
  </x:mergeCells>
  <x:pageMargins left="0.7" right="0.7" top="0.75" bottom="0.75" header="0.3" footer="0.3"/>
</x:worksheet>
</file>

<file path=xl/worksheets/sheet148.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EA11 · FALLO DE BD EN BAJA, PRINCIPAL, AUDITORÍA U OPERACIÓN</x:v>
      </x:c>
      <x:c r="B1"/>
      <x:c r="C1"/>
      <x:c r="D1"/>
      <x:c r="E1"/>
      <x:c r="F1"/>
      <x:c r="G1"/>
      <x:c r="H1"/>
    </x:row>
    <x:row r="2" ht="32" customHeight="1">
      <x:c r="A2" t="str">
        <x:v>Desvío: EF31–EF40 / B4   |   Resultado: ROLLBACK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EA11</x:v>
      </x:c>
      <x:c r="C5" t="str">
        <x:v>C_ControlEliminacionVehiculo</x:v>
      </x:c>
      <x:c r="D5" t="str">
        <x:v>───► (llamada)</x:v>
      </x:c>
      <x:c r="E5" t="str">
        <x:v>E_Vehiculo</x:v>
      </x:c>
      <x:c r="F5" t="str">
        <x:v>intentarBajaLogicaTransaccional()</x:v>
      </x:c>
      <x:c r="G5" t="str">
        <x:v>DB falla o no se actualiza exactamente 1 fila.</x:v>
      </x:c>
      <x:c r="H5" t="str">
        <x:v>ROLLBACK</x:v>
      </x:c>
    </x:row>
    <x:row r="6" ht="68" customHeight="1">
      <x:c r="A6" t="n">
        <x:v>2</x:v>
      </x:c>
      <x:c r="B6" t="str">
        <x:v>EA11</x:v>
      </x:c>
      <x:c r="C6" t="str">
        <x:v>E_Vehiculo</x:v>
      </x:c>
      <x:c r="D6" t="str">
        <x:v>───► (llamada)</x:v>
      </x:c>
      <x:c r="E6" t="str">
        <x:v>C_ControlEliminacionVehiculo</x:v>
      </x:c>
      <x:c r="F6" t="str">
        <x:v>retornarErrorPersistencia()</x:v>
      </x:c>
      <x:c r="G6" t="str">
        <x:v>También cubre error E_Auditoria/E_Operacion/E_EventoOutbox.</x:v>
      </x:c>
      <x:c r="H6" t="str">
        <x:v>ROLLBACK</x:v>
      </x:c>
    </x:row>
    <x:row r="7" ht="68" customHeight="1">
      <x:c r="A7" t="n">
        <x:v>3</x:v>
      </x:c>
      <x:c r="B7" t="str">
        <x:v>EA11</x:v>
      </x:c>
      <x:c r="C7" t="str">
        <x:v>C_ControlEliminacionVehiculo</x:v>
      </x:c>
      <x:c r="D7" t="str">
        <x:v>───► (llamada)</x:v>
      </x:c>
      <x:c r="E7" t="str">
        <x:v>C_ControlEliminacionVehiculo</x:v>
      </x:c>
      <x:c r="F7" t="str">
        <x:v>revertirTodosLosCambios(ROLLBACK)</x:v>
      </x:c>
      <x:c r="G7" t="str">
        <x:v>Vehículo, principal, auditoría, idempotencia y evento transaccional retornan al estado previo.</x:v>
      </x:c>
      <x:c r="H7" t="str">
        <x:v>ROLLBACK</x:v>
      </x:c>
    </x:row>
    <x:row r="8">
      <x:c r="A8" t="n">
        <x:v>4</x:v>
      </x:c>
      <x:c r="B8" t="str">
        <x:v>EA11</x:v>
      </x:c>
      <x:c r="C8" t="str">
        <x:v>C_ControlEliminacionVehiculo</x:v>
      </x:c>
      <x:c r="D8" t="str">
        <x:v>───► (llamada)</x:v>
      </x:c>
      <x:c r="E8" t="str">
        <x:v>I_ConfirmacionOperacion</x:v>
      </x:c>
      <x:c r="F8" t="str">
        <x:v>mostrarOperacionNoCompletada()</x:v>
      </x:c>
      <x:c r="G8" t="str">
        <x:v>No declarar éxito ni navegar como si ya se hubiera eliminado.</x:v>
      </x:c>
      <x:c r="H8" t="str">
        <x:v>ROLLBACK</x:v>
      </x:c>
    </x:row>
    <x:row r="9">
      <x:c r="A9" t="n">
        <x:v>5</x:v>
      </x:c>
      <x:c r="B9" t="str">
        <x:v>EA11</x:v>
      </x:c>
      <x:c r="C9" t="str">
        <x:v>I_ConfirmacionOperacion</x:v>
      </x:c>
      <x:c r="D9" t="str">
        <x:v>───► (llamada)</x:v>
      </x:c>
      <x:c r="E9" t="str">
        <x:v>AS_Usuario</x:v>
      </x:c>
      <x:c r="F9" t="str">
        <x:v>visualizarErrorReintentoSeguro()</x:v>
      </x:c>
      <x:c r="G9" t="str">
        <x:v>Al reintentar, verificar estado idOperacion; no usar POST de clave nueva indiscriminadamente.</x:v>
      </x:c>
      <x:c r="H9" t="str">
        <x:v>ROLLBACK</x:v>
      </x:c>
    </x:row>
    <x:row r="10">
      <x:c r="A10"/>
      <x:c r="B10"/>
      <x:c r="C10"/>
      <x:c r="D10"/>
      <x:c r="E10"/>
      <x:c r="F10"/>
      <x:c r="G10"/>
      <x:c r="H10"/>
    </x:row>
    <x:row r="11">
      <x:c r="A11" t="str">
        <x:v>RETORNO: si la vía exige COMMIT, continuar con la verificación, auditoría y salida del EF. Caso contrario, terminar SIN cambios.</x:v>
      </x:c>
      <x:c r="B11"/>
      <x:c r="C11"/>
      <x:c r="D11"/>
      <x:c r="E11"/>
      <x:c r="F11"/>
      <x:c r="G11"/>
      <x:c r="H11"/>
    </x:row>
  </x:sheetData>
  <x:mergeCells>
    <x:mergeCell ref="A1:H1"/>
    <x:mergeCell ref="A2:H2"/>
    <x:mergeCell ref="A11:H11"/>
  </x:mergeCells>
  <x:pageMargins left="0.7" right="0.7" top="0.75" bottom="0.75" header="0.3" footer="0.3"/>
</x:worksheet>
</file>

<file path=xl/worksheets/sheet149.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EA12 · FALLA LA LIMPIEZA DE CACHÉ/COLA DESPUÉS DE COMMIT</x:v>
      </x:c>
      <x:c r="B1"/>
      <x:c r="C1"/>
      <x:c r="D1"/>
      <x:c r="E1"/>
      <x:c r="F1"/>
      <x:c r="G1"/>
      <x:c r="H1"/>
    </x:row>
    <x:row r="2" ht="32" customHeight="1">
      <x:c r="A2" t="str">
        <x:v>Desvío: EF46–EF49 / B6   |   Resultado: EXITO_CON_REINTENTO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EA12</x:v>
      </x:c>
      <x:c r="C5" t="str">
        <x:v>E_EventoOutbox</x:v>
      </x:c>
      <x:c r="D5" t="str">
        <x:v>───► (llamada)</x:v>
      </x:c>
      <x:c r="E5" t="str">
        <x:v>C_ControlNotificacion</x:v>
      </x:c>
      <x:c r="F5" t="str">
        <x:v>procesarVehiculoEliminado(idVehiculo)</x:v>
      </x:c>
      <x:c r="G5" t="str">
        <x:v>Worker entrega después del COMMIT.</x:v>
      </x:c>
      <x:c r="H5" t="str">
        <x:v>EXITO_CON_REINTENTO</x:v>
      </x:c>
    </x:row>
    <x:row r="6" ht="68" customHeight="1">
      <x:c r="A6" t="n">
        <x:v>2</x:v>
      </x:c>
      <x:c r="B6" t="str">
        <x:v>EA12</x:v>
      </x:c>
      <x:c r="C6" t="str">
        <x:v>C_ControlNotificacion</x:v>
      </x:c>
      <x:c r="D6" t="str">
        <x:v>───► (llamada)</x:v>
      </x:c>
      <x:c r="E6" t="str">
        <x:v>E_EventoOutbox</x:v>
      </x:c>
      <x:c r="F6" t="str">
        <x:v>registrarIntentoFallidoReintentable()</x:v>
      </x:c>
      <x:c r="G6" t="str">
        <x:v>Caché/cola no disponible; mensaje permanece pendiente.</x:v>
      </x:c>
      <x:c r="H6" t="str">
        <x:v>EXITO_CON_REINTENTO</x:v>
      </x:c>
    </x:row>
    <x:row r="7" ht="68" customHeight="1">
      <x:c r="A7" t="n">
        <x:v>3</x:v>
      </x:c>
      <x:c r="B7" t="str">
        <x:v>EA12</x:v>
      </x:c>
      <x:c r="C7" t="str">
        <x:v>C_ControlNotificacion</x:v>
      </x:c>
      <x:c r="D7" t="str">
        <x:v>───► (llamada)</x:v>
      </x:c>
      <x:c r="E7" t="str">
        <x:v>C_ControlNotificacion</x:v>
      </x:c>
      <x:c r="F7" t="str">
        <x:v>mantenerFiltroServidor(VIGENTE)</x:v>
      </x:c>
      <x:c r="G7" t="str">
        <x:v>La emisión chequea estadoRegistro antes de enviar, aun sin invalidación.</x:v>
      </x:c>
      <x:c r="H7" t="str">
        <x:v>EXITO_CON_REINTENTO</x:v>
      </x:c>
    </x:row>
    <x:row r="8">
      <x:c r="A8" t="n">
        <x:v>4</x:v>
      </x:c>
      <x:c r="B8" t="str">
        <x:v>EA12</x:v>
      </x:c>
      <x:c r="C8" t="str">
        <x:v>C_ControlEliminacionVehiculo</x:v>
      </x:c>
      <x:c r="D8" t="str">
        <x:v>───► (llamada)</x:v>
      </x:c>
      <x:c r="E8" t="str">
        <x:v>I_Autos</x:v>
      </x:c>
      <x:c r="F8" t="str">
        <x:v>mantenerComprobanteConfirmado()</x:v>
      </x:c>
      <x:c r="G8" t="str">
        <x:v>NO revertir vehículo ni principal debido a falla externa; registrar y reintentar outbox.</x:v>
      </x:c>
      <x:c r="H8" t="str">
        <x:v>EXITO_CON_REINTENTO</x:v>
      </x:c>
    </x:row>
    <x:row r="9">
      <x:c r="A9" t="n">
        <x:v>5</x:v>
      </x:c>
      <x:c r="B9" t="str">
        <x:v>EA12</x:v>
      </x:c>
      <x:c r="C9" t="str">
        <x:v>I_Autos</x:v>
      </x:c>
      <x:c r="D9" t="str">
        <x:v>───► (llamada)</x:v>
      </x:c>
      <x:c r="E9" t="str">
        <x:v>AS_Usuario</x:v>
      </x:c>
      <x:c r="F9" t="str">
        <x:v>visualizarBajaConfirmada()</x:v>
      </x:c>
      <x:c r="G9" t="str">
        <x:v>Sin mensajes o alertas nuevos para el vehículo eliminado.</x:v>
      </x:c>
      <x:c r="H9" t="str">
        <x:v>EXITO_CON_REINTENTO</x:v>
      </x:c>
    </x:row>
    <x:row r="10">
      <x:c r="A10"/>
      <x:c r="B10"/>
      <x:c r="C10"/>
      <x:c r="D10"/>
      <x:c r="E10"/>
      <x:c r="F10"/>
      <x:c r="G10"/>
      <x:c r="H10"/>
    </x:row>
    <x:row r="11">
      <x:c r="A11" t="str">
        <x:v>RETORNO: si la vía exige COMMIT, continuar con la verificación, auditoría y salida del EF. Caso contrario, terminar SIN cambios.</x:v>
      </x:c>
      <x:c r="B11"/>
      <x:c r="C11"/>
      <x:c r="D11"/>
      <x:c r="E11"/>
      <x:c r="F11"/>
      <x:c r="G11"/>
      <x:c r="H11"/>
    </x:row>
  </x:sheetData>
  <x:mergeCells>
    <x:mergeCell ref="A1:H1"/>
    <x:mergeCell ref="A2:H2"/>
    <x:mergeCell ref="A11:H11"/>
  </x:mergeCells>
  <x:pageMargins left="0.7" right="0.7" top="0.75" bottom="0.75" header="0.3" footer="0.3"/>
</x:worksheet>
</file>

<file path=xl/worksheets/sheet150.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8" hidden="0" customWidth="1"/>
    <x:col min="5" max="5" width="31" hidden="0" customWidth="1"/>
    <x:col min="6" max="6" width="52" hidden="0" customWidth="1"/>
    <x:col min="7" max="7" width="90" hidden="0" customWidth="1"/>
    <x:col min="8" max="8" width="24" hidden="0" customWidth="1"/>
  </x:cols>
  <x:sheetData>
    <x:row r="1" ht="41" customHeight="1">
      <x:c r="A1" t="str">
        <x:v>DIAGRAMA DE SECUENCIAS — RF-065 | EA13 · PÉRDIDA DE RED TRAS COMMIT; CLIENTE NO CONOCE RESPUESTA</x:v>
      </x:c>
      <x:c r="B1"/>
      <x:c r="C1"/>
      <x:c r="D1"/>
      <x:c r="E1"/>
      <x:c r="F1"/>
      <x:c r="G1"/>
      <x:c r="H1"/>
    </x:row>
    <x:row r="2" ht="32" customHeight="1">
      <x:c r="A2" t="str">
        <x:v>Desvío: EF41–EF45 / B5   |   Resultado: RECONCILIACION   |   Después de esta ruta NO se salta la revalidación del EF</x:v>
      </x:c>
      <x:c r="B2"/>
      <x:c r="C2"/>
      <x:c r="D2"/>
      <x:c r="E2"/>
      <x:c r="F2"/>
      <x:c r="G2"/>
      <x:c r="H2"/>
    </x:row>
    <x:row r="3">
      <x:c r="A3"/>
      <x:c r="B3"/>
      <x:c r="C3"/>
      <x:c r="D3"/>
      <x:c r="E3"/>
      <x:c r="F3"/>
      <x:c r="G3"/>
      <x:c r="H3"/>
    </x:row>
    <x:row r="4" ht="30" customHeight="1">
      <x:c r="A4" t="str">
        <x:v>#</x:v>
      </x:c>
      <x:c r="B4" t="str">
        <x:v>Bloque</x:v>
      </x:c>
      <x:c r="C4" t="str">
        <x:v>Objeto origen</x:v>
      </x:c>
      <x:c r="D4" t="str">
        <x:v>Flecha UML</x:v>
      </x:c>
      <x:c r="E4" t="str">
        <x:v>Objeto destino</x:v>
      </x:c>
      <x:c r="F4" t="str">
        <x:v>Método / mensaje</x:v>
      </x:c>
      <x:c r="G4" t="str">
        <x:v>Descripción / nota de consistencia</x:v>
      </x:c>
      <x:c r="H4" t="str">
        <x:v>Resultado</x:v>
      </x:c>
    </x:row>
    <x:row r="5" ht="68" customHeight="1">
      <x:c r="A5" t="n">
        <x:v>1</x:v>
      </x:c>
      <x:c r="B5" t="str">
        <x:v>EA13</x:v>
      </x:c>
      <x:c r="C5" t="str">
        <x:v>I_ConfirmacionOperacion</x:v>
      </x:c>
      <x:c r="D5" t="str">
        <x:v>───► (llamada)</x:v>
      </x:c>
      <x:c r="E5" t="str">
        <x:v>C_ControlEliminacionVehiculo</x:v>
      </x:c>
      <x:c r="F5" t="str">
        <x:v>consultarResultadoIdOperacion(idOperacion)</x:v>
      </x:c>
      <x:c r="G5" t="str">
        <x:v>El cliente no supone fracaso ni vuelve a enviar una baja nueva.</x:v>
      </x:c>
      <x:c r="H5" t="str">
        <x:v>RECONCILIACION</x:v>
      </x:c>
    </x:row>
    <x:row r="6" ht="68" customHeight="1">
      <x:c r="A6" t="n">
        <x:v>2</x:v>
      </x:c>
      <x:c r="B6" t="str">
        <x:v>EA13</x:v>
      </x:c>
      <x:c r="C6" t="str">
        <x:v>C_ControlEliminacionVehiculo</x:v>
      </x:c>
      <x:c r="D6" t="str">
        <x:v>───► (llamada)</x:v>
      </x:c>
      <x:c r="E6" t="str">
        <x:v>E_Operacion</x:v>
      </x:c>
      <x:c r="F6" t="str">
        <x:v>consultarComprobanteConfirmado(idOperacion)</x:v>
      </x:c>
      <x:c r="G6" t="str">
        <x:v>Verifica operación por usuario + hash.</x:v>
      </x:c>
      <x:c r="H6" t="str">
        <x:v>RECONCILIACION</x:v>
      </x:c>
    </x:row>
    <x:row r="7" ht="68" customHeight="1">
      <x:c r="A7" t="n">
        <x:v>3</x:v>
      </x:c>
      <x:c r="B7" t="str">
        <x:v>EA13</x:v>
      </x:c>
      <x:c r="C7" t="str">
        <x:v>E_Operacion</x:v>
      </x:c>
      <x:c r="D7" t="str">
        <x:v>───► (llamada)</x:v>
      </x:c>
      <x:c r="E7" t="str">
        <x:v>C_ControlEliminacionVehiculo</x:v>
      </x:c>
      <x:c r="F7" t="str">
        <x:v>retornarResultado(CONFIRMADA)</x:v>
      </x:c>
      <x:c r="G7" t="str">
        <x:v>La transacción fue confirmada antes de perder conectividad.</x:v>
      </x:c>
      <x:c r="H7" t="str">
        <x:v>RECONCILIACION</x:v>
      </x:c>
    </x:row>
    <x:row r="8">
      <x:c r="A8" t="n">
        <x:v>4</x:v>
      </x:c>
      <x:c r="B8" t="str">
        <x:v>EA13</x:v>
      </x:c>
      <x:c r="C8" t="str">
        <x:v>C_ControlEliminacionVehiculo</x:v>
      </x:c>
      <x:c r="D8" t="str">
        <x:v>───► (llamada)</x:v>
      </x:c>
      <x:c r="E8" t="str">
        <x:v>I_Autos</x:v>
      </x:c>
      <x:c r="F8" t="str">
        <x:v>mostrarResultadoReconciliado()</x:v>
      </x:c>
      <x:c r="G8" t="str">
        <x:v>Usa mismo comprobante y consulta la lista actual.</x:v>
      </x:c>
      <x:c r="H8" t="str">
        <x:v>RECONCILIACION</x:v>
      </x:c>
    </x:row>
    <x:row r="9">
      <x:c r="A9" t="n">
        <x:v>5</x:v>
      </x:c>
      <x:c r="B9" t="str">
        <x:v>EA13</x:v>
      </x:c>
      <x:c r="C9" t="str">
        <x:v>I_Autos</x:v>
      </x:c>
      <x:c r="D9" t="str">
        <x:v>───► (llamada)</x:v>
      </x:c>
      <x:c r="E9" t="str">
        <x:v>AS_Usuario</x:v>
      </x:c>
      <x:c r="F9" t="str">
        <x:v>visualizarBajaUnaSolaVez()</x:v>
      </x:c>
      <x:c r="G9" t="str">
        <x:v>No duplica audit trail ni reasignaciones.</x:v>
      </x:c>
      <x:c r="H9" t="str">
        <x:v>RECONCILIACION</x:v>
      </x:c>
    </x:row>
    <x:row r="10">
      <x:c r="A10"/>
      <x:c r="B10"/>
      <x:c r="C10"/>
      <x:c r="D10"/>
      <x:c r="E10"/>
      <x:c r="F10"/>
      <x:c r="G10"/>
      <x:c r="H10"/>
    </x:row>
    <x:row r="11">
      <x:c r="A11" t="str">
        <x:v>RETORNO: si la vía exige COMMIT, continuar con la verificación, auditoría y salida del EF. Caso contrario, terminar SIN cambios.</x:v>
      </x:c>
      <x:c r="B11"/>
      <x:c r="C11"/>
      <x:c r="D11"/>
      <x:c r="E11"/>
      <x:c r="F11"/>
      <x:c r="G11"/>
      <x:c r="H11"/>
    </x:row>
  </x:sheetData>
  <x:mergeCells>
    <x:mergeCell ref="A1:H1"/>
    <x:mergeCell ref="A2:H2"/>
    <x:mergeCell ref="A11:H11"/>
  </x:mergeCells>
  <x:pageMargins left="0.7" right="0.7" top="0.75" bottom="0.75" header="0.3" footer="0.3"/>
</x:worksheet>
</file>

<file path=xl/worksheets/sheet151.xml><?xml version="1.0" encoding="utf-8"?>
<x:worksheet xmlns:x="http://schemas.openxmlformats.org/spreadsheetml/2006/main">
  <x:sheetFormatPr defaultRowHeight="15"/>
  <x:cols>
    <x:col min="1" max="1" width="10" hidden="0" customWidth="1"/>
    <x:col min="2" max="2" width="90"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1" ht="38" customHeight="1">
      <x:c r="A1" t="str">
        <x:v>RF-065 · DIAGRAMA DE SECUENCIA UML EN MERMAID (CÓDIGO PEGABLE)</x:v>
      </x:c>
      <x:c r="B1"/>
      <x:c r="C1"/>
      <x:c r="D1"/>
      <x:c r="E1"/>
      <x:c r="F1"/>
      <x:c r="G1"/>
      <x:c r="H1"/>
    </x:row>
    <x:row r="2" ht="33" customHeight="1">
      <x:c r="A2" t="str">
        <x:v>Selecciona y copia la columna B (líneas desde B6) en un renderizador Mermaid; los detalles completos están en el EF y los EA.</x:v>
      </x:c>
      <x:c r="B2"/>
      <x:c r="C2"/>
      <x:c r="D2"/>
      <x:c r="E2"/>
      <x:c r="F2"/>
      <x:c r="G2"/>
      <x:c r="H2"/>
    </x:row>
    <x:row r="3">
      <x:c r="A3"/>
      <x:c r="B3"/>
      <x:c r="C3"/>
      <x:c r="D3"/>
      <x:c r="E3"/>
      <x:c r="F3"/>
      <x:c r="G3"/>
      <x:c r="H3"/>
    </x:row>
    <x:row r="4" ht="30" customHeight="1">
      <x:c r="A4" t="str">
        <x:v>Línea</x:v>
      </x:c>
      <x:c r="B4" t="str">
        <x:v>Código Mermaid</x:v>
      </x:c>
      <x:c r="C4"/>
      <x:c r="D4"/>
      <x:c r="E4"/>
      <x:c r="F4"/>
      <x:c r="G4"/>
      <x:c r="H4"/>
    </x:row>
    <x:row r="5">
      <x:c r="A5"/>
      <x:c r="B5"/>
      <x:c r="C5"/>
      <x:c r="D5"/>
      <x:c r="E5"/>
      <x:c r="F5"/>
      <x:c r="G5"/>
      <x:c r="H5"/>
    </x:row>
    <x:row r="6" ht="23" customHeight="1">
      <x:c r="A6" t="n">
        <x:v>1</x:v>
      </x:c>
      <x:c r="B6" t="str">
        <x:v>sequenceDiagram</x:v>
      </x:c>
      <x:c r="C6"/>
      <x:c r="D6"/>
      <x:c r="E6"/>
      <x:c r="F6"/>
      <x:c r="G6"/>
      <x:c r="H6"/>
    </x:row>
    <x:row r="7" ht="23" customHeight="1">
      <x:c r="A7" t="n">
        <x:v>2</x:v>
      </x:c>
      <x:c r="B7" t="str">
        <x:v>    autonumber</x:v>
      </x:c>
      <x:c r="C7"/>
      <x:c r="D7"/>
      <x:c r="E7"/>
      <x:c r="F7"/>
      <x:c r="G7"/>
      <x:c r="H7"/>
    </x:row>
    <x:row r="8">
      <x:c r="A8" t="n">
        <x:v>3</x:v>
      </x:c>
      <x:c r="B8" t="str">
        <x:v>    actor U as AS_Usuario</x:v>
      </x:c>
      <x:c r="C8"/>
      <x:c r="D8"/>
      <x:c r="E8"/>
      <x:c r="F8"/>
      <x:c r="G8"/>
      <x:c r="H8"/>
    </x:row>
    <x:row r="9">
      <x:c r="A9" t="n">
        <x:v>4</x:v>
      </x:c>
      <x:c r="B9" t="str">
        <x:v>    participant D as I_DetalleVehiculo</x:v>
      </x:c>
      <x:c r="C9"/>
      <x:c r="D9"/>
      <x:c r="E9"/>
      <x:c r="F9"/>
      <x:c r="G9"/>
      <x:c r="H9"/>
    </x:row>
    <x:row r="10">
      <x:c r="A10" t="n">
        <x:v>5</x:v>
      </x:c>
      <x:c r="B10" t="str">
        <x:v>    participant Q as I_ConfirmacionOperacion</x:v>
      </x:c>
      <x:c r="C10"/>
      <x:c r="D10"/>
      <x:c r="E10"/>
      <x:c r="F10"/>
      <x:c r="G10"/>
      <x:c r="H10"/>
    </x:row>
    <x:row r="11">
      <x:c r="A11" t="n">
        <x:v>6</x:v>
      </x:c>
      <x:c r="B11" t="str">
        <x:v>    participant C as C_ControlEliminacionVehiculo</x:v>
      </x:c>
      <x:c r="C11"/>
      <x:c r="D11"/>
      <x:c r="E11"/>
      <x:c r="F11"/>
      <x:c r="G11"/>
      <x:c r="H11"/>
    </x:row>
    <x:row r="12">
      <x:c r="A12" t="n">
        <x:v>7</x:v>
      </x:c>
      <x:c r="B12" t="str">
        <x:v>    participant A as C_ControlAutorizacion</x:v>
      </x:c>
      <x:c r="C12"/>
      <x:c r="D12"/>
      <x:c r="E12"/>
      <x:c r="F12"/>
      <x:c r="G12"/>
      <x:c r="H12"/>
    </x:row>
    <x:row r="13">
      <x:c r="A13" t="n">
        <x:v>8</x:v>
      </x:c>
      <x:c r="B13" t="str">
        <x:v>    participant V as E_Vehiculo</x:v>
      </x:c>
      <x:c r="C13"/>
      <x:c r="D13"/>
      <x:c r="E13"/>
      <x:c r="F13"/>
      <x:c r="G13"/>
      <x:c r="H13"/>
    </x:row>
    <x:row r="14">
      <x:c r="A14" t="n">
        <x:v>9</x:v>
      </x:c>
      <x:c r="B14" t="str">
        <x:v>    participant O as E_Operacion</x:v>
      </x:c>
      <x:c r="C14"/>
      <x:c r="D14"/>
      <x:c r="E14"/>
      <x:c r="F14"/>
      <x:c r="G14"/>
      <x:c r="H14"/>
    </x:row>
    <x:row r="15">
      <x:c r="A15" t="n">
        <x:v>10</x:v>
      </x:c>
      <x:c r="B15" t="str">
        <x:v>    participant T as E_Auditoria / E_EventoOutbox</x:v>
      </x:c>
      <x:c r="C15"/>
      <x:c r="D15"/>
      <x:c r="E15"/>
      <x:c r="F15"/>
      <x:c r="G15"/>
      <x:c r="H15"/>
    </x:row>
    <x:row r="16">
      <x:c r="A16" t="n">
        <x:v>11</x:v>
      </x:c>
      <x:c r="B16" t="str">
        <x:v>    participant L as I_Autos</x:v>
      </x:c>
      <x:c r="C16"/>
      <x:c r="D16"/>
      <x:c r="E16"/>
      <x:c r="F16"/>
      <x:c r="G16"/>
      <x:c r="H16"/>
    </x:row>
    <x:row r="17">
      <x:c r="A17" t="n">
        <x:v>12</x:v>
      </x:c>
      <x:c r="B17" t="str">
        <x:v>    U-&gt;&gt;D: seleccionarEliminarVehiculo(idVehiculo)</x:v>
      </x:c>
      <x:c r="C17"/>
      <x:c r="D17"/>
      <x:c r="E17"/>
      <x:c r="F17"/>
      <x:c r="G17"/>
      <x:c r="H17"/>
    </x:row>
    <x:row r="18">
      <x:c r="A18" t="n">
        <x:v>13</x:v>
      </x:c>
      <x:c r="B18" t="str">
        <x:v>    D-&gt;&gt;C: solicitarPrepararEliminacion(idVehiculo)</x:v>
      </x:c>
      <x:c r="C18"/>
      <x:c r="D18"/>
      <x:c r="E18"/>
      <x:c r="F18"/>
      <x:c r="G18"/>
      <x:c r="H18"/>
    </x:row>
    <x:row r="19">
      <x:c r="A19" t="n">
        <x:v>14</x:v>
      </x:c>
      <x:c r="B19" t="str">
        <x:v>    C-&gt;&gt;A: validarSesionYCuentaACTIVA()</x:v>
      </x:c>
      <x:c r="C19"/>
      <x:c r="D19"/>
      <x:c r="E19"/>
      <x:c r="F19"/>
      <x:c r="G19"/>
      <x:c r="H19"/>
    </x:row>
    <x:row r="20">
      <x:c r="A20" t="n">
        <x:v>15</x:v>
      </x:c>
      <x:c r="B20" t="str">
        <x:v>    A--&gt;&gt;C: idUsuario autorizado</x:v>
      </x:c>
      <x:c r="C20"/>
      <x:c r="D20"/>
      <x:c r="E20"/>
      <x:c r="F20"/>
      <x:c r="G20"/>
      <x:c r="H20"/>
    </x:row>
    <x:row r="21">
      <x:c r="A21" t="n">
        <x:v>16</x:v>
      </x:c>
      <x:c r="B21" t="str">
        <x:v>    C-&gt;&gt;V: consultarVehiculoPropioVigente(idUsuario,idVehiculo)</x:v>
      </x:c>
      <x:c r="C21"/>
      <x:c r="D21"/>
      <x:c r="E21"/>
      <x:c r="F21"/>
      <x:c r="G21"/>
      <x:c r="H21"/>
    </x:row>
    <x:row r="22">
      <x:c r="A22" t="n">
        <x:v>17</x:v>
      </x:c>
      <x:c r="B22" t="str">
        <x:v>    V--&gt;&gt;C: datos + version + dependencias</x:v>
      </x:c>
      <x:c r="C22"/>
      <x:c r="D22"/>
      <x:c r="E22"/>
      <x:c r="F22"/>
      <x:c r="G22"/>
      <x:c r="H22"/>
    </x:row>
    <x:row r="23">
      <x:c r="A23" t="n">
        <x:v>18</x:v>
      </x:c>
      <x:c r="B23" t="str">
        <x:v>    C-&gt;&gt;V: consultarOtrosActivos(idUsuario,idVehiculo)</x:v>
      </x:c>
      <x:c r="C23"/>
      <x:c r="D23"/>
      <x:c r="E23"/>
      <x:c r="F23"/>
      <x:c r="G23"/>
      <x:c r="H23"/>
    </x:row>
    <x:row r="24">
      <x:c r="A24" t="n">
        <x:v>19</x:v>
      </x:c>
      <x:c r="B24" t="str">
        <x:v>    V--&gt;&gt;C: candidatos activos</x:v>
      </x:c>
      <x:c r="C24"/>
      <x:c r="D24"/>
      <x:c r="E24"/>
      <x:c r="F24"/>
      <x:c r="G24"/>
      <x:c r="H24"/>
    </x:row>
    <x:row r="25">
      <x:c r="A25" t="n">
        <x:v>20</x:v>
      </x:c>
      <x:c r="B25" t="str">
        <x:v>    C-&gt;&gt;Q: mostrarAdvertenciaYPosiblePrincipal()</x:v>
      </x:c>
      <x:c r="C25"/>
      <x:c r="D25"/>
      <x:c r="E25"/>
      <x:c r="F25"/>
      <x:c r="G25"/>
      <x:c r="H25"/>
    </x:row>
    <x:row r="26">
      <x:c r="A26" t="n">
        <x:v>21</x:v>
      </x:c>
      <x:c r="B26" t="str">
        <x:v>    alt usuario cancela (EA01)</x:v>
      </x:c>
      <x:c r="C26"/>
      <x:c r="D26"/>
      <x:c r="E26"/>
      <x:c r="F26"/>
      <x:c r="G26"/>
      <x:c r="H26"/>
    </x:row>
    <x:row r="27">
      <x:c r="A27" t="n">
        <x:v>22</x:v>
      </x:c>
      <x:c r="B27" t="str">
        <x:v>        U-&gt;&gt;Q: cancelar()</x:v>
      </x:c>
      <x:c r="C27"/>
      <x:c r="D27"/>
      <x:c r="E27"/>
      <x:c r="F27"/>
      <x:c r="G27"/>
      <x:c r="H27"/>
    </x:row>
    <x:row r="28">
      <x:c r="A28" t="n">
        <x:v>23</x:v>
      </x:c>
      <x:c r="B28" t="str">
        <x:v>        Q--&gt;&gt;D: volver sin POST</x:v>
      </x:c>
      <x:c r="C28"/>
      <x:c r="D28"/>
      <x:c r="E28"/>
      <x:c r="F28"/>
      <x:c r="G28"/>
      <x:c r="H28"/>
    </x:row>
    <x:row r="29">
      <x:c r="A29" t="n">
        <x:v>24</x:v>
      </x:c>
      <x:c r="B29" t="str">
        <x:v>    else usuario confirma</x:v>
      </x:c>
      <x:c r="C29"/>
      <x:c r="D29"/>
      <x:c r="E29"/>
      <x:c r="F29"/>
      <x:c r="G29"/>
      <x:c r="H29"/>
    </x:row>
    <x:row r="30">
      <x:c r="A30" t="n">
        <x:v>25</x:v>
      </x:c>
      <x:c r="B30" t="str">
        <x:v>        U-&gt;&gt;Q: confirmar()</x:v>
      </x:c>
      <x:c r="C30"/>
      <x:c r="D30"/>
      <x:c r="E30"/>
      <x:c r="F30"/>
      <x:c r="G30"/>
      <x:c r="H30"/>
    </x:row>
    <x:row r="31">
      <x:c r="A31" t="n">
        <x:v>26</x:v>
      </x:c>
      <x:c r="B31" t="str">
        <x:v>        Q-&gt;&gt;C: confirmar(idVehiculo,idOperacion,versionVista)</x:v>
      </x:c>
      <x:c r="C31"/>
      <x:c r="D31"/>
      <x:c r="E31"/>
      <x:c r="F31"/>
      <x:c r="G31"/>
      <x:c r="H31"/>
    </x:row>
    <x:row r="32">
      <x:c r="A32" t="n">
        <x:v>27</x:v>
      </x:c>
      <x:c r="B32" t="str">
        <x:v>        C-&gt;&gt;A: revalidarSesion()</x:v>
      </x:c>
      <x:c r="C32"/>
      <x:c r="D32"/>
      <x:c r="E32"/>
      <x:c r="F32"/>
      <x:c r="G32"/>
      <x:c r="H32"/>
    </x:row>
    <x:row r="33">
      <x:c r="A33" t="n">
        <x:v>28</x:v>
      </x:c>
      <x:c r="B33" t="str">
        <x:v>        A--&gt;&gt;C: autorizado</x:v>
      </x:c>
      <x:c r="C33"/>
      <x:c r="D33"/>
      <x:c r="E33"/>
      <x:c r="F33"/>
      <x:c r="G33"/>
      <x:c r="H33"/>
    </x:row>
    <x:row r="34">
      <x:c r="A34" t="n">
        <x:v>29</x:v>
      </x:c>
      <x:c r="B34" t="str">
        <x:v>        C-&gt;&gt;O: resolverIdempotencia(hash,idOperacion)</x:v>
      </x:c>
      <x:c r="C34"/>
      <x:c r="D34"/>
      <x:c r="E34"/>
      <x:c r="F34"/>
      <x:c r="G34"/>
      <x:c r="H34"/>
    </x:row>
    <x:row r="35">
      <x:c r="A35" t="n">
        <x:v>30</x:v>
      </x:c>
      <x:c r="B35" t="str">
        <x:v>        alt confirmado antes (EA04)</x:v>
      </x:c>
      <x:c r="C35"/>
      <x:c r="D35"/>
      <x:c r="E35"/>
      <x:c r="F35"/>
      <x:c r="G35"/>
      <x:c r="H35"/>
    </x:row>
    <x:row r="36">
      <x:c r="A36" t="n">
        <x:v>31</x:v>
      </x:c>
      <x:c r="B36" t="str">
        <x:v>            O--&gt;&gt;C: comprobante previo</x:v>
      </x:c>
      <x:c r="C36"/>
      <x:c r="D36"/>
      <x:c r="E36"/>
      <x:c r="F36"/>
      <x:c r="G36"/>
      <x:c r="H36"/>
    </x:row>
    <x:row r="37">
      <x:c r="A37" t="n">
        <x:v>32</x:v>
      </x:c>
      <x:c r="B37" t="str">
        <x:v>            C--&gt;&gt;L: mostrarResultadoAnterior()</x:v>
      </x:c>
      <x:c r="C37"/>
      <x:c r="D37"/>
      <x:c r="E37"/>
      <x:c r="F37"/>
      <x:c r="G37"/>
      <x:c r="H37"/>
    </x:row>
    <x:row r="38">
      <x:c r="A38" t="n">
        <x:v>33</x:v>
      </x:c>
      <x:c r="B38" t="str">
        <x:v>        else solicitud NUEVA</x:v>
      </x:c>
      <x:c r="C38"/>
      <x:c r="D38"/>
      <x:c r="E38"/>
      <x:c r="F38"/>
      <x:c r="G38"/>
      <x:c r="H38"/>
    </x:row>
    <x:row r="39">
      <x:c r="A39" t="n">
        <x:v>34</x:v>
      </x:c>
      <x:c r="B39" t="str">
        <x:v>            O--&gt;&gt;C: NUEVA</x:v>
      </x:c>
      <x:c r="C39"/>
      <x:c r="D39"/>
      <x:c r="E39"/>
      <x:c r="F39"/>
      <x:c r="G39"/>
      <x:c r="H39"/>
    </x:row>
    <x:row r="40">
      <x:c r="A40" t="n">
        <x:v>35</x:v>
      </x:c>
      <x:c r="B40" t="str">
        <x:v>            Note over C,V: BEGIN + bloquear usuario y vehiculo; validar version</x:v>
      </x:c>
      <x:c r="C40"/>
      <x:c r="D40"/>
      <x:c r="E40"/>
      <x:c r="F40"/>
      <x:c r="G40"/>
      <x:c r="H40"/>
    </x:row>
    <x:row r="41">
      <x:c r="A41" t="n">
        <x:v>36</x:v>
      </x:c>
      <x:c r="B41" t="str">
        <x:v>            C-&gt;&gt;V: marcarBajaLogica(idVehiculo)</x:v>
      </x:c>
      <x:c r="C41"/>
      <x:c r="D41"/>
      <x:c r="E41"/>
      <x:c r="F41"/>
      <x:c r="G41"/>
      <x:c r="H41"/>
    </x:row>
    <x:row r="42">
      <x:c r="A42" t="n">
        <x:v>37</x:v>
      </x:c>
      <x:c r="B42" t="str">
        <x:v>            V--&gt;&gt;C: 1 fila afectada</x:v>
      </x:c>
      <x:c r="C42"/>
      <x:c r="D42"/>
      <x:c r="E42"/>
      <x:c r="F42"/>
      <x:c r="G42"/>
      <x:c r="H42"/>
    </x:row>
    <x:row r="43">
      <x:c r="A43" t="n">
        <x:v>38</x:v>
      </x:c>
      <x:c r="B43" t="str">
        <x:v>            alt era principal y hay otro ACTIVO (EA09)</x:v>
      </x:c>
      <x:c r="C43"/>
      <x:c r="D43"/>
      <x:c r="E43"/>
      <x:c r="F43"/>
      <x:c r="G43"/>
      <x:c r="H43"/>
    </x:row>
    <x:row r="44">
      <x:c r="A44" t="n">
        <x:v>39</x:v>
      </x:c>
      <x:c r="B44" t="str">
        <x:v>                C-&gt;&gt;V: asignarPrincipal(masAntiguoActivo)</x:v>
      </x:c>
      <x:c r="C44"/>
      <x:c r="D44"/>
      <x:c r="E44"/>
      <x:c r="F44"/>
      <x:c r="G44"/>
      <x:c r="H44"/>
    </x:row>
    <x:row r="45">
      <x:c r="A45" t="n">
        <x:v>40</x:v>
      </x:c>
      <x:c r="B45" t="str">
        <x:v>            else era principal y NO hay otro ACTIVO (EA10)</x:v>
      </x:c>
      <x:c r="C45"/>
      <x:c r="D45"/>
      <x:c r="E45"/>
      <x:c r="F45"/>
      <x:c r="G45"/>
      <x:c r="H45"/>
    </x:row>
    <x:row r="46">
      <x:c r="A46" t="n">
        <x:v>41</x:v>
      </x:c>
      <x:c r="B46" t="str">
        <x:v>                C-&gt;&gt;V: establecerPrincipal(null)</x:v>
      </x:c>
      <x:c r="C46"/>
      <x:c r="D46"/>
      <x:c r="E46"/>
      <x:c r="F46"/>
      <x:c r="G46"/>
      <x:c r="H46"/>
    </x:row>
    <x:row r="47">
      <x:c r="A47" t="n">
        <x:v>42</x:v>
      </x:c>
      <x:c r="B47" t="str">
        <x:v>            else NO era principal (EF1)</x:v>
      </x:c>
      <x:c r="C47"/>
      <x:c r="D47"/>
      <x:c r="E47"/>
      <x:c r="F47"/>
      <x:c r="G47"/>
      <x:c r="H47"/>
    </x:row>
    <x:row r="48">
      <x:c r="A48" t="n">
        <x:v>43</x:v>
      </x:c>
      <x:c r="B48" t="str">
        <x:v>                Note over C,V: mantener principal existente</x:v>
      </x:c>
      <x:c r="C48"/>
      <x:c r="D48"/>
      <x:c r="E48"/>
      <x:c r="F48"/>
      <x:c r="G48"/>
      <x:c r="H48"/>
    </x:row>
    <x:row r="49">
      <x:c r="A49" t="n">
        <x:v>44</x:v>
      </x:c>
      <x:c r="B49" t="str">
        <x:v>            end</x:v>
      </x:c>
      <x:c r="C49"/>
      <x:c r="D49"/>
      <x:c r="E49"/>
      <x:c r="F49"/>
      <x:c r="G49"/>
      <x:c r="H49"/>
    </x:row>
    <x:row r="50">
      <x:c r="A50" t="n">
        <x:v>45</x:v>
      </x:c>
      <x:c r="B50" t="str">
        <x:v>            C-&gt;&gt;T: registrarAuditoriaYEventoOutbox()</x:v>
      </x:c>
      <x:c r="C50"/>
      <x:c r="D50"/>
      <x:c r="E50"/>
      <x:c r="F50"/>
      <x:c r="G50"/>
      <x:c r="H50"/>
    </x:row>
    <x:row r="51">
      <x:c r="A51" t="n">
        <x:v>46</x:v>
      </x:c>
      <x:c r="B51" t="str">
        <x:v>            C-&gt;&gt;O: guardarComprobanteConfirmado()</x:v>
      </x:c>
      <x:c r="C51"/>
      <x:c r="D51"/>
      <x:c r="E51"/>
      <x:c r="F51"/>
      <x:c r="G51"/>
      <x:c r="H51"/>
    </x:row>
    <x:row r="52">
      <x:c r="A52" t="n">
        <x:v>47</x:v>
      </x:c>
      <x:c r="B52" t="str">
        <x:v>            Note over C,V: COMMIT unico, o ROLLBACK total</x:v>
      </x:c>
      <x:c r="C52"/>
      <x:c r="D52"/>
      <x:c r="E52"/>
      <x:c r="F52"/>
      <x:c r="G52"/>
      <x:c r="H52"/>
    </x:row>
    <x:row r="53">
      <x:c r="A53" t="n">
        <x:v>48</x:v>
      </x:c>
      <x:c r="B53" t="str">
        <x:v>            C--&gt;&gt;L: confirmarBajaYRefrescarRF09()</x:v>
      </x:c>
      <x:c r="C53"/>
      <x:c r="D53"/>
      <x:c r="E53"/>
      <x:c r="F53"/>
      <x:c r="G53"/>
      <x:c r="H53"/>
    </x:row>
    <x:row r="54">
      <x:c r="A54" t="n">
        <x:v>49</x:v>
      </x:c>
      <x:c r="B54" t="str">
        <x:v>            L--&gt;&gt;U: resultado verificado</x:v>
      </x:c>
      <x:c r="C54"/>
      <x:c r="D54"/>
      <x:c r="E54"/>
      <x:c r="F54"/>
      <x:c r="G54"/>
      <x:c r="H54"/>
    </x:row>
    <x:row r="55">
      <x:c r="A55" t="n">
        <x:v>50</x:v>
      </x:c>
      <x:c r="B55" t="str">
        <x:v>        end</x:v>
      </x:c>
      <x:c r="C55"/>
      <x:c r="D55"/>
      <x:c r="E55"/>
      <x:c r="F55"/>
      <x:c r="G55"/>
      <x:c r="H55"/>
    </x:row>
    <x:row r="56">
      <x:c r="A56" t="n">
        <x:v>51</x:v>
      </x:c>
      <x:c r="B56" t="str">
        <x:v>    end</x:v>
      </x:c>
      <x:c r="C56"/>
      <x:c r="D56"/>
      <x:c r="E56"/>
      <x:c r="F56"/>
      <x:c r="G56"/>
      <x:c r="H56"/>
    </x:row>
  </x:sheetData>
  <x:mergeCells>
    <x:mergeCell ref="A1:H1"/>
    <x:mergeCell ref="A2:H2"/>
  </x:mergeCells>
  <x:pageMargins left="0.7" right="0.7" top="0.75" bottom="0.75" header="0.3" footer="0.3"/>
</x:worksheet>
</file>

<file path=xl/worksheets/sheet152.xml><?xml version="1.0" encoding="utf-8"?>
<x:worksheet xmlns:x="http://schemas.openxmlformats.org/spreadsheetml/2006/main">
  <x:sheetFormatPr defaultRowHeight="15"/>
  <x:cols>
    <x:col min="1" max="1" width="32" hidden="0" customWidth="1"/>
    <x:col min="2" max="2" width="54" hidden="0" customWidth="1"/>
    <x:col min="3" max="3" width="90" hidden="0" customWidth="1"/>
    <x:col min="4" max="4" width="31" hidden="0" customWidth="1"/>
    <x:col min="5" max="5" width="16" hidden="0" customWidth="1"/>
    <x:col min="6" max="6" width="16" hidden="0" customWidth="1"/>
    <x:col min="7" max="7" width="16" hidden="0" customWidth="1"/>
    <x:col min="8" max="8" width="16" hidden="0" customWidth="1"/>
  </x:cols>
  <x:sheetData>
    <x:row r="1" ht="32" customHeight="1">
      <x:c r="A1" t="str">
        <x:v>RF-065 · IMPACTO EN BD / API Y CAMBIOS QUE DEBEN APROBARSE</x:v>
      </x:c>
      <x:c r="B1"/>
      <x:c r="C1"/>
      <x:c r="D1"/>
      <x:c r="E1"/>
      <x:c r="F1"/>
      <x:c r="G1"/>
      <x:c r="H1"/>
    </x:row>
    <x:row r="2" ht="39" customHeight="1">
      <x:c r="A2" t="str">
        <x:v>Este Excel diseña el RF; NO modifica SQL ni índices. Un UNIQUE global de placa existente bloqueará el re-registro hasta migración aprobada.</x:v>
      </x:c>
      <x:c r="B2"/>
      <x:c r="C2"/>
      <x:c r="D2"/>
      <x:c r="E2"/>
      <x:c r="F2"/>
      <x:c r="G2"/>
      <x:c r="H2"/>
    </x:row>
    <x:row r="3">
      <x:c r="A3"/>
      <x:c r="B3"/>
      <x:c r="C3"/>
      <x:c r="D3"/>
      <x:c r="E3"/>
      <x:c r="F3"/>
      <x:c r="G3"/>
      <x:c r="H3"/>
    </x:row>
    <x:row r="4" ht="30" customHeight="1">
      <x:c r="A4" t="str">
        <x:v>Tabla / Componente</x:v>
      </x:c>
      <x:c r="B4" t="str">
        <x:v>Estado anterior (RF01–64)</x:v>
      </x:c>
      <x:c r="C4" t="str">
        <x:v>Cambio o verificación requerido</x:v>
      </x:c>
      <x:c r="D4" t="str">
        <x:v>Estado</x:v>
      </x:c>
      <x:c r="E4"/>
      <x:c r="F4"/>
      <x:c r="G4"/>
      <x:c r="H4"/>
    </x:row>
    <x:row r="5" ht="70" customHeight="1">
      <x:c r="A5" t="str">
        <x:v>VEHICULO</x:v>
      </x:c>
      <x:c r="B5" t="str">
        <x:v>PK idVehiculo; estado_operativo y es_principal existentes</x:v>
      </x:c>
      <x:c r="C5" t="str">
        <x:v>Añadir estado_registro VIGENTE|ELIMINADO; eliminado_en UTC; eliminado_por, version. No reciclar idVehiculo.</x:v>
      </x:c>
      <x:c r="D5" t="str">
        <x:v>NUEVA MIGRACIÓN / APROBAR</x:v>
      </x:c>
      <x:c r="E5"/>
      <x:c r="F5"/>
      <x:c r="G5"/>
      <x:c r="H5"/>
    </x:row>
    <x:row r="6" ht="70" customHeight="1">
      <x:c r="A6" t="str">
        <x:v>VEHICULO / INDICES</x:v>
      </x:c>
      <x:c r="B6" t="str">
        <x:v>Unique placa GLOBAL (incluye inactivos)</x:v>
      </x:c>
      <x:c r="C6" t="str">
        <x:v>Reemplazar UNIQUE plano por UNIQUE (placa) WHERE estado_registro=VIGENTE si equipo aprueba liberar placas; no borrar placa histórica.</x:v>
      </x:c>
      <x:c r="D6" t="str">
        <x:v>DECISIÓN POR APROBAR</x:v>
      </x:c>
      <x:c r="E6"/>
      <x:c r="F6"/>
      <x:c r="G6"/>
      <x:c r="H6"/>
    </x:row>
    <x:row r="7" ht="70" customHeight="1">
      <x:c r="A7" t="str">
        <x:v>VEHICULO / VIN</x:v>
      </x:c>
      <x:c r="B7" t="str">
        <x:v>VIN opcional, UNIQUE si existe</x:v>
      </x:c>
      <x:c r="C7" t="str">
        <x:v>Si se libera VIN, índice parcial UNIQUE (numero_vin) WHERE numero_vin IS NOT NULL AND estado_registro=VIGENTE; validar colisión con TIVE y política.</x:v>
      </x:c>
      <x:c r="D7" t="str">
        <x:v>DECISIÓN POR APROBAR</x:v>
      </x:c>
      <x:c r="E7"/>
      <x:c r="F7"/>
      <x:c r="G7"/>
      <x:c r="H7"/>
    </x:row>
    <x:row r="8">
      <x:c r="A8" t="str">
        <x:v>VEHICULO / PRINCIPAL</x:v>
      </x:c>
      <x:c r="B8" t="str">
        <x:v>es_principal entre activos; relación por idVehiculo</x:v>
      </x:c>
      <x:c r="C8" t="str">
        <x:v>Una sola fila principal por cuenta y siempre ACTIVO VIGENTE; row lock de usuario + selección fechaAlta,idVehiculo.</x:v>
      </x:c>
      <x:c r="D8" t="str">
        <x:v>NUEVA OPERACIÓN</x:v>
      </x:c>
      <x:c r="E8"/>
      <x:c r="F8"/>
      <x:c r="G8"/>
      <x:c r="H8"/>
    </x:row>
    <x:row r="9">
      <x:c r="A9" t="str">
        <x:v>E_OPERACION</x:v>
      </x:c>
      <x:c r="B9" t="str">
        <x:v>Idempotencia del RF08/RF14</x:v>
      </x:c>
      <x:c r="C9" t="str">
        <x:v>Reutilizar E_Operacion: usuario/tipo/idOperacion/hash, estado CONFIRMADA y respuesta; índice único.</x:v>
      </x:c>
      <x:c r="D9" t="str">
        <x:v>REUSAR / EXTENDER</x:v>
      </x:c>
      <x:c r="E9"/>
      <x:c r="F9"/>
      <x:c r="G9"/>
      <x:c r="H9"/>
    </x:row>
    <x:row r="10">
      <x:c r="A10" t="str">
        <x:v>E_AUDITORIA</x:v>
      </x:c>
      <x:c r="B10" t="str">
        <x:v>Registro transaccional</x:v>
      </x:c>
      <x:c r="C10" t="str">
        <x:v>Evento VEHICULO_ELIMINADO con actor, idVehiculo, contexto (sin duplicar historiales de negocio).</x:v>
      </x:c>
      <x:c r="D10" t="str">
        <x:v>NUEVO EVENTO</x:v>
      </x:c>
      <x:c r="E10"/>
      <x:c r="F10"/>
      <x:c r="G10"/>
      <x:c r="H10"/>
    </x:row>
    <x:row r="11">
      <x:c r="A11" t="str">
        <x:v>E_EVENTO_OUTBOX</x:v>
      </x:c>
      <x:c r="B11" t="str">
        <x:v>Evento transaccional para procesadores</x:v>
      </x:c>
      <x:c r="C11" t="str">
        <x:v>Encolar inhabilitación de avisos/caché en la misma transacción; worker reintentable tras COMMIT.</x:v>
      </x:c>
      <x:c r="D11" t="str">
        <x:v>NUEVO / FUTURO</x:v>
      </x:c>
      <x:c r="E11"/>
      <x:c r="F11"/>
      <x:c r="G11"/>
      <x:c r="H11"/>
    </x:row>
    <x:row r="12">
      <x:c r="A12" t="str">
        <x:v>E_KILOMETRAJE</x:v>
      </x:c>
      <x:c r="B12" t="str">
        <x:v>Lectura inicial automática RF08 e historial RF14/16</x:v>
      </x:c>
      <x:c r="C12" t="str">
        <x:v>NO DELETE de lecturas, conservar vínculos; RF14/RF15/RF16 normales rechazan vehículo ELIMINADO.</x:v>
      </x:c>
      <x:c r="D12" t="str">
        <x:v>FILTROS + FK</x:v>
      </x:c>
      <x:c r="E12"/>
      <x:c r="F12"/>
      <x:c r="G12"/>
      <x:c r="H12"/>
    </x:row>
    <x:row r="13">
      <x:c r="A13" t="str">
        <x:v>E_MANTENIMIENTO</x:v>
      </x:c>
      <x:c r="B13" t="str">
        <x:v>Historial RF17–21 / kmServicio histórico</x:v>
      </x:c>
      <x:c r="C13" t="str">
        <x:v>NO borrar ni reescribir servicios; no mostrar en selectores normales; acceso excepcional sujeto a retención aprobada.</x:v>
      </x:c>
      <x:c r="D13" t="str">
        <x:v>FILTROS</x:v>
      </x:c>
      <x:c r="E13"/>
      <x:c r="F13"/>
      <x:c r="G13"/>
      <x:c r="H13"/>
    </x:row>
    <x:row r="14">
      <x:c r="A14" t="str">
        <x:v>E_ALERTA / HISTORIAL_ALERTA</x:v>
      </x:c>
      <x:c r="B14" t="str">
        <x:v>Estados RF22/RF23</x:v>
      </x:c>
      <x:c r="C14" t="str">
        <x:v>Mantener estado histórico; excluir vehículo eliminado de consultas, sincronización, emisión y reemisión; no generar transición ANULADA.</x:v>
      </x:c>
      <x:c r="D14" t="str">
        <x:v>FILTROS</x:v>
      </x:c>
      <x:c r="E14"/>
      <x:c r="F14"/>
      <x:c r="G14"/>
      <x:c r="H14"/>
    </x:row>
    <x:row r="15">
      <x:c r="A15" t="str">
        <x:v>E_SOAT / E_TIVE / IMAGEN_TIVE</x:v>
      </x:c>
      <x:c r="B15" t="str">
        <x:v>TIVE 0..1, idVehiculo PK/FK, SOAT actual+histórico</x:v>
      </x:c>
      <x:c r="C15" t="str">
        <x:v>Conservar referencias; RF31–33 / RF54–56 no operan un vehículo dado de baja; VIN no es FK.</x:v>
      </x:c>
      <x:c r="D15" t="str">
        <x:v>FILTROS + FK</x:v>
      </x:c>
      <x:c r="E15"/>
      <x:c r="F15"/>
      <x:c r="G15"/>
      <x:c r="H15"/>
    </x:row>
    <x:row r="16">
      <x:c r="A16" t="str">
        <x:v>E_IMAGEN_VEHICULO / ARCHIVOS</x:v>
      </x:c>
      <x:c r="B16" t="str">
        <x:v>Foto local / referencia existente</x:v>
      </x:c>
      <x:c r="C16" t="str">
        <x:v>Ocultar en aplicación y evitar reutilización errónea; supresión física únicamente con política de retención aprobada.</x:v>
      </x:c>
      <x:c r="D16" t="str">
        <x:v>PRIVACIDAD PENDIENTE</x:v>
      </x:c>
      <x:c r="E16"/>
      <x:c r="F16"/>
      <x:c r="G16"/>
      <x:c r="H16"/>
    </x:row>
    <x:row r="17">
      <x:c r="A17" t="str">
        <x:v>E_RECORDATORIO_KM</x:v>
      </x:c>
      <x:c r="B17" t="str">
        <x:v>Una configuración por vehículo RF08; RF44</x:v>
      </x:c>
      <x:c r="C17" t="str">
        <x:v>No emitir tareas para ELIMINADO (filtro del programador); datos históricos preservados.</x:v>
      </x:c>
      <x:c r="D17" t="str">
        <x:v>FILTROS</x:v>
      </x:c>
      <x:c r="E17"/>
      <x:c r="F17"/>
      <x:c r="G17"/>
      <x:c r="H17"/>
    </x:row>
    <x:row r="18">
      <x:c r="A18" t="str">
        <x:v>E_NOTIFICACION</x:v>
      </x:c>
      <x:c r="B18" t="str">
        <x:v>Mensajes por vehículo + licencia personal</x:v>
      </x:c>
      <x:c r="C18" t="str">
        <x:v>Evitar avisos nuevos del vehículo; no eliminar notificaciones personales de licencia ni datos de cuenta.</x:v>
      </x:c>
      <x:c r="D18" t="str">
        <x:v>FILTROS</x:v>
      </x:c>
      <x:c r="E18"/>
      <x:c r="F18"/>
      <x:c r="G18"/>
      <x:c r="H18"/>
    </x:row>
    <x:row r="19">
      <x:c r="A19" t="str">
        <x:v>API / SPRING BOOT</x:v>
      </x:c>
      <x:c r="B19" t="str">
        <x:v>Autorización y validación por idUsuario de sesión</x:v>
      </x:c>
      <x:c r="C19" t="str">
        <x:v>DELETE /vehiculos/{idVehiculo} de baja lógica con header Idempotency-Key y If-Match/version; resultado seguro. Ruta es sugerencia, no contrato confirmado.</x:v>
      </x:c>
      <x:c r="D19" t="str">
        <x:v>CONTRATO PROPUESTO</x:v>
      </x:c>
      <x:c r="E19"/>
      <x:c r="F19"/>
      <x:c r="G19"/>
      <x:c r="H19"/>
    </x:row>
    <x:row r="20">
      <x:c r="A20" t="str">
        <x:v>ROOM / ANDROID</x:v>
      </x:c>
      <x:c r="B20" t="str">
        <x:v>Datos locales y borradores</x:v>
      </x:c>
      <x:c r="C20" t="str">
        <x:v>Purgar/invalidar caché local del vehículo al COMMIT verificado; no borrar copias de respaldo global sin política; mostrar error offline.</x:v>
      </x:c>
      <x:c r="D20" t="str">
        <x:v>CONTRATO PROPUESTO</x:v>
      </x:c>
      <x:c r="E20"/>
      <x:c r="F20"/>
      <x:c r="G20"/>
      <x:c r="H20"/>
    </x:row>
    <x:row r="21">
      <x:c r="A21" t="str">
        <x:v>PRIVACIDAD</x:v>
      </x:c>
      <x:c r="B21" t="str">
        <x:v>RF07 elimina cuenta a 30 días</x:v>
      </x:c>
      <x:c r="C21" t="str">
        <x:v>RF65 NO hereda ese plazo; fijar retención/purga/restauración explícitamente con equipo/docente.</x:v>
      </x:c>
      <x:c r="D21" t="str">
        <x:v>DECISIÓN POR APROBAR</x:v>
      </x:c>
      <x:c r="E21"/>
      <x:c r="F21"/>
      <x:c r="G21"/>
      <x:c r="H21"/>
    </x:row>
  </x:sheetData>
  <x:mergeCells>
    <x:mergeCell ref="A1:H1"/>
    <x:mergeCell ref="A2:H2"/>
  </x:mergeCells>
  <x:pageMargins left="0.7" right="0.7" top="0.75" bottom="0.75" header="0.3" footer="0.3"/>
</x:worksheet>
</file>

<file path=xl/worksheets/sheet153.xml><?xml version="1.0" encoding="utf-8"?>
<x:worksheet xmlns:x="http://schemas.openxmlformats.org/spreadsheetml/2006/main">
  <x:sheetFormatPr defaultRowHeight="15"/>
  <x:cols>
    <x:col min="1" max="1" width="17" hidden="0" customWidth="1"/>
    <x:col min="2" max="2" width="44" hidden="0" customWidth="1"/>
    <x:col min="3" max="3" width="90" hidden="0" customWidth="1"/>
    <x:col min="4" max="4" width="66" hidden="0" customWidth="1"/>
    <x:col min="5" max="5" width="14" hidden="0" customWidth="1"/>
    <x:col min="6" max="6" width="14" hidden="0" customWidth="1"/>
    <x:col min="7" max="7" width="14" hidden="0" customWidth="1"/>
    <x:col min="8" max="8" width="14" hidden="0" customWidth="1"/>
  </x:cols>
  <x:sheetData>
    <x:row r="1" ht="32" customHeight="1">
      <x:c r="A1" t="str">
        <x:v>RF-065 · CRUCE CON RF01–64 PARA EVITAR CONTRADICCIONES</x:v>
      </x:c>
      <x:c r="B1"/>
      <x:c r="C1"/>
      <x:c r="D1"/>
      <x:c r="E1"/>
      <x:c r="F1"/>
      <x:c r="G1"/>
      <x:c r="H1"/>
    </x:row>
    <x:row r="2" ht="31" customHeight="1">
      <x:c r="A2" t="str">
        <x:v>Los demás RF no cambian de número ni se reescriben: se agregan filtros de estadoRegistro y compatibilidad de la baja.</x:v>
      </x:c>
      <x:c r="B2"/>
      <x:c r="C2"/>
      <x:c r="D2"/>
      <x:c r="E2"/>
      <x:c r="F2"/>
      <x:c r="G2"/>
      <x:c r="H2"/>
    </x:row>
    <x:row r="3">
      <x:c r="A3"/>
      <x:c r="B3"/>
      <x:c r="C3"/>
      <x:c r="D3"/>
      <x:c r="E3"/>
      <x:c r="F3"/>
      <x:c r="G3"/>
      <x:c r="H3"/>
    </x:row>
    <x:row r="4" ht="30" customHeight="1">
      <x:c r="A4" t="str">
        <x:v>RF</x:v>
      </x:c>
      <x:c r="B4" t="str">
        <x:v>Responsabilidad existente</x:v>
      </x:c>
      <x:c r="C4" t="str">
        <x:v>Ajuste requerido por la nueva baja</x:v>
      </x:c>
      <x:c r="D4" t="str">
        <x:v>Precaución</x:v>
      </x:c>
      <x:c r="E4"/>
      <x:c r="F4"/>
      <x:c r="G4"/>
      <x:c r="H4"/>
    </x:row>
    <x:row r="5" ht="68" customHeight="1">
      <x:c r="A5" t="str">
        <x:v>RF08</x:v>
      </x:c>
      <x:c r="B5" t="str">
        <x:v>Registrar vehículo</x:v>
      </x:c>
      <x:c r="C5" t="str">
        <x:v>Contar únicamente registros VIGENTES; Free = 0 registrados antes de alta; placa global (inactivos incluidos); cambio propuesto permite re-registro tras baja</x:v>
      </x:c>
      <x:c r="D5" t="str">
        <x:v>Revalidación transaccional; ningún cupo se libera si falla COMMIT</x:v>
      </x:c>
      <x:c r="E5"/>
      <x:c r="F5"/>
      <x:c r="G5"/>
      <x:c r="H5"/>
    </x:row>
    <x:row r="6" ht="68" customHeight="1">
      <x:c r="A6" t="str">
        <x:v>RF09</x:v>
      </x:c>
      <x:c r="B6" t="str">
        <x:v>Mis vehículos</x:v>
      </x:c>
      <x:c r="C6" t="str">
        <x:v>Excluir ELIMINADO de activos/inactivos, contadores y filtros; mostrar nuevo principal o lista vacía</x:v>
      </x:c>
      <x:c r="D6" t="str">
        <x:v>GET de solo lectura</x:v>
      </x:c>
      <x:c r="E6"/>
      <x:c r="F6"/>
      <x:c r="G6"/>
      <x:c r="H6"/>
    </x:row>
    <x:row r="7" ht="68" customHeight="1">
      <x:c r="A7" t="str">
        <x:v>RF10</x:v>
      </x:c>
      <x:c r="B7" t="str">
        <x:v>Detalle del vehículo</x:v>
      </x:c>
      <x:c r="C7" t="str">
        <x:v>Solo mostrar ACTIVO/INACTIVO vigentes propios; Eliminar inicia RF065 desde aquí</x:v>
      </x:c>
      <x:c r="D7" t="str">
        <x:v>No exponer ELIMINADO</x:v>
      </x:c>
      <x:c r="E7"/>
      <x:c r="F7"/>
      <x:c r="G7"/>
      <x:c r="H7"/>
    </x:row>
    <x:row r="8">
      <x:c r="A8" t="str">
        <x:v>RF11</x:v>
      </x:c>
      <x:c r="B8" t="str">
        <x:v>Modificar vehículo</x:v>
      </x:c>
      <x:c r="C8" t="str">
        <x:v>No permitir editar cuando estadoRegistro=ELIMINADO; VIN con TIVE sigue bloqueado</x:v>
      </x:c>
      <x:c r="D8" t="str">
        <x:v>No altera regla VIN</x:v>
      </x:c>
      <x:c r="E8"/>
      <x:c r="F8"/>
      <x:c r="G8"/>
      <x:c r="H8"/>
    </x:row>
    <x:row r="9">
      <x:c r="A9" t="str">
        <x:v>RF12</x:v>
      </x:c>
      <x:c r="B9" t="str">
        <x:v>Activar/desactivar</x:v>
      </x:c>
      <x:c r="C9" t="str">
        <x:v>No permitir operar ELIMINADO; la restricción a desactivar principal se mantiene (delete ≠ deactivate)</x:v>
      </x:c>
      <x:c r="D9" t="str">
        <x:v>No activar inactivos en RF065</x:v>
      </x:c>
      <x:c r="E9"/>
      <x:c r="F9"/>
      <x:c r="G9"/>
      <x:c r="H9"/>
    </x:row>
    <x:row r="10">
      <x:c r="A10" t="str">
        <x:v>RF13</x:v>
      </x:c>
      <x:c r="B10" t="str">
        <x:v>Establecer principal</x:v>
      </x:c>
      <x:c r="C10" t="str">
        <x:v>Puede seleccionar principal manualmente mientras ambos activos vigentes; RF065 propone fallback automático por fechaAlta</x:v>
      </x:c>
      <x:c r="D10" t="str">
        <x:v>No duplicar principal</x:v>
      </x:c>
      <x:c r="E10"/>
      <x:c r="F10"/>
      <x:c r="G10"/>
      <x:c r="H10"/>
    </x:row>
    <x:row r="11">
      <x:c r="A11" t="str">
        <x:v>RF14–RF16</x:v>
      </x:c>
      <x:c r="B11" t="str">
        <x:v>Lecturas e historial Km</x:v>
      </x:c>
      <x:c r="C11" t="str">
        <x:v>Bajas no borran lecturas; escritura consulta estado vigente; corrección conserva motivo obligatorio</x:v>
      </x:c>
      <x:c r="D11" t="str">
        <x:v>RF14 no dispara motor de alertas en MVP; RF16 es modo corrección SIN campo Motivo (según RF016-EF1). La trazabilidad técnica interna no exige motivo del usuario.</x:v>
      </x:c>
      <x:c r="E11"/>
      <x:c r="F11"/>
      <x:c r="G11"/>
      <x:c r="H11"/>
    </x:row>
    <x:row r="12">
      <x:c r="A12" t="str">
        <x:v>RF17–RF21</x:v>
      </x:c>
      <x:c r="B12" t="str">
        <x:v>Mantenimiento e historial</x:v>
      </x:c>
      <x:c r="C12" t="str">
        <x:v>Mantener servicio y km histórico intactos, pero excluir eliminado de selector y operaciones normales</x:v>
      </x:c>
      <x:c r="D12" t="str">
        <x:v>No convertir mantenimientos en ANULADOS</x:v>
      </x:c>
      <x:c r="E12"/>
      <x:c r="F12"/>
      <x:c r="G12"/>
      <x:c r="H12"/>
    </x:row>
    <x:row r="13">
      <x:c r="A13" t="str">
        <x:v>RF22</x:v>
      </x:c>
      <x:c r="B13" t="str">
        <x:v>Crear alerta manual</x:v>
      </x:c>
      <x:c r="C13" t="str">
        <x:v>Solo vehículo ACTIVO VIGENTE; vehículo eliminado no debe aparecer</x:v>
      </x:c>
      <x:c r="D13" t="str">
        <x:v>No crear alerta automática</x:v>
      </x:c>
      <x:c r="E13"/>
      <x:c r="F13"/>
      <x:c r="G13"/>
      <x:c r="H13"/>
    </x:row>
    <x:row r="14">
      <x:c r="A14" t="str">
        <x:v>RF23</x:v>
      </x:c>
      <x:c r="B14" t="str">
        <x:v>Sincronizar y consultar alertas</x:v>
      </x:c>
      <x:c r="C14" t="str">
        <x:v>Excluir vehículo eliminado de selección, cálculo y avisos; historial ya registrado intacto</x:v>
      </x:c>
      <x:c r="D14" t="str">
        <x:v>No inventar transición a VENCIDA/ANULADA</x:v>
      </x:c>
      <x:c r="E14"/>
      <x:c r="F14"/>
      <x:c r="G14"/>
      <x:c r="H14"/>
    </x:row>
    <x:row r="15">
      <x:c r="A15" t="str">
        <x:v>RF30</x:v>
      </x:c>
      <x:c r="B15" t="str">
        <x:v>Fin Premium / conciliación</x:v>
      </x:c>
      <x:c r="C15" t="str">
        <x:v>Mantener principal activo entre los vigentes y desactivar extras por vencimiento, sin resucitar eliminados</x:v>
      </x:c>
      <x:c r="D15" t="str">
        <x:v>Serializar con RF65</x:v>
      </x:c>
      <x:c r="E15"/>
      <x:c r="F15"/>
      <x:c r="G15"/>
      <x:c r="H15"/>
    </x:row>
    <x:row r="16">
      <x:c r="A16" t="str">
        <x:v>RF31–RF33</x:v>
      </x:c>
      <x:c r="B16" t="str">
        <x:v>SOAT</x:v>
      </x:c>
      <x:c r="C16" t="str">
        <x:v>Conservar SOAT actual/histórico vinculado por idVehiculo pero sin acciones operativas en eliminado</x:v>
      </x:c>
      <x:c r="D16" t="str">
        <x:v>No confundir documento con matrícula</x:v>
      </x:c>
      <x:c r="E16"/>
      <x:c r="F16"/>
      <x:c r="G16"/>
      <x:c r="H16"/>
    </x:row>
    <x:row r="17">
      <x:c r="A17" t="str">
        <x:v>RF44</x:v>
      </x:c>
      <x:c r="B17" t="str">
        <x:v>Recordatorio kilométrico</x:v>
      </x:c>
      <x:c r="C17" t="str">
        <x:v>No emitir recordatorio para registro eliminado; configuración persistente histórica no se borra</x:v>
      </x:c>
      <x:c r="D17" t="str">
        <x:v>Filtros antes de enviar</x:v>
      </x:c>
      <x:c r="E17"/>
      <x:c r="F17"/>
      <x:c r="G17"/>
      <x:c r="H17"/>
    </x:row>
    <x:row r="18">
      <x:c r="A18" t="str">
        <x:v>RF45</x:v>
      </x:c>
      <x:c r="B18" t="str">
        <x:v>Eliminar imagen</x:v>
      </x:c>
      <x:c r="C18" t="str">
        <x:v>No es eliminar vehículo; acciones de imagen no se habilitan sobre registro eliminado</x:v>
      </x:c>
      <x:c r="D18" t="str">
        <x:v>Evitar UI confusa</x:v>
      </x:c>
      <x:c r="E18"/>
      <x:c r="F18"/>
      <x:c r="G18"/>
      <x:c r="H18"/>
    </x:row>
    <x:row r="19">
      <x:c r="A19" t="str">
        <x:v>RF46–RF50</x:v>
      </x:c>
      <x:c r="B19" t="str">
        <x:v>Notificaciones e Inicio</x:v>
      </x:c>
      <x:c r="C19" t="str">
        <x:v>Quitar referencias a vehículo eliminado de pendientes/resumen; licencia no depende del vehículo</x:v>
      </x:c>
      <x:c r="D19" t="str">
        <x:v>RF50 continúa SOLO CONSULTA</x:v>
      </x:c>
      <x:c r="E19"/>
      <x:c r="F19"/>
      <x:c r="G19"/>
      <x:c r="H19"/>
    </x:row>
    <x:row r="20">
      <x:c r="A20" t="str">
        <x:v>RF54–RF56</x:v>
      </x:c>
      <x:c r="B20" t="str">
        <x:v>TIVE</x:v>
      </x:c>
      <x:c r="C20" t="str">
        <x:v>Conservar TIVE una por idVehiculo y eventual foto; no permitir operaciones ordinarias sobre eliminado</x:v>
      </x:c>
      <x:c r="D20" t="str">
        <x:v>VIN opcional sin ser FK</x:v>
      </x:c>
      <x:c r="E20"/>
      <x:c r="F20"/>
      <x:c r="G20"/>
      <x:c r="H20"/>
    </x:row>
    <x:row r="21">
      <x:c r="A21" t="str">
        <x:v>RF07/RF53</x:v>
      </x:c>
      <x:c r="B21" t="str">
        <x:v>Eliminar / recuperar cuenta</x:v>
      </x:c>
      <x:c r="C21" t="str">
        <x:v>Plazo 30 días solo CUENTA; no atribuir misma ventana a vehículos</x:v>
      </x:c>
      <x:c r="D21" t="str">
        <x:v>Política de retención distinta</x:v>
      </x:c>
      <x:c r="E21"/>
      <x:c r="F21"/>
      <x:c r="G21"/>
      <x:c r="H21"/>
    </x:row>
  </x:sheetData>
  <x:mergeCells>
    <x:mergeCell ref="A1:H1"/>
    <x:mergeCell ref="A2:H2"/>
  </x:mergeCells>
  <x:pageMargins left="0.7" right="0.7" top="0.75" bottom="0.75" header="0.3" footer="0.3"/>
</x:worksheet>
</file>

<file path=xl/worksheets/sheet154.xml><?xml version="1.0" encoding="utf-8"?>
<x:worksheet xmlns:x="http://schemas.openxmlformats.org/spreadsheetml/2006/main">
  <x:sheetFormatPr defaultRowHeight="15"/>
  <x:cols>
    <x:col min="1" max="1" width="15" hidden="0" customWidth="1"/>
    <x:col min="2" max="2" width="15" hidden="0" customWidth="1"/>
    <x:col min="3" max="3" width="55" hidden="0" customWidth="1"/>
    <x:col min="4" max="4" width="77" hidden="0" customWidth="1"/>
    <x:col min="5" max="5" width="90" hidden="0" customWidth="1"/>
    <x:col min="6" max="6" width="12" hidden="0" customWidth="1"/>
    <x:col min="7" max="7" width="12" hidden="0" customWidth="1"/>
    <x:col min="8" max="8" width="12" hidden="0" customWidth="1"/>
  </x:cols>
  <x:sheetData>
    <x:row r="1" ht="32" customHeight="1">
      <x:c r="A1" t="str">
        <x:v>RF-065 · CASOS DE PRUEBA (TDD / ACEPTACIÓN)</x:v>
      </x:c>
      <x:c r="B1"/>
      <x:c r="C1"/>
      <x:c r="D1"/>
      <x:c r="E1"/>
      <x:c r="F1"/>
      <x:c r="G1"/>
      <x:c r="H1"/>
    </x:row>
    <x:row r="2" ht="32" customHeight="1">
      <x:c r="A2" t="str">
        <x:v>Diseño de pruebas, NO pruebas ejecutadas. No marcar conforme hasta implementar la migración y correrlas sobre PostgreSQL/Android.</x:v>
      </x:c>
      <x:c r="B2"/>
      <x:c r="C2"/>
      <x:c r="D2"/>
      <x:c r="E2"/>
      <x:c r="F2"/>
      <x:c r="G2"/>
      <x:c r="H2"/>
    </x:row>
    <x:row r="3">
      <x:c r="A3"/>
      <x:c r="B3"/>
      <x:c r="C3"/>
      <x:c r="D3"/>
      <x:c r="E3"/>
      <x:c r="F3"/>
      <x:c r="G3"/>
      <x:c r="H3"/>
    </x:row>
    <x:row r="4" ht="30" customHeight="1">
      <x:c r="A4" t="str">
        <x:v>ID</x:v>
      </x:c>
      <x:c r="B4" t="str">
        <x:v>Escenario</x:v>
      </x:c>
      <x:c r="C4" t="str">
        <x:v>Prueba</x:v>
      </x:c>
      <x:c r="D4" t="str">
        <x:v>Precondición / datos</x:v>
      </x:c>
      <x:c r="E4" t="str">
        <x:v>Resultado esperado</x:v>
      </x:c>
      <x:c r="F4"/>
      <x:c r="G4"/>
      <x:c r="H4"/>
    </x:row>
    <x:row r="5" ht="65" customHeight="1">
      <x:c r="A5" t="str">
        <x:v>CP65-01</x:v>
      </x:c>
      <x:c r="B5" t="str">
        <x:v>EF1</x:v>
      </x:c>
      <x:c r="C5" t="str">
        <x:v>Eliminar vehículo secundario ACTIVO</x:v>
      </x:c>
      <x:c r="D5" t="str">
        <x:v>Cuenta ACTIVA, Premium vigente, dos activos; target no principal</x:v>
      </x:c>
      <x:c r="E5" t="str">
        <x:v>COMMIT baja; principal original permanece; contadores -1</x:v>
      </x:c>
      <x:c r="F5"/>
      <x:c r="G5"/>
      <x:c r="H5"/>
    </x:row>
    <x:row r="6" ht="65" customHeight="1">
      <x:c r="A6" t="str">
        <x:v>CP65-02</x:v>
      </x:c>
      <x:c r="B6" t="str">
        <x:v>EF1</x:v>
      </x:c>
      <x:c r="C6" t="str">
        <x:v>Eliminar vehículo INACTIVO</x:v>
      </x:c>
      <x:c r="D6" t="str">
        <x:v>Free con 1 principal activo y segundo inactivo heredado</x:v>
      </x:c>
      <x:c r="E6" t="str">
        <x:v>Baja lógica inactivo; principal sin cambio; no tocar alertas históricas</x:v>
      </x:c>
      <x:c r="F6"/>
      <x:c r="G6"/>
      <x:c r="H6"/>
    </x:row>
    <x:row r="7" ht="65" customHeight="1">
      <x:c r="A7" t="str">
        <x:v>CP65-03</x:v>
      </x:c>
      <x:c r="B7" t="str">
        <x:v>EA09</x:v>
      </x:c>
      <x:c r="C7" t="str">
        <x:v>Eliminar principal con otros 2 activos</x:v>
      </x:c>
      <x:c r="D7" t="str">
        <x:v>Tres activos; principal más antiguo; fechas alta diferentes</x:v>
      </x:c>
      <x:c r="E7" t="str">
        <x:v>Más antiguo ACTIVO restante es principal; 1 solo principal</x:v>
      </x:c>
      <x:c r="F7"/>
      <x:c r="G7"/>
      <x:c r="H7"/>
    </x:row>
    <x:row r="8">
      <x:c r="A8" t="str">
        <x:v>CP65-04</x:v>
      </x:c>
      <x:c r="B8" t="str">
        <x:v>EA09</x:v>
      </x:c>
      <x:c r="C8" t="str">
        <x:v>Empate fechaAlta entre candidatos</x:v>
      </x:c>
      <x:c r="D8" t="str">
        <x:v>Dos activos restantes misma fecha</x:v>
      </x:c>
      <x:c r="E8" t="str">
        <x:v>Desempatar por idVehiculo; resultado determinista</x:v>
      </x:c>
      <x:c r="F8"/>
      <x:c r="G8"/>
      <x:c r="H8"/>
    </x:row>
    <x:row r="9">
      <x:c r="A9" t="str">
        <x:v>CP65-05</x:v>
      </x:c>
      <x:c r="B9" t="str">
        <x:v>EA10</x:v>
      </x:c>
      <x:c r="C9" t="str">
        <x:v>Eliminar único vehículo</x:v>
      </x:c>
      <x:c r="D9" t="str">
        <x:v>Free con 1 activo principal</x:v>
      </x:c>
      <x:c r="E9" t="str">
        <x:v>Lista vacía, ningún principal; alta RF08 posible tras revalidar total=0</x:v>
      </x:c>
      <x:c r="F9"/>
      <x:c r="G9"/>
      <x:c r="H9"/>
    </x:row>
    <x:row r="10">
      <x:c r="A10" t="str">
        <x:v>CP65-06</x:v>
      </x:c>
      <x:c r="B10" t="str">
        <x:v>EA10</x:v>
      </x:c>
      <x:c r="C10" t="str">
        <x:v>Eliminar último ACTIVO con INACTIVOS restantes</x:v>
      </x:c>
      <x:c r="D10" t="str">
        <x:v>Cuenta Free antigua Premium, uno activo y dos inactivos</x:v>
      </x:c>
      <x:c r="E10" t="str">
        <x:v>Ningún principal; no reactivar inactivos; totalFree sigue 2</x:v>
      </x:c>
      <x:c r="F10"/>
      <x:c r="G10"/>
      <x:c r="H10"/>
    </x:row>
    <x:row r="11">
      <x:c r="A11" t="str">
        <x:v>CP65-07</x:v>
      </x:c>
      <x:c r="B11" t="str">
        <x:v>EA01</x:v>
      </x:c>
      <x:c r="C11" t="str">
        <x:v>Cancelar confirmación</x:v>
      </x:c>
      <x:c r="D11" t="str">
        <x:v>RF10 muestra aviso con dependencias</x:v>
      </x:c>
      <x:c r="E11" t="str">
        <x:v>No POST, no UPDATE, volver a detalle</x:v>
      </x:c>
      <x:c r="F11"/>
      <x:c r="G11"/>
      <x:c r="H11"/>
    </x:row>
    <x:row r="12">
      <x:c r="A12" t="str">
        <x:v>CP65-08</x:v>
      </x:c>
      <x:c r="B12" t="str">
        <x:v>EA02</x:v>
      </x:c>
      <x:c r="C12" t="str">
        <x:v>Cuenta SUSPENDIDA al confirmar</x:v>
      </x:c>
      <x:c r="D12" t="str">
        <x:v>Sesión previa válida pero estado ahora suspendido</x:v>
      </x:c>
      <x:c r="E12" t="str">
        <x:v>Denegar; baja no sucede</x:v>
      </x:c>
      <x:c r="F12"/>
      <x:c r="G12"/>
      <x:c r="H12"/>
    </x:row>
    <x:row r="13">
      <x:c r="A13" t="str">
        <x:v>CP65-09</x:v>
      </x:c>
      <x:c r="B13" t="str">
        <x:v>EA03</x:v>
      </x:c>
      <x:c r="C13" t="str">
        <x:v>ID ajeno o inventado</x:v>
      </x:c>
      <x:c r="D13" t="str">
        <x:v>Token usuario A; idVehiculo B</x:v>
      </x:c>
      <x:c r="E13" t="str">
        <x:v>Respuesta sin filtrado datos ajenos; cero mutaciones</x:v>
      </x:c>
      <x:c r="F13"/>
      <x:c r="G13"/>
      <x:c r="H13"/>
    </x:row>
    <x:row r="14">
      <x:c r="A14" t="str">
        <x:v>CP65-10</x:v>
      </x:c>
      <x:c r="B14" t="str">
        <x:v>EA04</x:v>
      </x:c>
      <x:c r="C14" t="str">
        <x:v>Repetición misma clave después del COMMIT</x:v>
      </x:c>
      <x:c r="D14" t="str">
        <x:v>idOperacion igual, hash igual</x:v>
      </x:c>
      <x:c r="E14" t="str">
        <x:v>Mismo comprobante; una auditoría/una baja</x:v>
      </x:c>
      <x:c r="F14"/>
      <x:c r="G14"/>
      <x:c r="H14"/>
    </x:row>
    <x:row r="15">
      <x:c r="A15" t="str">
        <x:v>CP65-11</x:v>
      </x:c>
      <x:c r="B15" t="str">
        <x:v>EA05</x:v>
      </x:c>
      <x:c r="C15" t="str">
        <x:v>Reutilizar clave para otro vehículo</x:v>
      </x:c>
      <x:c r="D15" t="str">
        <x:v>Misma clave, hash diferente</x:v>
      </x:c>
      <x:c r="E15" t="str">
        <x:v>Conflicto, sin escritura</x:v>
      </x:c>
      <x:c r="F15"/>
      <x:c r="G15"/>
      <x:c r="H15"/>
    </x:row>
    <x:row r="16">
      <x:c r="A16" t="str">
        <x:v>CP65-12</x:v>
      </x:c>
      <x:c r="B16" t="str">
        <x:v>EA06</x:v>
      </x:c>
      <x:c r="C16" t="str">
        <x:v>Clave en proceso</x:v>
      </x:c>
      <x:c r="D16" t="str">
        <x:v>Operacion EN_PROCESO</x:v>
      </x:c>
      <x:c r="E16" t="str">
        <x:v>No duplicar ni mostrar éxito</x:v>
      </x:c>
      <x:c r="F16"/>
      <x:c r="G16"/>
      <x:c r="H16"/>
    </x:row>
    <x:row r="17">
      <x:c r="A17" t="str">
        <x:v>CP65-13</x:v>
      </x:c>
      <x:c r="B17" t="str">
        <x:v>EA07</x:v>
      </x:c>
      <x:c r="C17" t="str">
        <x:v>Dos clientes eliminan simultáneamente</x:v>
      </x:c>
      <x:c r="D17" t="str">
        <x:v>Dos claves distintas misma cuenta/vehículo</x:v>
      </x:c>
      <x:c r="E17" t="str">
        <x:v>Una baja y auditoría; segunda rechazada</x:v>
      </x:c>
      <x:c r="F17"/>
      <x:c r="G17"/>
      <x:c r="H17"/>
    </x:row>
    <x:row r="18">
      <x:c r="A18" t="str">
        <x:v>CP65-14</x:v>
      </x:c>
      <x:c r="B18" t="str">
        <x:v>EA08</x:v>
      </x:c>
      <x:c r="C18" t="str">
        <x:v>La versión del vehículo cambió</x:v>
      </x:c>
      <x:c r="D18" t="str">
        <x:v>Editan título/principal luego de abrir confirmación</x:v>
      </x:c>
      <x:c r="E18" t="str">
        <x:v>Rollback y pedir nueva confirmación</x:v>
      </x:c>
      <x:c r="F18"/>
      <x:c r="G18"/>
      <x:c r="H18"/>
    </x:row>
    <x:row r="19">
      <x:c r="A19" t="str">
        <x:v>CP65-15</x:v>
      </x:c>
      <x:c r="B19" t="str">
        <x:v>EA11</x:v>
      </x:c>
      <x:c r="C19" t="str">
        <x:v>Falla en medio de cambio de principal</x:v>
      </x:c>
      <x:c r="D19" t="str">
        <x:v>Error DB luego de marcar eliminado</x:v>
      </x:c>
      <x:c r="E19" t="str">
        <x:v>Rollback; antiguo principal y vehículo como antes</x:v>
      </x:c>
      <x:c r="F19"/>
      <x:c r="G19"/>
      <x:c r="H19"/>
    </x:row>
    <x:row r="20">
      <x:c r="A20" t="str">
        <x:v>CP65-16</x:v>
      </x:c>
      <x:c r="B20" t="str">
        <x:v>EA12</x:v>
      </x:c>
      <x:c r="C20" t="str">
        <x:v>Worker de avisos no disponible</x:v>
      </x:c>
      <x:c r="D20" t="str">
        <x:v>COMMIT logrado, outbox pendiente</x:v>
      </x:c>
      <x:c r="E20" t="str">
        <x:v>Baja confirmada, filtro impide emisiones, worker reintenta</x:v>
      </x:c>
      <x:c r="F20"/>
      <x:c r="G20"/>
      <x:c r="H20"/>
    </x:row>
    <x:row r="21">
      <x:c r="A21" t="str">
        <x:v>CP65-17</x:v>
      </x:c>
      <x:c r="B21" t="str">
        <x:v>EA13</x:v>
      </x:c>
      <x:c r="C21" t="str">
        <x:v>Respuesta HTTP perdida tras COMMIT</x:v>
      </x:c>
      <x:c r="D21" t="str">
        <x:v>Cliente desconectado justo tras confirmar</x:v>
      </x:c>
      <x:c r="E21" t="str">
        <x:v>Consulta idOperacion y muestra éxito sin segundo UPDATE</x:v>
      </x:c>
      <x:c r="F21"/>
      <x:c r="G21"/>
      <x:c r="H21"/>
    </x:row>
    <x:row r="22">
      <x:c r="A22" t="str">
        <x:v>CP65-18</x:v>
      </x:c>
      <x:c r="B22" t="str">
        <x:v>RF08</x:v>
      </x:c>
      <x:c r="C22" t="str">
        <x:v>Re-registrar placa tras baja lógica</x:v>
      </x:c>
      <x:c r="D22" t="str">
        <x:v>Placa antes globalmente UNIQUE, registro ELIMINADO existente</x:v>
      </x:c>
      <x:c r="E22" t="str">
        <x:v>Solo si índice parcial fue aprobado/migrado; nuevo idVehiculo</x:v>
      </x:c>
      <x:c r="F22"/>
      <x:c r="G22"/>
      <x:c r="H22"/>
    </x:row>
    <x:row r="23">
      <x:c r="A23" t="str">
        <x:v>CP65-19</x:v>
      </x:c>
      <x:c r="B23" t="str">
        <x:v>RF17/23</x:v>
      </x:c>
      <x:c r="C23" t="str">
        <x:v>Historial/alertas vinculadas</x:v>
      </x:c>
      <x:c r="D23" t="str">
        <x:v>Vehículo eliminado con mantenimiento/alertas</x:v>
      </x:c>
      <x:c r="E23" t="str">
        <x:v>Integridad FK preservada; no nuevos avisos ni mutaciones</x:v>
      </x:c>
      <x:c r="F23"/>
      <x:c r="G23"/>
      <x:c r="H23"/>
    </x:row>
    <x:row r="24">
      <x:c r="A24" t="str">
        <x:v>CP65-20</x:v>
      </x:c>
      <x:c r="B24" t="str">
        <x:v>RF54–RF56</x:v>
      </x:c>
      <x:c r="C24" t="str">
        <x:v>Vehículo con TIVE y SOAT</x:v>
      </x:c>
      <x:c r="D24" t="str">
        <x:v>TIVE única idVehiculo + SOAT ACTUAL/HIST</x:v>
      </x:c>
      <x:c r="E24" t="str">
        <x:v>Baja no rompe TIVE/FK ni modifica VIN / documentos</x:v>
      </x:c>
      <x:c r="F24"/>
      <x:c r="G24"/>
      <x:c r="H24"/>
    </x:row>
    <x:row r="25">
      <x:c r="A25" t="str">
        <x:v>CP65-21</x:v>
      </x:c>
      <x:c r="B25" t="str">
        <x:v>RF07/RF53</x:v>
      </x:c>
      <x:c r="C25" t="str">
        <x:v>No heredar 30 días</x:v>
      </x:c>
      <x:c r="D25" t="str">
        <x:v>Se elimina vehículo, no cuenta</x:v>
      </x:c>
      <x:c r="E25" t="str">
        <x:v>Cuenta ACTIVA, sin ventana recuperación inventada</x:v>
      </x:c>
      <x:c r="F25"/>
      <x:c r="G25"/>
      <x:c r="H25"/>
    </x:row>
    <x:row r="26">
      <x:c r="A26" t="str">
        <x:v>CP65-22</x:v>
      </x:c>
      <x:c r="B26" t="str">
        <x:v>RF30</x:v>
      </x:c>
      <x:c r="C26" t="str">
        <x:v>Carrera con downgrade premium</x:v>
      </x:c>
      <x:c r="D26" t="str">
        <x:v>RF30 desactiva secundarios mientras RF65 elimina</x:v>
      </x:c>
      <x:c r="E26" t="str">
        <x:v>Lock serializa; ningún eliminado activo/principal; reglas Free respetadas</x:v>
      </x:c>
      <x:c r="F26"/>
      <x:c r="G26"/>
      <x:c r="H26"/>
    </x:row>
  </x:sheetData>
  <x:mergeCells>
    <x:mergeCell ref="A1:H1"/>
    <x:mergeCell ref="A2:H2"/>
  </x:mergeCells>
  <x:pageMargins left="0.7" right="0.7" top="0.75" bottom="0.75" header="0.3" footer="0.3"/>
</x:worksheet>
</file>

<file path=xl/worksheets/sheet155.xml><?xml version="1.0" encoding="utf-8"?>
<x:worksheet xmlns:x="http://schemas.openxmlformats.org/spreadsheetml/2006/main">
  <x:sheetFormatPr defaultRowHeight="15"/>
  <x:cols>
    <x:col min="1" max="1" width="66" hidden="0" customWidth="1"/>
    <x:col min="2" max="2" width="55" hidden="0" customWidth="1"/>
    <x:col min="3" max="3" width="90" hidden="0" customWidth="1"/>
    <x:col min="4" max="4" width="71" hidden="0" customWidth="1"/>
    <x:col min="5" max="5" width="12" hidden="0" customWidth="1"/>
    <x:col min="6" max="6" width="12" hidden="0" customWidth="1"/>
    <x:col min="7" max="7" width="12" hidden="0" customWidth="1"/>
    <x:col min="8" max="8" width="12" hidden="0" customWidth="1"/>
  </x:cols>
  <x:sheetData>
    <x:row r="1" ht="32" customHeight="1">
      <x:c r="A1" t="str">
        <x:v>RF-065 · TRAZABILIDAD A LOS SIETE EXCEL DE ORIGEN</x:v>
      </x:c>
      <x:c r="B1"/>
      <x:c r="C1"/>
      <x:c r="D1"/>
      <x:c r="E1"/>
      <x:c r="F1"/>
      <x:c r="G1"/>
      <x:c r="H1"/>
    </x:row>
    <x:row r="2" ht="33" customHeight="1">
      <x:c r="A2" t="str">
        <x:v>No se han modificado los documentos originales; este libro es un RF NUEVO añadido después del RF064.</x:v>
      </x:c>
      <x:c r="B2"/>
      <x:c r="C2"/>
      <x:c r="D2"/>
      <x:c r="E2"/>
      <x:c r="F2"/>
      <x:c r="G2"/>
      <x:c r="H2"/>
    </x:row>
    <x:row r="3">
      <x:c r="A3"/>
      <x:c r="B3"/>
      <x:c r="C3"/>
      <x:c r="D3"/>
      <x:c r="E3"/>
      <x:c r="F3"/>
      <x:c r="G3"/>
      <x:c r="H3"/>
    </x:row>
    <x:row r="4" ht="30" customHeight="1">
      <x:c r="A4" t="str">
        <x:v>Archivo</x:v>
      </x:c>
      <x:c r="B4" t="str">
        <x:v>Pestañas usadas</x:v>
      </x:c>
      <x:c r="C4" t="str">
        <x:v>Regla / evidencia tomada</x:v>
      </x:c>
      <x:c r="D4" t="str">
        <x:v>Interpretación o pendiente</x:v>
      </x:c>
      <x:c r="E4"/>
      <x:c r="F4"/>
      <x:c r="G4"/>
      <x:c r="H4"/>
    </x:row>
    <x:row r="5" ht="70" customHeight="1">
      <x:c r="A5" t="str">
        <x:v>RF - FINALES(7).xlsx</x:v>
      </x:c>
      <x:c r="B5" t="str">
        <x:v>RF008/009/010/011/012/013</x:v>
      </x:c>
      <x:c r="C5" t="str">
        <x:v>RF08: cuenta Free total activo+inactivo; RF12 no desactiva principal; RF13 principal activo; RF09/10 propios</x:v>
      </x:c>
      <x:c r="D5" t="str">
        <x:v>Prevalecen acuerdos de octubre sobre borradores antiguos.</x:v>
      </x:c>
      <x:c r="E5"/>
      <x:c r="F5"/>
      <x:c r="G5"/>
      <x:c r="H5"/>
    </x:row>
    <x:row r="6" ht="70" customHeight="1">
      <x:c r="A6" t="str">
        <x:v>RF - FINALES(7).xlsx</x:v>
      </x:c>
      <x:c r="B6" t="str">
        <x:v>RF007, RF053, REGLAS_TRANSVERSALES</x:v>
      </x:c>
      <x:c r="C6" t="str">
        <x:v>30 días de eliminación/reapertura de CUENTA; reglas de idVehiculo/VIN/TIVE y cuenta/plan</x:v>
      </x:c>
      <x:c r="D6" t="str">
        <x:v>No trasladar 30 días a vehículos.</x:v>
      </x:c>
      <x:c r="E6"/>
      <x:c r="F6"/>
      <x:c r="G6"/>
      <x:c r="H6"/>
    </x:row>
    <x:row r="7" ht="70" customHeight="1">
      <x:c r="A7" t="str">
        <x:v>01_Diagramas_Exitosos_Francesca_4RF_CORREGIDOS(3).xlsx</x:v>
      </x:c>
      <x:c r="B7" t="str">
        <x:v>ACUERDOS_FINALES_20261025</x:v>
      </x:c>
      <x:c r="C7" t="str">
        <x:v>Placa global unique ACTIVO+INACTIVO, origen sesión, idempotencia RF08, RF14 no sincroniza RF23</x:v>
      </x:c>
      <x:c r="D7" t="str">
        <x:v>Reglas más recientes que memoria antigua.</x:v>
      </x:c>
      <x:c r="E7"/>
      <x:c r="F7"/>
      <x:c r="G7"/>
      <x:c r="H7"/>
    </x:row>
    <x:row r="8">
      <x:c r="A8" t="str">
        <x:v>02_24_Alternativos_Francesca_MVP_CORREGIDOS(3).xlsx</x:v>
      </x:c>
      <x:c r="B8" t="str">
        <x:v>ACUERDOS_TRANSVERSALES</x:v>
      </x:c>
      <x:c r="C8" t="str">
        <x:v>Autorización, operaciones repetidas, cancelación sin POST y reintento seguro</x:v>
      </x:c>
      <x:c r="D8" t="str">
        <x:v>Patrón de caminos EA.</x:v>
      </x:c>
      <x:c r="E8"/>
      <x:c r="F8"/>
      <x:c r="G8"/>
      <x:c r="H8"/>
    </x:row>
    <x:row r="9">
      <x:c r="A9" t="str">
        <x:v>01_Elsa_3_EF_FINAL(1).xlsx</x:v>
      </x:c>
      <x:c r="B9" t="str">
        <x:v>RF001/RF002/RF006</x:v>
      </x:c>
      <x:c r="C9" t="str">
        <x:v>Modelo autorización, sesión y usuario; acceso a datos solo desde sesión autenticada</x:v>
      </x:c>
      <x:c r="D9" t="str">
        <x:v>RF65 reutiliza permisos sin modificar RF02.</x:v>
      </x:c>
      <x:c r="E9"/>
      <x:c r="F9"/>
      <x:c r="G9"/>
      <x:c r="H9"/>
    </x:row>
    <x:row r="10">
      <x:c r="A10" t="str">
        <x:v>02_Elsa_12_EA_FINAL(1).xlsx</x:v>
      </x:c>
      <x:c r="B10" t="str">
        <x:v>RF002 alternativos</x:v>
      </x:c>
      <x:c r="C10" t="str">
        <x:v>Sesión inválida/bloqueos y mensajes de acceso no autorizado</x:v>
      </x:c>
      <x:c r="D10" t="str">
        <x:v>RF65 impide operación si no ACTIVA.</x:v>
      </x:c>
      <x:c r="E10"/>
      <x:c r="F10"/>
      <x:c r="G10"/>
      <x:c r="H10"/>
    </x:row>
    <x:row r="11">
      <x:c r="A11" t="str">
        <x:v>01_Diagramas_Exitosos_Nayu_4RF_Conciliados(1).xlsx</x:v>
      </x:c>
      <x:c r="B11" t="str">
        <x:v>RF17 / RF18 / RF22 / RF23</x:v>
      </x:c>
      <x:c r="C11" t="str">
        <x:v>Mantenimiento histórico, alerta manual, evaluación RF23 e historial de alertas</x:v>
      </x:c>
      <x:c r="D11" t="str">
        <x:v>RF65 no anula registros por su cuenta.</x:v>
      </x:c>
      <x:c r="E11"/>
      <x:c r="F11"/>
      <x:c r="G11"/>
      <x:c r="H11"/>
    </x:row>
    <x:row r="12">
      <x:c r="A12" t="str">
        <x:v>02_29_Alternativos_Nayu_MVP_Conciliados(1).xlsx</x:v>
      </x:c>
      <x:c r="B12" t="str">
        <x:v>MATRIZ_29_EA / RF22 / RF23</x:v>
      </x:c>
      <x:c r="C12" t="str">
        <x:v>Casos alternativos de sincronización y validación de vehículo activo</x:v>
      </x:c>
      <x:c r="D12" t="str">
        <x:v>Validaciones siguen centralizadas en Nayu.</x:v>
      </x:c>
      <x:c r="E12"/>
      <x:c r="F12"/>
      <x:c r="G12"/>
      <x:c r="H12"/>
    </x:row>
    <x:row r="13">
      <x:c r="A13" t="str">
        <x:v>DECISIÓN NUEVA PARA RF065</x:v>
      </x:c>
      <x:c r="B13" t="str">
        <x:v>Borrado lógico; liberación de placa/VIN; sin plazo temporal</x:v>
      </x:c>
      <x:c r="C13" t="str">
        <x:v>Propuesta estructural para mantener integridad y poder re-registrar después de eliminar</x:v>
      </x:c>
      <x:c r="D13" t="str">
        <x:v>Pendiente aprobación equipo / docente / BD.</x:v>
      </x:c>
      <x:c r="E13"/>
      <x:c r="F13"/>
      <x:c r="G13"/>
      <x:c r="H13"/>
    </x:row>
  </x:sheetData>
  <x:mergeCells>
    <x:mergeCell ref="A1:H1"/>
    <x:mergeCell ref="A2:H2"/>
  </x:mergeCells>
  <x:pageMargins left="0.7" right="0.7" top="0.75" bottom="0.75" header="0.3" footer="0.3"/>
</x:worksheet>
</file>

<file path=xl/worksheets/sheet156.xml><?xml version="1.0" encoding="utf-8"?>
<x:worksheet xmlns:x="http://schemas.openxmlformats.org/spreadsheetml/2006/main">
  <x:sheetFormatPr defaultRowHeight="15"/>
  <x:cols>
    <x:col min="1" max="1" width="17" hidden="0" customWidth="1"/>
    <x:col min="2" max="2" width="31" hidden="0" customWidth="1"/>
    <x:col min="3" max="3" width="36" hidden="0" customWidth="1"/>
    <x:col min="4" max="4" width="39" hidden="0" customWidth="1"/>
    <x:col min="5" max="5" width="39" hidden="0" customWidth="1"/>
    <x:col min="6" max="6" width="43" hidden="0" customWidth="1"/>
    <x:col min="7" max="7" width="36" hidden="0" customWidth="1"/>
    <x:col min="8" max="8" width="43" hidden="0" customWidth="1"/>
  </x:cols>
  <x:sheetData>
    <x:row r="1" ht="38" customHeight="1">
      <x:c r="A1" t="str">
        <x:v>RF-065 · VISTA DEL DIAGRAMA POR CARRILES BCE</x:v>
      </x:c>
      <x:c r="B1"/>
      <x:c r="C1"/>
      <x:c r="D1"/>
      <x:c r="E1"/>
      <x:c r="F1"/>
      <x:c r="G1"/>
      <x:c r="H1"/>
    </x:row>
    <x:row r="2" ht="31" customHeight="1">
      <x:c r="A2" t="str">
        <x:v>Ruta simplificada visible en Excel. El diagrama detallado de cada mensaje está en 01_RF065_EF1; las ramas en EA01–EA13.</x:v>
      </x:c>
      <x:c r="B2"/>
      <x:c r="C2"/>
      <x:c r="D2"/>
      <x:c r="E2"/>
      <x:c r="F2"/>
      <x:c r="G2"/>
      <x:c r="H2"/>
    </x:row>
    <x:row r="3">
      <x:c r="A3"/>
      <x:c r="B3"/>
      <x:c r="C3"/>
      <x:c r="D3"/>
      <x:c r="E3"/>
      <x:c r="F3"/>
      <x:c r="G3"/>
      <x:c r="H3"/>
    </x:row>
    <x:row r="4" ht="30" customHeight="1">
      <x:c r="A4" t="str">
        <x:v>Etapa</x:v>
      </x:c>
      <x:c r="B4" t="str">
        <x:v>Actor</x:v>
      </x:c>
      <x:c r="C4" t="str">
        <x:v>Interfaz</x:v>
      </x:c>
      <x:c r="D4" t="str">
        <x:v>Control negocio</x:v>
      </x:c>
      <x:c r="E4" t="str">
        <x:v>Entidad vehículo</x:v>
      </x:c>
      <x:c r="F4" t="str">
        <x:v>Autorización / Operación</x:v>
      </x:c>
      <x:c r="G4" t="str">
        <x:v>Auditoría / Outbox</x:v>
      </x:c>
      <x:c r="H4" t="str">
        <x:v>Resultado</x:v>
      </x:c>
    </x:row>
    <x:row r="5" ht="70" customHeight="1">
      <x:c r="A5" t="str">
        <x:v>1. Solicitud</x:v>
      </x:c>
      <x:c r="B5" t="str">
        <x:v>Selecciona eliminar</x:v>
      </x:c>
      <x:c r="C5" t="str">
        <x:v>I_DetalleVehiculo →</x:v>
      </x:c>
      <x:c r="D5" t="str">
        <x:v>C_ControlEliminacionVehiculo →</x:v>
      </x:c>
      <x:c r="E5" t="str">
        <x:v>Consulta propio VIGENTE</x:v>
      </x:c>
      <x:c r="F5" t="str">
        <x:v>C_ControlAutorizacion valida</x:v>
      </x:c>
      <x:c r="G5" t="str">
        <x:v>Sin cambios</x:v>
      </x:c>
      <x:c r="H5" t="str">
        <x:v>Preparar aviso</x:v>
      </x:c>
    </x:row>
    <x:row r="6" ht="70" customHeight="1">
      <x:c r="A6" t="str">
        <x:v>2. Previa</x:v>
      </x:c>
      <x:c r="B6" t="str">
        <x:v>Lee consecuencias</x:v>
      </x:c>
      <x:c r="C6" t="str">
        <x:v>I_ConfirmacionOperacion ←</x:v>
      </x:c>
      <x:c r="D6" t="str">
        <x:v>Prepara impacto de dependencias →</x:v>
      </x:c>
      <x:c r="E6" t="str">
        <x:v>Cuenta otros activos</x:v>
      </x:c>
      <x:c r="F6" t="str">
        <x:v>Estado ACTIVA</x:v>
      </x:c>
      <x:c r="G6" t="str">
        <x:v>Sin cambios</x:v>
      </x:c>
      <x:c r="H6" t="str">
        <x:v>Cancelar o confirmar</x:v>
      </x:c>
    </x:row>
    <x:row r="7" ht="70" customHeight="1">
      <x:c r="A7" t="str">
        <x:v>3. Confirma</x:v>
      </x:c>
      <x:c r="B7" t="str">
        <x:v>Confirma eliminar</x:v>
      </x:c>
      <x:c r="C7" t="str">
        <x:v>I_ConfirmacionOperacion →</x:v>
      </x:c>
      <x:c r="D7" t="str">
        <x:v>Revalidación / hash →</x:v>
      </x:c>
      <x:c r="E7" t="str">
        <x:v>Aún no modificar</x:v>
      </x:c>
      <x:c r="F7" t="str">
        <x:v>E_Operacion: NUEVA</x:v>
      </x:c>
      <x:c r="G7" t="str">
        <x:v>Sin cambios</x:v>
      </x:c>
      <x:c r="H7" t="str">
        <x:v>Puede ser EA04–EA06</x:v>
      </x:c>
    </x:row>
    <x:row r="8">
      <x:c r="A8" t="str">
        <x:v>4. Transacción</x:v>
      </x:c>
      <x:c r="B8"/>
      <x:c r="C8"/>
      <x:c r="D8" t="str">
        <x:v>Lock usuario + vehículo →</x:v>
      </x:c>
      <x:c r="E8" t="str">
        <x:v>Versión, titular, activos</x:v>
      </x:c>
      <x:c r="F8" t="str">
        <x:v>E_Usuario bloqueado</x:v>
      </x:c>
      <x:c r="G8" t="str">
        <x:v>Transacción abierta</x:v>
      </x:c>
      <x:c r="H8" t="str">
        <x:v>EA07 / EA08 bloquean</x:v>
      </x:c>
    </x:row>
    <x:row r="9">
      <x:c r="A9" t="str">
        <x:v>5. Baja</x:v>
      </x:c>
      <x:c r="B9"/>
      <x:c r="C9"/>
      <x:c r="D9" t="str">
        <x:v>Marcar ELIMINADO →</x:v>
      </x:c>
      <x:c r="E9" t="str">
        <x:v>estadoRegistro; principal=false</x:v>
      </x:c>
      <x:c r="F9"/>
      <x:c r="G9" t="str">
        <x:v>E_Auditoria en TX</x:v>
      </x:c>
      <x:c r="H9" t="str">
        <x:v>Sin éxito aún</x:v>
      </x:c>
    </x:row>
    <x:row r="10">
      <x:c r="A10" t="str">
        <x:v>6. Principal</x:v>
      </x:c>
      <x:c r="B10"/>
      <x:c r="C10"/>
      <x:c r="D10" t="str">
        <x:v>Elegir reemplazo ACTIVO →</x:v>
      </x:c>
      <x:c r="E10" t="str">
        <x:v>Principal más antiguo o NULL</x:v>
      </x:c>
      <x:c r="F10"/>
      <x:c r="G10" t="str">
        <x:v>E_EventoOutbox en TX</x:v>
      </x:c>
      <x:c r="H10" t="str">
        <x:v>EA09 / EA10</x:v>
      </x:c>
    </x:row>
    <x:row r="11">
      <x:c r="A11" t="str">
        <x:v>7. Commit</x:v>
      </x:c>
      <x:c r="B11"/>
      <x:c r="C11"/>
      <x:c r="D11" t="str">
        <x:v>Confirmar COMMIT →</x:v>
      </x:c>
      <x:c r="E11" t="str">
        <x:v>Una fila de baja</x:v>
      </x:c>
      <x:c r="F11" t="str">
        <x:v>E_Operacion CONFIRMADA</x:v>
      </x:c>
      <x:c r="G11" t="str">
        <x:v>Auditoría + outbox COMMIT</x:v>
      </x:c>
      <x:c r="H11" t="str">
        <x:v>ÉXITO verificable</x:v>
      </x:c>
    </x:row>
    <x:row r="12">
      <x:c r="A12" t="str">
        <x:v>8. Actualiza</x:v>
      </x:c>
      <x:c r="B12" t="str">
        <x:v>Ve lista RF09</x:v>
      </x:c>
      <x:c r="C12" t="str">
        <x:v>I_Autos ←</x:v>
      </x:c>
      <x:c r="D12" t="str">
        <x:v>C_ControlListadoVehiculos ←</x:v>
      </x:c>
      <x:c r="E12" t="str">
        <x:v>Solo VIGENTES</x:v>
      </x:c>
      <x:c r="F12"/>
      <x:c r="G12" t="str">
        <x:v>Worker se reintenta</x:v>
      </x:c>
      <x:c r="H12" t="str">
        <x:v>Sin vehículo eliminado</x:v>
      </x:c>
    </x:row>
    <x:row r="13">
      <x:c r="A13" t="str">
        <x:v>9. Futuro</x:v>
      </x:c>
      <x:c r="B13"/>
      <x:c r="C13"/>
      <x:c r="D13" t="str">
        <x:v>Filtros RF23 / RF44 / RF46</x:v>
      </x:c>
      <x:c r="E13" t="str">
        <x:v>Históricos permanecen</x:v>
      </x:c>
      <x:c r="F13"/>
      <x:c r="G13" t="str">
        <x:v>Outbox notifica</x:v>
      </x:c>
      <x:c r="H13" t="str">
        <x:v>Sin nuevos avisos</x:v>
      </x:c>
    </x:row>
  </x:sheetData>
  <x:mergeCells>
    <x:mergeCell ref="A1:H1"/>
    <x:mergeCell ref="A2:H2"/>
  </x:mergeCells>
  <x:pageMargins left="0.7" right="0.7" top="0.75" bottom="0.75" header="0.3" footer="0.3"/>
</x:worksheet>
</file>

<file path=xl/worksheets/sheet15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49" hidden="0" customWidth="1"/>
    <x:col min="3" max="3" width="37" hidden="0" customWidth="1"/>
    <x:col min="4" max="4" width="37" hidden="0" customWidth="1"/>
    <x:col min="5" max="5" width="25" hidden="0" customWidth="1"/>
    <x:col min="6" max="6" width="12" hidden="0" customWidth="1"/>
    <x:col min="7" max="7" width="14" hidden="0" customWidth="1"/>
  </x:cols>
  <x:sheetData>
    <x:row r="1" ht="33" customHeight="1">
      <x:c r="A1" s="1535" t="str">
        <x:v>MYCAR · TRAZABILIDAD DE LOS CUATRO EXCEL</x:v>
      </x:c>
      <x:c r="B1" s="1535"/>
      <x:c r="C1" s="1535"/>
      <x:c r="D1" s="1535"/>
      <x:c r="E1" s="1535"/>
      <x:c r="F1" s="1535"/>
      <x:c r="G1" s="1535"/>
    </x:row>
    <x:row r="2" ht="28" customHeight="1">
      <x:c r="A2" s="1538" t="str">
        <x:v>11 EF reemplazados. 37 hojas anexas nuevas, incluidas 23 pestañas de RF65. Los cuatro archivos origen permanecen sin alterar.</x:v>
      </x:c>
      <x:c r="B2" s="1538"/>
      <x:c r="C2" s="1538"/>
      <x:c r="D2" s="1538"/>
      <x:c r="E2" s="1538"/>
      <x:c r="F2" s="1538"/>
      <x:c r="G2" s="1538"/>
    </x:row>
    <x:row r="4" ht="30" customHeight="1">
      <x:c r="A4" s="1542" t="str">
        <x:v>Origen</x:v>
      </x:c>
      <x:c r="B4" s="1542" t="str">
        <x:v>Archivo Excel</x:v>
      </x:c>
      <x:c r="C4" s="1542" t="str">
        <x:v>Hoja de origen</x:v>
      </x:c>
      <x:c r="D4" s="1542" t="str">
        <x:v>Hoja final</x:v>
      </x:c>
      <x:c r="E4" s="1542" t="str">
        <x:v>Tipo de integración</x:v>
      </x:c>
      <x:c r="F4" s="1542" t="str">
        <x:v>Filas</x:v>
      </x:c>
      <x:c r="G4" s="1542" t="str">
        <x:v>Combinadas</x:v>
      </x:c>
    </x:row>
    <x:row r="5" ht="30" customHeight="1">
      <x:c r="A5" s="1071" t="str">
        <x:v>ELSA</x:v>
      </x:c>
      <x:c r="B5" s="1071" t="str">
        <x:v>01_Elsa_3_EF_FINAL.xlsx</x:v>
      </x:c>
      <x:c r="C5" s="1071" t="str">
        <x:v>RF001-E1</x:v>
      </x:c>
      <x:c r="D5" s="1071" t="str">
        <x:v>RF001-E1</x:v>
      </x:c>
      <x:c r="E5" s="1543" t="str">
        <x:v>REEMPLAZADO EF</x:v>
      </x:c>
      <x:c r="F5" s="1071" t="n">
        <x:v>55</x:v>
      </x:c>
      <x:c r="G5" s="1071" t="n">
        <x:v>9</x:v>
      </x:c>
    </x:row>
    <x:row r="6" ht="30" customHeight="1">
      <x:c r="A6" s="1071" t="str">
        <x:v>ELSA</x:v>
      </x:c>
      <x:c r="B6" s="1071" t="str">
        <x:v>01_Elsa_3_EF_FINAL.xlsx</x:v>
      </x:c>
      <x:c r="C6" s="1071" t="str">
        <x:v>RF002-E1</x:v>
      </x:c>
      <x:c r="D6" s="1071" t="str">
        <x:v>RF002-E1</x:v>
      </x:c>
      <x:c r="E6" s="1543" t="str">
        <x:v>REEMPLAZADO EF</x:v>
      </x:c>
      <x:c r="F6" s="1071" t="n">
        <x:v>48</x:v>
      </x:c>
      <x:c r="G6" s="1071" t="n">
        <x:v>9</x:v>
      </x:c>
    </x:row>
    <x:row r="7" ht="30" customHeight="1">
      <x:c r="A7" s="1071" t="str">
        <x:v>ELSA</x:v>
      </x:c>
      <x:c r="B7" s="1071" t="str">
        <x:v>01_Elsa_3_EF_FINAL.xlsx</x:v>
      </x:c>
      <x:c r="C7" s="1071" t="str">
        <x:v>RF006-E1</x:v>
      </x:c>
      <x:c r="D7" s="1071" t="str">
        <x:v>RF006-E1</x:v>
      </x:c>
      <x:c r="E7" s="1543" t="str">
        <x:v>REEMPLAZADO EF</x:v>
      </x:c>
      <x:c r="F7" s="1071" t="n">
        <x:v>28</x:v>
      </x:c>
      <x:c r="G7" s="1071" t="n">
        <x:v>6</x:v>
      </x:c>
    </x:row>
    <x:row r="8" ht="30" customHeight="1">
      <x:c r="A8" s="1071" t="str">
        <x:v>FRAN</x:v>
      </x:c>
      <x:c r="B8" s="1071" t="str">
        <x:v>01_Diagramas_Exitosos_Francesca_4RF_CORREGIDOS.xlsx</x:v>
      </x:c>
      <x:c r="C8" s="1071" t="str">
        <x:v>RF008-EF1</x:v>
      </x:c>
      <x:c r="D8" s="1071" t="str">
        <x:v>RF008-EF1</x:v>
      </x:c>
      <x:c r="E8" s="1543" t="str">
        <x:v>REEMPLAZADO EF</x:v>
      </x:c>
      <x:c r="F8" s="1071" t="n">
        <x:v>67</x:v>
      </x:c>
      <x:c r="G8" s="1071" t="n">
        <x:v>9</x:v>
      </x:c>
    </x:row>
    <x:row r="9" ht="30" customHeight="1">
      <x:c r="A9" s="1071" t="str">
        <x:v>FRAN</x:v>
      </x:c>
      <x:c r="B9" s="1071" t="str">
        <x:v>01_Diagramas_Exitosos_Francesca_4RF_CORREGIDOS.xlsx</x:v>
      </x:c>
      <x:c r="C9" s="1071" t="str">
        <x:v>RF009-EF1</x:v>
      </x:c>
      <x:c r="D9" s="1071" t="str">
        <x:v>RF009-EF1</x:v>
      </x:c>
      <x:c r="E9" s="1543" t="str">
        <x:v>REEMPLAZADO EF</x:v>
      </x:c>
      <x:c r="F9" s="1071" t="n">
        <x:v>56</x:v>
      </x:c>
      <x:c r="G9" s="1071" t="n">
        <x:v>6</x:v>
      </x:c>
    </x:row>
    <x:row r="10" ht="30" customHeight="1">
      <x:c r="A10" s="1071" t="str">
        <x:v>FRAN</x:v>
      </x:c>
      <x:c r="B10" s="1071" t="str">
        <x:v>01_Diagramas_Exitosos_Francesca_4RF_CORREGIDOS.xlsx</x:v>
      </x:c>
      <x:c r="C10" s="1071" t="str">
        <x:v>RF010-EF1</x:v>
      </x:c>
      <x:c r="D10" s="1071" t="str">
        <x:v>RF010-EF1</x:v>
      </x:c>
      <x:c r="E10" s="1543" t="str">
        <x:v>REEMPLAZADO EF</x:v>
      </x:c>
      <x:c r="F10" s="1071" t="n">
        <x:v>33</x:v>
      </x:c>
      <x:c r="G10" s="1071" t="n">
        <x:v>8</x:v>
      </x:c>
    </x:row>
    <x:row r="11" ht="30" customHeight="1">
      <x:c r="A11" s="1071" t="str">
        <x:v>FRAN</x:v>
      </x:c>
      <x:c r="B11" s="1071" t="str">
        <x:v>01_Diagramas_Exitosos_Francesca_4RF_CORREGIDOS.xlsx</x:v>
      </x:c>
      <x:c r="C11" s="1071" t="str">
        <x:v>RF014-EF1</x:v>
      </x:c>
      <x:c r="D11" s="1071" t="str">
        <x:v>RF014-EF1</x:v>
      </x:c>
      <x:c r="E11" s="1543" t="str">
        <x:v>REEMPLAZADO EF</x:v>
      </x:c>
      <x:c r="F11" s="1071" t="n">
        <x:v>63</x:v>
      </x:c>
      <x:c r="G11" s="1071" t="n">
        <x:v>13</x:v>
      </x:c>
    </x:row>
    <x:row r="12" ht="30" customHeight="1">
      <x:c r="A12" s="1071" t="str">
        <x:v>NAYU</x:v>
      </x:c>
      <x:c r="B12" s="1071" t="str">
        <x:v>01_Diagramas_Exitosos_Nayu_4RF_Conciliados.xlsx</x:v>
      </x:c>
      <x:c r="C12" s="1071" t="str">
        <x:v>RF17</x:v>
      </x:c>
      <x:c r="D12" s="1071" t="str">
        <x:v>RF17</x:v>
      </x:c>
      <x:c r="E12" s="1543" t="str">
        <x:v>REEMPLAZADO EF</x:v>
      </x:c>
      <x:c r="F12" s="1071" t="n">
        <x:v>89</x:v>
      </x:c>
      <x:c r="G12" s="1071" t="n">
        <x:v>13</x:v>
      </x:c>
    </x:row>
    <x:row r="13" ht="30" customHeight="1">
      <x:c r="A13" s="1071" t="str">
        <x:v>NAYU</x:v>
      </x:c>
      <x:c r="B13" s="1071" t="str">
        <x:v>01_Diagramas_Exitosos_Nayu_4RF_Conciliados.xlsx</x:v>
      </x:c>
      <x:c r="C13" s="1071" t="str">
        <x:v>RF18</x:v>
      </x:c>
      <x:c r="D13" s="1071" t="str">
        <x:v>RF18</x:v>
      </x:c>
      <x:c r="E13" s="1543" t="str">
        <x:v>REEMPLAZADO EF</x:v>
      </x:c>
      <x:c r="F13" s="1071" t="n">
        <x:v>50</x:v>
      </x:c>
      <x:c r="G13" s="1071" t="n">
        <x:v>7</x:v>
      </x:c>
    </x:row>
    <x:row r="14" ht="30" customHeight="1">
      <x:c r="A14" s="1071" t="str">
        <x:v>NAYU</x:v>
      </x:c>
      <x:c r="B14" s="1071" t="str">
        <x:v>01_Diagramas_Exitosos_Nayu_4RF_Conciliados.xlsx</x:v>
      </x:c>
      <x:c r="C14" s="1071" t="str">
        <x:v>RF22</x:v>
      </x:c>
      <x:c r="D14" s="1071" t="str">
        <x:v>RF22</x:v>
      </x:c>
      <x:c r="E14" s="1543" t="str">
        <x:v>REEMPLAZADO EF</x:v>
      </x:c>
      <x:c r="F14" s="1071" t="n">
        <x:v>113</x:v>
      </x:c>
      <x:c r="G14" s="1071" t="n">
        <x:v>10</x:v>
      </x:c>
    </x:row>
    <x:row r="15" ht="30" customHeight="1">
      <x:c r="A15" s="1071" t="str">
        <x:v>NAYU</x:v>
      </x:c>
      <x:c r="B15" s="1071" t="str">
        <x:v>01_Diagramas_Exitosos_Nayu_4RF_Conciliados.xlsx</x:v>
      </x:c>
      <x:c r="C15" s="1071" t="str">
        <x:v>RF23</x:v>
      </x:c>
      <x:c r="D15" s="1071" t="str">
        <x:v>RF23</x:v>
      </x:c>
      <x:c r="E15" s="1543" t="str">
        <x:v>REEMPLAZADO EF</x:v>
      </x:c>
      <x:c r="F15" s="1071" t="n">
        <x:v>103</x:v>
      </x:c>
      <x:c r="G15" s="1071" t="n">
        <x:v>13</x:v>
      </x:c>
    </x:row>
    <x:row r="16" ht="30" customHeight="1">
      <x:c r="A16" s="1071" t="str">
        <x:v>ELSA</x:v>
      </x:c>
      <x:c r="B16" s="1071" t="str">
        <x:v>01_Elsa_3_EF_FINAL.xlsx</x:v>
      </x:c>
      <x:c r="C16" s="1071" t="str">
        <x:v>OBSERVACIONES_TECNICAS</x:v>
      </x:c>
      <x:c r="D16" s="1071" t="str">
        <x:v>E_OBSERVACIONES_TECNICAS</x:v>
      </x:c>
      <x:c r="E16" s="1071" t="str">
        <x:v>ANEXO PRESERVADO</x:v>
      </x:c>
      <x:c r="F16" s="1071" t="n">
        <x:v>16</x:v>
      </x:c>
      <x:c r="G16" s="1071" t="n">
        <x:v>4</x:v>
      </x:c>
    </x:row>
    <x:row r="17" ht="30" customHeight="1">
      <x:c r="A17" s="1071" t="str">
        <x:v>ELSA</x:v>
      </x:c>
      <x:c r="B17" s="1071" t="str">
        <x:v>01_Elsa_3_EF_FINAL.xlsx</x:v>
      </x:c>
      <x:c r="C17" s="1071" t="str">
        <x:v>CONCORDANCIA_MVP</x:v>
      </x:c>
      <x:c r="D17" s="1071" t="str">
        <x:v>E_CONCORDANCIA_MVP</x:v>
      </x:c>
      <x:c r="E17" s="1071" t="str">
        <x:v>ANEXO PRESERVADO</x:v>
      </x:c>
      <x:c r="F17" s="1071" t="n">
        <x:v>6</x:v>
      </x:c>
      <x:c r="G17" s="1071" t="n">
        <x:v>0</x:v>
      </x:c>
    </x:row>
    <x:row r="18" ht="30" customHeight="1">
      <x:c r="A18" s="1071" t="str">
        <x:v>FRAN</x:v>
      </x:c>
      <x:c r="B18" s="1071" t="str">
        <x:v>01_Diagramas_Exitosos_Francesca_4RF_CORREGIDOS.xlsx</x:v>
      </x:c>
      <x:c r="C18" s="1071" t="str">
        <x:v>GUIA_MVP_Y_FUTURO</x:v>
      </x:c>
      <x:c r="D18" s="1071" t="str">
        <x:v>F_GUIA_MVP_Y_FUTURO</x:v>
      </x:c>
      <x:c r="E18" s="1071" t="str">
        <x:v>ANEXO PRESERVADO</x:v>
      </x:c>
      <x:c r="F18" s="1071" t="n">
        <x:v>30</x:v>
      </x:c>
      <x:c r="G18" s="1071" t="n">
        <x:v>1</x:v>
      </x:c>
    </x:row>
    <x:row r="19" ht="30" customHeight="1">
      <x:c r="A19" s="1071" t="str">
        <x:v>FRAN</x:v>
      </x:c>
      <x:c r="B19" s="1071" t="str">
        <x:v>01_Diagramas_Exitosos_Francesca_4RF_CORREGIDOS.xlsx</x:v>
      </x:c>
      <x:c r="C19" s="1071" t="str">
        <x:v>ACUERDOS_ANTES_BD</x:v>
      </x:c>
      <x:c r="D19" s="1071" t="str">
        <x:v>F_ACUERDOS_ANTES_BD</x:v>
      </x:c>
      <x:c r="E19" s="1071" t="str">
        <x:v>ANEXO PRESERVADO</x:v>
      </x:c>
      <x:c r="F19" s="1071" t="n">
        <x:v>17</x:v>
      </x:c>
      <x:c r="G19" s="1071" t="n">
        <x:v>0</x:v>
      </x:c>
    </x:row>
    <x:row r="20" ht="30" customHeight="1">
      <x:c r="A20" s="1071" t="str">
        <x:v>FRAN</x:v>
      </x:c>
      <x:c r="B20" s="1071" t="str">
        <x:v>01_Diagramas_Exitosos_Francesca_4RF_CORREGIDOS.xlsx</x:v>
      </x:c>
      <x:c r="C20" s="1071" t="str">
        <x:v>CAMBIOS_APLICADOS</x:v>
      </x:c>
      <x:c r="D20" s="1071" t="str">
        <x:v>F_CAMBIOS_APLICADOS</x:v>
      </x:c>
      <x:c r="E20" s="1071" t="str">
        <x:v>ANEXO PRESERVADO</x:v>
      </x:c>
      <x:c r="F20" s="1071" t="n">
        <x:v>17</x:v>
      </x:c>
      <x:c r="G20" s="1071" t="n">
        <x:v>0</x:v>
      </x:c>
    </x:row>
    <x:row r="21" ht="30" customHeight="1">
      <x:c r="A21" s="1071" t="str">
        <x:v>FRAN</x:v>
      </x:c>
      <x:c r="B21" s="1071" t="str">
        <x:v>01_Diagramas_Exitosos_Francesca_4RF_CORREGIDOS.xlsx</x:v>
      </x:c>
      <x:c r="C21" s="1071" t="str">
        <x:v>ALINEACION_NAYU_MVP</x:v>
      </x:c>
      <x:c r="D21" s="1071" t="str">
        <x:v>F_ALINEACION_NAYU_MVP</x:v>
      </x:c>
      <x:c r="E21" s="1071" t="str">
        <x:v>ANEXO PRESERVADO</x:v>
      </x:c>
      <x:c r="F21" s="1071" t="n">
        <x:v>16</x:v>
      </x:c>
      <x:c r="G21" s="1071" t="n">
        <x:v>0</x:v>
      </x:c>
    </x:row>
    <x:row r="22" ht="30" customHeight="1">
      <x:c r="A22" s="1071" t="str">
        <x:v>FRAN</x:v>
      </x:c>
      <x:c r="B22" s="1071" t="str">
        <x:v>01_Diagramas_Exitosos_Francesca_4RF_CORREGIDOS.xlsx</x:v>
      </x:c>
      <x:c r="C22" s="1071" t="str">
        <x:v>INTEGRACION_RF17_RF14</x:v>
      </x:c>
      <x:c r="D22" s="1071" t="str">
        <x:v>F_INTEGRACION_RF17_RF14</x:v>
      </x:c>
      <x:c r="E22" s="1071" t="str">
        <x:v>ANEXO PRESERVADO</x:v>
      </x:c>
      <x:c r="F22" s="1071" t="n">
        <x:v>19</x:v>
      </x:c>
      <x:c r="G22" s="1071" t="n">
        <x:v>3</x:v>
      </x:c>
    </x:row>
    <x:row r="23" ht="30" customHeight="1">
      <x:c r="A23" s="1071" t="str">
        <x:v>FRAN</x:v>
      </x:c>
      <x:c r="B23" s="1071" t="str">
        <x:v>01_Diagramas_Exitosos_Francesca_4RF_CORREGIDOS.xlsx</x:v>
      </x:c>
      <x:c r="C23" s="1071" t="str">
        <x:v>ACUERDOS_FINALES_20261025</x:v>
      </x:c>
      <x:c r="D23" s="1071" t="str">
        <x:v>F_ACUERDOS_FINALES_20261025</x:v>
      </x:c>
      <x:c r="E23" s="1071" t="str">
        <x:v>ANEXO PRESERVADO</x:v>
      </x:c>
      <x:c r="F23" s="1071" t="n">
        <x:v>20</x:v>
      </x:c>
      <x:c r="G23" s="1071" t="n">
        <x:v>0</x:v>
      </x:c>
    </x:row>
    <x:row r="24" ht="30" customHeight="1">
      <x:c r="A24" s="1071" t="str">
        <x:v>FRAN</x:v>
      </x:c>
      <x:c r="B24" s="1071" t="str">
        <x:v>01_Diagramas_Exitosos_Francesca_4RF_CORREGIDOS.xlsx</x:v>
      </x:c>
      <x:c r="C24" s="1071" t="str">
        <x:v>ORDEN_POST_RF08_SEBASTIAN</x:v>
      </x:c>
      <x:c r="D24" s="1071" t="str">
        <x:v>F_ORDEN_POST_RF08_SEBASTIAN</x:v>
      </x:c>
      <x:c r="E24" s="1071" t="str">
        <x:v>ANEXO PRESERVADO</x:v>
      </x:c>
      <x:c r="F24" s="1071" t="n">
        <x:v>7</x:v>
      </x:c>
      <x:c r="G24" s="1071" t="n">
        <x:v>0</x:v>
      </x:c>
    </x:row>
    <x:row r="25" ht="30" customHeight="1">
      <x:c r="A25" s="1071" t="str">
        <x:v>NAYU</x:v>
      </x:c>
      <x:c r="B25" s="1071" t="str">
        <x:v>01_Diagramas_Exitosos_Nayu_4RF_Conciliados.xlsx</x:v>
      </x:c>
      <x:c r="C25" s="1071" t="str">
        <x:v>MVP_LEEME</x:v>
      </x:c>
      <x:c r="D25" s="1071" t="str">
        <x:v>N_MVP_LEEME</x:v>
      </x:c>
      <x:c r="E25" s="1071" t="str">
        <x:v>ANEXO PRESERVADO</x:v>
      </x:c>
      <x:c r="F25" s="1071" t="n">
        <x:v>25</x:v>
      </x:c>
      <x:c r="G25" s="1071" t="n">
        <x:v>2</x:v>
      </x:c>
    </x:row>
    <x:row r="26" ht="30" customHeight="1">
      <x:c r="A26" s="1071" t="str">
        <x:v>NAYU</x:v>
      </x:c>
      <x:c r="B26" s="1071" t="str">
        <x:v>01_Diagramas_Exitosos_Nayu_4RF_Conciliados.xlsx</x:v>
      </x:c>
      <x:c r="C26" s="1071" t="str">
        <x:v>ACUERDOS_PENDIENTES</x:v>
      </x:c>
      <x:c r="D26" s="1071" t="str">
        <x:v>N_ACUERDOS_PENDIENTES</x:v>
      </x:c>
      <x:c r="E26" s="1071" t="str">
        <x:v>ANEXO PRESERVADO</x:v>
      </x:c>
      <x:c r="F26" s="1071" t="n">
        <x:v>10</x:v>
      </x:c>
      <x:c r="G26" s="1071" t="n">
        <x:v>0</x:v>
      </x:c>
    </x:row>
    <x:row r="27" ht="30" customHeight="1">
      <x:c r="A27" s="1071" t="str">
        <x:v>NAYU</x:v>
      </x:c>
      <x:c r="B27" s="1071" t="str">
        <x:v>01_Diagramas_Exitosos_Nayu_4RF_Conciliados.xlsx</x:v>
      </x:c>
      <x:c r="C27" s="1071" t="str">
        <x:v>REVISION_BCE</x:v>
      </x:c>
      <x:c r="D27" s="1071" t="str">
        <x:v>N_REVISION_BCE</x:v>
      </x:c>
      <x:c r="E27" s="1071" t="str">
        <x:v>ANEXO PRESERVADO</x:v>
      </x:c>
      <x:c r="F27" s="1071" t="n">
        <x:v>18</x:v>
      </x:c>
      <x:c r="G27" s="1071" t="n">
        <x:v>2</x:v>
      </x:c>
    </x:row>
    <x:row r="28" ht="30" customHeight="1">
      <x:c r="A28" s="1071" t="str">
        <x:v>NAYU</x:v>
      </x:c>
      <x:c r="B28" s="1071" t="str">
        <x:v>01_Diagramas_Exitosos_Nayu_4RF_Conciliados.xlsx</x:v>
      </x:c>
      <x:c r="C28" s="1071" t="str">
        <x:v>CONCORDANCIA_RF14_RF17</x:v>
      </x:c>
      <x:c r="D28" s="1071" t="str">
        <x:v>N_CONCORDANCIA_RF14_RF17</x:v>
      </x:c>
      <x:c r="E28" s="1071" t="str">
        <x:v>ANEXO PRESERVADO</x:v>
      </x:c>
      <x:c r="F28" s="1071" t="n">
        <x:v>17</x:v>
      </x:c>
      <x:c r="G28" s="1071" t="n">
        <x:v>0</x:v>
      </x:c>
    </x:row>
    <x:row r="29" ht="30" customHeight="1">
      <x:c r="A29" s="1071" t="str">
        <x:v>NAYU</x:v>
      </x:c>
      <x:c r="B29" s="1071" t="str">
        <x:v>01_Diagramas_Exitosos_Nayu_4RF_Conciliados.xlsx</x:v>
      </x:c>
      <x:c r="C29" s="1071" t="str">
        <x:v>INTEGRACION_ELSA_MVP</x:v>
      </x:c>
      <x:c r="D29" s="1071" t="str">
        <x:v>N_INTEGRACION_ELSA_MVP</x:v>
      </x:c>
      <x:c r="E29" s="1071" t="str">
        <x:v>ANEXO PRESERVADO</x:v>
      </x:c>
      <x:c r="F29" s="1071" t="n">
        <x:v>5</x:v>
      </x:c>
      <x:c r="G29" s="1071" t="n">
        <x:v>0</x:v>
      </x:c>
    </x:row>
    <x:row r="30" ht="30" customHeight="1">
      <x:c r="A30" s="1071" t="str">
        <x:v>RF65</x:v>
      </x:c>
      <x:c r="B30" s="1071" t="str">
        <x:v>MyCar_RF065_Eliminar_Vehiculo_EF_EA_Reglas_AUDITADO.xlsx</x:v>
      </x:c>
      <x:c r="C30" s="1071" t="str">
        <x:v>00_INDICE</x:v>
      </x:c>
      <x:c r="D30" s="1071" t="str">
        <x:v>00_INDICE</x:v>
      </x:c>
      <x:c r="E30" s="1544" t="str">
        <x:v>RF65 POST-MVP</x:v>
      </x:c>
      <x:c r="F30" s="1071" t="n">
        <x:v>16</x:v>
      </x:c>
      <x:c r="G30" s="1071" t="n">
        <x:v>2</x:v>
      </x:c>
    </x:row>
    <x:row r="31" ht="30" customHeight="1">
      <x:c r="A31" s="1071" t="str">
        <x:v>RF65</x:v>
      </x:c>
      <x:c r="B31" s="1071" t="str">
        <x:v>MyCar_RF065_Eliminar_Vehiculo_EF_EA_Reglas_AUDITADO.xlsx</x:v>
      </x:c>
      <x:c r="C31" s="1071" t="str">
        <x:v>01_RF065_EF1</x:v>
      </x:c>
      <x:c r="D31" s="1071" t="str">
        <x:v>01_RF065_EF1</x:v>
      </x:c>
      <x:c r="E31" s="1544" t="str">
        <x:v>RF65 POST-MVP</x:v>
      </x:c>
      <x:c r="F31" s="1071" t="n">
        <x:v>63</x:v>
      </x:c>
      <x:c r="G31" s="1071" t="n">
        <x:v>9</x:v>
      </x:c>
    </x:row>
    <x:row r="32" ht="30" customHeight="1">
      <x:c r="A32" s="1071" t="str">
        <x:v>RF65</x:v>
      </x:c>
      <x:c r="B32" s="1071" t="str">
        <x:v>MyCar_RF065_Eliminar_Vehiculo_EF_EA_Reglas_AUDITADO.xlsx</x:v>
      </x:c>
      <x:c r="C32" s="1071" t="str">
        <x:v>02_REGLAS_NEGOCIO</x:v>
      </x:c>
      <x:c r="D32" s="1071" t="str">
        <x:v>02_REGLAS_NEGOCIO</x:v>
      </x:c>
      <x:c r="E32" s="1544" t="str">
        <x:v>RF65 POST-MVP</x:v>
      </x:c>
      <x:c r="F32" s="1071" t="n">
        <x:v>24</x:v>
      </x:c>
      <x:c r="G32" s="1071" t="n">
        <x:v>2</x:v>
      </x:c>
    </x:row>
    <x:row r="33" ht="30" customHeight="1">
      <x:c r="A33" s="1071" t="str">
        <x:v>RF65</x:v>
      </x:c>
      <x:c r="B33" s="1071" t="str">
        <x:v>MyCar_RF065_Eliminar_Vehiculo_EF_EA_Reglas_AUDITADO.xlsx</x:v>
      </x:c>
      <x:c r="C33" s="1071" t="str">
        <x:v>03_MATRIZ_EA</x:v>
      </x:c>
      <x:c r="D33" s="1071" t="str">
        <x:v>03_MATRIZ_EA</x:v>
      </x:c>
      <x:c r="E33" s="1544" t="str">
        <x:v>RF65 POST-MVP</x:v>
      </x:c>
      <x:c r="F33" s="1071" t="n">
        <x:v>17</x:v>
      </x:c>
      <x:c r="G33" s="1071" t="n">
        <x:v>2</x:v>
      </x:c>
    </x:row>
    <x:row r="34" ht="30" customHeight="1">
      <x:c r="A34" s="1071" t="str">
        <x:v>RF65</x:v>
      </x:c>
      <x:c r="B34" s="1071" t="str">
        <x:v>MyCar_RF065_Eliminar_Vehiculo_EF_EA_Reglas_AUDITADO.xlsx</x:v>
      </x:c>
      <x:c r="C34" s="1071" t="str">
        <x:v>RF065_EA01</x:v>
      </x:c>
      <x:c r="D34" s="1071" t="str">
        <x:v>RF065_EA01</x:v>
      </x:c>
      <x:c r="E34" s="1544" t="str">
        <x:v>RF65 POST-MVP</x:v>
      </x:c>
      <x:c r="F34" s="1071" t="n">
        <x:v>10</x:v>
      </x:c>
      <x:c r="G34" s="1071" t="n">
        <x:v>3</x:v>
      </x:c>
    </x:row>
    <x:row r="35" ht="30" customHeight="1">
      <x:c r="A35" s="1071" t="str">
        <x:v>RF65</x:v>
      </x:c>
      <x:c r="B35" s="1071" t="str">
        <x:v>MyCar_RF065_Eliminar_Vehiculo_EF_EA_Reglas_AUDITADO.xlsx</x:v>
      </x:c>
      <x:c r="C35" s="1071" t="str">
        <x:v>RF065_EA02</x:v>
      </x:c>
      <x:c r="D35" s="1071" t="str">
        <x:v>RF065_EA02</x:v>
      </x:c>
      <x:c r="E35" s="1544" t="str">
        <x:v>RF65 POST-MVP</x:v>
      </x:c>
      <x:c r="F35" s="1071" t="n">
        <x:v>12</x:v>
      </x:c>
      <x:c r="G35" s="1071" t="n">
        <x:v>3</x:v>
      </x:c>
    </x:row>
    <x:row r="36" ht="30" customHeight="1">
      <x:c r="A36" s="1071" t="str">
        <x:v>RF65</x:v>
      </x:c>
      <x:c r="B36" s="1071" t="str">
        <x:v>MyCar_RF065_Eliminar_Vehiculo_EF_EA_Reglas_AUDITADO.xlsx</x:v>
      </x:c>
      <x:c r="C36" s="1071" t="str">
        <x:v>RF065_EA03</x:v>
      </x:c>
      <x:c r="D36" s="1071" t="str">
        <x:v>RF065_EA03</x:v>
      </x:c>
      <x:c r="E36" s="1544" t="str">
        <x:v>RF65 POST-MVP</x:v>
      </x:c>
      <x:c r="F36" s="1071" t="n">
        <x:v>10</x:v>
      </x:c>
      <x:c r="G36" s="1071" t="n">
        <x:v>3</x:v>
      </x:c>
    </x:row>
    <x:row r="37" ht="30" customHeight="1">
      <x:c r="A37" s="1071" t="str">
        <x:v>RF65</x:v>
      </x:c>
      <x:c r="B37" s="1071" t="str">
        <x:v>MyCar_RF065_Eliminar_Vehiculo_EF_EA_Reglas_AUDITADO.xlsx</x:v>
      </x:c>
      <x:c r="C37" s="1071" t="str">
        <x:v>RF065_EA04</x:v>
      </x:c>
      <x:c r="D37" s="1071" t="str">
        <x:v>RF065_EA04</x:v>
      </x:c>
      <x:c r="E37" s="1544" t="str">
        <x:v>RF65 POST-MVP</x:v>
      </x:c>
      <x:c r="F37" s="1071" t="n">
        <x:v>10</x:v>
      </x:c>
      <x:c r="G37" s="1071" t="n">
        <x:v>3</x:v>
      </x:c>
    </x:row>
    <x:row r="38" ht="30" customHeight="1">
      <x:c r="A38" s="1071" t="str">
        <x:v>RF65</x:v>
      </x:c>
      <x:c r="B38" s="1071" t="str">
        <x:v>MyCar_RF065_Eliminar_Vehiculo_EF_EA_Reglas_AUDITADO.xlsx</x:v>
      </x:c>
      <x:c r="C38" s="1071" t="str">
        <x:v>RF065_EA05</x:v>
      </x:c>
      <x:c r="D38" s="1071" t="str">
        <x:v>RF065_EA05</x:v>
      </x:c>
      <x:c r="E38" s="1544" t="str">
        <x:v>RF65 POST-MVP</x:v>
      </x:c>
      <x:c r="F38" s="1071" t="n">
        <x:v>10</x:v>
      </x:c>
      <x:c r="G38" s="1071" t="n">
        <x:v>3</x:v>
      </x:c>
    </x:row>
    <x:row r="39" ht="30" customHeight="1">
      <x:c r="A39" s="1071" t="str">
        <x:v>RF65</x:v>
      </x:c>
      <x:c r="B39" s="1071" t="str">
        <x:v>MyCar_RF065_Eliminar_Vehiculo_EF_EA_Reglas_AUDITADO.xlsx</x:v>
      </x:c>
      <x:c r="C39" s="1071" t="str">
        <x:v>RF065_EA06</x:v>
      </x:c>
      <x:c r="D39" s="1071" t="str">
        <x:v>RF065_EA06</x:v>
      </x:c>
      <x:c r="E39" s="1544" t="str">
        <x:v>RF65 POST-MVP</x:v>
      </x:c>
      <x:c r="F39" s="1071" t="n">
        <x:v>10</x:v>
      </x:c>
      <x:c r="G39" s="1071" t="n">
        <x:v>3</x:v>
      </x:c>
    </x:row>
    <x:row r="40" ht="30" customHeight="1">
      <x:c r="A40" s="1071" t="str">
        <x:v>RF65</x:v>
      </x:c>
      <x:c r="B40" s="1071" t="str">
        <x:v>MyCar_RF065_Eliminar_Vehiculo_EF_EA_Reglas_AUDITADO.xlsx</x:v>
      </x:c>
      <x:c r="C40" s="1071" t="str">
        <x:v>RF065_EA07</x:v>
      </x:c>
      <x:c r="D40" s="1071" t="str">
        <x:v>RF065_EA07</x:v>
      </x:c>
      <x:c r="E40" s="1544" t="str">
        <x:v>RF65 POST-MVP</x:v>
      </x:c>
      <x:c r="F40" s="1071" t="n">
        <x:v>11</x:v>
      </x:c>
      <x:c r="G40" s="1071" t="n">
        <x:v>3</x:v>
      </x:c>
    </x:row>
    <x:row r="41" ht="30" customHeight="1">
      <x:c r="A41" s="1071" t="str">
        <x:v>RF65</x:v>
      </x:c>
      <x:c r="B41" s="1071" t="str">
        <x:v>MyCar_RF065_Eliminar_Vehiculo_EF_EA_Reglas_AUDITADO.xlsx</x:v>
      </x:c>
      <x:c r="C41" s="1071" t="str">
        <x:v>RF065_EA08</x:v>
      </x:c>
      <x:c r="D41" s="1071" t="str">
        <x:v>RF065_EA08</x:v>
      </x:c>
      <x:c r="E41" s="1544" t="str">
        <x:v>RF65 POST-MVP</x:v>
      </x:c>
      <x:c r="F41" s="1071" t="n">
        <x:v>11</x:v>
      </x:c>
      <x:c r="G41" s="1071" t="n">
        <x:v>3</x:v>
      </x:c>
    </x:row>
    <x:row r="42" ht="30" customHeight="1">
      <x:c r="A42" s="1071" t="str">
        <x:v>RF65</x:v>
      </x:c>
      <x:c r="B42" s="1071" t="str">
        <x:v>MyCar_RF065_Eliminar_Vehiculo_EF_EA_Reglas_AUDITADO.xlsx</x:v>
      </x:c>
      <x:c r="C42" s="1071" t="str">
        <x:v>RF065_EA09</x:v>
      </x:c>
      <x:c r="D42" s="1071" t="str">
        <x:v>RF065_EA09</x:v>
      </x:c>
      <x:c r="E42" s="1544" t="str">
        <x:v>RF65 POST-MVP</x:v>
      </x:c>
      <x:c r="F42" s="1071" t="n">
        <x:v>13</x:v>
      </x:c>
      <x:c r="G42" s="1071" t="n">
        <x:v>3</x:v>
      </x:c>
    </x:row>
    <x:row r="43" ht="30" customHeight="1">
      <x:c r="A43" s="1071" t="str">
        <x:v>RF65</x:v>
      </x:c>
      <x:c r="B43" s="1071" t="str">
        <x:v>MyCar_RF065_Eliminar_Vehiculo_EF_EA_Reglas_AUDITADO.xlsx</x:v>
      </x:c>
      <x:c r="C43" s="1071" t="str">
        <x:v>RF065_EA10</x:v>
      </x:c>
      <x:c r="D43" s="1071" t="str">
        <x:v>RF065_EA10</x:v>
      </x:c>
      <x:c r="E43" s="1544" t="str">
        <x:v>RF65 POST-MVP</x:v>
      </x:c>
      <x:c r="F43" s="1071" t="n">
        <x:v>12</x:v>
      </x:c>
      <x:c r="G43" s="1071" t="n">
        <x:v>3</x:v>
      </x:c>
    </x:row>
    <x:row r="44" ht="30" customHeight="1">
      <x:c r="A44" s="1071" t="str">
        <x:v>RF65</x:v>
      </x:c>
      <x:c r="B44" s="1071" t="str">
        <x:v>MyCar_RF065_Eliminar_Vehiculo_EF_EA_Reglas_AUDITADO.xlsx</x:v>
      </x:c>
      <x:c r="C44" s="1071" t="str">
        <x:v>RF065_EA11</x:v>
      </x:c>
      <x:c r="D44" s="1071" t="str">
        <x:v>RF065_EA11</x:v>
      </x:c>
      <x:c r="E44" s="1544" t="str">
        <x:v>RF65 POST-MVP</x:v>
      </x:c>
      <x:c r="F44" s="1071" t="n">
        <x:v>11</x:v>
      </x:c>
      <x:c r="G44" s="1071" t="n">
        <x:v>3</x:v>
      </x:c>
    </x:row>
    <x:row r="45" ht="30" customHeight="1">
      <x:c r="A45" s="1071" t="str">
        <x:v>RF65</x:v>
      </x:c>
      <x:c r="B45" s="1071" t="str">
        <x:v>MyCar_RF065_Eliminar_Vehiculo_EF_EA_Reglas_AUDITADO.xlsx</x:v>
      </x:c>
      <x:c r="C45" s="1071" t="str">
        <x:v>RF065_EA12</x:v>
      </x:c>
      <x:c r="D45" s="1071" t="str">
        <x:v>RF065_EA12</x:v>
      </x:c>
      <x:c r="E45" s="1544" t="str">
        <x:v>RF65 POST-MVP</x:v>
      </x:c>
      <x:c r="F45" s="1071" t="n">
        <x:v>11</x:v>
      </x:c>
      <x:c r="G45" s="1071" t="n">
        <x:v>3</x:v>
      </x:c>
    </x:row>
    <x:row r="46" ht="30" customHeight="1">
      <x:c r="A46" s="1071" t="str">
        <x:v>RF65</x:v>
      </x:c>
      <x:c r="B46" s="1071" t="str">
        <x:v>MyCar_RF065_Eliminar_Vehiculo_EF_EA_Reglas_AUDITADO.xlsx</x:v>
      </x:c>
      <x:c r="C46" s="1071" t="str">
        <x:v>RF065_EA13</x:v>
      </x:c>
      <x:c r="D46" s="1071" t="str">
        <x:v>RF065_EA13</x:v>
      </x:c>
      <x:c r="E46" s="1544" t="str">
        <x:v>RF65 POST-MVP</x:v>
      </x:c>
      <x:c r="F46" s="1071" t="n">
        <x:v>11</x:v>
      </x:c>
      <x:c r="G46" s="1071" t="n">
        <x:v>3</x:v>
      </x:c>
    </x:row>
    <x:row r="47" ht="30" customHeight="1">
      <x:c r="A47" s="1071" t="str">
        <x:v>RF65</x:v>
      </x:c>
      <x:c r="B47" s="1071" t="str">
        <x:v>MyCar_RF065_Eliminar_Vehiculo_EF_EA_Reglas_AUDITADO.xlsx</x:v>
      </x:c>
      <x:c r="C47" s="1071" t="str">
        <x:v>04_MERMAID_UML</x:v>
      </x:c>
      <x:c r="D47" s="1071" t="str">
        <x:v>04_MERMAID_UML</x:v>
      </x:c>
      <x:c r="E47" s="1544" t="str">
        <x:v>RF65 POST-MVP</x:v>
      </x:c>
      <x:c r="F47" s="1071" t="n">
        <x:v>56</x:v>
      </x:c>
      <x:c r="G47" s="1071" t="n">
        <x:v>2</x:v>
      </x:c>
    </x:row>
    <x:row r="48" ht="30" customHeight="1">
      <x:c r="A48" s="1071" t="str">
        <x:v>RF65</x:v>
      </x:c>
      <x:c r="B48" s="1071" t="str">
        <x:v>MyCar_RF065_Eliminar_Vehiculo_EF_EA_Reglas_AUDITADO.xlsx</x:v>
      </x:c>
      <x:c r="C48" s="1071" t="str">
        <x:v>05_IMPACTO_BD</x:v>
      </x:c>
      <x:c r="D48" s="1071" t="str">
        <x:v>05_IMPACTO_BD</x:v>
      </x:c>
      <x:c r="E48" s="1544" t="str">
        <x:v>RF65 POST-MVP</x:v>
      </x:c>
      <x:c r="F48" s="1071" t="n">
        <x:v>21</x:v>
      </x:c>
      <x:c r="G48" s="1071" t="n">
        <x:v>2</x:v>
      </x:c>
    </x:row>
    <x:row r="49" ht="30" customHeight="1">
      <x:c r="A49" s="1071" t="str">
        <x:v>RF65</x:v>
      </x:c>
      <x:c r="B49" s="1071" t="str">
        <x:v>MyCar_RF065_Eliminar_Vehiculo_EF_EA_Reglas_AUDITADO.xlsx</x:v>
      </x:c>
      <x:c r="C49" s="1071" t="str">
        <x:v>06_INTEGRACION_RF</x:v>
      </x:c>
      <x:c r="D49" s="1071" t="str">
        <x:v>06_INTEGRACION_RF</x:v>
      </x:c>
      <x:c r="E49" s="1544" t="str">
        <x:v>RF65 POST-MVP</x:v>
      </x:c>
      <x:c r="F49" s="1071" t="n">
        <x:v>21</x:v>
      </x:c>
      <x:c r="G49" s="1071" t="n">
        <x:v>2</x:v>
      </x:c>
    </x:row>
    <x:row r="50" ht="30" customHeight="1">
      <x:c r="A50" s="1071" t="str">
        <x:v>RF65</x:v>
      </x:c>
      <x:c r="B50" s="1071" t="str">
        <x:v>MyCar_RF065_Eliminar_Vehiculo_EF_EA_Reglas_AUDITADO.xlsx</x:v>
      </x:c>
      <x:c r="C50" s="1071" t="str">
        <x:v>07_PRUEBAS_TDD</x:v>
      </x:c>
      <x:c r="D50" s="1071" t="str">
        <x:v>07_PRUEBAS_TDD</x:v>
      </x:c>
      <x:c r="E50" s="1544" t="str">
        <x:v>RF65 POST-MVP</x:v>
      </x:c>
      <x:c r="F50" s="1071" t="n">
        <x:v>26</x:v>
      </x:c>
      <x:c r="G50" s="1071" t="n">
        <x:v>2</x:v>
      </x:c>
    </x:row>
    <x:row r="51" ht="30" customHeight="1">
      <x:c r="A51" s="1071" t="str">
        <x:v>RF65</x:v>
      </x:c>
      <x:c r="B51" s="1071" t="str">
        <x:v>MyCar_RF065_Eliminar_Vehiculo_EF_EA_Reglas_AUDITADO.xlsx</x:v>
      </x:c>
      <x:c r="C51" s="1071" t="str">
        <x:v>08_TRAZABILIDAD</x:v>
      </x:c>
      <x:c r="D51" s="1071" t="str">
        <x:v>08_TRAZABILIDAD</x:v>
      </x:c>
      <x:c r="E51" s="1544" t="str">
        <x:v>RF65 POST-MVP</x:v>
      </x:c>
      <x:c r="F51" s="1071" t="n">
        <x:v>13</x:v>
      </x:c>
      <x:c r="G51" s="1071" t="n">
        <x:v>2</x:v>
      </x:c>
    </x:row>
    <x:row r="52" ht="30" customHeight="1">
      <x:c r="A52" s="1071" t="str">
        <x:v>RF65</x:v>
      </x:c>
      <x:c r="B52" s="1071" t="str">
        <x:v>MyCar_RF065_Eliminar_Vehiculo_EF_EA_Reglas_AUDITADO.xlsx</x:v>
      </x:c>
      <x:c r="C52" s="1071" t="str">
        <x:v>09_VISTA_FLUJO_BCE</x:v>
      </x:c>
      <x:c r="D52" s="1071" t="str">
        <x:v>09_VISTA_FLUJO_BCE</x:v>
      </x:c>
      <x:c r="E52" s="1544" t="str">
        <x:v>RF65 POST-MVP</x:v>
      </x:c>
      <x:c r="F52" s="1071" t="n">
        <x:v>13</x:v>
      </x:c>
      <x:c r="G52" s="1071" t="n">
        <x:v>2</x:v>
      </x:c>
    </x:row>
  </x:sheetData>
  <x:mergeCells>
    <x:mergeCell ref="A1:G1"/>
    <x:mergeCell ref="A2:G2"/>
  </x:mergeCells>
  <x:pageMargins left="0.7" right="0.7" top="0.75" bottom="0.75" header="0.3" footer="0.3"/>
</x:worksheet>
</file>

<file path=xl/worksheets/sheet15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7" hidden="0" customWidth="1"/>
    <x:col min="2" max="2" width="28" hidden="0" customWidth="1"/>
    <x:col min="3" max="3" width="12" hidden="0" customWidth="1"/>
    <x:col min="4" max="4" width="60" hidden="0" customWidth="1"/>
    <x:col min="5" max="5" width="28" hidden="0" customWidth="1"/>
    <x:col min="6" max="6" width="80" hidden="0" customWidth="1"/>
    <x:col min="7" max="7" width="90" hidden="0" customWidth="1"/>
  </x:cols>
  <x:sheetData>
    <x:row r="1" ht="33" customHeight="1">
      <x:c r="A1" s="1535" t="str">
        <x:v>MYCAR · BITÁCORA DE MODIFICACIONES CELDA A CELDA</x:v>
      </x:c>
      <x:c r="B1" s="1535"/>
      <x:c r="C1" s="1535"/>
      <x:c r="D1" s="1535"/>
      <x:c r="E1" s="1535"/>
      <x:c r="F1" s="1535"/>
      <x:c r="G1" s="1535"/>
    </x:row>
    <x:row r="2" ht="28" customHeight="1">
      <x:c r="A2" s="1538" t="str">
        <x:v>Registro documental de valores antes/después. Las anotaciones RF65 son propuestas, no nuevas reglas aprobadas.</x:v>
      </x:c>
      <x:c r="B2" s="1538"/>
      <x:c r="C2" s="1538"/>
      <x:c r="D2" s="1538"/>
      <x:c r="E2" s="1538"/>
      <x:c r="F2" s="1538"/>
      <x:c r="G2" s="1538"/>
    </x:row>
    <x:row r="4" ht="30" customHeight="1">
      <x:c r="A4" s="1542" t="str">
        <x:v>N.º</x:v>
      </x:c>
      <x:c r="B4" s="1542" t="str">
        <x:v>Hoja</x:v>
      </x:c>
      <x:c r="C4" s="1542" t="str">
        <x:v>Celda</x:v>
      </x:c>
      <x:c r="D4" s="1542" t="str">
        <x:v>Motivo</x:v>
      </x:c>
      <x:c r="E4" s="1542" t="str">
        <x:v>Situación</x:v>
      </x:c>
      <x:c r="F4" s="1542" t="str">
        <x:v>Valor original</x:v>
      </x:c>
      <x:c r="G4" s="1542" t="str">
        <x:v>Valor consolidado</x:v>
      </x:c>
    </x:row>
    <x:row r="5" ht="40" customHeight="1">
      <x:c r="A5" s="1071" t="n">
        <x:v>1</x:v>
      </x:c>
      <x:c r="B5" s="1071" t="str">
        <x:v>RF004-E1</x:v>
      </x:c>
      <x:c r="C5" s="1071" t="str">
        <x:v>F17</x:v>
      </x:c>
      <x:c r="D5" s="1071" t="str">
        <x:v>RF04 debe coincidir con registro RF01 de Elsa</x:v>
      </x:c>
      <x:c r="E5" s="1071" t="str">
        <x:v>CORREGIDO</x:v>
      </x:c>
      <x:c r="F5" s="1071" t="str">
        <x:v>retornarDatosUsuario(nombre,correo,fechaNacimiento)</x:v>
      </x:c>
      <x:c r="G5" s="1071" t="str">
        <x:v>retornarDatosUsuario(nombre,apellido,correo,fechaNacimiento)</x:v>
      </x:c>
    </x:row>
    <x:row r="6" ht="40" customHeight="1">
      <x:c r="A6" s="1071" t="n">
        <x:v>2</x:v>
      </x:c>
      <x:c r="B6" s="1071" t="str">
        <x:v>RF004-E1</x:v>
      </x:c>
      <x:c r="C6" s="1071" t="str">
        <x:v>G17</x:v>
      </x:c>
      <x:c r="D6" s="1071" t="str">
        <x:v>RF04 debe coincidir con registro RF01 de Elsa</x:v>
      </x:c>
      <x:c r="E6" s="1071" t="str">
        <x:v>CORREGIDO</x:v>
      </x:c>
      <x:c r="F6" s="1071" t="str">
        <x:v>La entidad devuelve nombre completo, correo electrónico y fecha de nacimiento.</x:v>
      </x:c>
      <x:c r="G6" s="1071" t="str">
        <x:v>Devuelve nombre y apellido por separado, correo electrónico y fecha de nacimiento; estructura coherente con RF01.</x:v>
      </x:c>
    </x:row>
    <x:row r="7" ht="40" customHeight="1">
      <x:c r="A7" s="1071" t="n">
        <x:v>3</x:v>
      </x:c>
      <x:c r="B7" s="1071" t="str">
        <x:v>RF004-E1</x:v>
      </x:c>
      <x:c r="C7" s="1071" t="str">
        <x:v>F18</x:v>
      </x:c>
      <x:c r="D7" s="1071" t="str">
        <x:v>RF04 debe coincidir con registro RF01 de Elsa</x:v>
      </x:c>
      <x:c r="E7" s="1071" t="str">
        <x:v>CORREGIDO</x:v>
      </x:c>
      <x:c r="F7" s="1071" t="str">
        <x:v>mostrarDatosPerfil(nombre,correo,fechaNacimiento)</x:v>
      </x:c>
      <x:c r="G7" s="1071" t="str">
        <x:v>mostrarDatosPerfil(nombre,apellido,correo,fechaNacimiento)</x:v>
      </x:c>
    </x:row>
    <x:row r="8" ht="40" customHeight="1">
      <x:c r="A8" s="1071" t="n">
        <x:v>4</x:v>
      </x:c>
      <x:c r="B8" s="1071" t="str">
        <x:v>RF004-E1</x:v>
      </x:c>
      <x:c r="C8" s="1071" t="str">
        <x:v>G18</x:v>
      </x:c>
      <x:c r="D8" s="1071" t="str">
        <x:v>RF04 debe coincidir con registro RF01 de Elsa</x:v>
      </x:c>
      <x:c r="E8" s="1071" t="str">
        <x:v>CORREGIDO</x:v>
      </x:c>
      <x:c r="F8" s="1071" t="str">
        <x:v>El controlador solicita mostrar los datos personales recuperados.</x:v>
      </x:c>
      <x:c r="G8" s="1071" t="str">
        <x:v>El perfil presenta nombre, apellido, correo electrónico y fecha de nacimiento con la misma separación de campos de RF01.</x:v>
      </x:c>
    </x:row>
    <x:row r="9" ht="40" customHeight="1">
      <x:c r="A9" s="1071" t="n">
        <x:v>5</x:v>
      </x:c>
      <x:c r="B9" s="1071" t="str">
        <x:v>RF004-E1</x:v>
      </x:c>
      <x:c r="C9" s="1071" t="str">
        <x:v>G19</x:v>
      </x:c>
      <x:c r="D9" s="1071" t="str">
        <x:v>RF04 debe coincidir con registro RF01 de Elsa</x:v>
      </x:c>
      <x:c r="E9" s="1071" t="str">
        <x:v>CORREGIDO</x:v>
      </x:c>
      <x:c r="F9" s="1071" t="str">
        <x:v>El usuario visualiza nombre, correo y fecha de nacimiento.</x:v>
      </x:c>
      <x:c r="G9" s="1071" t="str">
        <x:v>El usuario visualiza nombre, apellido, correo y fecha de nacimiento.</x:v>
      </x:c>
    </x:row>
    <x:row r="10" ht="40" customHeight="1">
      <x:c r="A10" s="1071" t="n">
        <x:v>6</x:v>
      </x:c>
      <x:c r="B10" s="1071" t="str">
        <x:v>RF004-E1</x:v>
      </x:c>
      <x:c r="C10" s="1071" t="str">
        <x:v>F23</x:v>
      </x:c>
      <x:c r="D10" s="1071" t="str">
        <x:v>RF04 debe coincidir con registro RF01 de Elsa</x:v>
      </x:c>
      <x:c r="E10" s="1071" t="str">
        <x:v>CORREGIDO</x:v>
      </x:c>
      <x:c r="F10" s="1071" t="str">
        <x:v>mostrarFormularioEdicion(nombre,fechaNacimiento,correoSoloLectura)</x:v>
      </x:c>
      <x:c r="G10" s="1071" t="str">
        <x:v>mostrarFormularioEdicion(nombre,apellido,fechaNacimiento,correoSoloLectura)</x:v>
      </x:c>
    </x:row>
    <x:row r="11" ht="40" customHeight="1">
      <x:c r="A11" s="1071" t="n">
        <x:v>7</x:v>
      </x:c>
      <x:c r="B11" s="1071" t="str">
        <x:v>RF004-E1</x:v>
      </x:c>
      <x:c r="C11" s="1071" t="str">
        <x:v>G23</x:v>
      </x:c>
      <x:c r="D11" s="1071" t="str">
        <x:v>RF04 debe coincidir con registro RF01 de Elsa</x:v>
      </x:c>
      <x:c r="E11" s="1071" t="str">
        <x:v>CORREGIDO</x:v>
      </x:c>
      <x:c r="F11" s="1071" t="str">
        <x:v>El controlador solicita mostrar el formulario con nombre y fecha de nacimiento editables, mientras el correo permanece visible en modo solo lectura.</x:v>
      </x:c>
      <x:c r="G11" s="1071" t="str">
        <x:v>Presenta Nombre, Apellido y Fecha de nacimiento como campos editables separados; Correo electrónico permanece solo lectura.</x:v>
      </x:c>
    </x:row>
    <x:row r="12" ht="40" customHeight="1">
      <x:c r="A12" s="1071" t="n">
        <x:v>8</x:v>
      </x:c>
      <x:c r="B12" s="1071" t="str">
        <x:v>RF004-E1</x:v>
      </x:c>
      <x:c r="C12" s="1071" t="str">
        <x:v>G24</x:v>
      </x:c>
      <x:c r="D12" s="1071" t="str">
        <x:v>RF04 debe coincidir con registro RF01 de Elsa</x:v>
      </x:c>
      <x:c r="E12" s="1071" t="str">
        <x:v>CORREGIDO</x:v>
      </x:c>
      <x:c r="F12" s="1071" t="str">
        <x:v>El usuario visualiza Nombre completo y Fecha de nacimiento como editables y Correo electrónico como solo lectura.</x:v>
      </x:c>
      <x:c r="G12" s="1071" t="str">
        <x:v>El usuario ve Nombre y Apellido por separado y Fecha de nacimiento como editables, con Correo electrónico solo lectura.</x:v>
      </x:c>
    </x:row>
    <x:row r="13" ht="40" customHeight="1">
      <x:c r="A13" s="1071" t="n">
        <x:v>9</x:v>
      </x:c>
      <x:c r="B13" s="1071" t="str">
        <x:v>RF004-E1</x:v>
      </x:c>
      <x:c r="C13" s="1071" t="str">
        <x:v>F25</x:v>
      </x:c>
      <x:c r="D13" s="1071" t="str">
        <x:v>RF04 debe coincidir con registro RF01 de Elsa</x:v>
      </x:c>
      <x:c r="E13" s="1071" t="str">
        <x:v>CORREGIDO</x:v>
      </x:c>
      <x:c r="F13" s="1071" t="str">
        <x:v>modificarDatosPersonales(nombre,fechaNacimiento)</x:v>
      </x:c>
      <x:c r="G13" s="1071" t="str">
        <x:v>modificarDatosPersonales(nombre,apellido,fechaNacimiento)</x:v>
      </x:c>
    </x:row>
    <x:row r="14" ht="40" customHeight="1">
      <x:c r="A14" s="1071" t="n">
        <x:v>10</x:v>
      </x:c>
      <x:c r="B14" s="1071" t="str">
        <x:v>RF004-E1</x:v>
      </x:c>
      <x:c r="C14" s="1071" t="str">
        <x:v>G25</x:v>
      </x:c>
      <x:c r="D14" s="1071" t="str">
        <x:v>RF04 debe coincidir con registro RF01 de Elsa</x:v>
      </x:c>
      <x:c r="E14" s="1071" t="str">
        <x:v>CORREGIDO</x:v>
      </x:c>
      <x:c r="F14" s="1071" t="str">
        <x:v>El usuario modifica los datos permitidos. El correo no puede alterarse.</x:v>
      </x:c>
      <x:c r="G14" s="1071" t="str">
        <x:v>El usuario modifica nombre, apellido o fecha de nacimiento; el correo no puede modificarse.</x:v>
      </x:c>
    </x:row>
    <x:row r="15" ht="40" customHeight="1">
      <x:c r="A15" s="1071" t="n">
        <x:v>11</x:v>
      </x:c>
      <x:c r="B15" s="1071" t="str">
        <x:v>RF004-E1</x:v>
      </x:c>
      <x:c r="C15" s="1071" t="str">
        <x:v>F27</x:v>
      </x:c>
      <x:c r="D15" s="1071" t="str">
        <x:v>RF04 debe coincidir con registro RF01 de Elsa</x:v>
      </x:c>
      <x:c r="E15" s="1071" t="str">
        <x:v>CORREGIDO</x:v>
      </x:c>
      <x:c r="F15" s="1071" t="str">
        <x:v>enviarCambiosPerfil(nombre,fechaNacimiento)</x:v>
      </x:c>
      <x:c r="G15" s="1071" t="str">
        <x:v>enviarCambiosPerfil(nombre,apellido,fechaNacimiento)</x:v>
      </x:c>
    </x:row>
    <x:row r="16" ht="40" customHeight="1">
      <x:c r="A16" s="1071" t="n">
        <x:v>12</x:v>
      </x:c>
      <x:c r="B16" s="1071" t="str">
        <x:v>RF004-E1</x:v>
      </x:c>
      <x:c r="C16" s="1071" t="str">
        <x:v>G27</x:v>
      </x:c>
      <x:c r="D16" s="1071" t="str">
        <x:v>RF04 debe coincidir con registro RF01 de Elsa</x:v>
      </x:c>
      <x:c r="E16" s="1071" t="str">
        <x:v>CORREGIDO</x:v>
      </x:c>
      <x:c r="F16" s="1071" t="str">
        <x:v>La interfaz envía únicamente los campos que pueden modificarse.</x:v>
      </x:c>
      <x:c r="G16" s="1071" t="str">
        <x:v>La interfaz envía exclusivamente nombre, apellido y fecha de nacimiento para actualizar el perfil.</x:v>
      </x:c>
    </x:row>
    <x:row r="17" ht="40" customHeight="1">
      <x:c r="A17" s="1071" t="n">
        <x:v>13</x:v>
      </x:c>
      <x:c r="B17" s="1071" t="str">
        <x:v>RF004-E1</x:v>
      </x:c>
      <x:c r="C17" s="1071" t="str">
        <x:v>F28</x:v>
      </x:c>
      <x:c r="D17" s="1071" t="str">
        <x:v>RF04 debe coincidir con registro RF01 de Elsa</x:v>
      </x:c>
      <x:c r="E17" s="1071" t="str">
        <x:v>CORREGIDO</x:v>
      </x:c>
      <x:c r="F17" s="1071" t="str">
        <x:v>validarDatosPersonales(nombre,fechaNacimiento)</x:v>
      </x:c>
      <x:c r="G17" s="1071" t="str">
        <x:v>validarDatosPersonales(nombre,apellido,fechaNacimiento)</x:v>
      </x:c>
    </x:row>
    <x:row r="18" ht="40" customHeight="1">
      <x:c r="A18" s="1071" t="n">
        <x:v>14</x:v>
      </x:c>
      <x:c r="B18" s="1071" t="str">
        <x:v>RF004-E1</x:v>
      </x:c>
      <x:c r="C18" s="1071" t="str">
        <x:v>G28</x:v>
      </x:c>
      <x:c r="D18" s="1071" t="str">
        <x:v>RF04 debe coincidir con registro RF01 de Elsa</x:v>
      </x:c>
      <x:c r="E18" s="1071" t="str">
        <x:v>CORREGIDO</x:v>
      </x:c>
      <x:c r="F18" s="1071" t="str">
        <x:v>El controlador solicita validar la información antes de actualizarla.</x:v>
      </x:c>
      <x:c r="G18" s="1071" t="str">
        <x:v>Valida los mismos campos de identidad que RF01, manteniendo correo solo lectura.</x:v>
      </x:c>
    </x:row>
    <x:row r="19" ht="40" customHeight="1">
      <x:c r="A19" s="1071" t="n">
        <x:v>15</x:v>
      </x:c>
      <x:c r="B19" s="1071" t="str">
        <x:v>RF004-E1</x:v>
      </x:c>
      <x:c r="C19" s="1071" t="str">
        <x:v>F29</x:v>
      </x:c>
      <x:c r="D19" s="1071" t="str">
        <x:v>RF04 debe coincidir con registro RF01 de Elsa</x:v>
      </x:c>
      <x:c r="E19" s="1071" t="str">
        <x:v>CORREGIDO</x:v>
      </x:c>
      <x:c r="F19" s="1071" t="str">
        <x:v>validarCamposPerfil(nombre,fechaNacimiento)</x:v>
      </x:c>
      <x:c r="G19" s="1071" t="str">
        <x:v>validarCamposPerfil(nombre,apellido,fechaNacimiento)</x:v>
      </x:c>
    </x:row>
    <x:row r="20" ht="40" customHeight="1">
      <x:c r="A20" s="1071" t="n">
        <x:v>16</x:v>
      </x:c>
      <x:c r="B20" s="1071" t="str">
        <x:v>RF004-E1</x:v>
      </x:c>
      <x:c r="C20" s="1071" t="str">
        <x:v>G29</x:v>
      </x:c>
      <x:c r="D20" s="1071" t="str">
        <x:v>RF04 debe coincidir con registro RF01 de Elsa</x:v>
      </x:c>
      <x:c r="E20" s="1071" t="str">
        <x:v>CORREGIDO</x:v>
      </x:c>
      <x:c r="F20" s="1071" t="str">
        <x:v>Comprueba que los campos obligatorios tengan información.</x:v>
      </x:c>
      <x:c r="G20" s="1071" t="str">
        <x:v>Nombre y apellido son obligatorios y se validan independientemente; la fecha de nacimiento debe ser válida.</x:v>
      </x:c>
    </x:row>
    <x:row r="21" ht="40" customHeight="1">
      <x:c r="A21" s="1071" t="n">
        <x:v>17</x:v>
      </x:c>
      <x:c r="B21" s="1071" t="str">
        <x:v>RF004-E1</x:v>
      </x:c>
      <x:c r="C21" s="1071" t="str">
        <x:v>G30</x:v>
      </x:c>
      <x:c r="D21" s="1071" t="str">
        <x:v>RF04 debe coincidir con registro RF01 de Elsa</x:v>
      </x:c>
      <x:c r="E21" s="1071" t="str">
        <x:v>CORREGIDO</x:v>
      </x:c>
      <x:c r="F21" s="1071" t="str">
        <x:v>Comprueba que el nombre contenga caracteres permitidos.</x:v>
      </x:c>
      <x:c r="G21" s="1071" t="str">
        <x:v>Nombre: 2–100 caracteres tras normalizar espacios; letras, acentos y ñ; guion y apóstrofo solo entre letras (igual que RF01).</x:v>
      </x:c>
    </x:row>
    <x:row r="22" ht="40" customHeight="1">
      <x:c r="A22" s="1071" t="n">
        <x:v>18</x:v>
      </x:c>
      <x:c r="B22" s="1071" t="str">
        <x:v>RF004-E1</x:v>
      </x:c>
      <x:c r="C22" s="1071" t="str">
        <x:v>F31</x:v>
      </x:c>
      <x:c r="D22" s="1071" t="str">
        <x:v>RF04 debe coincidir con registro RF01 de Elsa</x:v>
      </x:c>
      <x:c r="E22" s="1071" t="str">
        <x:v>CORREGIDO</x:v>
      </x:c>
      <x:c r="F22" s="1071" t="str">
        <x:v>validarPalabrasRestringidas(nombre)</x:v>
      </x:c>
      <x:c r="G22" s="1071" t="str">
        <x:v>validarFormatoNombre(apellido)</x:v>
      </x:c>
    </x:row>
    <x:row r="23" ht="40" customHeight="1">
      <x:c r="A23" s="1071" t="n">
        <x:v>19</x:v>
      </x:c>
      <x:c r="B23" s="1071" t="str">
        <x:v>RF004-E1</x:v>
      </x:c>
      <x:c r="C23" s="1071" t="str">
        <x:v>G31</x:v>
      </x:c>
      <x:c r="D23" s="1071" t="str">
        <x:v>RF04 debe coincidir con registro RF01 de Elsa</x:v>
      </x:c>
      <x:c r="E23" s="1071" t="str">
        <x:v>CORREGIDO</x:v>
      </x:c>
      <x:c r="F23" s="1071" t="str">
        <x:v>Comprueba que el nombre no contenga palabras restringidas.</x:v>
      </x:c>
      <x:c r="G23" s="1071" t="str">
        <x:v>Apellido: mismo formato permitido de 2–100 caracteres; validación separada conforme a RF01. No se agrega una restricción distinta.</x:v>
      </x:c>
    </x:row>
    <x:row r="24" ht="40" customHeight="1">
      <x:c r="A24" s="1071" t="n">
        <x:v>20</x:v>
      </x:c>
      <x:c r="B24" s="1071" t="str">
        <x:v>RF004-E1</x:v>
      </x:c>
      <x:c r="C24" s="1071" t="str">
        <x:v>F34</x:v>
      </x:c>
      <x:c r="D24" s="1071" t="str">
        <x:v>RF04 debe coincidir con registro RF01 de Elsa</x:v>
      </x:c>
      <x:c r="E24" s="1071" t="str">
        <x:v>CORREGIDO</x:v>
      </x:c>
      <x:c r="F24" s="1071" t="str">
        <x:v>validarRangoEdad(edad,18,70)</x:v>
      </x:c>
      <x:c r="G24" s="1071" t="str">
        <x:v>validarRangoEdad(edad,18,85)</x:v>
      </x:c>
    </x:row>
    <x:row r="25" ht="40" customHeight="1">
      <x:c r="A25" s="1071" t="n">
        <x:v>21</x:v>
      </x:c>
      <x:c r="B25" s="1071" t="str">
        <x:v>RF004-E1</x:v>
      </x:c>
      <x:c r="C25" s="1071" t="str">
        <x:v>G34</x:v>
      </x:c>
      <x:c r="D25" s="1071" t="str">
        <x:v>RF04 debe coincidir con registro RF01 de Elsa</x:v>
      </x:c>
      <x:c r="E25" s="1071" t="str">
        <x:v>CORREGIDO</x:v>
      </x:c>
      <x:c r="F25" s="1071" t="str">
        <x:v>Comprueba que la edad permanezca dentro del rango permitido de MyCar: 18 a 70 años inclusive.</x:v>
      </x:c>
      <x:c r="G25" s="1071" t="str">
        <x:v>Confirma una edad de 18 a 85 años inclusive, idéntica a RF01 actualizado.</x:v>
      </x:c>
    </x:row>
    <x:row r="26" ht="40" customHeight="1">
      <x:c r="A26" s="1071" t="n">
        <x:v>22</x:v>
      </x:c>
      <x:c r="B26" s="1071" t="str">
        <x:v>RF004-E1</x:v>
      </x:c>
      <x:c r="C26" s="1071" t="str">
        <x:v>G35</x:v>
      </x:c>
      <x:c r="D26" s="1071" t="str">
        <x:v>RF04 debe coincidir con registro RF01 de Elsa</x:v>
      </x:c>
      <x:c r="E26" s="1071" t="str">
        <x:v>CORREGIDO</x:v>
      </x:c>
      <x:c r="F26" s="1071" t="str">
        <x:v>Devuelve que nombre y fecha de nacimiento cumplen las reglas establecidas.</x:v>
      </x:c>
      <x:c r="G26" s="1071" t="str">
        <x:v>Confirma validación conjunta de nombre, apellido y fecha de nacimiento sin modificar el correo.</x:v>
      </x:c>
    </x:row>
    <x:row r="27" ht="40" customHeight="1">
      <x:c r="A27" s="1071" t="n">
        <x:v>23</x:v>
      </x:c>
      <x:c r="B27" s="1071" t="str">
        <x:v>RF004-E1</x:v>
      </x:c>
      <x:c r="C27" s="1071" t="str">
        <x:v>F37</x:v>
      </x:c>
      <x:c r="D27" s="1071" t="str">
        <x:v>RF04 debe coincidir con registro RF01 de Elsa</x:v>
      </x:c>
      <x:c r="E27" s="1071" t="str">
        <x:v>CORREGIDO</x:v>
      </x:c>
      <x:c r="F27" s="1071" t="str">
        <x:v>actualizarDatosPersonales(idUsuario,nombre,fechaNacimiento)</x:v>
      </x:c>
      <x:c r="G27" s="1071" t="str">
        <x:v>actualizarDatosPersonales(idUsuario,nombre,apellido,fechaNacimiento)</x:v>
      </x:c>
    </x:row>
    <x:row r="28" ht="40" customHeight="1">
      <x:c r="A28" s="1071" t="n">
        <x:v>24</x:v>
      </x:c>
      <x:c r="B28" s="1071" t="str">
        <x:v>RF004-E1</x:v>
      </x:c>
      <x:c r="C28" s="1071" t="str">
        <x:v>G37</x:v>
      </x:c>
      <x:c r="D28" s="1071" t="str">
        <x:v>RF04 debe coincidir con registro RF01 de Elsa</x:v>
      </x:c>
      <x:c r="E28" s="1071" t="str">
        <x:v>CORREGIDO</x:v>
      </x:c>
      <x:c r="F28" s="1071" t="str">
        <x:v>El controlador pide actualizar únicamente nombre y fecha de nacimiento. El correo permanece sin cambios.</x:v>
      </x:c>
      <x:c r="G28" s="1071" t="str">
        <x:v>Actualiza nombre, apellido y fecha de nacimiento del titular autenticado; no modifica correo ni credenciales.</x:v>
      </x:c>
    </x:row>
    <x:row r="29" ht="40" customHeight="1">
      <x:c r="A29" s="1071" t="n">
        <x:v>25</x:v>
      </x:c>
      <x:c r="B29" s="1071" t="str">
        <x:v>RF004-E1</x:v>
      </x:c>
      <x:c r="C29" s="1071" t="str">
        <x:v>F38</x:v>
      </x:c>
      <x:c r="D29" s="1071" t="str">
        <x:v>RF04 debe coincidir con registro RF01 de Elsa</x:v>
      </x:c>
      <x:c r="E29" s="1071" t="str">
        <x:v>CORREGIDO</x:v>
      </x:c>
      <x:c r="F29" s="1071" t="str">
        <x:v>retornarDatosUsuarioActualizados(nombre,correo,fechaNacimiento,fotoPerfil)</x:v>
      </x:c>
      <x:c r="G29" s="1071" t="str">
        <x:v>retornarDatosUsuarioActualizados(nombre,apellido,correo,fechaNacimiento,fotoPerfil)</x:v>
      </x:c>
    </x:row>
    <x:row r="30" ht="40" customHeight="1">
      <x:c r="A30" s="1071" t="n">
        <x:v>26</x:v>
      </x:c>
      <x:c r="B30" s="1071" t="str">
        <x:v>RF004-E1</x:v>
      </x:c>
      <x:c r="C30" s="1071" t="str">
        <x:v>G38</x:v>
      </x:c>
      <x:c r="D30" s="1071" t="str">
        <x:v>RF04 debe coincidir con registro RF01 de Elsa</x:v>
      </x:c>
      <x:c r="E30" s="1071" t="str">
        <x:v>CORREGIDO</x:v>
      </x:c>
      <x:c r="F30" s="1071" t="str">
        <x:v>Devuelve los datos actuales del usuario después de la modificación, incluida la foto personalizada si existe.</x:v>
      </x:c>
      <x:c r="G30" s="1071" t="str">
        <x:v>Devuelve nombre y apellido separados junto a correo, fecha de nacimiento y foto si existe.</x:v>
      </x:c>
    </x:row>
    <x:row r="31" ht="40" customHeight="1">
      <x:c r="A31" s="1071" t="n">
        <x:v>27</x:v>
      </x:c>
      <x:c r="B31" s="1071" t="str">
        <x:v>RF004-E1</x:v>
      </x:c>
      <x:c r="C31" s="1071" t="str">
        <x:v>F39</x:v>
      </x:c>
      <x:c r="D31" s="1071" t="str">
        <x:v>RF04 debe coincidir con registro RF01 de Elsa</x:v>
      </x:c>
      <x:c r="E31" s="1071" t="str">
        <x:v>CORREGIDO</x:v>
      </x:c>
      <x:c r="F31" s="1071" t="str">
        <x:v>determinarAvatarUsuario(nombre,fotoPerfil)</x:v>
      </x:c>
      <x:c r="G31" s="1071" t="str">
        <x:v>determinarAvatarUsuario(nombre,apellido,fotoPerfil)</x:v>
      </x:c>
    </x:row>
    <x:row r="32" ht="40" customHeight="1">
      <x:c r="A32" s="1071" t="n">
        <x:v>28</x:v>
      </x:c>
      <x:c r="B32" s="1071" t="str">
        <x:v>RF004-E1</x:v>
      </x:c>
      <x:c r="C32" s="1071" t="str">
        <x:v>G39</x:v>
      </x:c>
      <x:c r="D32" s="1071" t="str">
        <x:v>RF04 debe coincidir con registro RF01 de Elsa</x:v>
      </x:c>
      <x:c r="E32" s="1071" t="str">
        <x:v>CORREGIDO</x:v>
      </x:c>
      <x:c r="F32" s="1071" t="str">
        <x:v>Si existe foto personalizada, conserva esa imagen como avatar. Si no existe, genera nuevamente las iniciales utilizando el nombre actualizado.</x:v>
      </x:c>
      <x:c r="G32" s="1071" t="str">
        <x:v>Conserva foto personalizada; si no existe, genera avatar por iniciales del nombre y apellido actualizados.</x:v>
      </x:c>
    </x:row>
    <x:row r="33" ht="40" customHeight="1">
      <x:c r="A33" s="1071" t="n">
        <x:v>29</x:v>
      </x:c>
      <x:c r="B33" s="1071" t="str">
        <x:v>RF004-E1</x:v>
      </x:c>
      <x:c r="C33" s="1071" t="str">
        <x:v>F40</x:v>
      </x:c>
      <x:c r="D33" s="1071" t="str">
        <x:v>RF04 debe coincidir con registro RF01 de Elsa</x:v>
      </x:c>
      <x:c r="E33" s="1071" t="str">
        <x:v>CORREGIDO</x:v>
      </x:c>
      <x:c r="F33" s="1071" t="str">
        <x:v>mostrarPerfilActualizado(nombre,correo,fechaNacimiento,avatarUsuario)</x:v>
      </x:c>
      <x:c r="G33" s="1071" t="str">
        <x:v>mostrarPerfilActualizado(nombre,apellido,correo,fechaNacimiento,avatarUsuario)</x:v>
      </x:c>
    </x:row>
    <x:row r="34" ht="40" customHeight="1">
      <x:c r="A34" s="1071" t="n">
        <x:v>30</x:v>
      </x:c>
      <x:c r="B34" s="1071" t="str">
        <x:v>RF004-E1</x:v>
      </x:c>
      <x:c r="C34" s="1071" t="str">
        <x:v>G40</x:v>
      </x:c>
      <x:c r="D34" s="1071" t="str">
        <x:v>RF04 debe coincidir con registro RF01 de Elsa</x:v>
      </x:c>
      <x:c r="E34" s="1071" t="str">
        <x:v>CORREGIDO</x:v>
      </x:c>
      <x:c r="F34" s="1071" t="str">
        <x:v>Actualiza la visualización del Perfil con los datos modificados y el avatar correspondiente.</x:v>
      </x:c>
      <x:c r="G34" s="1071" t="str">
        <x:v>Muestra nombre, apellido, correo y fecha de nacimiento modificados, con avatar correspondiente.</x:v>
      </x:c>
    </x:row>
    <x:row r="35" ht="40" customHeight="1">
      <x:c r="A35" s="1071" t="n">
        <x:v>31</x:v>
      </x:c>
      <x:c r="B35" s="1071" t="str">
        <x:v>RF050-EF1</x:v>
      </x:c>
      <x:c r="C35" s="1071" t="str">
        <x:v>A30</x:v>
      </x:c>
      <x:c r="D35" s="1071" t="str">
        <x:v>RF50 debe ser consulta pura; RF23 es único sincronizador de alertas del MVP</x:v>
      </x:c>
      <x:c r="E35" s="1071" t="str">
        <x:v>CORREGIDO</x:v>
      </x:c>
      <x:c r="F35" s="1071" t="str">
        <x:v>BLOQUE 4 · SINCRONIZACIÓN Y OBTENCIÓN DEL RESUMEN DE ALERTAS (Pasos 24–33)</x:v>
      </x:c>
      <x:c r="G35" s="1071" t="str">
        <x:v>BLOQUE 4 · CONSULTA SIN ESCRITURAS DEL RESUMEN DE ALERTAS (Pasos 24–33)</x:v>
      </x:c>
    </x:row>
    <x:row r="36" ht="40" customHeight="1">
      <x:c r="A36" s="1071" t="n">
        <x:v>32</x:v>
      </x:c>
      <x:c r="B36" s="1071" t="str">
        <x:v>RF050-EF1</x:v>
      </x:c>
      <x:c r="C36" s="1071" t="str">
        <x:v>G31</x:v>
      </x:c>
      <x:c r="D36" s="1071" t="str">
        <x:v>RF50 debe ser consulta pura; RF23 es único sincronizador de alertas del MVP</x:v>
      </x:c>
      <x:c r="E36" s="1071" t="str">
        <x:v>CORREGIDO</x:v>
      </x:c>
      <x:c r="F36" s="1071" t="str">
        <x:v>Solicita al controlador de alertas el resumen del mismo vehículo seleccionado. El bloque automático integrado en RF23 mantiene el ciclo de vida; RF50 reutiliza las mismas reglas solo como verificación defensiva para no mostrar estados obsoletos.</x:v>
      </x:c>
      <x:c r="G36" s="1071" t="str">
        <x:v>RF50 consulta el último estado persistido de alertas del vehículo ACTIVO; la sincronización del MVP ocurre exclusivamente cuando se abre RF23 «Mis alertas». RF50 no evalúa ni persiste transiciones.</x:v>
      </x:c>
    </x:row>
    <x:row r="37" ht="40" customHeight="1">
      <x:c r="A37" s="1071" t="n">
        <x:v>33</x:v>
      </x:c>
      <x:c r="B37" s="1071" t="str">
        <x:v>RF050-EF1</x:v>
      </x:c>
      <x:c r="C37" s="1071" t="str">
        <x:v>F32</x:v>
      </x:c>
      <x:c r="D37" s="1071" t="str">
        <x:v>RF50 debe ser consulta pura; RF23 es único sincronizador de alertas del MVP</x:v>
      </x:c>
      <x:c r="E37" s="1071" t="str">
        <x:v>CORREGIDO</x:v>
      </x:c>
      <x:c r="F37" s="1071" t="str">
        <x:v>sincronizarYConsultarAlertasResumen(idUsuario,idVehiculoSeleccionado,kilometraje,fechaActual)</x:v>
      </x:c>
      <x:c r="G37" s="1071" t="str">
        <x:v>consultarAlertasResumenPersistidas(idUsuario,idVehiculoSeleccionado)</x:v>
      </x:c>
    </x:row>
    <x:row r="38" ht="40" customHeight="1">
      <x:c r="A38" s="1071" t="n">
        <x:v>34</x:v>
      </x:c>
      <x:c r="B38" s="1071" t="str">
        <x:v>RF050-EF1</x:v>
      </x:c>
      <x:c r="C38" s="1071" t="str">
        <x:v>G32</x:v>
      </x:c>
      <x:c r="D38" s="1071" t="str">
        <x:v>RF50 debe ser consulta pura; RF23 es único sincronizador de alertas del MVP</x:v>
      </x:c>
      <x:c r="E38" s="1071" t="str">
        <x:v>CORREGIDO</x:v>
      </x:c>
      <x:c r="F38" s="1071" t="str">
        <x:v>C_ControlAlerta aplica una reconciliación defensiva con kilometraje y fecha actual. Si el bloque automático de RF23 ya ejecutó la transición no vuelve a crearla; si detecta un desfase, E_Alerta persiste únicamente el cambio faltante y C_ControlAlerta conserva su trazabilidad en E_HistorialAlerta.</x:v>
      </x:c>
      <x:c r="G38" s="1071" t="str">
        <x:v>Consulta SOLO LECTURA de E_Alerta, filtrando titular y vehículo ACTIVO. No realiza UPDATE ni INSERT, ni escribe E_HistorialAlerta. El estado puede estar pendiente de sincronizar hasta abrir RF23.</x:v>
      </x:c>
    </x:row>
    <x:row r="39" ht="40" customHeight="1">
      <x:c r="A39" s="1071" t="n">
        <x:v>35</x:v>
      </x:c>
      <x:c r="B39" s="1071" t="str">
        <x:v>RF050-EF1</x:v>
      </x:c>
      <x:c r="C39" s="1071" t="str">
        <x:v>F33</x:v>
      </x:c>
      <x:c r="D39" s="1071" t="str">
        <x:v>RF50 debe ser consulta pura; RF23 es único sincronizador de alertas del MVP</x:v>
      </x:c>
      <x:c r="E39" s="1071" t="str">
        <x:v>CORREGIDO</x:v>
      </x:c>
      <x:c r="F39" s="1071" t="str">
        <x:v>retornarAlertasResumenVigentes(listaAlertasVigentes,idsAlertasAnuladas,transicionesAplicadas)</x:v>
      </x:c>
      <x:c r="G39" s="1071" t="str">
        <x:v>retornarAlertasResumenPersistidas(listaAlertasVigentes)</x:v>
      </x:c>
    </x:row>
    <x:row r="40" ht="40" customHeight="1">
      <x:c r="A40" s="1071" t="n">
        <x:v>36</x:v>
      </x:c>
      <x:c r="B40" s="1071" t="str">
        <x:v>RF050-EF1</x:v>
      </x:c>
      <x:c r="C40" s="1071" t="str">
        <x:v>G33</x:v>
      </x:c>
      <x:c r="D40" s="1071" t="str">
        <x:v>RF50 debe ser consulta pura; RF23 es único sincronizador de alertas del MVP</x:v>
      </x:c>
      <x:c r="E40" s="1071" t="str">
        <x:v>CORREGIDO</x:v>
      </x:c>
      <x:c r="F40" s="1071" t="str">
        <x:v>Devuelve las alertas vigentes, los identificadores que quedaron ANULADOS y únicamente las transiciones reales aplicadas durante la reconciliación defensiva.</x:v>
      </x:c>
      <x:c r="G40" s="1071" t="str">
        <x:v>Devuelve los estados ya persistidos para el resumen; no devuelve transiciones recién aplicadas ni identificadores anulados por esta consulta.</x:v>
      </x:c>
    </x:row>
    <x:row r="41" ht="40" customHeight="1">
      <x:c r="A41" s="1071" t="n">
        <x:v>37</x:v>
      </x:c>
      <x:c r="B41" s="1071" t="str">
        <x:v>RF050-EF1</x:v>
      </x:c>
      <x:c r="C41" s="1071" t="str">
        <x:v>F34</x:v>
      </x:c>
      <x:c r="D41" s="1071" t="str">
        <x:v>RF50 debe ser consulta pura; RF23 es único sincronizador de alertas del MVP</x:v>
      </x:c>
      <x:c r="E41" s="1071" t="str">
        <x:v>CORREGIDO</x:v>
      </x:c>
      <x:c r="F41" s="1071" t="str">
        <x:v>registrarTransicionesDefensivasSiCorresponde(transicionesAplicadas,AUTOMATICO)</x:v>
      </x:c>
      <x:c r="G41" s="1071" t="str">
        <x:v>consultarHistorialAlertasSoloLectura(idsAlertas)</x:v>
      </x:c>
    </x:row>
    <x:row r="42" ht="40" customHeight="1">
      <x:c r="A42" s="1071" t="n">
        <x:v>38</x:v>
      </x:c>
      <x:c r="B42" s="1071" t="str">
        <x:v>RF050-EF1</x:v>
      </x:c>
      <x:c r="C42" s="1071" t="str">
        <x:v>G34</x:v>
      </x:c>
      <x:c r="D42" s="1071" t="str">
        <x:v>RF50 debe ser consulta pura; RF23 es único sincronizador de alertas del MVP</x:v>
      </x:c>
      <x:c r="E42" s="1071" t="str">
        <x:v>CORREGIDO</x:v>
      </x:c>
      <x:c r="F42" s="1071" t="str">
        <x:v>Solo si RF50 detectó y persistió un desfase real, registra esas transiciones en E_HistorialAlerta. Si RF23 ya había aplicado el cambio, transicionesAplicadas queda vacía y no se duplica trazabilidad.</x:v>
      </x:c>
      <x:c r="G42" s="1071" t="str">
        <x:v>Consulta opcional de trazabilidad YA EXISTENTE en E_HistorialAlerta, sin crear entradas. En MVP puede omitirse si el resumen no muestra historial.</x:v>
      </x:c>
    </x:row>
    <x:row r="43" ht="40" customHeight="1">
      <x:c r="A43" s="1071" t="n">
        <x:v>39</x:v>
      </x:c>
      <x:c r="B43" s="1071" t="str">
        <x:v>RF050-EF1</x:v>
      </x:c>
      <x:c r="C43" s="1071" t="str">
        <x:v>F35</x:v>
      </x:c>
      <x:c r="D43" s="1071" t="str">
        <x:v>RF50 debe ser consulta pura; RF23 es único sincronizador de alertas del MVP</x:v>
      </x:c>
      <x:c r="E43" s="1071" t="str">
        <x:v>CORREGIDO</x:v>
      </x:c>
      <x:c r="F43" s="1071" t="str">
        <x:v>retornarTransicionesRegistradas(idsHistorial)</x:v>
      </x:c>
      <x:c r="G43" s="1071" t="str">
        <x:v>retornarHistorialAlertasConsultado(historialAlertas)</x:v>
      </x:c>
    </x:row>
    <x:row r="44" ht="40" customHeight="1">
      <x:c r="A44" s="1071" t="n">
        <x:v>40</x:v>
      </x:c>
      <x:c r="B44" s="1071" t="str">
        <x:v>RF050-EF1</x:v>
      </x:c>
      <x:c r="C44" s="1071" t="str">
        <x:v>G35</x:v>
      </x:c>
      <x:c r="D44" s="1071" t="str">
        <x:v>RF50 debe ser consulta pura; RF23 es único sincronizador de alertas del MVP</x:v>
      </x:c>
      <x:c r="E44" s="1071" t="str">
        <x:v>CORREGIDO</x:v>
      </x:c>
      <x:c r="F44" s="1071" t="str">
        <x:v>La entidad confirma la trazabilidad registrada cuando correspondía.</x:v>
      </x:c>
      <x:c r="G44" s="1071" t="str">
        <x:v>Devuelve historial ya almacenado o conjunto vacío. No confirma registro nuevo, porque RF50 no escribe historial.</x:v>
      </x:c>
    </x:row>
    <x:row r="45" ht="40" customHeight="1">
      <x:c r="A45" s="1071" t="n">
        <x:v>41</x:v>
      </x:c>
      <x:c r="B45" s="1071" t="str">
        <x:v>RF050-EF1</x:v>
      </x:c>
      <x:c r="C45" s="1071" t="str">
        <x:v>F36</x:v>
      </x:c>
      <x:c r="D45" s="1071" t="str">
        <x:v>RF50 debe ser consulta pura; RF23 es único sincronizador de alertas del MVP</x:v>
      </x:c>
      <x:c r="E45" s="1071" t="str">
        <x:v>CORREGIDO</x:v>
      </x:c>
      <x:c r="F45" s="1071" t="str">
        <x:v>sincronizarNotificacionesResumenSegunAlertas(idUsuario,listaAlertasVigentes,idsAlertasAnuladas)</x:v>
      </x:c>
      <x:c r="G45" s="1071" t="str">
        <x:v>solicitarAvisosPersistidosSoloLectura(idUsuario,idVehiculoSeleccionado)</x:v>
      </x:c>
    </x:row>
    <x:row r="46" ht="40" customHeight="1">
      <x:c r="A46" s="1071" t="n">
        <x:v>42</x:v>
      </x:c>
      <x:c r="B46" s="1071" t="str">
        <x:v>RF050-EF1</x:v>
      </x:c>
      <x:c r="C46" s="1071" t="str">
        <x:v>G36</x:v>
      </x:c>
      <x:c r="D46" s="1071" t="str">
        <x:v>RF50 debe ser consulta pura; RF23 es único sincronizador de alertas del MVP</x:v>
      </x:c>
      <x:c r="E46" s="1071" t="str">
        <x:v>CORREGIDO</x:v>
      </x:c>
      <x:c r="F46" s="1071" t="str">
        <x:v>Antes de calcular la campana, solicita conciliar defensivamente los avisos vinculados a las alertas del resumen. El bloque automático de RF23 mantiene la coherencia; RF50 no es el disparador necesario para que los estados o avisos avancen.</x:v>
      </x:c>
      <x:c r="G46" s="1071" t="str">
        <x:v>SOLO VERSIÓN FUTURA con E_Notificacion: solicita los avisos ya almacenados para lectura; NO concilia, crea ni cierra notificaciones. En MVP omitir pasos 29–32.</x:v>
      </x:c>
    </x:row>
    <x:row r="47" ht="40" customHeight="1">
      <x:c r="A47" s="1071" t="n">
        <x:v>43</x:v>
      </x:c>
      <x:c r="B47" s="1071" t="str">
        <x:v>RF050-EF1</x:v>
      </x:c>
      <x:c r="C47" s="1071" t="str">
        <x:v>F37</x:v>
      </x:c>
      <x:c r="D47" s="1071" t="str">
        <x:v>RF50 debe ser consulta pura; RF23 es único sincronizador de alertas del MVP</x:v>
      </x:c>
      <x:c r="E47" s="1071" t="str">
        <x:v>CORREGIDO</x:v>
      </x:c>
      <x:c r="F47" s="1071" t="str">
        <x:v>sincronizarGestionSegunEstadosAlerta(listaAlertasVigentes,idsAlertasAnuladas)</x:v>
      </x:c>
      <x:c r="G47" s="1071" t="str">
        <x:v>consultarAvisosPersistidosSinCambios(idUsuario,idVehiculoSeleccionado)</x:v>
      </x:c>
    </x:row>
    <x:row r="48" ht="40" customHeight="1">
      <x:c r="A48" s="1071" t="n">
        <x:v>44</x:v>
      </x:c>
      <x:c r="B48" s="1071" t="str">
        <x:v>RF050-EF1</x:v>
      </x:c>
      <x:c r="C48" s="1071" t="str">
        <x:v>G37</x:v>
      </x:c>
      <x:c r="D48" s="1071" t="str">
        <x:v>RF50 debe ser consulta pura; RF23 es único sincronizador de alertas del MVP</x:v>
      </x:c>
      <x:c r="E48" s="1071" t="str">
        <x:v>CORREGIDO</x:v>
      </x:c>
      <x:c r="F48" s="1071" t="str">
        <x:v>Actualiza la gestión antes del contador: mantiene solo PRÓXIMA/PENDIENTE como activas y retira VENCIDA/REALIZADA/ANULADA de Pendientes sin borrar historial.</x:v>
      </x:c>
      <x:c r="G48" s="1071" t="str">
        <x:v>SOLO FUTURO: consulta en E_Notificacion sin escrituras. En MVP no se ejecuta esta llamada porque E_Notificacion no participa.</x:v>
      </x:c>
    </x:row>
    <x:row r="49" ht="40" customHeight="1">
      <x:c r="A49" s="1071" t="n">
        <x:v>45</x:v>
      </x:c>
      <x:c r="B49" s="1071" t="str">
        <x:v>RF050-EF1</x:v>
      </x:c>
      <x:c r="C49" s="1071" t="str">
        <x:v>F38</x:v>
      </x:c>
      <x:c r="D49" s="1071" t="str">
        <x:v>RF50 debe ser consulta pura; RF23 es único sincronizador de alertas del MVP</x:v>
      </x:c>
      <x:c r="E49" s="1071" t="str">
        <x:v>CORREGIDO</x:v>
      </x:c>
      <x:c r="F49" s="1071" t="str">
        <x:v>retornarSincronizacionNotificaciones(resultadoNotificaciones)</x:v>
      </x:c>
      <x:c r="G49" s="1071" t="str">
        <x:v>retornarAvisosPersistidos(listaAvisos)</x:v>
      </x:c>
    </x:row>
    <x:row r="50" ht="40" customHeight="1">
      <x:c r="A50" s="1071" t="n">
        <x:v>46</x:v>
      </x:c>
      <x:c r="B50" s="1071" t="str">
        <x:v>RF050-EF1</x:v>
      </x:c>
      <x:c r="C50" s="1071" t="str">
        <x:v>G38</x:v>
      </x:c>
      <x:c r="D50" s="1071" t="str">
        <x:v>RF50 debe ser consulta pura; RF23 es único sincronizador de alertas del MVP</x:v>
      </x:c>
      <x:c r="E50" s="1071" t="str">
        <x:v>CORREGIDO</x:v>
      </x:c>
      <x:c r="F50" s="1071" t="str">
        <x:v>La entidad confirma qué notificaciones permanecen activas y cuáles están en Historial.</x:v>
      </x:c>
      <x:c r="G50" s="1071" t="str">
        <x:v>SOLO FUTURO: retorna avisos persistidos sin modificar estados ni historial. OMITIR en MVP.</x:v>
      </x:c>
    </x:row>
    <x:row r="51" ht="40" customHeight="1">
      <x:c r="A51" s="1071" t="n">
        <x:v>47</x:v>
      </x:c>
      <x:c r="B51" s="1071" t="str">
        <x:v>RF050-EF1</x:v>
      </x:c>
      <x:c r="C51" s="1071" t="str">
        <x:v>F39</x:v>
      </x:c>
      <x:c r="D51" s="1071" t="str">
        <x:v>RF50 debe ser consulta pura; RF23 es único sincronizador de alertas del MVP</x:v>
      </x:c>
      <x:c r="E51" s="1071" t="str">
        <x:v>CORREGIDO</x:v>
      </x:c>
      <x:c r="F51" s="1071" t="str">
        <x:v>retornarSincronizacionNotificaciones(resultadoNotificaciones)</x:v>
      </x:c>
      <x:c r="G51" s="1071" t="str">
        <x:v>retornarAvisosResumenSoloLectura(listaAvisos)</x:v>
      </x:c>
    </x:row>
    <x:row r="52" ht="40" customHeight="1">
      <x:c r="A52" s="1071" t="n">
        <x:v>48</x:v>
      </x:c>
      <x:c r="B52" s="1071" t="str">
        <x:v>RF050-EF1</x:v>
      </x:c>
      <x:c r="C52" s="1071" t="str">
        <x:v>G39</x:v>
      </x:c>
      <x:c r="D52" s="1071" t="str">
        <x:v>RF50 debe ser consulta pura; RF23 es único sincronizador de alertas del MVP</x:v>
      </x:c>
      <x:c r="E52" s="1071" t="str">
        <x:v>CORREGIDO</x:v>
      </x:c>
      <x:c r="F52" s="1071" t="str">
        <x:v>El controlador de notificaciones devuelve a Alertas la conciliación aplicada.</x:v>
      </x:c>
      <x:c r="G52" s="1071" t="str">
        <x:v>SOLO FUTURO: retorna el resultado consultado, sin activar ningún motor. OMITIR en MVP.</x:v>
      </x:c>
    </x:row>
    <x:row r="53" ht="40" customHeight="1">
      <x:c r="A53" s="1071" t="n">
        <x:v>49</x:v>
      </x:c>
      <x:c r="B53" s="1071" t="str">
        <x:v>RF050-EF1</x:v>
      </x:c>
      <x:c r="C53" s="1071" t="str">
        <x:v>G40</x:v>
      </x:c>
      <x:c r="D53" s="1071" t="str">
        <x:v>RF50 debe ser consulta pura; RF23 es único sincronizador de alertas del MVP</x:v>
      </x:c>
      <x:c r="E53" s="1071" t="str">
        <x:v>CORREGIDO</x:v>
      </x:c>
      <x:c r="F53" s="1071" t="str">
        <x:v>Internamente selecciona VENCIDAS con menos de 30 días, PENDIENTES y PRÓXIMAS; las ordena VENCIDAS → PENDIENTES → PRÓXIMAS y devuelve solo tarjetas vigentes. Las ANULADAS ya no participan del resumen.</x:v>
      </x:c>
      <x:c r="G53" s="1071" t="str">
        <x:v>Ordena SOLO las alertas del vehículo activo según los estados previamente guardados: VENCIDAS → PENDIENTES → PRÓXIMAS, sin ANULADAS. No calcula ni actualiza estados; RF23 es responsable del refresco de estados.</x:v>
      </x:c>
    </x:row>
    <x:row r="54" ht="40" customHeight="1">
      <x:c r="A54" s="1071" t="n">
        <x:v>50</x:v>
      </x:c>
      <x:c r="B54" s="1071" t="str">
        <x:v>RF050-EF1</x:v>
      </x:c>
      <x:c r="C54" s="1071" t="str">
        <x:v>G48</x:v>
      </x:c>
      <x:c r="D54" s="1071" t="str">
        <x:v>RF50 debe ser consulta pura; RF23 es único sincronizador de alertas del MVP</x:v>
      </x:c>
      <x:c r="E54" s="1071" t="str">
        <x:v>CORREGIDO</x:v>
      </x:c>
      <x:c r="F54" s="1071" t="str">
        <x:v>Cuenta únicamente avisos PENDIENTES que siguen vigentes después de la conciliación: Mantenimiento/SOAT con alerta PRÓXIMA o PENDIENTE y recordatorios KM activos. VENCIDA, REALIZADA, ANULADA, vehículos inactivos o ciclos KM pausados no incrementan la campana.</x:v>
      </x:c>
      <x:c r="G54" s="1071" t="str">
        <x:v>Contador GLOBAL solo de avisos previamente persistidos y vigentes, si el módulo existe; no inicia E_Notificacion en el MVP. Excluye avisos de vehículos inactivos y, bajo RF65 aprobado, ELIMINADOS. RF50 no crea notificaciones.</x:v>
      </x:c>
    </x:row>
    <x:row r="55" ht="40" customHeight="1">
      <x:c r="A55" s="1071" t="n">
        <x:v>51</x:v>
      </x:c>
      <x:c r="B55" s="1071" t="str">
        <x:v>RF050-EF1</x:v>
      </x:c>
      <x:c r="C55" s="1071" t="str">
        <x:v>G52</x:v>
      </x:c>
      <x:c r="D55" s="1071" t="str">
        <x:v>RF50 debe ser consulta pura; RF23 es único sincronizador de alertas del MVP</x:v>
      </x:c>
      <x:c r="E55" s="1071" t="str">
        <x:v>CORREGIDO</x:v>
      </x:c>
      <x:c r="F55" s="1071" t="str">
        <x:v>Integra imagen, kilometraje, alertas y mantenimiento del mismo idVehiculoSeleccionado; el contador de campana permanece global. No crea una entidad Resumen.</x:v>
      </x:c>
      <x:c r="G55" s="1071" t="str">
        <x:v>Integra lecturas del vehículo ACTIVO y principal, la última información persistida de alertas y el mantenimiento histórico. No modifica registros. En futura RF65 solo vehículos VIGENTES.</x:v>
      </x:c>
    </x:row>
    <x:row r="56" ht="40" customHeight="1">
      <x:c r="A56" s="1071" t="n">
        <x:v>52</x:v>
      </x:c>
      <x:c r="B56" s="1071" t="str">
        <x:v>RF050-EF1</x:v>
      </x:c>
      <x:c r="C56" s="1071" t="str">
        <x:v>G53</x:v>
      </x:c>
      <x:c r="D56" s="1071" t="str">
        <x:v>RF50 debe ser consulta pura; RF23 es único sincronizador de alertas del MVP</x:v>
      </x:c>
      <x:c r="E56" s="1071" t="str">
        <x:v>CORREGIDO</x:v>
      </x:c>
      <x:c r="F56" s="1071" t="str">
        <x:v>Muestra encabezado, selector siempre visible con los vehículos activos, vehículo principal seleccionado por defecto, tarjeta, kilometraje, alertas, último servicio y campana. Conserva Ver vehículo, Actualizar, Ver alertas y Ver historial.</x:v>
      </x:c>
      <x:c r="G56" s="1071" t="str">
        <x:v>Muestra la vista Inicio con datos obtenidos en lectura; el botón «Ver alertas» abre RF23, donde ocurre la única evaluación/sincronización del MVP.</x:v>
      </x:c>
    </x:row>
    <x:row r="57" ht="40" customHeight="1">
      <x:c r="A57" s="1071" t="n">
        <x:v>53</x:v>
      </x:c>
      <x:c r="B57" s="1071" t="str">
        <x:v>RF050-EF1</x:v>
      </x:c>
      <x:c r="C57" s="1071" t="str">
        <x:v>G15</x:v>
      </x:c>
      <x:c r="D57" s="1071" t="str">
        <x:v>RF50 lectura de vehículos y compatibilidad RF65</x:v>
      </x:c>
      <x:c r="E57" s="1071" t="str">
        <x:v>CORREGIDO</x:v>
      </x:c>
      <x:c r="F57" s="1071" t="str">
        <x:v>Consulta por usuario y estado Activo. Los vehículos Inactivos no forman parte del selector de Inicio.</x:v>
      </x:c>
      <x:c r="G57" s="1071" t="str">
        <x:v>Consulta exclusivamente vehículos propios con estado operativo ACTIVO. Si RF65 se aprueba e implementa, requiere además estado_registro=VIGENTE. Esta consulta nunca regulariza ni escribe datos.</x:v>
      </x:c>
    </x:row>
    <x:row r="58" ht="40" customHeight="1">
      <x:c r="A58" s="1071" t="n">
        <x:v>54</x:v>
      </x:c>
      <x:c r="B58" s="1071" t="str">
        <x:v>RF012-EF1</x:v>
      </x:c>
      <x:c r="C58" s="1071" t="str">
        <x:v>A33</x:v>
      </x:c>
      <x:c r="D58" s="1071" t="str">
        <x:v>RF12 no activa motor al cambiar estado en MVP</x:v>
      </x:c>
      <x:c r="E58" s="1071" t="str">
        <x:v>CORREGIDO</x:v>
      </x:c>
      <x:c r="F58" s="1071" t="str">
        <x:v>BLOQUE 5 · SINCRONIZACIÓN DE ALERTAS Y NOTIFICACIONES SEGÚN EL NUEVO ESTADO (Pasos 25–38)</x:v>
      </x:c>
      <x:c r="G58" s="1071" t="str">
        <x:v>BLOQUE 5 · COMPATIBILIDAD DE ALERTAS/AVISOS (Pasos 25–38 · SOLO FUTURO, NO MVP)</x:v>
      </x:c>
    </x:row>
    <x:row r="59" ht="40" customHeight="1">
      <x:c r="A59" s="1071" t="n">
        <x:v>55</x:v>
      </x:c>
      <x:c r="B59" s="1071" t="str">
        <x:v>RF012-EF1</x:v>
      </x:c>
      <x:c r="C59" s="1071" t="str">
        <x:v>G31</x:v>
      </x:c>
      <x:c r="D59" s="1071" t="str">
        <x:v>RF12 separación MVP</x:v>
      </x:c>
      <x:c r="E59" s="1071" t="str">
        <x:v>CORREGIDO</x:v>
      </x:c>
      <x:c r="F59" s="1071" t="str">
        <x:v>Aplicación atómica: antes de ACTIVAR, revalida plan efectivo y cupo actual para evitar dos activaciones simultáneas en FREE. Si cambia el plan o se ocupa el cupo, no modifica el estado. DESACTIVAR manualmente solo procede sobre un no principal dejando al menos un activo; la desactivación AUTOMÁTICA por pérdida de Premium se documenta aparte en RF030_ALT_FIN_PREMIUM. Después de degradar Premium a Free los autos secundarios conservados siguen registrados pero INACTIVOS. No se permite activar un segundo automóvil mientras el principal esté ACTIVO; RF12 no borra ninguno.</x:v>
      </x:c>
      <x:c r="G59" s="1071" t="str">
        <x:v>Aplicación atómica: antes de ACTIVAR, revalida plan efectivo y cupo actual para evitar dos activaciones simultáneas en FREE. Si cambia el plan o se ocupa el cupo, no modifica el estado. DESACTIVAR manualmente solo procede sobre un no principal dejando al menos un activo; la desactivación AUTOMÁTICA por pérdida de Premium se documenta aparte en RF030_ALT_FIN_PREMIUM. Después de degradar Premium a Free los autos secundarios conservados siguen registrados pero INACTIVOS. No se permite activar un segundo automóvil mientras el principal esté ACTIVO; RF12 no borra ninguno. En MVP el cambio de estado NO dispara recálculo ni escrituras de E_Alerta/E_HistorialAlerta/E_Notificacion; RF23 sincroniza al abrir Mis alertas.</x:v>
      </x:c>
    </x:row>
    <x:row r="60" ht="40" customHeight="1">
      <x:c r="A60" s="1071" t="n">
        <x:v>56</x:v>
      </x:c>
      <x:c r="B60" s="1071" t="str">
        <x:v>RF012-EF1</x:v>
      </x:c>
      <x:c r="C60" s="1071" t="str">
        <x:v>G34</x:v>
      </x:c>
      <x:c r="D60" s="1071" t="str">
        <x:v>RF12 bloque alertas/notificaciones reservado para futuro</x:v>
      </x:c>
      <x:c r="E60" s="1071" t="str">
        <x:v>CONDICIONAL</x:v>
      </x:c>
      <x:c r="F60" s="1071" t="str">
        <x:v>El controlador de estado solicita aplicar las reglas de alertas correspondientes al nuevo estado del vehículo.</x:v>
      </x:c>
      <x:c r="G60" s="1071" t="str">
        <x:v>SOLO POST-MVP (NO EJECUTAR EN MVP): El controlador de estado solicita aplicar las reglas de alertas correspondientes al nuevo estado del vehículo.</x:v>
      </x:c>
    </x:row>
    <x:row r="61" ht="40" customHeight="1">
      <x:c r="A61" s="1071" t="n">
        <x:v>57</x:v>
      </x:c>
      <x:c r="B61" s="1071" t="str">
        <x:v>RF012-EF1</x:v>
      </x:c>
      <x:c r="C61" s="1071" t="str">
        <x:v>G35</x:v>
      </x:c>
      <x:c r="D61" s="1071" t="str">
        <x:v>RF12 bloque alertas/notificaciones reservado para futuro</x:v>
      </x:c>
      <x:c r="E61" s="1071" t="str">
        <x:v>CONDICIONAL</x:v>
      </x:c>
      <x:c r="F61" s="1071" t="str">
        <x:v>El controlador consulta las alertas existentes del vehículo para conservar trazabilidad y, en una reactivación, recalcular únicamente lo vigente.</x:v>
      </x:c>
      <x:c r="G61" s="1071" t="str">
        <x:v>SOLO POST-MVP (NO EJECUTAR EN MVP): El controlador consulta las alertas existentes del vehículo para conservar trazabilidad y, en una reactivación, recalcular únicamente lo vigente.</x:v>
      </x:c>
    </x:row>
    <x:row r="62" ht="40" customHeight="1">
      <x:c r="A62" s="1071" t="n">
        <x:v>58</x:v>
      </x:c>
      <x:c r="B62" s="1071" t="str">
        <x:v>RF012-EF1</x:v>
      </x:c>
      <x:c r="C62" s="1071" t="str">
        <x:v>G36</x:v>
      </x:c>
      <x:c r="D62" s="1071" t="str">
        <x:v>RF12 bloque alertas/notificaciones reservado para futuro</x:v>
      </x:c>
      <x:c r="E62" s="1071" t="str">
        <x:v>CONDICIONAL</x:v>
      </x:c>
      <x:c r="F62" s="1071" t="str">
        <x:v>La entidad devuelve las alertas existentes del vehículo sin modificar sus estados.</x:v>
      </x:c>
      <x:c r="G62" s="1071" t="str">
        <x:v>SOLO POST-MVP (NO EJECUTAR EN MVP): La entidad devuelve las alertas existentes del vehículo sin modificar sus estados.</x:v>
      </x:c>
    </x:row>
    <x:row r="63" ht="40" customHeight="1">
      <x:c r="A63" s="1071" t="n">
        <x:v>59</x:v>
      </x:c>
      <x:c r="B63" s="1071" t="str">
        <x:v>RF012-EF1</x:v>
      </x:c>
      <x:c r="C63" s="1071" t="str">
        <x:v>G37</x:v>
      </x:c>
      <x:c r="D63" s="1071" t="str">
        <x:v>RF12 bloque alertas/notificaciones reservado para futuro</x:v>
      </x:c>
      <x:c r="E63" s="1071" t="str">
        <x:v>CONDICIONAL</x:v>
      </x:c>
      <x:c r="F63" s="1071" t="str">
        <x:v>Si queda INACTIVO, conserva las alertas y suspende nuevos avisos. Si queda ACTIVO, aplica las reglas centrales de estado también usadas por el bloque automático de RF23 para recalcular únicamente la situación vigente: actualiza fecha_estado_actual cuando cambia el estado y permite VENCIDA→ANULADA cuando ya cumplió 30 días. No genera avisos retroactivos por cada intervalo omitido.</x:v>
      </x:c>
      <x:c r="G63" s="1071" t="str">
        <x:v>SOLO POST-MVP (NO EJECUTAR EN MVP): Si queda INACTIVO, conserva las alertas y suspende nuevos avisos. Si queda ACTIVO, aplica las reglas centrales de estado también usadas por el bloque automático de RF23 para recalcular únicamente la situación vigente: actualiza fecha_estado_actual cuando cambia el estado y permite VENCIDA→ANULADA cuando ya cumplió 30 días. No genera avisos retroactivos por cada intervalo omitido.</x:v>
      </x:c>
    </x:row>
    <x:row r="64" ht="40" customHeight="1">
      <x:c r="A64" s="1071" t="n">
        <x:v>60</x:v>
      </x:c>
      <x:c r="B64" s="1071" t="str">
        <x:v>RF012-EF1</x:v>
      </x:c>
      <x:c r="C64" s="1071" t="str">
        <x:v>G38</x:v>
      </x:c>
      <x:c r="D64" s="1071" t="str">
        <x:v>RF12 bloque alertas/notificaciones reservado para futuro</x:v>
      </x:c>
      <x:c r="E64" s="1071" t="str">
        <x:v>CONDICIONAL</x:v>
      </x:c>
      <x:c r="F64" s="1071" t="str">
        <x:v>Solo cuando el recálculo requiere cambios, actualiza E_Alerta. C_ControlAlerta conserva la trazabilidad de cada transición con las mismas reglas centrales del bloque automático de RF23; RF23 también reconcilia al consultar. Una alerta ANULADA no se reactiva por reactivar el vehículo.</x:v>
      </x:c>
      <x:c r="G64" s="1071" t="str">
        <x:v>SOLO POST-MVP (NO EJECUTAR EN MVP): Solo cuando el recálculo requiere cambios, actualiza E_Alerta. C_ControlAlerta conserva la trazabilidad de cada transición con las mismas reglas centrales del bloque automático de RF23; RF23 también reconcilia al consultar. Una alerta ANULADA no se reactiva por reactivar el vehículo.</x:v>
      </x:c>
    </x:row>
    <x:row r="65" ht="40" customHeight="1">
      <x:c r="A65" s="1071" t="n">
        <x:v>61</x:v>
      </x:c>
      <x:c r="B65" s="1071" t="str">
        <x:v>RF012-EF1</x:v>
      </x:c>
      <x:c r="C65" s="1071" t="str">
        <x:v>G39</x:v>
      </x:c>
      <x:c r="D65" s="1071" t="str">
        <x:v>RF12 bloque alertas/notificaciones reservado para futuro</x:v>
      </x:c>
      <x:c r="E65" s="1071" t="str">
        <x:v>CONDICIONAL</x:v>
      </x:c>
      <x:c r="F65" s="1071" t="str">
        <x:v>La entidad confirma la sincronización y devuelve únicamente las transiciones reales aplicadas; si no hubo cambios, la lista queda vacía.</x:v>
      </x:c>
      <x:c r="G65" s="1071" t="str">
        <x:v>SOLO POST-MVP (NO EJECUTAR EN MVP): La entidad confirma la sincronización y devuelve únicamente las transiciones reales aplicadas; si no hubo cambios, la lista queda vacía.</x:v>
      </x:c>
    </x:row>
    <x:row r="66" ht="40" customHeight="1">
      <x:c r="A66" s="1071" t="n">
        <x:v>62</x:v>
      </x:c>
      <x:c r="B66" s="1071" t="str">
        <x:v>RF012-EF1</x:v>
      </x:c>
      <x:c r="C66" s="1071" t="str">
        <x:v>G40</x:v>
      </x:c>
      <x:c r="D66" s="1071" t="str">
        <x:v>RF12 bloque alertas/notificaciones reservado para futuro</x:v>
      </x:c>
      <x:c r="E66" s="1071" t="str">
        <x:v>CONDICIONAL</x:v>
      </x:c>
      <x:c r="F66" s="1071" t="str">
        <x:v>Solo cuando la reactivación produjo cambios reales, registra cada transición en E_HistorialAlerta. La desactivación por sí sola no crea una transición de estado de alerta y una alerta ANULADA nunca se reactiva.</x:v>
      </x:c>
      <x:c r="G66" s="1071" t="str">
        <x:v>SOLO POST-MVP (NO EJECUTAR EN MVP): Solo cuando la reactivación produjo cambios reales, registra cada transición en E_HistorialAlerta. La desactivación por sí sola no crea una transición de estado de alerta y una alerta ANULADA nunca se reactiva.</x:v>
      </x:c>
    </x:row>
    <x:row r="67" ht="40" customHeight="1">
      <x:c r="A67" s="1071" t="n">
        <x:v>63</x:v>
      </x:c>
      <x:c r="B67" s="1071" t="str">
        <x:v>RF012-EF1</x:v>
      </x:c>
      <x:c r="C67" s="1071" t="str">
        <x:v>G41</x:v>
      </x:c>
      <x:c r="D67" s="1071" t="str">
        <x:v>RF12 bloque alertas/notificaciones reservado para futuro</x:v>
      </x:c>
      <x:c r="E67" s="1071" t="str">
        <x:v>CONDICIONAL</x:v>
      </x:c>
      <x:c r="F67" s="1071" t="str">
        <x:v>La entidad confirma la trazabilidad registrada cuando correspondía.</x:v>
      </x:c>
      <x:c r="G67" s="1071" t="str">
        <x:v>SOLO POST-MVP (NO EJECUTAR EN MVP): La entidad confirma la trazabilidad registrada cuando correspondía.</x:v>
      </x:c>
    </x:row>
    <x:row r="68" ht="40" customHeight="1">
      <x:c r="A68" s="1071" t="n">
        <x:v>64</x:v>
      </x:c>
      <x:c r="B68" s="1071" t="str">
        <x:v>RF012-EF1</x:v>
      </x:c>
      <x:c r="C68" s="1071" t="str">
        <x:v>G42</x:v>
      </x:c>
      <x:c r="D68" s="1071" t="str">
        <x:v>RF12 bloque alertas/notificaciones reservado para futuro</x:v>
      </x:c>
      <x:c r="E68" s="1071" t="str">
        <x:v>CONDICIONAL</x:v>
      </x:c>
      <x:c r="F68" s="1071" t="str">
        <x:v>Solicita reconciliar las notificaciones del vehículo con el nuevo estado. INACTIVO suspende visualización activa y reemisiones; ACTIVO reevalúa la vigencia sin crear duplicados.</x:v>
      </x:c>
      <x:c r="G68" s="1071" t="str">
        <x:v>SOLO POST-MVP (NO EJECUTAR EN MVP): Solicita reconciliar las notificaciones del vehículo con el nuevo estado. INACTIVO suspende visualización activa y reemisiones; ACTIVO reevalúa la vigencia sin crear duplicados.</x:v>
      </x:c>
    </x:row>
    <x:row r="69" ht="40" customHeight="1">
      <x:c r="A69" s="1071" t="n">
        <x:v>65</x:v>
      </x:c>
      <x:c r="B69" s="1071" t="str">
        <x:v>RF012-EF1</x:v>
      </x:c>
      <x:c r="C69" s="1071" t="str">
        <x:v>G43</x:v>
      </x:c>
      <x:c r="D69" s="1071" t="str">
        <x:v>RF12 bloque alertas/notificaciones reservado para futuro</x:v>
      </x:c>
      <x:c r="E69" s="1071" t="str">
        <x:v>CONDICIONAL</x:v>
      </x:c>
      <x:c r="F69" s="1071" t="str">
        <x:v>Determina la vigencia de los avisos. Con vehículo INACTIVO ningún aviso se muestra como pendiente ni se reemite. Al quedar ACTIVO, Mantenimiento/SOAT solo pueden permanecer activos si la alerta está PRÓXIMA o PENDIENTE; VENCIDA, REALIZADA o ANULADA quedan en Historial. Los recordatorios KM además respetan RF44.</x:v>
      </x:c>
      <x:c r="G69" s="1071" t="str">
        <x:v>SOLO POST-MVP (NO EJECUTAR EN MVP): Determina la vigencia de los avisos. Con vehículo INACTIVO ningún aviso se muestra como pendiente ni se reemite. Al quedar ACTIVO, Mantenimiento/SOAT solo pueden permanecer activos si la alerta está PRÓXIMA o PENDIENTE; VENCIDA, REALIZADA o ANULADA quedan en Historial. Los recordatorios KM además respetan RF44.</x:v>
      </x:c>
    </x:row>
    <x:row r="70" ht="40" customHeight="1">
      <x:c r="A70" s="1071" t="n">
        <x:v>66</x:v>
      </x:c>
      <x:c r="B70" s="1071" t="str">
        <x:v>RF012-EF1</x:v>
      </x:c>
      <x:c r="C70" s="1071" t="str">
        <x:v>G44</x:v>
      </x:c>
      <x:c r="D70" s="1071" t="str">
        <x:v>RF12 bloque alertas/notificaciones reservado para futuro</x:v>
      </x:c>
      <x:c r="E70" s="1071" t="str">
        <x:v>CONDICIONAL</x:v>
      </x:c>
      <x:c r="F70" s="1071" t="str">
        <x:v>Persiste la conciliación sin borrar historial: suspende avisos del vehículo INACTIVO y, al reactivarlo, mantiene o recupera solo los avisos que siguen vigentes. No genera avisos retroactivos.</x:v>
      </x:c>
      <x:c r="G70" s="1071" t="str">
        <x:v>SOLO POST-MVP (NO EJECUTAR EN MVP): Persiste la conciliación sin borrar historial: suspende avisos del vehículo INACTIVO y, al reactivarlo, mantiene o recupera solo los avisos que siguen vigentes. No genera avisos retroactivos.</x:v>
      </x:c>
    </x:row>
    <x:row r="71" ht="40" customHeight="1">
      <x:c r="A71" s="1071" t="n">
        <x:v>67</x:v>
      </x:c>
      <x:c r="B71" s="1071" t="str">
        <x:v>RF012-EF1</x:v>
      </x:c>
      <x:c r="C71" s="1071" t="str">
        <x:v>G45</x:v>
      </x:c>
      <x:c r="D71" s="1071" t="str">
        <x:v>RF12 bloque alertas/notificaciones reservado para futuro</x:v>
      </x:c>
      <x:c r="E71" s="1071" t="str">
        <x:v>CONDICIONAL</x:v>
      </x:c>
      <x:c r="F71" s="1071" t="str">
        <x:v>La entidad confirma los avisos suspendidos, reactivados o cerrados según la situación vigente.</x:v>
      </x:c>
      <x:c r="G71" s="1071" t="str">
        <x:v>SOLO POST-MVP (NO EJECUTAR EN MVP): La entidad confirma los avisos suspendidos, reactivados o cerrados según la situación vigente.</x:v>
      </x:c>
    </x:row>
    <x:row r="72" ht="40" customHeight="1">
      <x:c r="A72" s="1071" t="n">
        <x:v>68</x:v>
      </x:c>
      <x:c r="B72" s="1071" t="str">
        <x:v>RF012-EF1</x:v>
      </x:c>
      <x:c r="C72" s="1071" t="str">
        <x:v>G46</x:v>
      </x:c>
      <x:c r="D72" s="1071" t="str">
        <x:v>RF12 bloque alertas/notificaciones reservado para futuro</x:v>
      </x:c>
      <x:c r="E72" s="1071" t="str">
        <x:v>CONDICIONAL</x:v>
      </x:c>
      <x:c r="F72" s="1071" t="str">
        <x:v>El controlador de notificaciones informa que la regla de futuros envíos quedó aplicada.</x:v>
      </x:c>
      <x:c r="G72" s="1071" t="str">
        <x:v>SOLO POST-MVP (NO EJECUTAR EN MVP): El controlador de notificaciones informa que la regla de futuros envíos quedó aplicada.</x:v>
      </x:c>
    </x:row>
    <x:row r="73" ht="40" customHeight="1">
      <x:c r="A73" s="1071" t="n">
        <x:v>69</x:v>
      </x:c>
      <x:c r="B73" s="1071" t="str">
        <x:v>RF012-EF1</x:v>
      </x:c>
      <x:c r="C73" s="1071" t="str">
        <x:v>G47</x:v>
      </x:c>
      <x:c r="D73" s="1071" t="str">
        <x:v>RF12 bloque alertas/notificaciones reservado para futuro</x:v>
      </x:c>
      <x:c r="E73" s="1071" t="str">
        <x:v>CONDICIONAL</x:v>
      </x:c>
      <x:c r="F73" s="1071" t="str">
        <x:v>El controlador de alertas informa que las reglas posteriores al cambio de estado fueron procesadas.</x:v>
      </x:c>
      <x:c r="G73" s="1071" t="str">
        <x:v>SOLO POST-MVP (NO EJECUTAR EN MVP): El controlador de alertas informa que las reglas posteriores al cambio de estado fueron procesadas.</x:v>
      </x:c>
    </x:row>
    <x:row r="74" ht="40" customHeight="1">
      <x:c r="A74" s="1071" t="n">
        <x:v>70</x:v>
      </x:c>
      <x:c r="B74" s="1071" t="str">
        <x:v>RF016-EF1</x:v>
      </x:c>
      <x:c r="C74" s="1071" t="str">
        <x:v>A38</x:v>
      </x:c>
      <x:c r="D74" s="1071" t="str">
        <x:v>RF16 conserva sincronización solo para fase futura</x:v>
      </x:c>
      <x:c r="E74" s="1071" t="str">
        <x:v>CORREGIDO</x:v>
      </x:c>
      <x:c r="F74" s="1071" t="str">
        <x:v>BLOQUE 4 — SINCRONIZACIÓN DE ALERTAS POST-COMMIT (MENSAJES 32–37)</x:v>
      </x:c>
      <x:c r="G74" s="1071" t="str">
        <x:v>BLOQUE 4 — SINCRONIZACIÓN DE ALERTAS POST-COMMIT (MENSAJES 32–37 · SOLO FUTURO)</x:v>
      </x:c>
    </x:row>
    <x:row r="75" ht="40" customHeight="1">
      <x:c r="A75" s="1071" t="n">
        <x:v>71</x:v>
      </x:c>
      <x:c r="B75" s="1071" t="str">
        <x:v>RF016-EF1</x:v>
      </x:c>
      <x:c r="C75" s="1071" t="str">
        <x:v>G37</x:v>
      </x:c>
      <x:c r="D75" s="1071" t="str">
        <x:v>RF16 COMMIT lectura separado de motor RF23</x:v>
      </x:c>
      <x:c r="E75" s="1071" t="str">
        <x:v>CORREGIDO</x:v>
      </x:c>
      <x:c r="F75" s="1071" t="str">
        <x:v>COMMIT: evento de corrección y lectura vigente atómicos, rollback en cualquier fallo.</x:v>
      </x:c>
      <x:c r="G75" s="1071" t="str">
        <x:v>COMMIT: evento de corrección y lectura vigente atómicos, rollback en cualquier fallo. En el MVP no se ejecuta sincronización de alertas desde RF16.</x:v>
      </x:c>
    </x:row>
    <x:row r="76" ht="40" customHeight="1">
      <x:c r="A76" s="1071" t="n">
        <x:v>72</x:v>
      </x:c>
      <x:c r="B76" s="1071" t="str">
        <x:v>RF016-EF1</x:v>
      </x:c>
      <x:c r="C76" s="1071" t="str">
        <x:v>G39</x:v>
      </x:c>
      <x:c r="D76" s="1071" t="str">
        <x:v>RF16 no escribe alertas; RF23 sincroniza al abrir</x:v>
      </x:c>
      <x:c r="E76" s="1071" t="str">
        <x:v>CONDICIONAL</x:v>
      </x:c>
      <x:c r="F76" s="1071" t="str">
        <x:v>Sin reiniciar recordatorio KM (RF44) ni marcar el aviso atendido; post-COMMIT idempotente.</x:v>
      </x:c>
      <x:c r="G76" s="1071" t="str">
        <x:v>SOLO POST-MVP (NO EJECUTAR EN MVP): Sin reiniciar recordatorio KM (RF44) ni marcar el aviso atendido; post-COMMIT idempotente.</x:v>
      </x:c>
    </x:row>
    <x:row r="77" ht="40" customHeight="1">
      <x:c r="A77" s="1071" t="n">
        <x:v>73</x:v>
      </x:c>
      <x:c r="B77" s="1071" t="str">
        <x:v>RF016-EF1</x:v>
      </x:c>
      <x:c r="C77" s="1071" t="str">
        <x:v>G40</x:v>
      </x:c>
      <x:c r="D77" s="1071" t="str">
        <x:v>RF16 no escribe alertas; RF23 sincroniza al abrir</x:v>
      </x:c>
      <x:c r="E77" s="1071" t="str">
        <x:v>CONDICIONAL</x:v>
      </x:c>
      <x:c r="F77" s="1071" t="str">
        <x:v>Reutiliza estados de motor único RF23 y no inventa nuevas transiciones.</x:v>
      </x:c>
      <x:c r="G77" s="1071" t="str">
        <x:v>SOLO POST-MVP (NO EJECUTAR EN MVP): Reutiliza estados de motor único RF23 y no inventa nuevas transiciones.</x:v>
      </x:c>
    </x:row>
    <x:row r="78" ht="40" customHeight="1">
      <x:c r="A78" s="1071" t="n">
        <x:v>74</x:v>
      </x:c>
      <x:c r="B78" s="1071" t="str">
        <x:v>RF016-EF1</x:v>
      </x:c>
      <x:c r="C78" s="1071" t="str">
        <x:v>G41</x:v>
      </x:c>
      <x:c r="D78" s="1071" t="str">
        <x:v>RF16 no escribe alertas; RF23 sincroniza al abrir</x:v>
      </x:c>
      <x:c r="E78" s="1071" t="str">
        <x:v>CONDICIONAL</x:v>
      </x:c>
      <x:c r="F78" s="1071" t="str">
        <x:v>Lista de transiciones efectivamente aplicadas.</x:v>
      </x:c>
      <x:c r="G78" s="1071" t="str">
        <x:v>SOLO POST-MVP (NO EJECUTAR EN MVP): Lista de transiciones efectivamente aplicadas.</x:v>
      </x:c>
    </x:row>
    <x:row r="79" ht="40" customHeight="1">
      <x:c r="A79" s="1071" t="n">
        <x:v>75</x:v>
      </x:c>
      <x:c r="B79" s="1071" t="str">
        <x:v>RF016-EF1</x:v>
      </x:c>
      <x:c r="C79" s="1071" t="str">
        <x:v>G42</x:v>
      </x:c>
      <x:c r="D79" s="1071" t="str">
        <x:v>RF16 no escribe alertas; RF23 sincroniza al abrir</x:v>
      </x:c>
      <x:c r="E79" s="1071" t="str">
        <x:v>CONDICIONAL</x:v>
      </x:c>
      <x:c r="F79" s="1071" t="str">
        <x:v>Registrar únicamente transiciones que sucedieron; no duplicarlas.</x:v>
      </x:c>
      <x:c r="G79" s="1071" t="str">
        <x:v>SOLO POST-MVP (NO EJECUTAR EN MVP): Registrar únicamente transiciones que sucedieron; no duplicarlas.</x:v>
      </x:c>
    </x:row>
    <x:row r="80" ht="40" customHeight="1">
      <x:c r="A80" s="1071" t="n">
        <x:v>76</x:v>
      </x:c>
      <x:c r="B80" s="1071" t="str">
        <x:v>RF016-EF1</x:v>
      </x:c>
      <x:c r="C80" s="1071" t="str">
        <x:v>G43</x:v>
      </x:c>
      <x:c r="D80" s="1071" t="str">
        <x:v>RF16 no escribe alertas; RF23 sincroniza al abrir</x:v>
      </x:c>
      <x:c r="E80" s="1071" t="str">
        <x:v>CONDICIONAL</x:v>
      </x:c>
      <x:c r="F80" s="1071" t="str">
        <x:v>Confirmación de la trazabilidad.</x:v>
      </x:c>
      <x:c r="G80" s="1071" t="str">
        <x:v>SOLO POST-MVP (NO EJECUTAR EN MVP): Confirmación de la trazabilidad.</x:v>
      </x:c>
    </x:row>
    <x:row r="81" ht="40" customHeight="1">
      <x:c r="A81" s="1071" t="n">
        <x:v>77</x:v>
      </x:c>
      <x:c r="B81" s="1071" t="str">
        <x:v>RF016-EF1</x:v>
      </x:c>
      <x:c r="C81" s="1071" t="str">
        <x:v>G44</x:v>
      </x:c>
      <x:c r="D81" s="1071" t="str">
        <x:v>RF16 no escribe alertas; RF23 sincroniza al abrir</x:v>
      </x:c>
      <x:c r="E81" s="1071" t="str">
        <x:v>CONDICIONAL</x:v>
      </x:c>
      <x:c r="F81" s="1071" t="str">
        <x:v>Sincronización completa o programada para reintento tras COMMIT; no revierte la lectura.</x:v>
      </x:c>
      <x:c r="G81" s="1071" t="str">
        <x:v>SOLO POST-MVP (NO EJECUTAR EN MVP): Sincronización completa o programada para reintento tras COMMIT; no revierte la lectura.</x:v>
      </x:c>
    </x:row>
    <x:row r="82" ht="40" customHeight="1">
      <x:c r="A82" s="1071" t="n">
        <x:v>78</x:v>
      </x:c>
      <x:c r="B82" s="1071" t="str">
        <x:v>00_INDICE</x:v>
      </x:c>
      <x:c r="C82" s="1071" t="str">
        <x:v>C9</x:v>
      </x:c>
      <x:c r="D82" s="1071" t="str">
        <x:v>RF65 índice debe recoger RN65-19 y RN65-20</x:v>
      </x:c>
      <x:c r="E82" s="1071" t="str">
        <x:v>CORREGIDO</x:v>
      </x:c>
      <x:c r="F82" s="1071" t="str">
        <x:v>Reglas RN65-01…RN65-18 y origen de cada decisión</x:v>
      </x:c>
      <x:c r="G82" s="1071" t="str">
        <x:v>Reglas RN65-01…RN65-20 (20 reglas) y origen de cada decisión. Las propuestas y cambios de BD requieren aprobación antes de implementarse.</x:v>
      </x:c>
    </x:row>
    <x:row r="83" ht="40" customHeight="1">
      <x:c r="A83" s="1071" t="n">
        <x:v>79</x:v>
      </x:c>
      <x:c r="B83" s="1071" t="str">
        <x:v>06_INTEGRACION_RF</x:v>
      </x:c>
      <x:c r="C83" s="1071" t="str">
        <x:v>D11</x:v>
      </x:c>
      <x:c r="D83" s="1071" t="str">
        <x:v>Corregir referencia equivocada de RF65 al modo RF16</x:v>
      </x:c>
      <x:c r="E83" s="1071" t="str">
        <x:v>CORREGIDO</x:v>
      </x:c>
      <x:c r="F83" s="1071" t="str">
        <x:v>RF14 sin motor alertas nuevo</x:v>
      </x:c>
      <x:c r="G83" s="1071" t="str">
        <x:v>RF14 no dispara motor de alertas en MVP; RF16 es modo corrección SIN campo Motivo (según RF016-EF1). La trazabilidad técnica interna no exige motivo del usuario.</x:v>
      </x:c>
    </x:row>
    <x:row r="84" ht="40" customHeight="1">
      <x:c r="A84" s="1071" t="n">
        <x:v>80</x:v>
      </x:c>
      <x:c r="B84" s="1071" t="str">
        <x:v>00_INDICE</x:v>
      </x:c>
      <x:c r="C84" s="1071" t="str">
        <x:v>B2</x:v>
      </x:c>
      <x:c r="D84" s="1071" t="str">
        <x:v>RF65 no debe parecer aprobado</x:v>
      </x:c>
      <x:c r="E84" s="1071" t="str">
        <x:v>CORREGIDO</x:v>
      </x:c>
      <x:c r="F84" s="1071" t="str"/>
      <x:c r="G84" s="1071" t="str">
        <x:v>EXTENSIÓN POST-MVP PROPUESTA · 11 RF actualizados conservados · RF65 NO APROBADO: sin migración SQL ni motor adicional</x:v>
      </x:c>
    </x:row>
    <x:row r="85" ht="40" customHeight="1">
      <x:c r="A85" s="1071" t="n">
        <x:v>81</x:v>
      </x:c>
      <x:c r="B85" s="1071" t="str">
        <x:v>RF008-EF1</x:v>
      </x:c>
      <x:c r="C85" s="1071" t="str">
        <x:v>I5</x:v>
      </x:c>
      <x:c r="D85" s="1071" t="str">
        <x:v>Compatibilidad prospectiva RF65, sin alterar las reglas congeladas de las tres integrantes</x:v>
      </x:c>
      <x:c r="E85" s="1071" t="str">
        <x:v>PENDIENTE APROBACIÓN RF65</x:v>
      </x:c>
      <x:c r="F85" s="1071" t="str"/>
      <x:c r="G85" s="1071" t="str">
        <x:v>RF65 POST-MVP · CONDICIONADO A APROBACIÓN. Registrar / cupo Free: si RF65 se aprueba, contar únicamente vehículos con estado_registro=VIGENTE, tanto ACTIVOS como INACTIVOS. Liberar placa/VIN exige migración de UNIQUE todavía NO aprobada. Sin aprobación no aplicar filtros ni cambios de BD por RF65.</x:v>
      </x:c>
    </x:row>
    <x:row r="86" ht="40" customHeight="1">
      <x:c r="A86" s="1071" t="n">
        <x:v>82</x:v>
      </x:c>
      <x:c r="B86" s="1071" t="str">
        <x:v>RF009-EF1</x:v>
      </x:c>
      <x:c r="C86" s="1071" t="str">
        <x:v>I5</x:v>
      </x:c>
      <x:c r="D86" s="1071" t="str">
        <x:v>Compatibilidad prospectiva RF65, sin alterar las reglas congeladas de las tres integrantes</x:v>
      </x:c>
      <x:c r="E86" s="1071" t="str">
        <x:v>PENDIENTE APROBACIÓN RF65</x:v>
      </x:c>
      <x:c r="F86" s="1071" t="str"/>
      <x:c r="G86" s="1071" t="str">
        <x:v>RF65 POST-MVP · CONDICIONADO A APROBACIÓN. Listado Mis vehículos: excluir ELIMINADOS de tarjetas, filtros, contadores y principal; conservar históricos en BD según retención pendiente. GET continúa sin escrituras. Sin aprobación no aplicar filtros ni cambios de BD por RF65.</x:v>
      </x:c>
    </x:row>
    <x:row r="87" ht="40" customHeight="1">
      <x:c r="A87" s="1071" t="n">
        <x:v>83</x:v>
      </x:c>
      <x:c r="B87" s="1071" t="str">
        <x:v>RF010-EF1</x:v>
      </x:c>
      <x:c r="C87" s="1071" t="str">
        <x:v>I5</x:v>
      </x:c>
      <x:c r="D87" s="1071" t="str">
        <x:v>Compatibilidad prospectiva RF65, sin alterar las reglas congeladas de las tres integrantes</x:v>
      </x:c>
      <x:c r="E87" s="1071" t="str">
        <x:v>PENDIENTE APROBACIÓN RF65</x:v>
      </x:c>
      <x:c r="F87" s="1071" t="str"/>
      <x:c r="G87" s="1071" t="str">
        <x:v>RF65 POST-MVP · CONDICIONADO A APROBACIÓN. Detalle: consultar solo vehículos propios VIGENTES, incluso por URL antigua. Acción Eliminar inicia RF65 solo cuando esté aprobado; no confundir con RF12. Sin aprobación no aplicar filtros ni cambios de BD por RF65.</x:v>
      </x:c>
    </x:row>
    <x:row r="88" ht="40" customHeight="1">
      <x:c r="A88" s="1071" t="n">
        <x:v>84</x:v>
      </x:c>
      <x:c r="B88" s="1071" t="str">
        <x:v>RF011-EF1</x:v>
      </x:c>
      <x:c r="C88" s="1071" t="str">
        <x:v>H5</x:v>
      </x:c>
      <x:c r="D88" s="1071" t="str">
        <x:v>Compatibilidad prospectiva RF65, sin alterar las reglas congeladas de las tres integrantes</x:v>
      </x:c>
      <x:c r="E88" s="1071" t="str">
        <x:v>PENDIENTE APROBACIÓN RF65</x:v>
      </x:c>
      <x:c r="F88" s="1071" t="str"/>
      <x:c r="G88" s="1071" t="str">
        <x:v>RF65 POST-MVP · CONDICIONADO A APROBACIÓN. Edición de vehículo: validar estado_registro=VIGENTE en servidor antes de modificar; un ELIMINADO no es editable. Sin aprobación no aplicar filtros ni cambios de BD por RF65.</x:v>
      </x:c>
    </x:row>
    <x:row r="89" ht="40" customHeight="1">
      <x:c r="A89" s="1071" t="n">
        <x:v>85</x:v>
      </x:c>
      <x:c r="B89" s="1071" t="str">
        <x:v>RF012-EF1</x:v>
      </x:c>
      <x:c r="C89" s="1071" t="str">
        <x:v>I5</x:v>
      </x:c>
      <x:c r="D89" s="1071" t="str">
        <x:v>Compatibilidad prospectiva RF65, sin alterar las reglas congeladas de las tres integrantes</x:v>
      </x:c>
      <x:c r="E89" s="1071" t="str">
        <x:v>PENDIENTE APROBACIÓN RF65</x:v>
      </x:c>
      <x:c r="F89" s="1071" t="str"/>
      <x:c r="G89" s="1071" t="str">
        <x:v>RF65 POST-MVP · CONDICIONADO A APROBACIÓN. Activación/desactivación: operar solo VIGENTES; RF65 no es una desactivación y puede dejar cero vehículos ACTIVOS (post-MVP). La sincronización RF23 ocurre solo al abrir Mis alertas en MVP. Sin aprobación no aplicar filtros ni cambios de BD por RF65.</x:v>
      </x:c>
    </x:row>
    <x:row r="90" ht="40" customHeight="1">
      <x:c r="A90" s="1071" t="n">
        <x:v>86</x:v>
      </x:c>
      <x:c r="B90" s="1071" t="str">
        <x:v>RF013-EF1</x:v>
      </x:c>
      <x:c r="C90" s="1071" t="str">
        <x:v>H5</x:v>
      </x:c>
      <x:c r="D90" s="1071" t="str">
        <x:v>Compatibilidad prospectiva RF65, sin alterar las reglas congeladas de las tres integrantes</x:v>
      </x:c>
      <x:c r="E90" s="1071" t="str">
        <x:v>PENDIENTE APROBACIÓN RF65</x:v>
      </x:c>
      <x:c r="F90" s="1071" t="str"/>
      <x:c r="G90" s="1071" t="str">
        <x:v>RF65 POST-MVP · CONDICIONADO A APROBACIÓN. Principal manual: permitir selección solo entre vehículos ACTIVOS y VIGENTES; reelección automática al eliminar principal es regla de RF65 pendiente de aprobación. Sin aprobación no aplicar filtros ni cambios de BD por RF65.</x:v>
      </x:c>
    </x:row>
    <x:row r="91" ht="40" customHeight="1">
      <x:c r="A91" s="1071" t="n">
        <x:v>87</x:v>
      </x:c>
      <x:c r="B91" s="1071" t="str">
        <x:v>RF014-EF1</x:v>
      </x:c>
      <x:c r="C91" s="1071" t="str">
        <x:v>I5</x:v>
      </x:c>
      <x:c r="D91" s="1071" t="str">
        <x:v>Compatibilidad prospectiva RF65, sin alterar las reglas congeladas de las tres integrantes</x:v>
      </x:c>
      <x:c r="E91" s="1071" t="str">
        <x:v>PENDIENTE APROBACIÓN RF65</x:v>
      </x:c>
      <x:c r="F91" s="1071" t="str"/>
      <x:c r="G91" s="1071" t="str">
        <x:v>RF65 POST-MVP · CONDICIONADO A APROBACIÓN. Lecturas nuevas: escribir solo sobre vehículo propio ACTIVO VIGENTE; vehículo ELIMINADO conserva lectura histórica pero no admite nuevos cambios. RF14 no cambia alertas en MVP. Sin aprobación no aplicar filtros ni cambios de BD por RF65.</x:v>
      </x:c>
    </x:row>
    <x:row r="92" ht="40" customHeight="1">
      <x:c r="A92" s="1071" t="n">
        <x:v>88</x:v>
      </x:c>
      <x:c r="B92" s="1071" t="str">
        <x:v>RF015-EF1</x:v>
      </x:c>
      <x:c r="C92" s="1071" t="str">
        <x:v>H5</x:v>
      </x:c>
      <x:c r="D92" s="1071" t="str">
        <x:v>Compatibilidad prospectiva RF65, sin alterar las reglas congeladas de las tres integrantes</x:v>
      </x:c>
      <x:c r="E92" s="1071" t="str">
        <x:v>PENDIENTE APROBACIÓN RF65</x:v>
      </x:c>
      <x:c r="F92" s="1071" t="str"/>
      <x:c r="G92" s="1071" t="str">
        <x:v>RF65 POST-MVP · CONDICIONADO A APROBACIÓN. Historial KM: conservar y proteger lecturas vinculadas a vehículo eliminado; excluirlo del selector normal, sujeto a política de acceso a históricos por aprobar. Sin aprobación no aplicar filtros ni cambios de BD por RF65.</x:v>
      </x:c>
    </x:row>
    <x:row r="93" ht="40" customHeight="1">
      <x:c r="A93" s="1071" t="n">
        <x:v>89</x:v>
      </x:c>
      <x:c r="B93" s="1071" t="str">
        <x:v>RF016-EF1</x:v>
      </x:c>
      <x:c r="C93" s="1071" t="str">
        <x:v>I5</x:v>
      </x:c>
      <x:c r="D93" s="1071" t="str">
        <x:v>Compatibilidad prospectiva RF65, sin alterar las reglas congeladas de las tres integrantes</x:v>
      </x:c>
      <x:c r="E93" s="1071" t="str">
        <x:v>PENDIENTE APROBACIÓN RF65</x:v>
      </x:c>
      <x:c r="F93" s="1071" t="str"/>
      <x:c r="G93" s="1071" t="str">
        <x:v>RF65 POST-MVP · CONDICIONADO A APROBACIÓN. Corrección KM: rechazar ELIMINADO en backend; conservar lectura técnica histórica. Sin Motivo visible. En MVP NO actualizar estados de alerta desde RF16. Sin aprobación no aplicar filtros ni cambios de BD por RF65.</x:v>
      </x:c>
    </x:row>
    <x:row r="94" ht="40" customHeight="1">
      <x:c r="A94" s="1071" t="n">
        <x:v>90</x:v>
      </x:c>
      <x:c r="B94" s="1071" t="str">
        <x:v>RF17</x:v>
      </x:c>
      <x:c r="C94" s="1071" t="str">
        <x:v>M5</x:v>
      </x:c>
      <x:c r="D94" s="1071" t="str">
        <x:v>Compatibilidad prospectiva RF65, sin alterar las reglas congeladas de las tres integrantes</x:v>
      </x:c>
      <x:c r="E94" s="1071" t="str">
        <x:v>PENDIENTE APROBACIÓN RF65</x:v>
      </x:c>
      <x:c r="F94" s="1071" t="str"/>
      <x:c r="G94" s="1071" t="str">
        <x:v>RF65 POST-MVP · CONDICIONADO A APROBACIÓN. Mantenimiento: conservar kmServicio y registros históricos, pero impedir nueva alta en vehículo ELIMINADO; al ingresar RF65 no cambiar mantenimiento a ANULADO. Sin aprobación no aplicar filtros ni cambios de BD por RF65.</x:v>
      </x:c>
    </x:row>
    <x:row r="95" ht="40" customHeight="1">
      <x:c r="A95" s="1071" t="n">
        <x:v>91</x:v>
      </x:c>
      <x:c r="B95" s="1071" t="str">
        <x:v>RF18</x:v>
      </x:c>
      <x:c r="C95" s="1071" t="str">
        <x:v>M5</x:v>
      </x:c>
      <x:c r="D95" s="1071" t="str">
        <x:v>Compatibilidad prospectiva RF65, sin alterar las reglas congeladas de las tres integrantes</x:v>
      </x:c>
      <x:c r="E95" s="1071" t="str">
        <x:v>PENDIENTE APROBACIÓN RF65</x:v>
      </x:c>
      <x:c r="F95" s="1071" t="str"/>
      <x:c r="G95" s="1071" t="str">
        <x:v>RF65 POST-MVP · CONDICIONADO A APROBACIÓN. Historial de mantenimiento: selector ordinario solo VIGENTES; registros de eliminado quedan conservados, acceso histórico excepcional sujeto a política futura. Sin aprobación no aplicar filtros ni cambios de BD por RF65.</x:v>
      </x:c>
    </x:row>
    <x:row r="96" ht="40" customHeight="1">
      <x:c r="A96" s="1071" t="n">
        <x:v>92</x:v>
      </x:c>
      <x:c r="B96" s="1071" t="str">
        <x:v>RF19</x:v>
      </x:c>
      <x:c r="C96" s="1071" t="str">
        <x:v>H5</x:v>
      </x:c>
      <x:c r="D96" s="1071" t="str">
        <x:v>Compatibilidad prospectiva RF65, sin alterar las reglas congeladas de las tres integrantes</x:v>
      </x:c>
      <x:c r="E96" s="1071" t="str">
        <x:v>PENDIENTE APROBACIÓN RF65</x:v>
      </x:c>
      <x:c r="F96" s="1071" t="str"/>
      <x:c r="G96" s="1071" t="str">
        <x:v>RF65 POST-MVP · CONDICIONADO A APROBACIÓN. Detalle mantenimiento: no operar por selector normal si vehículo ELIMINADO; conservar datos del mantenimiento sin borrado en cascada. Sin aprobación no aplicar filtros ni cambios de BD por RF65.</x:v>
      </x:c>
    </x:row>
    <x:row r="97" ht="40" customHeight="1">
      <x:c r="A97" s="1071" t="n">
        <x:v>93</x:v>
      </x:c>
      <x:c r="B97" s="1071" t="str">
        <x:v>RF20</x:v>
      </x:c>
      <x:c r="C97" s="1071" t="str">
        <x:v>H5</x:v>
      </x:c>
      <x:c r="D97" s="1071" t="str">
        <x:v>Compatibilidad prospectiva RF65, sin alterar las reglas congeladas de las tres integrantes</x:v>
      </x:c>
      <x:c r="E97" s="1071" t="str">
        <x:v>PENDIENTE APROBACIÓN RF65</x:v>
      </x:c>
      <x:c r="F97" s="1071" t="str"/>
      <x:c r="G97" s="1071" t="str">
        <x:v>RF65 POST-MVP · CONDICIONADO A APROBACIÓN. Modificar mantenimiento: impedir escrituras de servicios de vehículo ELIMINADO; conservar registros ya efectuados. Sin aprobación no aplicar filtros ni cambios de BD por RF65.</x:v>
      </x:c>
    </x:row>
    <x:row r="98" ht="40" customHeight="1">
      <x:c r="A98" s="1071" t="n">
        <x:v>94</x:v>
      </x:c>
      <x:c r="B98" s="1071" t="str">
        <x:v>RF21</x:v>
      </x:c>
      <x:c r="C98" s="1071" t="str">
        <x:v>H5</x:v>
      </x:c>
      <x:c r="D98" s="1071" t="str">
        <x:v>Compatibilidad prospectiva RF65, sin alterar las reglas congeladas de las tres integrantes</x:v>
      </x:c>
      <x:c r="E98" s="1071" t="str">
        <x:v>PENDIENTE APROBACIÓN RF65</x:v>
      </x:c>
      <x:c r="F98" s="1071" t="str"/>
      <x:c r="G98" s="1071" t="str">
        <x:v>RF65 POST-MVP · CONDICIONADO A APROBACIÓN. Anulación mantenimiento: conservar trazabilidad; eliminación de vehículo no genera anulación ficticia de sus mantenimientos. Sin aprobación no aplicar filtros ni cambios de BD por RF65.</x:v>
      </x:c>
    </x:row>
    <x:row r="99" ht="40" customHeight="1">
      <x:c r="A99" s="1071" t="n">
        <x:v>95</x:v>
      </x:c>
      <x:c r="B99" s="1071" t="str">
        <x:v>RF22</x:v>
      </x:c>
      <x:c r="C99" s="1071" t="str">
        <x:v>M5</x:v>
      </x:c>
      <x:c r="D99" s="1071" t="str">
        <x:v>Compatibilidad prospectiva RF65, sin alterar las reglas congeladas de las tres integrantes</x:v>
      </x:c>
      <x:c r="E99" s="1071" t="str">
        <x:v>PENDIENTE APROBACIÓN RF65</x:v>
      </x:c>
      <x:c r="F99" s="1071" t="str"/>
      <x:c r="G99" s="1071" t="str">
        <x:v>RF65 POST-MVP · CONDICIONADO A APROBACIÓN. Programación manual: permitir solo vehículo ACTIVO VIGENTE, validar en backend también frente a identificadores antiguos. Sin aprobación no aplicar filtros ni cambios de BD por RF65.</x:v>
      </x:c>
    </x:row>
    <x:row r="100" ht="40" customHeight="1">
      <x:c r="A100" s="1071" t="n">
        <x:v>96</x:v>
      </x:c>
      <x:c r="B100" s="1071" t="str">
        <x:v>RF23</x:v>
      </x:c>
      <x:c r="C100" s="1071" t="str">
        <x:v>M5</x:v>
      </x:c>
      <x:c r="D100" s="1071" t="str">
        <x:v>Compatibilidad prospectiva RF65, sin alterar las reglas congeladas de las tres integrantes</x:v>
      </x:c>
      <x:c r="E100" s="1071" t="str">
        <x:v>PENDIENTE APROBACIÓN RF65</x:v>
      </x:c>
      <x:c r="F100" s="1071" t="str"/>
      <x:c r="G100" s="1071" t="str">
        <x:v>RF65 POST-MVP · CONDICIONADO A APROBACIÓN. Alertas: excluir vehículos ELIMINADOS de selector y reevaluación; preservar estados e historial. La eliminación no crea VENCIDA/ANULADA. LICENCIA sigue siendo personal, no depende de vehículo. Sin aprobación no aplicar filtros ni cambios de BD por RF65.</x:v>
      </x:c>
    </x:row>
    <x:row r="101" ht="40" customHeight="1">
      <x:c r="A101" s="1071" t="n">
        <x:v>97</x:v>
      </x:c>
      <x:c r="B101" s="1071" t="str">
        <x:v>RF24</x:v>
      </x:c>
      <x:c r="C101" s="1071" t="str">
        <x:v>H5</x:v>
      </x:c>
      <x:c r="D101" s="1071" t="str">
        <x:v>Compatibilidad prospectiva RF65, sin alterar las reglas congeladas de las tres integrantes</x:v>
      </x:c>
      <x:c r="E101" s="1071" t="str">
        <x:v>PENDIENTE APROBACIÓN RF65</x:v>
      </x:c>
      <x:c r="F101" s="1071" t="str"/>
      <x:c r="G101" s="1071" t="str">
        <x:v>RF65 POST-MVP · CONDICIONADO A APROBACIÓN. Atención de alerta: no ejecutar para ELIMINADOS, ni marcar alertas realizadas por la eliminación de vehículo. Sin aprobación no aplicar filtros ni cambios de BD por RF65.</x:v>
      </x:c>
    </x:row>
    <x:row r="102" ht="40" customHeight="1">
      <x:c r="A102" s="1071" t="n">
        <x:v>98</x:v>
      </x:c>
      <x:c r="B102" s="1071" t="str">
        <x:v>RF25</x:v>
      </x:c>
      <x:c r="C102" s="1071" t="str">
        <x:v>H5</x:v>
      </x:c>
      <x:c r="D102" s="1071" t="str">
        <x:v>Compatibilidad prospectiva RF65, sin alterar las reglas congeladas de las tres integrantes</x:v>
      </x:c>
      <x:c r="E102" s="1071" t="str">
        <x:v>PENDIENTE APROBACIÓN RF65</x:v>
      </x:c>
      <x:c r="F102" s="1071" t="str"/>
      <x:c r="G102" s="1071" t="str">
        <x:v>RF65 POST-MVP · CONDICIONADO A APROBACIÓN. Historial unificado: conservar datos referenciados, pero excluir vehículo ELIMINADO del selector normal; decidir acceso histórico excepcional. Sin aprobación no aplicar filtros ni cambios de BD por RF65.</x:v>
      </x:c>
    </x:row>
    <x:row r="103" ht="40" customHeight="1">
      <x:c r="A103" s="1071" t="n">
        <x:v>99</x:v>
      </x:c>
      <x:c r="B103" s="1071" t="str">
        <x:v>RF26</x:v>
      </x:c>
      <x:c r="C103" s="1071" t="str">
        <x:v>H5</x:v>
      </x:c>
      <x:c r="D103" s="1071" t="str">
        <x:v>Compatibilidad prospectiva RF65, sin alterar las reglas congeladas de las tres integrantes</x:v>
      </x:c>
      <x:c r="E103" s="1071" t="str">
        <x:v>PENDIENTE APROBACIÓN RF65</x:v>
      </x:c>
      <x:c r="F103" s="1071" t="str"/>
      <x:c r="G103" s="1071" t="str">
        <x:v>RF65 POST-MVP · CONDICIONADO A APROBACIÓN. Filtros de historial: no reintroducir vehículos ELIMINADOS con filtros; aplicar política de retención y acceso histórico aprobada. Sin aprobación no aplicar filtros ni cambios de BD por RF65.</x:v>
      </x:c>
    </x:row>
    <x:row r="104" ht="40" customHeight="1">
      <x:c r="A104" s="1071" t="n">
        <x:v>100</x:v>
      </x:c>
      <x:c r="B104" s="1071" t="str">
        <x:v>RF27</x:v>
      </x:c>
      <x:c r="C104" s="1071" t="str">
        <x:v>H5</x:v>
      </x:c>
      <x:c r="D104" s="1071" t="str">
        <x:v>Compatibilidad prospectiva RF65, sin alterar las reglas congeladas de las tres integrantes</x:v>
      </x:c>
      <x:c r="E104" s="1071" t="str">
        <x:v>PENDIENTE APROBACIÓN RF65</x:v>
      </x:c>
      <x:c r="F104" s="1071" t="str"/>
      <x:c r="G104" s="1071" t="str">
        <x:v>RF65 POST-MVP · CONDICIONADO A APROBACIÓN. Exportación histórica: no exponer por selector normal los datos de vehículo eliminado; acceso o recuperación extraordinaria depende de política explícita. Sin aprobación no aplicar filtros ni cambios de BD por RF65.</x:v>
      </x:c>
    </x:row>
    <x:row r="105" ht="40" customHeight="1">
      <x:c r="A105" s="1071" t="n">
        <x:v>101</x:v>
      </x:c>
      <x:c r="B105" s="1071" t="str">
        <x:v>RF030-E1</x:v>
      </x:c>
      <x:c r="C105" s="1071" t="str">
        <x:v>H5</x:v>
      </x:c>
      <x:c r="D105" s="1071" t="str">
        <x:v>Compatibilidad prospectiva RF65, sin alterar las reglas congeladas de las tres integrantes</x:v>
      </x:c>
      <x:c r="E105" s="1071" t="str">
        <x:v>PENDIENTE APROBACIÓN RF65</x:v>
      </x:c>
      <x:c r="F105" s="1071" t="str"/>
      <x:c r="G105" s="1071" t="str">
        <x:v>RF65 POST-MVP · CONDICIONADO A APROBACIÓN. Conciliación de fin de Premium: solo vehículos VIGENTES; no reactivar ELIMINADOS ni reasignarlos como principal. Serializar con RF65 si se implementa. Sin aprobación no aplicar filtros ni cambios de BD por RF65.</x:v>
      </x:c>
    </x:row>
    <x:row r="106" ht="40" customHeight="1">
      <x:c r="A106" s="1071" t="n">
        <x:v>102</x:v>
      </x:c>
      <x:c r="B106" s="1071" t="str">
        <x:v>RF031-EF1</x:v>
      </x:c>
      <x:c r="C106" s="1071" t="str">
        <x:v>H5</x:v>
      </x:c>
      <x:c r="D106" s="1071" t="str">
        <x:v>Compatibilidad prospectiva RF65, sin alterar las reglas congeladas de las tres integrantes</x:v>
      </x:c>
      <x:c r="E106" s="1071" t="str">
        <x:v>PENDIENTE APROBACIÓN RF65</x:v>
      </x:c>
      <x:c r="F106" s="1071" t="str"/>
      <x:c r="G106" s="1071" t="str">
        <x:v>RF65 POST-MVP · CONDICIONADO A APROBACIÓN. SOAT: conservar póliza y referencias de vehículo eliminado sin nuevos avisos ni operaciones normales. Sin aprobación no aplicar filtros ni cambios de BD por RF65.</x:v>
      </x:c>
    </x:row>
    <x:row r="107" ht="40" customHeight="1">
      <x:c r="A107" s="1071" t="n">
        <x:v>103</x:v>
      </x:c>
      <x:c r="B107" s="1071" t="str">
        <x:v>RF032-EF1</x:v>
      </x:c>
      <x:c r="C107" s="1071" t="str">
        <x:v>H5</x:v>
      </x:c>
      <x:c r="D107" s="1071" t="str">
        <x:v>Compatibilidad prospectiva RF65, sin alterar las reglas congeladas de las tres integrantes</x:v>
      </x:c>
      <x:c r="E107" s="1071" t="str">
        <x:v>PENDIENTE APROBACIÓN RF65</x:v>
      </x:c>
      <x:c r="F107" s="1071" t="str"/>
      <x:c r="G107" s="1071" t="str">
        <x:v>RF65 POST-MVP · CONDICIONADO A APROBACIÓN. SOAT: impedir operación administrativa sobre ELIMINADOS; conservar registros históricos y FK de idVehiculo. Sin aprobación no aplicar filtros ni cambios de BD por RF65.</x:v>
      </x:c>
    </x:row>
    <x:row r="108" ht="40" customHeight="1">
      <x:c r="A108" s="1071" t="n">
        <x:v>104</x:v>
      </x:c>
      <x:c r="B108" s="1071" t="str">
        <x:v>RF033-EF1</x:v>
      </x:c>
      <x:c r="C108" s="1071" t="str">
        <x:v>H5</x:v>
      </x:c>
      <x:c r="D108" s="1071" t="str">
        <x:v>Compatibilidad prospectiva RF65, sin alterar las reglas congeladas de las tres integrantes</x:v>
      </x:c>
      <x:c r="E108" s="1071" t="str">
        <x:v>PENDIENTE APROBACIÓN RF65</x:v>
      </x:c>
      <x:c r="F108" s="1071" t="str"/>
      <x:c r="G108" s="1071" t="str">
        <x:v>RF65 POST-MVP · CONDICIONADO A APROBACIÓN. SOAT: excluir ELIMINADOS de consultas/alertas normales; no borrar su historial por cascada. Sin aprobación no aplicar filtros ni cambios de BD por RF65.</x:v>
      </x:c>
    </x:row>
    <x:row r="109" ht="40" customHeight="1">
      <x:c r="A109" s="1071" t="n">
        <x:v>105</x:v>
      </x:c>
      <x:c r="B109" s="1071" t="str">
        <x:v>RF044-EF1</x:v>
      </x:c>
      <x:c r="C109" s="1071" t="str">
        <x:v>H5</x:v>
      </x:c>
      <x:c r="D109" s="1071" t="str">
        <x:v>Compatibilidad prospectiva RF65, sin alterar las reglas congeladas de las tres integrantes</x:v>
      </x:c>
      <x:c r="E109" s="1071" t="str">
        <x:v>PENDIENTE APROBACIÓN RF65</x:v>
      </x:c>
      <x:c r="F109" s="1071" t="str"/>
      <x:c r="G109" s="1071" t="str">
        <x:v>RF65 POST-MVP · CONDICIONADO A APROBACIÓN. Recordatorios KM: antes de emitir filtrar estado_registro=VIGENTE y estado operativo ACTIVO; no enviar recordatorios de ELIMINADOS. Sin aprobación no aplicar filtros ni cambios de BD por RF65.</x:v>
      </x:c>
    </x:row>
    <x:row r="110" ht="40" customHeight="1">
      <x:c r="A110" s="1071" t="n">
        <x:v>106</x:v>
      </x:c>
      <x:c r="B110" s="1071" t="str">
        <x:v>RF045-EF1</x:v>
      </x:c>
      <x:c r="C110" s="1071" t="str">
        <x:v>H5</x:v>
      </x:c>
      <x:c r="D110" s="1071" t="str">
        <x:v>Compatibilidad prospectiva RF65, sin alterar las reglas congeladas de las tres integrantes</x:v>
      </x:c>
      <x:c r="E110" s="1071" t="str">
        <x:v>PENDIENTE APROBACIÓN RF65</x:v>
      </x:c>
      <x:c r="F110" s="1071" t="str"/>
      <x:c r="G110" s="1071" t="str">
        <x:v>RF65 POST-MVP · CONDICIONADO A APROBACIÓN. Imagen vehículo: eliminar foto no es eliminar vehículo; impedir operaciones ordinarias sobre foto de vehículo ELIMINADO. Sin aprobación no aplicar filtros ni cambios de BD por RF65.</x:v>
      </x:c>
    </x:row>
    <x:row r="111" ht="40" customHeight="1">
      <x:c r="A111" s="1071" t="n">
        <x:v>107</x:v>
      </x:c>
      <x:c r="B111" s="1071" t="str">
        <x:v>RF046-EF1</x:v>
      </x:c>
      <x:c r="C111" s="1071" t="str">
        <x:v>H5</x:v>
      </x:c>
      <x:c r="D111" s="1071" t="str">
        <x:v>Compatibilidad prospectiva RF65, sin alterar las reglas congeladas de las tres integrantes</x:v>
      </x:c>
      <x:c r="E111" s="1071" t="str">
        <x:v>PENDIENTE APROBACIÓN RF65</x:v>
      </x:c>
      <x:c r="F111" s="1071" t="str"/>
      <x:c r="G111" s="1071" t="str">
        <x:v>RF65 POST-MVP · CONDICIONADO A APROBACIÓN. Notificaciones: no emitir avisos de vehículos ELIMINADOS; separar licencias personales. En MVP no existe motor autónomo de RF23 ni E_Notificacion. Sin aprobación no aplicar filtros ni cambios de BD por RF65.</x:v>
      </x:c>
    </x:row>
    <x:row r="112" ht="40" customHeight="1">
      <x:c r="A112" s="1071" t="n">
        <x:v>108</x:v>
      </x:c>
      <x:c r="B112" s="1071" t="str">
        <x:v>RF047-EF1</x:v>
      </x:c>
      <x:c r="C112" s="1071" t="str">
        <x:v>H5</x:v>
      </x:c>
      <x:c r="D112" s="1071" t="str">
        <x:v>Compatibilidad prospectiva RF65, sin alterar las reglas congeladas de las tres integrantes</x:v>
      </x:c>
      <x:c r="E112" s="1071" t="str">
        <x:v>PENDIENTE APROBACIÓN RF65</x:v>
      </x:c>
      <x:c r="F112" s="1071" t="str"/>
      <x:c r="G112" s="1071" t="str">
        <x:v>RF65 POST-MVP · CONDICIONADO A APROBACIÓN. Consulta/gestión notificaciones: excluir avisos operativos de ELIMINADOS; conservar trazabilidad histórica y licencias personales. Sin aprobación no aplicar filtros ni cambios de BD por RF65.</x:v>
      </x:c>
    </x:row>
    <x:row r="113" ht="40" customHeight="1">
      <x:c r="A113" s="1071" t="n">
        <x:v>109</x:v>
      </x:c>
      <x:c r="B113" s="1071" t="str">
        <x:v>RF048-EF1</x:v>
      </x:c>
      <x:c r="C113" s="1071" t="str">
        <x:v>H5</x:v>
      </x:c>
      <x:c r="D113" s="1071" t="str">
        <x:v>Compatibilidad prospectiva RF65, sin alterar las reglas congeladas de las tres integrantes</x:v>
      </x:c>
      <x:c r="E113" s="1071" t="str">
        <x:v>PENDIENTE APROBACIÓN RF65</x:v>
      </x:c>
      <x:c r="F113" s="1071" t="str"/>
      <x:c r="G113" s="1071" t="str">
        <x:v>RF65 POST-MVP · CONDICIONADO A APROBACIÓN. Notificaciones: omitir eventos futuros para vehículo ELIMINADO, sin reescribir estados pasados. Sin aprobación no aplicar filtros ni cambios de BD por RF65.</x:v>
      </x:c>
    </x:row>
    <x:row r="114" ht="40" customHeight="1">
      <x:c r="A114" s="1071" t="n">
        <x:v>110</x:v>
      </x:c>
      <x:c r="B114" s="1071" t="str">
        <x:v>RF049-EF1</x:v>
      </x:c>
      <x:c r="C114" s="1071" t="str">
        <x:v>H5</x:v>
      </x:c>
      <x:c r="D114" s="1071" t="str">
        <x:v>Compatibilidad prospectiva RF65, sin alterar las reglas congeladas de las tres integrantes</x:v>
      </x:c>
      <x:c r="E114" s="1071" t="str">
        <x:v>PENDIENTE APROBACIÓN RF65</x:v>
      </x:c>
      <x:c r="F114" s="1071" t="str"/>
      <x:c r="G114" s="1071" t="str">
        <x:v>RF65 POST-MVP · CONDICIONADO A APROBACIÓN. Preferencias/avisos: no reactivar mensajes de vehículos ELIMINADOS; licencias de conductor no quedan afectadas. Sin aprobación no aplicar filtros ni cambios de BD por RF65.</x:v>
      </x:c>
    </x:row>
    <x:row r="115" ht="40" customHeight="1">
      <x:c r="A115" s="1071" t="n">
        <x:v>111</x:v>
      </x:c>
      <x:c r="B115" s="1071" t="str">
        <x:v>RF050-EF1</x:v>
      </x:c>
      <x:c r="C115" s="1071" t="str">
        <x:v>H5</x:v>
      </x:c>
      <x:c r="D115" s="1071" t="str">
        <x:v>Compatibilidad prospectiva RF65, sin alterar las reglas congeladas de las tres integrantes</x:v>
      </x:c>
      <x:c r="E115" s="1071" t="str">
        <x:v>PENDIENTE APROBACIÓN RF65</x:v>
      </x:c>
      <x:c r="F115" s="1071" t="str"/>
      <x:c r="G115" s="1071" t="str">
        <x:v>RF65 POST-MVP · CONDICIONADO A APROBACIÓN. Inicio: solo vehículos propios ACTIVOS y VIGENTES; resumen alertas es lectura sin UPDATE de estados y el MVP sincroniza solo en RF23. Sin aprobación no aplicar filtros ni cambios de BD por RF65.</x:v>
      </x:c>
    </x:row>
    <x:row r="116" ht="40" customHeight="1">
      <x:c r="A116" s="1071" t="n">
        <x:v>112</x:v>
      </x:c>
      <x:c r="B116" s="1071" t="str">
        <x:v>RF054-EF1</x:v>
      </x:c>
      <x:c r="C116" s="1071" t="str">
        <x:v>H5</x:v>
      </x:c>
      <x:c r="D116" s="1071" t="str">
        <x:v>Compatibilidad prospectiva RF65, sin alterar las reglas congeladas de las tres integrantes</x:v>
      </x:c>
      <x:c r="E116" s="1071" t="str">
        <x:v>PENDIENTE APROBACIÓN RF65</x:v>
      </x:c>
      <x:c r="F116" s="1071" t="str"/>
      <x:c r="G116" s="1071" t="str">
        <x:v>RF65 POST-MVP · CONDICIONADO A APROBACIÓN. TIVE: preservar ficha 1:0..1 y FK idVehiculo; no operar TIVE de vehículo ELIMINADO. Sin aprobación no aplicar filtros ni cambios de BD por RF65.</x:v>
      </x:c>
    </x:row>
    <x:row r="117" ht="40" customHeight="1">
      <x:c r="A117" s="1071" t="n">
        <x:v>113</x:v>
      </x:c>
      <x:c r="B117" s="1071" t="str">
        <x:v>RF055-EF1</x:v>
      </x:c>
      <x:c r="C117" s="1071" t="str">
        <x:v>H5</x:v>
      </x:c>
      <x:c r="D117" s="1071" t="str">
        <x:v>Compatibilidad prospectiva RF65, sin alterar las reglas congeladas de las tres integrantes</x:v>
      </x:c>
      <x:c r="E117" s="1071" t="str">
        <x:v>PENDIENTE APROBACIÓN RF65</x:v>
      </x:c>
      <x:c r="F117" s="1071" t="str"/>
      <x:c r="G117" s="1071" t="str">
        <x:v>RF65 POST-MVP · CONDICIONADO A APROBACIÓN. TIVE: conservar evidencia vinculada al idVehiculo eliminado; excluir de selección y modificación ordinaria. Sin aprobación no aplicar filtros ni cambios de BD por RF65.</x:v>
      </x:c>
    </x:row>
    <x:row r="118" ht="40" customHeight="1">
      <x:c r="A118" s="1071" t="n">
        <x:v>114</x:v>
      </x:c>
      <x:c r="B118" s="1071" t="str">
        <x:v>RF056-EF1</x:v>
      </x:c>
      <x:c r="C118" s="1071" t="str">
        <x:v>H5</x:v>
      </x:c>
      <x:c r="D118" s="1071" t="str">
        <x:v>Compatibilidad prospectiva RF65, sin alterar las reglas congeladas de las tres integrantes</x:v>
      </x:c>
      <x:c r="E118" s="1071" t="str">
        <x:v>PENDIENTE APROBACIÓN RF65</x:v>
      </x:c>
      <x:c r="F118" s="1071" t="str"/>
      <x:c r="G118" s="1071" t="str">
        <x:v>RF65 POST-MVP · CONDICIONADO A APROBACIÓN. TIVE: no permitir nuevas actualizaciones o archivos de vehículo ELIMINADO; retención por aprobar. Sin aprobación no aplicar filtros ni cambios de BD por RF65.</x:v>
      </x:c>
    </x:row>
    <x:row r="119" ht="36" customHeight="1">
      <x:c r="A119" s="1071" t="n">
        <x:v>115</x:v>
      </x:c>
      <x:c r="B119" s="1071" t="str">
        <x:v>RF002-E1</x:v>
      </x:c>
      <x:c r="C119" s="1071" t="str">
        <x:v>C14</x:v>
      </x:c>
      <x:c r="D119" s="1071" t="str">
        <x:v>Restauración literal de objeto BCE de Elsa detectada en validación postexportación</x:v>
      </x:c>
      <x:c r="E119" s="1071" t="str">
        <x:v>ERROR DE EXPORTACIÓN CORREGIDO</x:v>
      </x:c>
      <x:c r="F119" s="1071" t="str">
        <x:v>copia mal serializada (=None)</x:v>
      </x:c>
      <x:c r="G119" s="1071" t="str">
        <x:v>C_InicioSesion</x:v>
      </x:c>
    </x:row>
    <x:row r="120" ht="36" customHeight="1">
      <x:c r="A120" s="1071" t="n">
        <x:v>116</x:v>
      </x:c>
      <x:c r="B120" s="1071" t="str">
        <x:v>RF002-E1</x:v>
      </x:c>
      <x:c r="C120" s="1071" t="str">
        <x:v>C15</x:v>
      </x:c>
      <x:c r="D120" s="1071" t="str">
        <x:v>Restauración literal de objeto BCE de Elsa detectada en validación postexportación</x:v>
      </x:c>
      <x:c r="E120" s="1071" t="str">
        <x:v>ERROR DE EXPORTACIÓN CORREGIDO</x:v>
      </x:c>
      <x:c r="F120" s="1071" t="str">
        <x:v>copia mal serializada (=None)</x:v>
      </x:c>
      <x:c r="G120" s="1071" t="str">
        <x:v>C_InicioSesion</x:v>
      </x:c>
    </x:row>
    <x:row r="121" ht="36" customHeight="1">
      <x:c r="A121" s="1071" t="n">
        <x:v>117</x:v>
      </x:c>
      <x:c r="B121" s="1071" t="str">
        <x:v>RF002-E1</x:v>
      </x:c>
      <x:c r="C121" s="1071" t="str">
        <x:v>C16</x:v>
      </x:c>
      <x:c r="D121" s="1071" t="str">
        <x:v>Restauración literal de objeto BCE de Elsa detectada en validación postexportación</x:v>
      </x:c>
      <x:c r="E121" s="1071" t="str">
        <x:v>ERROR DE EXPORTACIÓN CORREGIDO</x:v>
      </x:c>
      <x:c r="F121" s="1071" t="str">
        <x:v>copia mal serializada (=None)</x:v>
      </x:c>
      <x:c r="G121" s="1071" t="str">
        <x:v>I_InicioSesion</x:v>
      </x:c>
    </x:row>
    <x:row r="122" ht="36" customHeight="1">
      <x:c r="A122" s="1071" t="n">
        <x:v>118</x:v>
      </x:c>
      <x:c r="B122" s="1071" t="str">
        <x:v>RF002-E1</x:v>
      </x:c>
      <x:c r="C122" s="1071" t="str">
        <x:v>C17</x:v>
      </x:c>
      <x:c r="D122" s="1071" t="str">
        <x:v>Restauración literal de objeto BCE de Elsa detectada en validación postexportación</x:v>
      </x:c>
      <x:c r="E122" s="1071" t="str">
        <x:v>ERROR DE EXPORTACIÓN CORREGIDO</x:v>
      </x:c>
      <x:c r="F122" s="1071" t="str">
        <x:v>copia mal serializada (=None)</x:v>
      </x:c>
      <x:c r="G122" s="1071" t="str">
        <x:v>AS_Usuario</x:v>
      </x:c>
    </x:row>
    <x:row r="123" ht="36" customHeight="1">
      <x:c r="A123" s="1071" t="n">
        <x:v>119</x:v>
      </x:c>
      <x:c r="B123" s="1071" t="str">
        <x:v>RF002-E1</x:v>
      </x:c>
      <x:c r="C123" s="1071" t="str">
        <x:v>C18</x:v>
      </x:c>
      <x:c r="D123" s="1071" t="str">
        <x:v>Restauración literal de objeto BCE de Elsa detectada en validación postexportación</x:v>
      </x:c>
      <x:c r="E123" s="1071" t="str">
        <x:v>ERROR DE EXPORTACIÓN CORREGIDO</x:v>
      </x:c>
      <x:c r="F123" s="1071" t="str">
        <x:v>copia mal serializada (=None)</x:v>
      </x:c>
      <x:c r="G123" s="1071" t="str">
        <x:v>I_InicioSesion</x:v>
      </x:c>
    </x:row>
    <x:row r="124" ht="36" customHeight="1">
      <x:c r="A124" s="1071" t="n">
        <x:v>120</x:v>
      </x:c>
      <x:c r="B124" s="1071" t="str">
        <x:v>RF002-E1</x:v>
      </x:c>
      <x:c r="C124" s="1071" t="str">
        <x:v>C37</x:v>
      </x:c>
      <x:c r="D124" s="1071" t="str">
        <x:v>Restauración literal de objeto BCE de Elsa detectada en validación postexportación</x:v>
      </x:c>
      <x:c r="E124" s="1071" t="str">
        <x:v>ERROR DE EXPORTACIÓN CORREGIDO</x:v>
      </x:c>
      <x:c r="F124" s="1071" t="str">
        <x:v>copia mal serializada (=None)</x:v>
      </x:c>
      <x:c r="G124" s="1071" t="str">
        <x:v>C_InicioSesion</x:v>
      </x:c>
    </x:row>
    <x:row r="125" ht="36" customHeight="1">
      <x:c r="A125" s="1071" t="n">
        <x:v>121</x:v>
      </x:c>
      <x:c r="B125" s="1071" t="str">
        <x:v>RF002-E1</x:v>
      </x:c>
      <x:c r="C125" s="1071" t="str">
        <x:v>C39</x:v>
      </x:c>
      <x:c r="D125" s="1071" t="str">
        <x:v>Restauración literal de objeto BCE de Elsa detectada en validación postexportación</x:v>
      </x:c>
      <x:c r="E125" s="1071" t="str">
        <x:v>ERROR DE EXPORTACIÓN CORREGIDO</x:v>
      </x:c>
      <x:c r="F125" s="1071" t="str">
        <x:v>copia mal serializada (=None)</x:v>
      </x:c>
      <x:c r="G125" s="1071" t="str">
        <x:v>C_PerfilUsuario</x:v>
      </x:c>
    </x:row>
    <x:row r="126" ht="36" customHeight="1">
      <x:c r="A126" s="1071" t="n">
        <x:v>122</x:v>
      </x:c>
      <x:c r="B126" s="1071" t="str">
        <x:v>RF002-E1</x:v>
      </x:c>
      <x:c r="C126" s="1071" t="str">
        <x:v>C40</x:v>
      </x:c>
      <x:c r="D126" s="1071" t="str">
        <x:v>Restauración literal de objeto BCE de Elsa detectada en validación postexportación</x:v>
      </x:c>
      <x:c r="E126" s="1071" t="str">
        <x:v>ERROR DE EXPORTACIÓN CORREGIDO</x:v>
      </x:c>
      <x:c r="F126" s="1071" t="str">
        <x:v>copia mal serializada (=None)</x:v>
      </x:c>
      <x:c r="G126" s="1071" t="str">
        <x:v>E_Usuario</x:v>
      </x:c>
    </x:row>
    <x:row r="127" ht="36" customHeight="1">
      <x:c r="A127" s="1071" t="n">
        <x:v>123</x:v>
      </x:c>
      <x:c r="B127" s="1071" t="str">
        <x:v>RF002-E1</x:v>
      </x:c>
      <x:c r="C127" s="1071" t="str">
        <x:v>C41</x:v>
      </x:c>
      <x:c r="D127" s="1071" t="str">
        <x:v>Restauración literal de objeto BCE de Elsa detectada en validación postexportación</x:v>
      </x:c>
      <x:c r="E127" s="1071" t="str">
        <x:v>ERROR DE EXPORTACIÓN CORREGIDO</x:v>
      </x:c>
      <x:c r="F127" s="1071" t="str">
        <x:v>copia mal serializada (=None)</x:v>
      </x:c>
      <x:c r="G127" s="1071" t="str">
        <x:v>C_PerfilUsuario</x:v>
      </x:c>
    </x:row>
    <x:row r="128" ht="36" customHeight="1">
      <x:c r="A128" s="1071" t="n">
        <x:v>124</x:v>
      </x:c>
      <x:c r="B128" s="1071" t="str">
        <x:v>RF002-E1</x:v>
      </x:c>
      <x:c r="C128" s="1071" t="str">
        <x:v>C42</x:v>
      </x:c>
      <x:c r="D128" s="1071" t="str">
        <x:v>Restauración literal de objeto BCE de Elsa detectada en validación postexportación</x:v>
      </x:c>
      <x:c r="E128" s="1071" t="str">
        <x:v>ERROR DE EXPORTACIÓN CORREGIDO</x:v>
      </x:c>
      <x:c r="F128" s="1071" t="str">
        <x:v>copia mal serializada (=None)</x:v>
      </x:c>
      <x:c r="G128" s="1071" t="str">
        <x:v>C_PerfilUsuario</x:v>
      </x:c>
    </x:row>
    <x:row r="129" ht="36" customHeight="1">
      <x:c r="A129" s="1071" t="n">
        <x:v>125</x:v>
      </x:c>
      <x:c r="B129" s="1071" t="str">
        <x:v>RF002-E1</x:v>
      </x:c>
      <x:c r="C129" s="1071" t="str">
        <x:v>C43</x:v>
      </x:c>
      <x:c r="D129" s="1071" t="str">
        <x:v>Restauración literal de objeto BCE de Elsa detectada en validación postexportación</x:v>
      </x:c>
      <x:c r="E129" s="1071" t="str">
        <x:v>ERROR DE EXPORTACIÓN CORREGIDO</x:v>
      </x:c>
      <x:c r="F129" s="1071" t="str">
        <x:v>copia mal serializada (=None)</x:v>
      </x:c>
      <x:c r="G129" s="1071" t="str">
        <x:v>C_InicioSesion</x:v>
      </x:c>
    </x:row>
    <x:row r="130" ht="36" customHeight="1">
      <x:c r="A130" s="1071" t="n">
        <x:v>126</x:v>
      </x:c>
      <x:c r="B130" s="1071" t="str">
        <x:v>RF002-E1</x:v>
      </x:c>
      <x:c r="C130" s="1071" t="str">
        <x:v>C44</x:v>
      </x:c>
      <x:c r="D130" s="1071" t="str">
        <x:v>Restauración literal de objeto BCE de Elsa detectada en validación postexportación</x:v>
      </x:c>
      <x:c r="E130" s="1071" t="str">
        <x:v>ERROR DE EXPORTACIÓN CORREGIDO</x:v>
      </x:c>
      <x:c r="F130" s="1071" t="str">
        <x:v>copia mal serializada (=None)</x:v>
      </x:c>
      <x:c r="G130" s="1071" t="str">
        <x:v>C_ControlListadoVehiculos</x:v>
      </x:c>
    </x:row>
    <x:row r="131" ht="36" customHeight="1">
      <x:c r="A131" s="1071" t="n">
        <x:v>127</x:v>
      </x:c>
      <x:c r="B131" s="1071" t="str">
        <x:v>RF002-E1</x:v>
      </x:c>
      <x:c r="C131" s="1071" t="str">
        <x:v>C45</x:v>
      </x:c>
      <x:c r="D131" s="1071" t="str">
        <x:v>Restauración literal de objeto BCE de Elsa detectada en validación postexportación</x:v>
      </x:c>
      <x:c r="E131" s="1071" t="str">
        <x:v>ERROR DE EXPORTACIÓN CORREGIDO</x:v>
      </x:c>
      <x:c r="F131" s="1071" t="str">
        <x:v>copia mal serializada (=None)</x:v>
      </x:c>
      <x:c r="G131" s="1071" t="str">
        <x:v>E_Vehiculo</x:v>
      </x:c>
    </x:row>
    <x:row r="132" ht="36" customHeight="1">
      <x:c r="A132" s="1071" t="n">
        <x:v>128</x:v>
      </x:c>
      <x:c r="B132" s="1071" t="str">
        <x:v>RF006-E1</x:v>
      </x:c>
      <x:c r="C132" s="1071" t="str">
        <x:v>C7</x:v>
      </x:c>
      <x:c r="D132" s="1071" t="str">
        <x:v>Restauración literal de objeto BCE de Elsa detectada en validación postexportación</x:v>
      </x:c>
      <x:c r="E132" s="1071" t="str">
        <x:v>ERROR DE EXPORTACIÓN CORREGIDO</x:v>
      </x:c>
      <x:c r="F132" s="1071" t="str">
        <x:v>copia mal serializada (=None)</x:v>
      </x:c>
      <x:c r="G132" s="1071" t="str">
        <x:v>C_Navegacion</x:v>
      </x:c>
    </x:row>
    <x:row r="133" ht="36" customHeight="1">
      <x:c r="A133" s="1071" t="n">
        <x:v>129</x:v>
      </x:c>
      <x:c r="B133" s="1071" t="str">
        <x:v>RF006-E1</x:v>
      </x:c>
      <x:c r="C133" s="1071" t="str">
        <x:v>C8</x:v>
      </x:c>
      <x:c r="D133" s="1071" t="str">
        <x:v>Restauración literal de objeto BCE de Elsa detectada en validación postexportación</x:v>
      </x:c>
      <x:c r="E133" s="1071" t="str">
        <x:v>ERROR DE EXPORTACIÓN CORREGIDO</x:v>
      </x:c>
      <x:c r="F133" s="1071" t="str">
        <x:v>copia mal serializada (=None)</x:v>
      </x:c>
      <x:c r="G133" s="1071" t="str">
        <x:v>C_PerfilUsuario</x:v>
      </x:c>
    </x:row>
    <x:row r="134" ht="36" customHeight="1">
      <x:c r="A134" s="1071" t="n">
        <x:v>130</x:v>
      </x:c>
      <x:c r="B134" s="1071" t="str">
        <x:v>RF006-E1</x:v>
      </x:c>
      <x:c r="C134" s="1071" t="str">
        <x:v>C9</x:v>
      </x:c>
      <x:c r="D134" s="1071" t="str">
        <x:v>Restauración literal de objeto BCE de Elsa detectada en validación postexportación</x:v>
      </x:c>
      <x:c r="E134" s="1071" t="str">
        <x:v>ERROR DE EXPORTACIÓN CORREGIDO</x:v>
      </x:c>
      <x:c r="F134" s="1071" t="str">
        <x:v>copia mal serializada (=None)</x:v>
      </x:c>
      <x:c r="G134" s="1071" t="str">
        <x:v>E_Usuario</x:v>
      </x:c>
    </x:row>
    <x:row r="135" ht="36" customHeight="1">
      <x:c r="A135" s="1071" t="n">
        <x:v>131</x:v>
      </x:c>
      <x:c r="B135" s="1071" t="str">
        <x:v>RF006-E1</x:v>
      </x:c>
      <x:c r="C135" s="1071" t="str">
        <x:v>C10</x:v>
      </x:c>
      <x:c r="D135" s="1071" t="str">
        <x:v>Restauración literal de objeto BCE de Elsa detectada en validación postexportación</x:v>
      </x:c>
      <x:c r="E135" s="1071" t="str">
        <x:v>ERROR DE EXPORTACIÓN CORREGIDO</x:v>
      </x:c>
      <x:c r="F135" s="1071" t="str">
        <x:v>copia mal serializada (=None)</x:v>
      </x:c>
      <x:c r="G135" s="1071" t="str">
        <x:v>C_PerfilUsuario</x:v>
      </x:c>
    </x:row>
    <x:row r="136" ht="36" customHeight="1">
      <x:c r="A136" s="1071" t="n">
        <x:v>132</x:v>
      </x:c>
      <x:c r="B136" s="1071" t="str">
        <x:v>RF006-E1</x:v>
      </x:c>
      <x:c r="C136" s="1071" t="str">
        <x:v>C11</x:v>
      </x:c>
      <x:c r="D136" s="1071" t="str">
        <x:v>Restauración literal de objeto BCE de Elsa detectada en validación postexportación</x:v>
      </x:c>
      <x:c r="E136" s="1071" t="str">
        <x:v>ERROR DE EXPORTACIÓN CORREGIDO</x:v>
      </x:c>
      <x:c r="F136" s="1071" t="str">
        <x:v>copia mal serializada (=None)</x:v>
      </x:c>
      <x:c r="G136" s="1071" t="str">
        <x:v>C_PerfilUsuario</x:v>
      </x:c>
    </x:row>
    <x:row r="137" ht="36" customHeight="1">
      <x:c r="A137" s="1071" t="n">
        <x:v>133</x:v>
      </x:c>
      <x:c r="B137" s="1071" t="str">
        <x:v>RF006-E1</x:v>
      </x:c>
      <x:c r="C137" s="1071" t="str">
        <x:v>C12</x:v>
      </x:c>
      <x:c r="D137" s="1071" t="str">
        <x:v>Restauración literal de objeto BCE de Elsa detectada en validación postexportación</x:v>
      </x:c>
      <x:c r="E137" s="1071" t="str">
        <x:v>ERROR DE EXPORTACIÓN CORREGIDO</x:v>
      </x:c>
      <x:c r="F137" s="1071" t="str">
        <x:v>copia mal serializada (=None)</x:v>
      </x:c>
      <x:c r="G137" s="1071" t="str">
        <x:v>I_Perfil</x:v>
      </x:c>
    </x:row>
    <x:row r="138" ht="38" customHeight="1">
      <x:c r="A138" s="1071" t="n">
        <x:v>134</x:v>
      </x:c>
      <x:c r="B138" s="1071" t="str">
        <x:v>RF002-E1</x:v>
      </x:c>
      <x:c r="C138" s="1071" t="str">
        <x:v>C13</x:v>
      </x:c>
      <x:c r="D138" s="1071" t="str">
        <x:v>Fórmula de origen preservada mediante reconstrucción limpia del rango de Elsa, sin fórmulas compartidas corruptas.</x:v>
      </x:c>
      <x:c r="E138" s="1071" t="str">
        <x:v>EXPORTACIÓN RECONSTRUIDA</x:v>
      </x:c>
      <x:c r="F138" s="1071" t="str">
        <x:v>referencia auxiliar restaurada</x:v>
      </x:c>
      <x:c r="G138" s="1071" t="str">
        <x:f>E12</x:f>
        <x:v>CORREGIDO</x:v>
      </x:c>
    </x:row>
    <x:row r="139" ht="38" customHeight="1">
      <x:c r="A139" s="1071" t="n">
        <x:v>135</x:v>
      </x:c>
      <x:c r="B139" s="1071" t="str">
        <x:v>RF002-E1</x:v>
      </x:c>
      <x:c r="C139" s="1071" t="str">
        <x:v>C36</x:v>
      </x:c>
      <x:c r="D139" s="1071" t="str">
        <x:v>Fórmula de origen preservada mediante reconstrucción limpia del rango de Elsa, sin fórmulas compartidas corruptas.</x:v>
      </x:c>
      <x:c r="E139" s="1071" t="str">
        <x:v>EXPORTACIÓN RECONSTRUIDA</x:v>
      </x:c>
      <x:c r="F139" s="1071" t="str">
        <x:v>referencia auxiliar restaurada</x:v>
      </x:c>
      <x:c r="G139" s="1071" t="str">
        <x:f>E35</x:f>
        <x:v>CORREGIDO</x:v>
      </x:c>
    </x:row>
    <x:row r="140" ht="38" customHeight="1">
      <x:c r="A140" s="1071" t="n">
        <x:v>136</x:v>
      </x:c>
      <x:c r="B140" s="1071" t="str">
        <x:v>RF002-E1</x:v>
      </x:c>
      <x:c r="C140" s="1071" t="str">
        <x:v>C38</x:v>
      </x:c>
      <x:c r="D140" s="1071" t="str">
        <x:v>Fórmula de origen preservada mediante reconstrucción limpia del rango de Elsa, sin fórmulas compartidas corruptas.</x:v>
      </x:c>
      <x:c r="E140" s="1071" t="str">
        <x:v>EXPORTACIÓN RECONSTRUIDA</x:v>
      </x:c>
      <x:c r="F140" s="1071" t="str">
        <x:v>referencia auxiliar restaurada</x:v>
      </x:c>
      <x:c r="G140" s="1071" t="str">
        <x:f>E36</x:f>
        <x:v>CORREGIDO</x:v>
      </x:c>
    </x:row>
    <x:row r="141" ht="38" customHeight="1">
      <x:c r="A141" s="1071" t="n">
        <x:v>137</x:v>
      </x:c>
      <x:c r="B141" s="1071" t="str">
        <x:v>RF006-E1</x:v>
      </x:c>
      <x:c r="C141" s="1071" t="str">
        <x:v>C6</x:v>
      </x:c>
      <x:c r="D141" s="1071" t="str">
        <x:v>Fórmula de origen preservada mediante reconstrucción limpia del rango de Elsa, sin fórmulas compartidas corruptas.</x:v>
      </x:c>
      <x:c r="E141" s="1071" t="str">
        <x:v>EXPORTACIÓN RECONSTRUIDA</x:v>
      </x:c>
      <x:c r="F141" s="1071" t="str">
        <x:v>referencia auxiliar restaurada</x:v>
      </x:c>
      <x:c r="G141" s="1071" t="str">
        <x:f>E5</x:f>
        <x:v>CORREGIDO</x:v>
      </x:c>
    </x:row>
    <x:row r="142" ht="38" customHeight="1">
      <x:c r="A142" s="1071" t="n">
        <x:v>138</x:v>
      </x:c>
      <x:c r="B142" s="1071" t="str">
        <x:v>RF006-E1</x:v>
      </x:c>
      <x:c r="C142" s="1071" t="str">
        <x:v>C24</x:v>
      </x:c>
      <x:c r="D142" s="1071" t="str">
        <x:v>Fórmula de origen preservada mediante reconstrucción limpia del rango de Elsa, sin fórmulas compartidas corruptas.</x:v>
      </x:c>
      <x:c r="E142" s="1071" t="str">
        <x:v>EXPORTACIÓN RECONSTRUIDA</x:v>
      </x:c>
      <x:c r="F142" s="1071" t="str">
        <x:v>referencia auxiliar restaurada</x:v>
      </x:c>
      <x:c r="G142" s="1071" t="str">
        <x:f>E23</x:f>
        <x:v>CORREGIDO</x:v>
      </x:c>
    </x:row>
    <x:row r="143" ht="38" customHeight="1">
      <x:c r="A143" s="1071" t="n">
        <x:v>139</x:v>
      </x:c>
      <x:c r="B143" s="1071" t="str">
        <x:v>RF006-E1</x:v>
      </x:c>
      <x:c r="C143" s="1071" t="str">
        <x:v>C25</x:v>
      </x:c>
      <x:c r="D143" s="1071" t="str">
        <x:v>Fórmula de origen preservada mediante reconstrucción limpia del rango de Elsa, sin fórmulas compartidas corruptas.</x:v>
      </x:c>
      <x:c r="E143" s="1071" t="str">
        <x:v>EXPORTACIÓN RECONSTRUIDA</x:v>
      </x:c>
      <x:c r="F143" s="1071" t="str">
        <x:v>referencia auxiliar restaurada</x:v>
      </x:c>
      <x:c r="G143" s="1071" t="str">
        <x:f>E24</x:f>
        <x:v>CORREGIDO</x:v>
      </x:c>
    </x:row>
    <x:row r="144" ht="38" customHeight="1">
      <x:c r="A144" s="1071" t="n">
        <x:v>140</x:v>
      </x:c>
      <x:c r="B144" s="1071" t="str">
        <x:v>RF006-E1</x:v>
      </x:c>
      <x:c r="C144" s="1071" t="str">
        <x:v>C26</x:v>
      </x:c>
      <x:c r="D144" s="1071" t="str">
        <x:v>Fórmula de origen preservada mediante reconstrucción limpia del rango de Elsa, sin fórmulas compartidas corruptas.</x:v>
      </x:c>
      <x:c r="E144" s="1071" t="str">
        <x:v>EXPORTACIÓN RECONSTRUIDA</x:v>
      </x:c>
      <x:c r="F144" s="1071" t="str">
        <x:v>referencia auxiliar restaurada</x:v>
      </x:c>
      <x:c r="G144" s="1071" t="str">
        <x:f>E25</x:f>
        <x:v>CORREGIDO</x:v>
      </x:c>
    </x:row>
    <x:row r="145" ht="38" customHeight="1">
      <x:c r="A145" s="1071" t="n">
        <x:v>141</x:v>
      </x:c>
      <x:c r="B145" s="1071" t="str">
        <x:v>RF006-E1</x:v>
      </x:c>
      <x:c r="C145" s="1071" t="str">
        <x:v>C27</x:v>
      </x:c>
      <x:c r="D145" s="1071" t="str">
        <x:v>Fórmula de origen preservada mediante reconstrucción limpia del rango de Elsa, sin fórmulas compartidas corruptas.</x:v>
      </x:c>
      <x:c r="E145" s="1071" t="str">
        <x:v>EXPORTACIÓN RECONSTRUIDA</x:v>
      </x:c>
      <x:c r="F145" s="1071" t="str">
        <x:v>referencia auxiliar restaurada</x:v>
      </x:c>
      <x:c r="G145" s="1071" t="str">
        <x:f>E24</x:f>
        <x:v>CORREGIDO</x:v>
      </x:c>
    </x:row>
    <x:row r="146" ht="38" customHeight="1">
      <x:c r="A146" s="1071" t="n">
        <x:v>142</x:v>
      </x:c>
      <x:c r="B146" s="1071" t="str">
        <x:v>RF006-E1</x:v>
      </x:c>
      <x:c r="C146" s="1071" t="str">
        <x:v>C28</x:v>
      </x:c>
      <x:c r="D146" s="1071" t="str">
        <x:v>Fórmula de origen preservada mediante reconstrucción limpia del rango de Elsa, sin fórmulas compartidas corruptas.</x:v>
      </x:c>
      <x:c r="E146" s="1071" t="str">
        <x:v>EXPORTACIÓN RECONSTRUIDA</x:v>
      </x:c>
      <x:c r="F146" s="1071" t="str">
        <x:v>referencia auxiliar restaurada</x:v>
      </x:c>
      <x:c r="G146" s="1071" t="str">
        <x:f>E27</x:f>
        <x:v>CORREGIDO</x:v>
      </x:c>
    </x:row>
    <x:row r="147" ht="40" customHeight="1">
      <x:c r="A147" s="1071" t="n">
        <x:v>143</x:v>
      </x:c>
      <x:c r="B147" s="1071" t="str">
        <x:v>RF001-E1</x:v>
      </x:c>
      <x:c r="C147" s="1071" t="str">
        <x:v>C13</x:v>
      </x:c>
      <x:c r="D147" s="1071" t="str">
        <x:v>Normalización de objeto BCE visible al reconstruir hoja: conserva contenido y evita fórmula sin cuerpo al abrir Excel.</x:v>
      </x:c>
      <x:c r="E147" s="1071" t="str">
        <x:v>REPARACIÓN DE FÓRMULA FUENTE</x:v>
      </x:c>
      <x:c r="F147" s="1071" t="str">
        <x:v>celda fuente con fórmula compartida sin cuerpo (valor visible en caché)</x:v>
      </x:c>
      <x:c r="G147" s="1071" t="str">
        <x:v>C_RegistroUsuario</x:v>
      </x:c>
    </x:row>
    <x:row r="148" ht="40" customHeight="1">
      <x:c r="A148" s="1071" t="n">
        <x:v>144</x:v>
      </x:c>
      <x:c r="B148" s="1071" t="str">
        <x:v>RF001-E1</x:v>
      </x:c>
      <x:c r="C148" s="1071" t="str">
        <x:v>C14</x:v>
      </x:c>
      <x:c r="D148" s="1071" t="str">
        <x:v>Normalización de objeto BCE visible al reconstruir hoja: conserva contenido y evita fórmula sin cuerpo al abrir Excel.</x:v>
      </x:c>
      <x:c r="E148" s="1071" t="str">
        <x:v>REPARACIÓN DE FÓRMULA FUENTE</x:v>
      </x:c>
      <x:c r="F148" s="1071" t="str">
        <x:v>celda fuente con fórmula compartida sin cuerpo (valor visible en caché)</x:v>
      </x:c>
      <x:c r="G148" s="1071" t="str">
        <x:v>C_RegistroUsuario</x:v>
      </x:c>
    </x:row>
    <x:row r="149" ht="40" customHeight="1">
      <x:c r="A149" s="1071" t="n">
        <x:v>145</x:v>
      </x:c>
      <x:c r="B149" s="1071" t="str">
        <x:v>RF001-E1</x:v>
      </x:c>
      <x:c r="C149" s="1071" t="str">
        <x:v>C15</x:v>
      </x:c>
      <x:c r="D149" s="1071" t="str">
        <x:v>Normalización de objeto BCE visible al reconstruir hoja: conserva contenido y evita fórmula sin cuerpo al abrir Excel.</x:v>
      </x:c>
      <x:c r="E149" s="1071" t="str">
        <x:v>REPARACIÓN DE FÓRMULA FUENTE</x:v>
      </x:c>
      <x:c r="F149" s="1071" t="str">
        <x:v>celda fuente con fórmula compartida sin cuerpo (valor visible en caché)</x:v>
      </x:c>
      <x:c r="G149" s="1071" t="str">
        <x:v>I_RegistroUsuario</x:v>
      </x:c>
    </x:row>
    <x:row r="150" ht="40" customHeight="1">
      <x:c r="A150" s="1071" t="n">
        <x:v>146</x:v>
      </x:c>
      <x:c r="B150" s="1071" t="str">
        <x:v>RF001-E1</x:v>
      </x:c>
      <x:c r="C150" s="1071" t="str">
        <x:v>C16</x:v>
      </x:c>
      <x:c r="D150" s="1071" t="str">
        <x:v>Normalización de objeto BCE visible al reconstruir hoja: conserva contenido y evita fórmula sin cuerpo al abrir Excel.</x:v>
      </x:c>
      <x:c r="E150" s="1071" t="str">
        <x:v>REPARACIÓN DE FÓRMULA FUENTE</x:v>
      </x:c>
      <x:c r="F150" s="1071" t="str">
        <x:v>celda fuente con fórmula compartida sin cuerpo (valor visible en caché)</x:v>
      </x:c>
      <x:c r="G150" s="1071" t="str">
        <x:v>AS_Usuario</x:v>
      </x:c>
    </x:row>
    <x:row r="151" ht="40" customHeight="1">
      <x:c r="A151" s="1071" t="n">
        <x:v>147</x:v>
      </x:c>
      <x:c r="B151" s="1071" t="str">
        <x:v>RF001-E1</x:v>
      </x:c>
      <x:c r="C151" s="1071" t="str">
        <x:v>C17</x:v>
      </x:c>
      <x:c r="D151" s="1071" t="str">
        <x:v>Normalización de objeto BCE visible al reconstruir hoja: conserva contenido y evita fórmula sin cuerpo al abrir Excel.</x:v>
      </x:c>
      <x:c r="E151" s="1071" t="str">
        <x:v>REPARACIÓN DE FÓRMULA FUENTE</x:v>
      </x:c>
      <x:c r="F151" s="1071" t="str">
        <x:v>celda fuente con fórmula compartida sin cuerpo (valor visible en caché)</x:v>
      </x:c>
      <x:c r="G151" s="1071" t="str">
        <x:v>I_RegistroUsuario</x:v>
      </x:c>
    </x:row>
    <x:row r="152" ht="40" customHeight="1">
      <x:c r="A152" s="1071" t="n">
        <x:v>148</x:v>
      </x:c>
      <x:c r="B152" s="1071" t="str">
        <x:v>RF001-E1</x:v>
      </x:c>
      <x:c r="C152" s="1071" t="str">
        <x:v>C21</x:v>
      </x:c>
      <x:c r="D152" s="1071" t="str">
        <x:v>Normalización de objeto BCE visible al reconstruir hoja: conserva contenido y evita fórmula sin cuerpo al abrir Excel.</x:v>
      </x:c>
      <x:c r="E152" s="1071" t="str">
        <x:v>REPARACIÓN DE FÓRMULA FUENTE</x:v>
      </x:c>
      <x:c r="F152" s="1071" t="str">
        <x:v>celda fuente con fórmula compartida sin cuerpo (valor visible en caché)</x:v>
      </x:c>
      <x:c r="G152" s="1071" t="str">
        <x:v>C_ValidacionRegistroUsuarios</x:v>
      </x:c>
    </x:row>
    <x:row r="153" ht="40" customHeight="1">
      <x:c r="A153" s="1071" t="n">
        <x:v>149</x:v>
      </x:c>
      <x:c r="B153" s="1071" t="str">
        <x:v>RF001-E1</x:v>
      </x:c>
      <x:c r="C153" s="1071" t="str">
        <x:v>C22</x:v>
      </x:c>
      <x:c r="D153" s="1071" t="str">
        <x:v>Normalización de objeto BCE visible al reconstruir hoja: conserva contenido y evita fórmula sin cuerpo al abrir Excel.</x:v>
      </x:c>
      <x:c r="E153" s="1071" t="str">
        <x:v>REPARACIÓN DE FÓRMULA FUENTE</x:v>
      </x:c>
      <x:c r="F153" s="1071" t="str">
        <x:v>celda fuente con fórmula compartida sin cuerpo (valor visible en caché)</x:v>
      </x:c>
      <x:c r="G153" s="1071" t="str">
        <x:v>C_ValidacionRegistroUsuarios</x:v>
      </x:c>
    </x:row>
    <x:row r="154" ht="40" customHeight="1">
      <x:c r="A154" s="1071" t="n">
        <x:v>150</x:v>
      </x:c>
      <x:c r="B154" s="1071" t="str">
        <x:v>RF001-E1</x:v>
      </x:c>
      <x:c r="C154" s="1071" t="str">
        <x:v>C23</x:v>
      </x:c>
      <x:c r="D154" s="1071" t="str">
        <x:v>Normalización de objeto BCE visible al reconstruir hoja: conserva contenido y evita fórmula sin cuerpo al abrir Excel.</x:v>
      </x:c>
      <x:c r="E154" s="1071" t="str">
        <x:v>REPARACIÓN DE FÓRMULA FUENTE</x:v>
      </x:c>
      <x:c r="F154" s="1071" t="str">
        <x:v>celda fuente con fórmula compartida sin cuerpo (valor visible en caché)</x:v>
      </x:c>
      <x:c r="G154" s="1071" t="str">
        <x:v>C_ValidacionRegistroUsuarios</x:v>
      </x:c>
    </x:row>
    <x:row r="155" ht="40" customHeight="1">
      <x:c r="A155" s="1071" t="n">
        <x:v>151</x:v>
      </x:c>
      <x:c r="B155" s="1071" t="str">
        <x:v>RF001-E1</x:v>
      </x:c>
      <x:c r="C155" s="1071" t="str">
        <x:v>C24</x:v>
      </x:c>
      <x:c r="D155" s="1071" t="str">
        <x:v>Normalización de objeto BCE visible al reconstruir hoja: conserva contenido y evita fórmula sin cuerpo al abrir Excel.</x:v>
      </x:c>
      <x:c r="E155" s="1071" t="str">
        <x:v>REPARACIÓN DE FÓRMULA FUENTE</x:v>
      </x:c>
      <x:c r="F155" s="1071" t="str">
        <x:v>celda fuente con fórmula compartida sin cuerpo (valor visible en caché)</x:v>
      </x:c>
      <x:c r="G155" s="1071" t="str">
        <x:v>C_ValidacionRegistroUsuarios</x:v>
      </x:c>
    </x:row>
    <x:row r="156" ht="40" customHeight="1">
      <x:c r="A156" s="1071" t="n">
        <x:v>152</x:v>
      </x:c>
      <x:c r="B156" s="1071" t="str">
        <x:v>RF001-E1</x:v>
      </x:c>
      <x:c r="C156" s="1071" t="str">
        <x:v>C25</x:v>
      </x:c>
      <x:c r="D156" s="1071" t="str">
        <x:v>Normalización de objeto BCE visible al reconstruir hoja: conserva contenido y evita fórmula sin cuerpo al abrir Excel.</x:v>
      </x:c>
      <x:c r="E156" s="1071" t="str">
        <x:v>REPARACIÓN DE FÓRMULA FUENTE</x:v>
      </x:c>
      <x:c r="F156" s="1071" t="str">
        <x:v>celda fuente con fórmula compartida sin cuerpo (valor visible en caché)</x:v>
      </x:c>
      <x:c r="G156" s="1071" t="str">
        <x:v>C_ValidacionRegistroUsuarios</x:v>
      </x:c>
    </x:row>
    <x:row r="157" ht="40" customHeight="1">
      <x:c r="A157" s="1071" t="n">
        <x:v>153</x:v>
      </x:c>
      <x:c r="B157" s="1071" t="str">
        <x:v>RF001-E1</x:v>
      </x:c>
      <x:c r="C157" s="1071" t="str">
        <x:v>C26</x:v>
      </x:c>
      <x:c r="D157" s="1071" t="str">
        <x:v>Normalización de objeto BCE visible al reconstruir hoja: conserva contenido y evita fórmula sin cuerpo al abrir Excel.</x:v>
      </x:c>
      <x:c r="E157" s="1071" t="str">
        <x:v>REPARACIÓN DE FÓRMULA FUENTE</x:v>
      </x:c>
      <x:c r="F157" s="1071" t="str">
        <x:v>celda fuente con fórmula compartida sin cuerpo (valor visible en caché)</x:v>
      </x:c>
      <x:c r="G157" s="1071" t="str">
        <x:v>C_ValidacionRegistroUsuarios</x:v>
      </x:c>
    </x:row>
    <x:row r="158" ht="40" customHeight="1">
      <x:c r="A158" s="1071" t="n">
        <x:v>154</x:v>
      </x:c>
      <x:c r="B158" s="1071" t="str">
        <x:v>RF001-E1</x:v>
      </x:c>
      <x:c r="C158" s="1071" t="str">
        <x:v>C27</x:v>
      </x:c>
      <x:c r="D158" s="1071" t="str">
        <x:v>Normalización de objeto BCE visible al reconstruir hoja: conserva contenido y evita fórmula sin cuerpo al abrir Excel.</x:v>
      </x:c>
      <x:c r="E158" s="1071" t="str">
        <x:v>REPARACIÓN DE FÓRMULA FUENTE</x:v>
      </x:c>
      <x:c r="F158" s="1071" t="str">
        <x:v>celda fuente con fórmula compartida sin cuerpo (valor visible en caché)</x:v>
      </x:c>
      <x:c r="G158" s="1071" t="str">
        <x:v>C_ValidacionRegistroUsuarios</x:v>
      </x:c>
    </x:row>
    <x:row r="159" ht="40" customHeight="1">
      <x:c r="A159" s="1071" t="n">
        <x:v>155</x:v>
      </x:c>
      <x:c r="B159" s="1071" t="str">
        <x:v>RF001-E1</x:v>
      </x:c>
      <x:c r="C159" s="1071" t="str">
        <x:v>C28</x:v>
      </x:c>
      <x:c r="D159" s="1071" t="str">
        <x:v>Normalización de objeto BCE visible al reconstruir hoja: conserva contenido y evita fórmula sin cuerpo al abrir Excel.</x:v>
      </x:c>
      <x:c r="E159" s="1071" t="str">
        <x:v>REPARACIÓN DE FÓRMULA FUENTE</x:v>
      </x:c>
      <x:c r="F159" s="1071" t="str">
        <x:v>celda fuente con fórmula compartida sin cuerpo (valor visible en caché)</x:v>
      </x:c>
      <x:c r="G159" s="1071" t="str">
        <x:v>C_ValidacionRegistroUsuarios</x:v>
      </x:c>
    </x:row>
  </x:sheetData>
  <x:mergeCells>
    <x:mergeCell ref="A1:G1"/>
    <x:mergeCell ref="A2:G2"/>
  </x:mergeCells>
  <x:pageMargins left="0.7" right="0.7" top="0.75" bottom="0.75" header="0.3" footer="0.3"/>
</x:worksheet>
</file>

<file path=xl/worksheets/sheet15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1" hidden="0" customWidth="1"/>
    <x:col min="3" max="3" width="65" hidden="0" customWidth="1"/>
    <x:col min="4" max="4" width="37" hidden="0" customWidth="1"/>
    <x:col min="5" max="5" width="86" hidden="0" customWidth="1"/>
  </x:cols>
  <x:sheetData>
    <x:row r="1" ht="33" customHeight="1">
      <x:c r="A1" s="1535" t="str">
        <x:v>MYCAR · PUNTOS A APROBAR O PROBAR</x:v>
      </x:c>
      <x:c r="B1" s="1535"/>
      <x:c r="C1" s="1535"/>
      <x:c r="D1" s="1535"/>
      <x:c r="E1" s="1535"/>
    </x:row>
    <x:row r="2" ht="28" customHeight="1">
      <x:c r="A2" s="1538" t="str">
        <x:v>Una auditoría documental NO equivale a pruebas de integración, despliegue o aprobación de nuevas migraciones.</x:v>
      </x:c>
      <x:c r="B2" s="1538"/>
      <x:c r="C2" s="1538"/>
      <x:c r="D2" s="1538"/>
      <x:c r="E2" s="1538"/>
    </x:row>
    <x:row r="4" ht="30" customHeight="1">
      <x:c r="A4" s="1542" t="str">
        <x:v>ID</x:v>
      </x:c>
      <x:c r="B4" s="1542" t="str">
        <x:v>RF</x:v>
      </x:c>
      <x:c r="C4" s="1542" t="str">
        <x:v>Tema</x:v>
      </x:c>
      <x:c r="D4" s="1542" t="str">
        <x:v>Estado</x:v>
      </x:c>
      <x:c r="E4" s="1542" t="str">
        <x:v>Acción requerida</x:v>
      </x:c>
    </x:row>
    <x:row r="5" ht="44" customHeight="1">
      <x:c r="A5" s="1071" t="str">
        <x:v>P01</x:v>
      </x:c>
      <x:c r="B5" s="1071" t="str">
        <x:v>RF65</x:v>
      </x:c>
      <x:c r="C5" s="1071" t="str">
        <x:v>Borrado lógico con estado_registro=VIGENTE/ELIMINADO</x:v>
      </x:c>
      <x:c r="D5" s="1532" t="str">
        <x:v>APROBACIÓN DEL EQUIPO</x:v>
      </x:c>
      <x:c r="E5" s="1071" t="str">
        <x:v>No incorporar migración ni borrar históricos sin decisión.</x:v>
      </x:c>
    </x:row>
    <x:row r="6" ht="44" customHeight="1">
      <x:c r="A6" s="1071" t="str">
        <x:v>P02</x:v>
      </x:c>
      <x:c r="B6" s="1071" t="str">
        <x:v>RF65 / RF13</x:v>
      </x:c>
      <x:c r="C6" s="1071" t="str">
        <x:v>Promoción automática del principal al ACTIVO VIGENTE más antiguo</x:v>
      </x:c>
      <x:c r="D6" s="1532" t="str">
        <x:v>APROBACIÓN DEL EQUIPO</x:v>
      </x:c>
      <x:c r="E6" s="1071" t="str">
        <x:v>Es nueva mecánica; no activar INACTIVOS; revisar atomicidad.</x:v>
      </x:c>
    </x:row>
    <x:row r="7" ht="44" customHeight="1">
      <x:c r="A7" s="1071" t="str">
        <x:v>P03</x:v>
      </x:c>
      <x:c r="B7" s="1071" t="str">
        <x:v>RF08 / RF65</x:v>
      </x:c>
      <x:c r="C7" s="1071" t="str">
        <x:v>Cambiar UNIQUE placa global a índice parcial por registros vigentes</x:v>
      </x:c>
      <x:c r="D7" s="1532" t="str">
        <x:v>CAMBIO DE BD POR APROBAR</x:v>
      </x:c>
      <x:c r="E7" s="1071" t="str">
        <x:v>Hasta entonces el alta de placa histórica seguiría bloqueada.</x:v>
      </x:c>
    </x:row>
    <x:row r="8" ht="44" customHeight="1">
      <x:c r="A8" s="1071" t="str">
        <x:v>P04</x:v>
      </x:c>
      <x:c r="B8" s="1071" t="str">
        <x:v>RF08 / RF65</x:v>
      </x:c>
      <x:c r="C8" s="1071" t="str">
        <x:v>Liberación/índice parcial de VIN opcional</x:v>
      </x:c>
      <x:c r="D8" s="1532" t="str">
        <x:v>CAMBIO DE BD POR APROBAR</x:v>
      </x:c>
      <x:c r="E8" s="1071" t="str">
        <x:v>No convertir VIN en PK; validar TIVE y FKs.</x:v>
      </x:c>
    </x:row>
    <x:row r="9" ht="44" customHeight="1">
      <x:c r="A9" s="1071" t="str">
        <x:v>P05</x:v>
      </x:c>
      <x:c r="B9" s="1071" t="str">
        <x:v>RF65 / RF07</x:v>
      </x:c>
      <x:c r="C9" s="1071" t="str">
        <x:v>Retención, purga y acceso al historial de vehículo</x:v>
      </x:c>
      <x:c r="D9" s="1532" t="str">
        <x:v>POLÍTICA PENDIENTE</x:v>
      </x:c>
      <x:c r="E9" s="1071" t="str">
        <x:v>30 días solo corresponde a CUENTA RF07/RF53.</x:v>
      </x:c>
    </x:row>
    <x:row r="10" ht="44" customHeight="1">
      <x:c r="A10" s="1071" t="str">
        <x:v>P06</x:v>
      </x:c>
      <x:c r="B10" s="1071" t="str">
        <x:v>RF65 / API</x:v>
      </x:c>
      <x:c r="C10" s="1071" t="str">
        <x:v>Idempotencia y contratos REST / transacciones / versionado</x:v>
      </x:c>
      <x:c r="D10" s="1071" t="str">
        <x:v>VALIDAR CON BACKEND</x:v>
      </x:c>
      <x:c r="E10" s="1071" t="str">
        <x:v>La ruta sugerida y SQL del RF65 no son contratos de implementación.</x:v>
      </x:c>
    </x:row>
    <x:row r="11" ht="44" customHeight="1">
      <x:c r="A11" s="1071" t="str">
        <x:v>P07</x:v>
      </x:c>
      <x:c r="B11" s="1071" t="str">
        <x:v>RF01 / RF04</x:v>
      </x:c>
      <x:c r="C11" s="1071" t="str">
        <x:v>Validar nombres/apellidos separados y edad 18–85</x:v>
      </x:c>
      <x:c r="D11" s="1071" t="str">
        <x:v>PRUEBAS REQUERIDAS</x:v>
      </x:c>
      <x:c r="E11" s="1071" t="str">
        <x:v>RF04 ya tiene corrección documental; faltan casos EA, backend y UI.</x:v>
      </x:c>
    </x:row>
    <x:row r="12" ht="44" customHeight="1">
      <x:c r="A12" s="1071" t="str">
        <x:v>P08</x:v>
      </x:c>
      <x:c r="B12" s="1071" t="str">
        <x:v>RF12 / RF16 / RF23 / RF50</x:v>
      </x:c>
      <x:c r="C12" s="1071" t="str">
        <x:v>Ejecución única de reconciliación al abrir Mis alertas</x:v>
      </x:c>
      <x:c r="D12" s="1071" t="str">
        <x:v>MVP FUNCIONAL DOCUMENTADO / PRUEBAS</x:v>
      </x:c>
      <x:c r="E12" s="1071" t="str">
        <x:v>RF12 y RF16 tienen bloques futuros no ejecutables en MVP; RF50 solo lee.</x:v>
      </x:c>
    </x:row>
    <x:row r="13" ht="44" customHeight="1">
      <x:c r="A13" s="1071" t="str">
        <x:v>P09</x:v>
      </x:c>
      <x:c r="B13" s="1071" t="str">
        <x:v>RF23</x:v>
      </x:c>
      <x:c r="C13" s="1071" t="str">
        <x:v>Notificaciones y motor periódico autónomo</x:v>
      </x:c>
      <x:c r="D13" s="1071" t="str">
        <x:v>SOLO FUTURO</x:v>
      </x:c>
      <x:c r="E13" s="1071" t="str">
        <x:v>En el MVP: sin E_Notificacion ni envíos automáticos; el motor de lectura/sync está en RF23.</x:v>
      </x:c>
    </x:row>
    <x:row r="14" ht="44" customHeight="1">
      <x:c r="A14" s="1071" t="str">
        <x:v>P10</x:v>
      </x:c>
      <x:c r="B14" s="1071" t="str">
        <x:v>RF17 / RF18 / RF22 / RF23</x:v>
      </x:c>
      <x:c r="C14" s="1071" t="str">
        <x:v>Tablas, FKs y catálogo físico de tipos mantenimiento</x:v>
      </x:c>
      <x:c r="D14" s="1071" t="str">
        <x:v>VALIDAR BD MVP</x:v>
      </x:c>
      <x:c r="E14" s="1071" t="str">
        <x:v>No se han consultado migraciones reales ni código Java/Android.</x:v>
      </x:c>
    </x:row>
    <x:row r="15" ht="44" customHeight="1">
      <x:c r="A15" s="1071" t="str">
        <x:v>P11</x:v>
      </x:c>
      <x:c r="B15" s="1071" t="str">
        <x:v>RF65 / RF16</x:v>
      </x:c>
      <x:c r="C15" s="1071" t="str">
        <x:v>No existe Motivo obligatorio en corrección de kilometraje</x:v>
      </x:c>
      <x:c r="D15" s="1071" t="str">
        <x:v>ERROR DOCUMENTAL CORREGIDO</x:v>
      </x:c>
      <x:c r="E15" s="1071" t="str">
        <x:v>El anexo RF65 contenía referencia incorrecta y se corrigió.</x:v>
      </x:c>
    </x:row>
    <x:row r="16" ht="44" customHeight="1">
      <x:c r="A16" s="1071" t="str">
        <x:v>P12</x:v>
      </x:c>
      <x:c r="B16" s="1071" t="str">
        <x:v>EF / EA</x:v>
      </x:c>
      <x:c r="C16" s="1071" t="str">
        <x:v>Escenarios alternativos originales de Elsa, Fran y Nayu</x:v>
      </x:c>
      <x:c r="D16" s="1071" t="str">
        <x:v>FUERA DE ESTOS 4 ARCHIVOS</x:v>
      </x:c>
      <x:c r="E16" s="1071" t="str">
        <x:v>Se integraron sus EF y anexos entregados; no se certifican EA de otras entregas ausentes.</x:v>
      </x:c>
    </x:row>
    <x:row r="17" ht="44" customHeight="1">
      <x:c r="A17" s="1071" t="str">
        <x:v>P13</x:v>
      </x:c>
      <x:c r="B17" s="1071" t="str">
        <x:v>Auditorías históricas</x:v>
      </x:c>
      <x:c r="C17" s="1071" t="str">
        <x:v>Hojas antiguas del libro base con cierres previos</x:v>
      </x:c>
      <x:c r="D17" s="1071" t="str">
        <x:v>HISTÓRICO NO REVALIDADO</x:v>
      </x:c>
      <x:c r="E17" s="1071" t="str">
        <x:v>Control vigente de esta entrega es CONTROL_RF01_RF64 + AUDITORIA_CONSOLIDACION.</x:v>
      </x:c>
    </x:row>
    <x:row r="18" ht="44" customHeight="1">
      <x:c r="A18" s="1071" t="str">
        <x:v>P14</x:v>
      </x:c>
      <x:c r="B18" s="1071" t="str">
        <x:v>RF16</x:v>
      </x:c>
      <x:c r="C18" s="1071" t="str">
        <x:v>Transacción corrección: sin motivo visible, sin sincronizar alertas MVP</x:v>
      </x:c>
      <x:c r="D18" s="1071" t="str">
        <x:v>PRUEBAS REQUERIDAS</x:v>
      </x:c>
      <x:c r="E18" s="1071" t="str">
        <x:v>El bloque 32–37 se reserva a fase futura, manteniendo la secuencia original como referencia.</x:v>
      </x:c>
    </x:row>
  </x:sheetData>
  <x:mergeCells>
    <x:mergeCell ref="A1:E1"/>
    <x:mergeCell ref="A2:E2"/>
  </x:mergeCells>
  <x:pageMargins left="0.7" right="0.7" top="0.75" bottom="0.75" header="0.3" footer="0.3"/>
</x:worksheet>
</file>

<file path=xl/worksheets/sheet16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9" hidden="0" customWidth="1"/>
    <x:col min="2" max="2" width="30" hidden="0" customWidth="1"/>
    <x:col min="3" max="3" width="18" hidden="0" customWidth="1"/>
    <x:col min="4" max="4" width="100" hidden="0" customWidth="1"/>
    <x:col min="5" max="5" width="37" hidden="0" customWidth="1"/>
    <x:col min="6" max="6" width="77" hidden="0" customWidth="1"/>
  </x:cols>
  <x:sheetData>
    <x:row r="1" ht="33" customHeight="1">
      <x:c r="A1" s="1535" t="str">
        <x:v>MYCAR · IMPACTO RF65 POR REQUISITO</x:v>
      </x:c>
      <x:c r="B1" s="1535"/>
      <x:c r="C1" s="1535"/>
      <x:c r="D1" s="1535"/>
      <x:c r="E1" s="1535"/>
      <x:c r="F1" s="1535"/>
    </x:row>
    <x:row r="2" ht="28" customHeight="1">
      <x:c r="A2" s="1538" t="str">
        <x:v>Estas 34 anotaciones son una propuesta POST-MVP; los diagramas existentes siguen vigentes sin RF65 aprobado.</x:v>
      </x:c>
      <x:c r="B2" s="1538"/>
      <x:c r="C2" s="1538"/>
      <x:c r="D2" s="1538"/>
      <x:c r="E2" s="1538"/>
      <x:c r="F2" s="1538"/>
    </x:row>
    <x:row r="4" ht="30" customHeight="1">
      <x:c r="A4" s="1542" t="str">
        <x:v>RF</x:v>
      </x:c>
      <x:c r="B4" s="1542" t="str">
        <x:v>Hoja general</x:v>
      </x:c>
      <x:c r="C4" s="1542" t="str">
        <x:v>Celda con la nota</x:v>
      </x:c>
      <x:c r="D4" s="1542" t="str">
        <x:v>Condición incorporada al documento</x:v>
      </x:c>
      <x:c r="E4" s="1542" t="str">
        <x:v>Estado</x:v>
      </x:c>
      <x:c r="F4" s="1542" t="str">
        <x:v>Bloqueo</x:v>
      </x:c>
    </x:row>
    <x:row r="5" ht="52" customHeight="1">
      <x:c r="A5" s="1071" t="str">
        <x:v>RF08</x:v>
      </x:c>
      <x:c r="B5" s="1071" t="str">
        <x:v>RF008-EF1</x:v>
      </x:c>
      <x:c r="C5" s="1071" t="str">
        <x:v>I5</x:v>
      </x:c>
      <x:c r="D5" s="1071" t="str">
        <x:v>Registrar / cupo Free: si RF65 se aprueba, contar únicamente vehículos con estado_registro=VIGENTE, tanto ACTIVOS como INACTIVOS. Liberar placa/VIN exige migración de UNIQUE todavía NO aprobada.</x:v>
      </x:c>
      <x:c r="E5" s="1071" t="str">
        <x:v>POST-MVP / RF65 NO APROBADO</x:v>
      </x:c>
      <x:c r="F5" s="1071" t="str">
        <x:v>Requiere aprobación RN65-01/05/12/13 y validación de BD real</x:v>
      </x:c>
    </x:row>
    <x:row r="6" ht="52" customHeight="1">
      <x:c r="A6" s="1071" t="str">
        <x:v>RF09</x:v>
      </x:c>
      <x:c r="B6" s="1071" t="str">
        <x:v>RF009-EF1</x:v>
      </x:c>
      <x:c r="C6" s="1071" t="str">
        <x:v>I5</x:v>
      </x:c>
      <x:c r="D6" s="1071" t="str">
        <x:v>Listado Mis vehículos: excluir ELIMINADOS de tarjetas, filtros, contadores y principal; conservar históricos en BD según retención pendiente. GET continúa sin escrituras.</x:v>
      </x:c>
      <x:c r="E6" s="1071" t="str">
        <x:v>POST-MVP / RF65 NO APROBADO</x:v>
      </x:c>
      <x:c r="F6" s="1071" t="str">
        <x:v>Requiere aprobación RN65-01/05/12/13 y validación de BD real</x:v>
      </x:c>
    </x:row>
    <x:row r="7" ht="52" customHeight="1">
      <x:c r="A7" s="1071" t="str">
        <x:v>RF10</x:v>
      </x:c>
      <x:c r="B7" s="1071" t="str">
        <x:v>RF010-EF1</x:v>
      </x:c>
      <x:c r="C7" s="1071" t="str">
        <x:v>I5</x:v>
      </x:c>
      <x:c r="D7" s="1071" t="str">
        <x:v>Detalle: consultar solo vehículos propios VIGENTES, incluso por URL antigua. Acción Eliminar inicia RF65 solo cuando esté aprobado; no confundir con RF12.</x:v>
      </x:c>
      <x:c r="E7" s="1071" t="str">
        <x:v>POST-MVP / RF65 NO APROBADO</x:v>
      </x:c>
      <x:c r="F7" s="1071" t="str">
        <x:v>Requiere aprobación RN65-01/05/12/13 y validación de BD real</x:v>
      </x:c>
    </x:row>
    <x:row r="8" ht="52" customHeight="1">
      <x:c r="A8" s="1071" t="str">
        <x:v>RF11</x:v>
      </x:c>
      <x:c r="B8" s="1071" t="str">
        <x:v>RF011-EF1</x:v>
      </x:c>
      <x:c r="C8" s="1071" t="str">
        <x:v>H5</x:v>
      </x:c>
      <x:c r="D8" s="1071" t="str">
        <x:v>Edición de vehículo: validar estado_registro=VIGENTE en servidor antes de modificar; un ELIMINADO no es editable.</x:v>
      </x:c>
      <x:c r="E8" s="1071" t="str">
        <x:v>POST-MVP / RF65 NO APROBADO</x:v>
      </x:c>
      <x:c r="F8" s="1071" t="str">
        <x:v>Requiere aprobación RN65-01/05/12/13 y validación de BD real</x:v>
      </x:c>
    </x:row>
    <x:row r="9" ht="52" customHeight="1">
      <x:c r="A9" s="1071" t="str">
        <x:v>RF12</x:v>
      </x:c>
      <x:c r="B9" s="1071" t="str">
        <x:v>RF012-EF1</x:v>
      </x:c>
      <x:c r="C9" s="1071" t="str">
        <x:v>I5</x:v>
      </x:c>
      <x:c r="D9" s="1071" t="str">
        <x:v>Activación/desactivación: operar solo VIGENTES; RF65 no es una desactivación y puede dejar cero vehículos ACTIVOS (post-MVP). La sincronización RF23 ocurre solo al abrir Mis alertas en MVP.</x:v>
      </x:c>
      <x:c r="E9" s="1071" t="str">
        <x:v>POST-MVP / RF65 NO APROBADO</x:v>
      </x:c>
      <x:c r="F9" s="1071" t="str">
        <x:v>Requiere aprobación RN65-01/05/12/13 y validación de BD real</x:v>
      </x:c>
    </x:row>
    <x:row r="10" ht="52" customHeight="1">
      <x:c r="A10" s="1071" t="str">
        <x:v>RF13</x:v>
      </x:c>
      <x:c r="B10" s="1071" t="str">
        <x:v>RF013-EF1</x:v>
      </x:c>
      <x:c r="C10" s="1071" t="str">
        <x:v>H5</x:v>
      </x:c>
      <x:c r="D10" s="1071" t="str">
        <x:v>Principal manual: permitir selección solo entre vehículos ACTIVOS y VIGENTES; reelección automática al eliminar principal es regla de RF65 pendiente de aprobación.</x:v>
      </x:c>
      <x:c r="E10" s="1071" t="str">
        <x:v>POST-MVP / RF65 NO APROBADO</x:v>
      </x:c>
      <x:c r="F10" s="1071" t="str">
        <x:v>Requiere aprobación RN65-01/05/12/13 y validación de BD real</x:v>
      </x:c>
    </x:row>
    <x:row r="11" ht="52" customHeight="1">
      <x:c r="A11" s="1071" t="str">
        <x:v>RF14</x:v>
      </x:c>
      <x:c r="B11" s="1071" t="str">
        <x:v>RF014-EF1</x:v>
      </x:c>
      <x:c r="C11" s="1071" t="str">
        <x:v>I5</x:v>
      </x:c>
      <x:c r="D11" s="1071" t="str">
        <x:v>Lecturas nuevas: escribir solo sobre vehículo propio ACTIVO VIGENTE; vehículo ELIMINADO conserva lectura histórica pero no admite nuevos cambios. RF14 no cambia alertas en MVP.</x:v>
      </x:c>
      <x:c r="E11" s="1071" t="str">
        <x:v>POST-MVP / RF65 NO APROBADO</x:v>
      </x:c>
      <x:c r="F11" s="1071" t="str">
        <x:v>Requiere aprobación RN65-01/05/12/13 y validación de BD real</x:v>
      </x:c>
    </x:row>
    <x:row r="12" ht="52" customHeight="1">
      <x:c r="A12" s="1071" t="str">
        <x:v>RF15</x:v>
      </x:c>
      <x:c r="B12" s="1071" t="str">
        <x:v>RF015-EF1</x:v>
      </x:c>
      <x:c r="C12" s="1071" t="str">
        <x:v>H5</x:v>
      </x:c>
      <x:c r="D12" s="1071" t="str">
        <x:v>Historial KM: conservar y proteger lecturas vinculadas a vehículo eliminado; excluirlo del selector normal, sujeto a política de acceso a históricos por aprobar.</x:v>
      </x:c>
      <x:c r="E12" s="1071" t="str">
        <x:v>POST-MVP / RF65 NO APROBADO</x:v>
      </x:c>
      <x:c r="F12" s="1071" t="str">
        <x:v>Requiere aprobación RN65-01/05/12/13 y validación de BD real</x:v>
      </x:c>
    </x:row>
    <x:row r="13" ht="52" customHeight="1">
      <x:c r="A13" s="1071" t="str">
        <x:v>RF16</x:v>
      </x:c>
      <x:c r="B13" s="1071" t="str">
        <x:v>RF016-EF1</x:v>
      </x:c>
      <x:c r="C13" s="1071" t="str">
        <x:v>I5</x:v>
      </x:c>
      <x:c r="D13" s="1071" t="str">
        <x:v>Corrección KM: rechazar ELIMINADO en backend; conservar lectura técnica histórica. Sin Motivo visible. En MVP NO actualizar estados de alerta desde RF16.</x:v>
      </x:c>
      <x:c r="E13" s="1071" t="str">
        <x:v>POST-MVP / RF65 NO APROBADO</x:v>
      </x:c>
      <x:c r="F13" s="1071" t="str">
        <x:v>Requiere aprobación RN65-01/05/12/13 y validación de BD real</x:v>
      </x:c>
    </x:row>
    <x:row r="14" ht="52" customHeight="1">
      <x:c r="A14" s="1071" t="str">
        <x:v>RF17</x:v>
      </x:c>
      <x:c r="B14" s="1071" t="str">
        <x:v>RF17</x:v>
      </x:c>
      <x:c r="C14" s="1071" t="str">
        <x:v>M5</x:v>
      </x:c>
      <x:c r="D14" s="1071" t="str">
        <x:v>Mantenimiento: conservar kmServicio y registros históricos, pero impedir nueva alta en vehículo ELIMINADO; al ingresar RF65 no cambiar mantenimiento a ANULADO.</x:v>
      </x:c>
      <x:c r="E14" s="1071" t="str">
        <x:v>POST-MVP / RF65 NO APROBADO</x:v>
      </x:c>
      <x:c r="F14" s="1071" t="str">
        <x:v>Requiere aprobación RN65-01/05/12/13 y validación de BD real</x:v>
      </x:c>
    </x:row>
    <x:row r="15" ht="52" customHeight="1">
      <x:c r="A15" s="1071" t="str">
        <x:v>RF18</x:v>
      </x:c>
      <x:c r="B15" s="1071" t="str">
        <x:v>RF18</x:v>
      </x:c>
      <x:c r="C15" s="1071" t="str">
        <x:v>M5</x:v>
      </x:c>
      <x:c r="D15" s="1071" t="str">
        <x:v>Historial de mantenimiento: selector ordinario solo VIGENTES; registros de eliminado quedan conservados, acceso histórico excepcional sujeto a política futura.</x:v>
      </x:c>
      <x:c r="E15" s="1071" t="str">
        <x:v>POST-MVP / RF65 NO APROBADO</x:v>
      </x:c>
      <x:c r="F15" s="1071" t="str">
        <x:v>Requiere aprobación RN65-01/05/12/13 y validación de BD real</x:v>
      </x:c>
    </x:row>
    <x:row r="16" ht="52" customHeight="1">
      <x:c r="A16" s="1071" t="str">
        <x:v>RF19</x:v>
      </x:c>
      <x:c r="B16" s="1071" t="str">
        <x:v>RF19</x:v>
      </x:c>
      <x:c r="C16" s="1071" t="str">
        <x:v>H5</x:v>
      </x:c>
      <x:c r="D16" s="1071" t="str">
        <x:v>Detalle mantenimiento: no operar por selector normal si vehículo ELIMINADO; conservar datos del mantenimiento sin borrado en cascada.</x:v>
      </x:c>
      <x:c r="E16" s="1071" t="str">
        <x:v>POST-MVP / RF65 NO APROBADO</x:v>
      </x:c>
      <x:c r="F16" s="1071" t="str">
        <x:v>Requiere aprobación RN65-01/05/12/13 y validación de BD real</x:v>
      </x:c>
    </x:row>
    <x:row r="17" ht="52" customHeight="1">
      <x:c r="A17" s="1071" t="str">
        <x:v>RF20</x:v>
      </x:c>
      <x:c r="B17" s="1071" t="str">
        <x:v>RF20</x:v>
      </x:c>
      <x:c r="C17" s="1071" t="str">
        <x:v>H5</x:v>
      </x:c>
      <x:c r="D17" s="1071" t="str">
        <x:v>Modificar mantenimiento: impedir escrituras de servicios de vehículo ELIMINADO; conservar registros ya efectuados.</x:v>
      </x:c>
      <x:c r="E17" s="1071" t="str">
        <x:v>POST-MVP / RF65 NO APROBADO</x:v>
      </x:c>
      <x:c r="F17" s="1071" t="str">
        <x:v>Requiere aprobación RN65-01/05/12/13 y validación de BD real</x:v>
      </x:c>
    </x:row>
    <x:row r="18" ht="52" customHeight="1">
      <x:c r="A18" s="1071" t="str">
        <x:v>RF21</x:v>
      </x:c>
      <x:c r="B18" s="1071" t="str">
        <x:v>RF21</x:v>
      </x:c>
      <x:c r="C18" s="1071" t="str">
        <x:v>H5</x:v>
      </x:c>
      <x:c r="D18" s="1071" t="str">
        <x:v>Anulación mantenimiento: conservar trazabilidad; eliminación de vehículo no genera anulación ficticia de sus mantenimientos.</x:v>
      </x:c>
      <x:c r="E18" s="1071" t="str">
        <x:v>POST-MVP / RF65 NO APROBADO</x:v>
      </x:c>
      <x:c r="F18" s="1071" t="str">
        <x:v>Requiere aprobación RN65-01/05/12/13 y validación de BD real</x:v>
      </x:c>
    </x:row>
    <x:row r="19" ht="52" customHeight="1">
      <x:c r="A19" s="1071" t="str">
        <x:v>RF22</x:v>
      </x:c>
      <x:c r="B19" s="1071" t="str">
        <x:v>RF22</x:v>
      </x:c>
      <x:c r="C19" s="1071" t="str">
        <x:v>M5</x:v>
      </x:c>
      <x:c r="D19" s="1071" t="str">
        <x:v>Programación manual: permitir solo vehículo ACTIVO VIGENTE, validar en backend también frente a identificadores antiguos.</x:v>
      </x:c>
      <x:c r="E19" s="1071" t="str">
        <x:v>POST-MVP / RF65 NO APROBADO</x:v>
      </x:c>
      <x:c r="F19" s="1071" t="str">
        <x:v>Requiere aprobación RN65-01/05/12/13 y validación de BD real</x:v>
      </x:c>
    </x:row>
    <x:row r="20" ht="52" customHeight="1">
      <x:c r="A20" s="1071" t="str">
        <x:v>RF23</x:v>
      </x:c>
      <x:c r="B20" s="1071" t="str">
        <x:v>RF23</x:v>
      </x:c>
      <x:c r="C20" s="1071" t="str">
        <x:v>M5</x:v>
      </x:c>
      <x:c r="D20" s="1071" t="str">
        <x:v>Alertas: excluir vehículos ELIMINADOS de selector y reevaluación; preservar estados e historial. La eliminación no crea VENCIDA/ANULADA. LICENCIA sigue siendo personal, no depende de vehículo.</x:v>
      </x:c>
      <x:c r="E20" s="1071" t="str">
        <x:v>POST-MVP / RF65 NO APROBADO</x:v>
      </x:c>
      <x:c r="F20" s="1071" t="str">
        <x:v>Requiere aprobación RN65-01/05/12/13 y validación de BD real</x:v>
      </x:c>
    </x:row>
    <x:row r="21" ht="52" customHeight="1">
      <x:c r="A21" s="1071" t="str">
        <x:v>RF24</x:v>
      </x:c>
      <x:c r="B21" s="1071" t="str">
        <x:v>RF24</x:v>
      </x:c>
      <x:c r="C21" s="1071" t="str">
        <x:v>H5</x:v>
      </x:c>
      <x:c r="D21" s="1071" t="str">
        <x:v>Atención de alerta: no ejecutar para ELIMINADOS, ni marcar alertas realizadas por la eliminación de vehículo.</x:v>
      </x:c>
      <x:c r="E21" s="1071" t="str">
        <x:v>POST-MVP / RF65 NO APROBADO</x:v>
      </x:c>
      <x:c r="F21" s="1071" t="str">
        <x:v>Requiere aprobación RN65-01/05/12/13 y validación de BD real</x:v>
      </x:c>
    </x:row>
    <x:row r="22" ht="52" customHeight="1">
      <x:c r="A22" s="1071" t="str">
        <x:v>RF25</x:v>
      </x:c>
      <x:c r="B22" s="1071" t="str">
        <x:v>RF25</x:v>
      </x:c>
      <x:c r="C22" s="1071" t="str">
        <x:v>H5</x:v>
      </x:c>
      <x:c r="D22" s="1071" t="str">
        <x:v>Historial unificado: conservar datos referenciados, pero excluir vehículo ELIMINADO del selector normal; decidir acceso histórico excepcional.</x:v>
      </x:c>
      <x:c r="E22" s="1071" t="str">
        <x:v>POST-MVP / RF65 NO APROBADO</x:v>
      </x:c>
      <x:c r="F22" s="1071" t="str">
        <x:v>Requiere aprobación RN65-01/05/12/13 y validación de BD real</x:v>
      </x:c>
    </x:row>
    <x:row r="23" ht="52" customHeight="1">
      <x:c r="A23" s="1071" t="str">
        <x:v>RF26</x:v>
      </x:c>
      <x:c r="B23" s="1071" t="str">
        <x:v>RF26</x:v>
      </x:c>
      <x:c r="C23" s="1071" t="str">
        <x:v>H5</x:v>
      </x:c>
      <x:c r="D23" s="1071" t="str">
        <x:v>Filtros de historial: no reintroducir vehículos ELIMINADOS con filtros; aplicar política de retención y acceso histórico aprobada.</x:v>
      </x:c>
      <x:c r="E23" s="1071" t="str">
        <x:v>POST-MVP / RF65 NO APROBADO</x:v>
      </x:c>
      <x:c r="F23" s="1071" t="str">
        <x:v>Requiere aprobación RN65-01/05/12/13 y validación de BD real</x:v>
      </x:c>
    </x:row>
    <x:row r="24" ht="52" customHeight="1">
      <x:c r="A24" s="1071" t="str">
        <x:v>RF27</x:v>
      </x:c>
      <x:c r="B24" s="1071" t="str">
        <x:v>RF27</x:v>
      </x:c>
      <x:c r="C24" s="1071" t="str">
        <x:v>H5</x:v>
      </x:c>
      <x:c r="D24" s="1071" t="str">
        <x:v>Exportación histórica: no exponer por selector normal los datos de vehículo eliminado; acceso o recuperación extraordinaria depende de política explícita.</x:v>
      </x:c>
      <x:c r="E24" s="1071" t="str">
        <x:v>POST-MVP / RF65 NO APROBADO</x:v>
      </x:c>
      <x:c r="F24" s="1071" t="str">
        <x:v>Requiere aprobación RN65-01/05/12/13 y validación de BD real</x:v>
      </x:c>
    </x:row>
    <x:row r="25" ht="52" customHeight="1">
      <x:c r="A25" s="1071" t="str">
        <x:v>RF30</x:v>
      </x:c>
      <x:c r="B25" s="1071" t="str">
        <x:v>RF030-E1</x:v>
      </x:c>
      <x:c r="C25" s="1071" t="str">
        <x:v>H5</x:v>
      </x:c>
      <x:c r="D25" s="1071" t="str">
        <x:v>Conciliación de fin de Premium: solo vehículos VIGENTES; no reactivar ELIMINADOS ni reasignarlos como principal. Serializar con RF65 si se implementa.</x:v>
      </x:c>
      <x:c r="E25" s="1071" t="str">
        <x:v>POST-MVP / RF65 NO APROBADO</x:v>
      </x:c>
      <x:c r="F25" s="1071" t="str">
        <x:v>Requiere aprobación RN65-01/05/12/13 y validación de BD real</x:v>
      </x:c>
    </x:row>
    <x:row r="26" ht="52" customHeight="1">
      <x:c r="A26" s="1071" t="str">
        <x:v>RF31</x:v>
      </x:c>
      <x:c r="B26" s="1071" t="str">
        <x:v>RF031-EF1</x:v>
      </x:c>
      <x:c r="C26" s="1071" t="str">
        <x:v>H5</x:v>
      </x:c>
      <x:c r="D26" s="1071" t="str">
        <x:v>SOAT: conservar póliza y referencias de vehículo eliminado sin nuevos avisos ni operaciones normales.</x:v>
      </x:c>
      <x:c r="E26" s="1071" t="str">
        <x:v>POST-MVP / RF65 NO APROBADO</x:v>
      </x:c>
      <x:c r="F26" s="1071" t="str">
        <x:v>Requiere aprobación RN65-01/05/12/13 y validación de BD real</x:v>
      </x:c>
    </x:row>
    <x:row r="27" ht="52" customHeight="1">
      <x:c r="A27" s="1071" t="str">
        <x:v>RF32</x:v>
      </x:c>
      <x:c r="B27" s="1071" t="str">
        <x:v>RF032-EF1</x:v>
      </x:c>
      <x:c r="C27" s="1071" t="str">
        <x:v>H5</x:v>
      </x:c>
      <x:c r="D27" s="1071" t="str">
        <x:v>SOAT: impedir operación administrativa sobre ELIMINADOS; conservar registros históricos y FK de idVehiculo.</x:v>
      </x:c>
      <x:c r="E27" s="1071" t="str">
        <x:v>POST-MVP / RF65 NO APROBADO</x:v>
      </x:c>
      <x:c r="F27" s="1071" t="str">
        <x:v>Requiere aprobación RN65-01/05/12/13 y validación de BD real</x:v>
      </x:c>
    </x:row>
    <x:row r="28" ht="52" customHeight="1">
      <x:c r="A28" s="1071" t="str">
        <x:v>RF33</x:v>
      </x:c>
      <x:c r="B28" s="1071" t="str">
        <x:v>RF033-EF1</x:v>
      </x:c>
      <x:c r="C28" s="1071" t="str">
        <x:v>H5</x:v>
      </x:c>
      <x:c r="D28" s="1071" t="str">
        <x:v>SOAT: excluir ELIMINADOS de consultas/alertas normales; no borrar su historial por cascada.</x:v>
      </x:c>
      <x:c r="E28" s="1071" t="str">
        <x:v>POST-MVP / RF65 NO APROBADO</x:v>
      </x:c>
      <x:c r="F28" s="1071" t="str">
        <x:v>Requiere aprobación RN65-01/05/12/13 y validación de BD real</x:v>
      </x:c>
    </x:row>
    <x:row r="29" ht="52" customHeight="1">
      <x:c r="A29" s="1071" t="str">
        <x:v>RF44</x:v>
      </x:c>
      <x:c r="B29" s="1071" t="str">
        <x:v>RF044-EF1</x:v>
      </x:c>
      <x:c r="C29" s="1071" t="str">
        <x:v>H5</x:v>
      </x:c>
      <x:c r="D29" s="1071" t="str">
        <x:v>Recordatorios KM: antes de emitir filtrar estado_registro=VIGENTE y estado operativo ACTIVO; no enviar recordatorios de ELIMINADOS.</x:v>
      </x:c>
      <x:c r="E29" s="1071" t="str">
        <x:v>POST-MVP / RF65 NO APROBADO</x:v>
      </x:c>
      <x:c r="F29" s="1071" t="str">
        <x:v>Requiere aprobación RN65-01/05/12/13 y validación de BD real</x:v>
      </x:c>
    </x:row>
    <x:row r="30" ht="52" customHeight="1">
      <x:c r="A30" s="1071" t="str">
        <x:v>RF45</x:v>
      </x:c>
      <x:c r="B30" s="1071" t="str">
        <x:v>RF045-EF1</x:v>
      </x:c>
      <x:c r="C30" s="1071" t="str">
        <x:v>H5</x:v>
      </x:c>
      <x:c r="D30" s="1071" t="str">
        <x:v>Imagen vehículo: eliminar foto no es eliminar vehículo; impedir operaciones ordinarias sobre foto de vehículo ELIMINADO.</x:v>
      </x:c>
      <x:c r="E30" s="1071" t="str">
        <x:v>POST-MVP / RF65 NO APROBADO</x:v>
      </x:c>
      <x:c r="F30" s="1071" t="str">
        <x:v>Requiere aprobación RN65-01/05/12/13 y validación de BD real</x:v>
      </x:c>
    </x:row>
    <x:row r="31" ht="52" customHeight="1">
      <x:c r="A31" s="1071" t="str">
        <x:v>RF46</x:v>
      </x:c>
      <x:c r="B31" s="1071" t="str">
        <x:v>RF046-EF1</x:v>
      </x:c>
      <x:c r="C31" s="1071" t="str">
        <x:v>H5</x:v>
      </x:c>
      <x:c r="D31" s="1071" t="str">
        <x:v>Notificaciones: no emitir avisos de vehículos ELIMINADOS; separar licencias personales. En MVP no existe motor autónomo de RF23 ni E_Notificacion.</x:v>
      </x:c>
      <x:c r="E31" s="1071" t="str">
        <x:v>POST-MVP / RF65 NO APROBADO</x:v>
      </x:c>
      <x:c r="F31" s="1071" t="str">
        <x:v>Requiere aprobación RN65-01/05/12/13 y validación de BD real</x:v>
      </x:c>
    </x:row>
    <x:row r="32" ht="52" customHeight="1">
      <x:c r="A32" s="1071" t="str">
        <x:v>RF47</x:v>
      </x:c>
      <x:c r="B32" s="1071" t="str">
        <x:v>RF047-EF1</x:v>
      </x:c>
      <x:c r="C32" s="1071" t="str">
        <x:v>H5</x:v>
      </x:c>
      <x:c r="D32" s="1071" t="str">
        <x:v>Consulta/gestión notificaciones: excluir avisos operativos de ELIMINADOS; conservar trazabilidad histórica y licencias personales.</x:v>
      </x:c>
      <x:c r="E32" s="1071" t="str">
        <x:v>POST-MVP / RF65 NO APROBADO</x:v>
      </x:c>
      <x:c r="F32" s="1071" t="str">
        <x:v>Requiere aprobación RN65-01/05/12/13 y validación de BD real</x:v>
      </x:c>
    </x:row>
    <x:row r="33" ht="52" customHeight="1">
      <x:c r="A33" s="1071" t="str">
        <x:v>RF48</x:v>
      </x:c>
      <x:c r="B33" s="1071" t="str">
        <x:v>RF048-EF1</x:v>
      </x:c>
      <x:c r="C33" s="1071" t="str">
        <x:v>H5</x:v>
      </x:c>
      <x:c r="D33" s="1071" t="str">
        <x:v>Notificaciones: omitir eventos futuros para vehículo ELIMINADO, sin reescribir estados pasados.</x:v>
      </x:c>
      <x:c r="E33" s="1071" t="str">
        <x:v>POST-MVP / RF65 NO APROBADO</x:v>
      </x:c>
      <x:c r="F33" s="1071" t="str">
        <x:v>Requiere aprobación RN65-01/05/12/13 y validación de BD real</x:v>
      </x:c>
    </x:row>
    <x:row r="34" ht="52" customHeight="1">
      <x:c r="A34" s="1071" t="str">
        <x:v>RF49</x:v>
      </x:c>
      <x:c r="B34" s="1071" t="str">
        <x:v>RF049-EF1</x:v>
      </x:c>
      <x:c r="C34" s="1071" t="str">
        <x:v>H5</x:v>
      </x:c>
      <x:c r="D34" s="1071" t="str">
        <x:v>Preferencias/avisos: no reactivar mensajes de vehículos ELIMINADOS; licencias de conductor no quedan afectadas.</x:v>
      </x:c>
      <x:c r="E34" s="1071" t="str">
        <x:v>POST-MVP / RF65 NO APROBADO</x:v>
      </x:c>
      <x:c r="F34" s="1071" t="str">
        <x:v>Requiere aprobación RN65-01/05/12/13 y validación de BD real</x:v>
      </x:c>
    </x:row>
    <x:row r="35" ht="52" customHeight="1">
      <x:c r="A35" s="1071" t="str">
        <x:v>RF50</x:v>
      </x:c>
      <x:c r="B35" s="1071" t="str">
        <x:v>RF050-EF1</x:v>
      </x:c>
      <x:c r="C35" s="1071" t="str">
        <x:v>H5</x:v>
      </x:c>
      <x:c r="D35" s="1071" t="str">
        <x:v>Inicio: solo vehículos propios ACTIVOS y VIGENTES; resumen alertas es lectura sin UPDATE de estados y el MVP sincroniza solo en RF23.</x:v>
      </x:c>
      <x:c r="E35" s="1071" t="str">
        <x:v>POST-MVP / RF65 NO APROBADO</x:v>
      </x:c>
      <x:c r="F35" s="1071" t="str">
        <x:v>Requiere aprobación RN65-01/05/12/13 y validación de BD real</x:v>
      </x:c>
    </x:row>
    <x:row r="36" ht="52" customHeight="1">
      <x:c r="A36" s="1071" t="str">
        <x:v>RF54</x:v>
      </x:c>
      <x:c r="B36" s="1071" t="str">
        <x:v>RF054-EF1</x:v>
      </x:c>
      <x:c r="C36" s="1071" t="str">
        <x:v>H5</x:v>
      </x:c>
      <x:c r="D36" s="1071" t="str">
        <x:v>TIVE: preservar ficha 1:0..1 y FK idVehiculo; no operar TIVE de vehículo ELIMINADO.</x:v>
      </x:c>
      <x:c r="E36" s="1071" t="str">
        <x:v>POST-MVP / RF65 NO APROBADO</x:v>
      </x:c>
      <x:c r="F36" s="1071" t="str">
        <x:v>Requiere aprobación RN65-01/05/12/13 y validación de BD real</x:v>
      </x:c>
    </x:row>
    <x:row r="37" ht="52" customHeight="1">
      <x:c r="A37" s="1071" t="str">
        <x:v>RF55</x:v>
      </x:c>
      <x:c r="B37" s="1071" t="str">
        <x:v>RF055-EF1</x:v>
      </x:c>
      <x:c r="C37" s="1071" t="str">
        <x:v>H5</x:v>
      </x:c>
      <x:c r="D37" s="1071" t="str">
        <x:v>TIVE: conservar evidencia vinculada al idVehiculo eliminado; excluir de selección y modificación ordinaria.</x:v>
      </x:c>
      <x:c r="E37" s="1071" t="str">
        <x:v>POST-MVP / RF65 NO APROBADO</x:v>
      </x:c>
      <x:c r="F37" s="1071" t="str">
        <x:v>Requiere aprobación RN65-01/05/12/13 y validación de BD real</x:v>
      </x:c>
    </x:row>
    <x:row r="38" ht="52" customHeight="1">
      <x:c r="A38" s="1071" t="str">
        <x:v>RF56</x:v>
      </x:c>
      <x:c r="B38" s="1071" t="str">
        <x:v>RF056-EF1</x:v>
      </x:c>
      <x:c r="C38" s="1071" t="str">
        <x:v>H5</x:v>
      </x:c>
      <x:c r="D38" s="1071" t="str">
        <x:v>TIVE: no permitir nuevas actualizaciones o archivos de vehículo ELIMINADO; retención por aprobar.</x:v>
      </x:c>
      <x:c r="E38" s="1071" t="str">
        <x:v>POST-MVP / RF65 NO APROBADO</x:v>
      </x:c>
      <x:c r="F38" s="1071" t="str">
        <x:v>Requiere aprobación RN65-01/05/12/13 y validación de BD real</x:v>
      </x:c>
    </x:row>
  </x:sheetData>
  <x:mergeCells>
    <x:mergeCell ref="A1:F1"/>
    <x:mergeCell ref="A2:F2"/>
  </x:mergeCells>
  <x:pageMargins left="0.7" right="0.7" top="0.75" bottom="0.75" header="0.3" footer="0.3"/>
</x:worksheet>
</file>

<file path=xl/worksheets/sheet16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3" hidden="0" customWidth="1"/>
    <x:col min="2" max="2" width="34" hidden="0" customWidth="1"/>
    <x:col min="3" max="3" width="110" hidden="0" customWidth="1"/>
  </x:cols>
  <x:sheetData>
    <x:row r="1" ht="33" customHeight="1">
      <x:c r="A1" s="1535" t="str">
        <x:v>MYCAR · CONSOLIDACIÓN DOCUMENTAL AUDITADA</x:v>
      </x:c>
      <x:c r="B1" s="1535"/>
      <x:c r="C1" s="1535"/>
    </x:row>
    <x:row r="2" ht="28" customHeight="1">
      <x:c r="A2" s="1538" t="str">
        <x:v>Fecha: 28/10/2026 · Excel general RF01–RF64 actualizado + RF65 propuesto. La auditoría de esta entrega es documental, no funcional de código.</x:v>
      </x:c>
      <x:c r="B2" s="1538"/>
      <x:c r="C2" s="1538"/>
    </x:row>
    <x:row r="4" ht="30" customHeight="1">
      <x:c r="A4" s="1542" t="str">
        <x:v>Control</x:v>
      </x:c>
      <x:c r="B4" s="1542" t="str">
        <x:v>Resultado</x:v>
      </x:c>
      <x:c r="C4" s="1542" t="str">
        <x:v>Alcance / advertencia</x:v>
      </x:c>
    </x:row>
    <x:row r="5" ht="39" customHeight="1">
      <x:c r="A5" s="1071" t="str">
        <x:v>Integración de fuentes</x:v>
      </x:c>
      <x:c r="B5" s="1071" t="str">
        <x:v>4 Excel de origen</x:v>
      </x:c>
      <x:c r="C5" s="1071" t="str">
        <x:v>Elsa, Francesca, Nayu y RF65.</x:v>
      </x:c>
    </x:row>
    <x:row r="6" ht="39" customHeight="1">
      <x:c r="A6" s="1071" t="str">
        <x:v>Requisitos exitosos reemplazados</x:v>
      </x:c>
      <x:c r="B6" s="1071" t="str">
        <x:v>11 EF</x:v>
      </x:c>
      <x:c r="C6" s="1071" t="str">
        <x:v>RF01, RF02, RF06, RF08, RF09, RF10, RF14, RF17, RF18, RF22, RF23.</x:v>
      </x:c>
    </x:row>
    <x:row r="7" ht="39" customHeight="1">
      <x:c r="A7" s="1071" t="str">
        <x:v>Hojas adicionales de las fuentes</x:v>
      </x:c>
      <x:c r="B7" s="1071" t="str">
        <x:v>37</x:v>
      </x:c>
      <x:c r="C7" s="1071" t="str">
        <x:v>14 anexos de las integrantes y 23 hojas RF65 (incluidas EA01–EA13).</x:v>
      </x:c>
    </x:row>
    <x:row r="8" ht="39" customHeight="1">
      <x:c r="A8" s="1071" t="str">
        <x:v>RF65</x:v>
      </x:c>
      <x:c r="B8" s="1071" t="str">
        <x:v>PROPUESTA POST-MVP</x:v>
      </x:c>
      <x:c r="C8" s="1071" t="str">
        <x:v>Incluido completo, sin declarar aprobados sus cambios de base de datos.</x:v>
      </x:c>
    </x:row>
    <x:row r="9" ht="39" customHeight="1">
      <x:c r="A9" s="1071" t="str">
        <x:v>Corrección confirmada</x:v>
      </x:c>
      <x:c r="B9" s="1071" t="str">
        <x:v>RF04</x:v>
      </x:c>
      <x:c r="C9" s="1071" t="str">
        <x:v>Nombre y apellido separados; edad 18–85 como RF01.</x:v>
      </x:c>
    </x:row>
    <x:row r="10" ht="39" customHeight="1">
      <x:c r="A10" s="1071" t="str">
        <x:v>Separación MVP/futuro</x:v>
      </x:c>
      <x:c r="B10" s="1071" t="str">
        <x:v>RF12 y RF16</x:v>
      </x:c>
      <x:c r="C10" s="1071" t="str">
        <x:v>Los bloques de evaluación/notificación se conservan documentados como POST-MVP y NO ejecutables en MVP.</x:v>
      </x:c>
    </x:row>
    <x:row r="11" ht="39" customHeight="1">
      <x:c r="A11" s="1071" t="str">
        <x:v>Corrección de lectura</x:v>
      </x:c>
      <x:c r="B11" s="1071" t="str">
        <x:v>RF50</x:v>
      </x:c>
      <x:c r="C11" s="1071" t="str">
        <x:v>Consulta solamente estados persistidos; no ejecuta motor, UPDATE de alertas ni inserta notificaciones.</x:v>
      </x:c>
    </x:row>
    <x:row r="12" ht="39" customHeight="1">
      <x:c r="A12" s="1071" t="str">
        <x:v>Corrección de trazabilidad</x:v>
      </x:c>
      <x:c r="B12" s="1071" t="str">
        <x:v>RF65 anexo</x:v>
      </x:c>
      <x:c r="C12" s="1071" t="str">
        <x:v>Índice con 20 reglas; RF16 no exige Motivo al usuario.</x:v>
      </x:c>
    </x:row>
    <x:row r="13" ht="39" customHeight="1">
      <x:c r="A13" s="1071" t="str">
        <x:v>Compatibilidad RF65</x:v>
      </x:c>
      <x:c r="B13" s="1071" t="str">
        <x:v>34 RF anotados</x:v>
      </x:c>
      <x:c r="C13" s="1071" t="str">
        <x:v>Condiciones visibles en diagramas originales y matriz, estrictamente pendientes de aprobación.</x:v>
      </x:c>
    </x:row>
    <x:row r="14" ht="39" customHeight="1">
      <x:c r="A14" s="1071" t="str">
        <x:v>Auditoría documental</x:v>
      </x:c>
      <x:c r="B14" s="1071" t="str">
        <x:v>Bitácora por celda</x:v>
      </x:c>
      <x:c r="C14" s="1071" t="str">
        <x:v>Cambios detallados y preservación de pestañas en MAPA_FUENTES_2810.</x:v>
      </x:c>
    </x:row>
    <x:row r="15" ht="39" customHeight="1">
      <x:c r="A15" s="1071" t="str">
        <x:v>Sin validación técnica</x:v>
      </x:c>
      <x:c r="B15" s="1071" t="str">
        <x:v>Backend / PostgreSQL / Android</x:v>
      </x:c>
      <x:c r="C15" s="1071" t="str">
        <x:v>No se ejecutaron migraciones, API, UI, pruebas de integración ni  EA externos de otras entregas.</x:v>
      </x:c>
    </x:row>
    <x:row r="16" ht="39" customHeight="1">
      <x:c r="A16" s="1071" t="str">
        <x:v>Auditorías base</x:v>
      </x:c>
      <x:c r="B16" s="1071" t="str">
        <x:v>CONSERVADAS COMO HISTÓRICO</x:v>
      </x:c>
      <x:c r="C16" s="1071" t="str">
        <x:v>Hojas de auditoría del archivo base reflejan cierres previos, no una certificación de RF65 o de esta consolidación.</x:v>
      </x:c>
    </x:row>
  </x:sheetData>
  <x:mergeCells>
    <x:mergeCell ref="A1:C1"/>
    <x:mergeCell ref="A2:C2"/>
  </x:mergeCells>
  <x:pageMargins left="0.7" right="0.7" top="0.75" bottom="0.75" header="0.3" footer="0.3"/>
</x:worksheet>
</file>

<file path=xl/worksheets/sheet16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53" hidden="0" customWidth="1"/>
    <x:col min="2" max="2" width="17" hidden="0" customWidth="1"/>
    <x:col min="3" max="3" width="87" hidden="0" customWidth="1"/>
  </x:cols>
  <x:sheetData>
    <x:row r="1" ht="33" customHeight="1">
      <x:c r="A1" s="1535" t="str">
        <x:v>MYCAR · COMPROBACIONES DOCUMENTALES</x:v>
      </x:c>
      <x:c r="B1" s="1535"/>
      <x:c r="C1" s="1535"/>
    </x:row>
    <x:row r="2" ht="28" customHeight="1">
      <x:c r="A2" s="1538" t="str">
        <x:v>Comparaciones de los 11 rangos EF respecto de sus archivos fuente y verificaciones de coherencia. No son pruebas de backend/SQL.</x:v>
      </x:c>
      <x:c r="B2" s="1538"/>
      <x:c r="C2" s="1538"/>
    </x:row>
    <x:row r="4" ht="30" customHeight="1">
      <x:c r="A4" s="1542" t="str">
        <x:v>Comprobación</x:v>
      </x:c>
      <x:c r="B4" s="1542" t="str">
        <x:v>Resultado</x:v>
      </x:c>
      <x:c r="C4" s="1542" t="str">
        <x:v>Referencia</x:v>
      </x:c>
    </x:row>
    <x:row r="5" ht="29" customHeight="1">
      <x:c r="A5" s="1071" t="str">
        <x:v>EF RF001-E1 / valores</x:v>
      </x:c>
      <x:c r="B5" s="1543" t="str">
        <x:v>OK</x:v>
      </x:c>
      <x:c r="C5" s="1071" t="str">
        <x:v>55 filas, 7 columnas</x:v>
      </x:c>
    </x:row>
    <x:row r="6" ht="29" customHeight="1">
      <x:c r="A6" s="1071" t="str">
        <x:v>EF RF002-E1 / valores</x:v>
      </x:c>
      <x:c r="B6" s="1543" t="str">
        <x:v>OK</x:v>
      </x:c>
      <x:c r="C6" s="1071" t="str">
        <x:v>48 filas, 7 columnas</x:v>
      </x:c>
    </x:row>
    <x:row r="7" ht="29" customHeight="1">
      <x:c r="A7" s="1071" t="str">
        <x:v>EF RF006-E1 / valores</x:v>
      </x:c>
      <x:c r="B7" s="1543" t="str">
        <x:v>OK</x:v>
      </x:c>
      <x:c r="C7" s="1071" t="str">
        <x:v>28 filas, 7 columnas</x:v>
      </x:c>
    </x:row>
    <x:row r="8" ht="29" customHeight="1">
      <x:c r="A8" s="1071" t="str">
        <x:v>EF RF008-EF1 / valores</x:v>
      </x:c>
      <x:c r="B8" s="1543" t="str">
        <x:v>OK</x:v>
      </x:c>
      <x:c r="C8" s="1071" t="str">
        <x:v>67 filas, 8 columnas</x:v>
      </x:c>
    </x:row>
    <x:row r="9" ht="29" customHeight="1">
      <x:c r="A9" s="1071" t="str">
        <x:v>EF RF009-EF1 / valores</x:v>
      </x:c>
      <x:c r="B9" s="1543" t="str">
        <x:v>OK</x:v>
      </x:c>
      <x:c r="C9" s="1071" t="str">
        <x:v>56 filas, 8 columnas</x:v>
      </x:c>
    </x:row>
    <x:row r="10" ht="29" customHeight="1">
      <x:c r="A10" s="1071" t="str">
        <x:v>EF RF010-EF1 / valores</x:v>
      </x:c>
      <x:c r="B10" s="1543" t="str">
        <x:v>OK</x:v>
      </x:c>
      <x:c r="C10" s="1071" t="str">
        <x:v>33 filas, 8 columnas</x:v>
      </x:c>
    </x:row>
    <x:row r="11" ht="29" customHeight="1">
      <x:c r="A11" s="1071" t="str">
        <x:v>EF RF014-EF1 / valores</x:v>
      </x:c>
      <x:c r="B11" s="1543" t="str">
        <x:v>OK</x:v>
      </x:c>
      <x:c r="C11" s="1071" t="str">
        <x:v>63 filas, 8 columnas</x:v>
      </x:c>
    </x:row>
    <x:row r="12" ht="29" customHeight="1">
      <x:c r="A12" s="1071" t="str">
        <x:v>EF RF17 / valores</x:v>
      </x:c>
      <x:c r="B12" s="1543" t="str">
        <x:v>OK</x:v>
      </x:c>
      <x:c r="C12" s="1071" t="str">
        <x:v>89 filas, 12 columnas</x:v>
      </x:c>
    </x:row>
    <x:row r="13" ht="29" customHeight="1">
      <x:c r="A13" s="1071" t="str">
        <x:v>EF RF18 / valores</x:v>
      </x:c>
      <x:c r="B13" s="1543" t="str">
        <x:v>OK</x:v>
      </x:c>
      <x:c r="C13" s="1071" t="str">
        <x:v>50 filas, 12 columnas</x:v>
      </x:c>
    </x:row>
    <x:row r="14" ht="29" customHeight="1">
      <x:c r="A14" s="1071" t="str">
        <x:v>EF RF22 / valores</x:v>
      </x:c>
      <x:c r="B14" s="1543" t="str">
        <x:v>OK</x:v>
      </x:c>
      <x:c r="C14" s="1071" t="str">
        <x:v>113 filas, 12 columnas</x:v>
      </x:c>
    </x:row>
    <x:row r="15" ht="29" customHeight="1">
      <x:c r="A15" s="1071" t="str">
        <x:v>EF RF23 / valores</x:v>
      </x:c>
      <x:c r="B15" s="1543" t="str">
        <x:v>OK</x:v>
      </x:c>
      <x:c r="C15" s="1071" t="str">
        <x:v>103 filas, 12 columnas</x:v>
      </x:c>
    </x:row>
    <x:row r="16" ht="29" customHeight="1">
      <x:c r="A16" s="1071" t="str">
        <x:v>RF04 edad 18-85</x:v>
      </x:c>
      <x:c r="B16" s="1543" t="str">
        <x:v>OK</x:v>
      </x:c>
      <x:c r="C16" s="1071" t="str">
        <x:v>F34</x:v>
      </x:c>
    </x:row>
    <x:row r="17" ht="29" customHeight="1">
      <x:c r="A17" s="1071" t="str">
        <x:v>RF04 apellido</x:v>
      </x:c>
      <x:c r="B17" s="1543" t="str">
        <x:v>OK</x:v>
      </x:c>
      <x:c r="C17" s="1071" t="str">
        <x:v>F31</x:v>
      </x:c>
    </x:row>
    <x:row r="18" ht="29" customHeight="1">
      <x:c r="A18" s="1071" t="str">
        <x:v>RF12 bloque futuro</x:v>
      </x:c>
      <x:c r="B18" s="1543" t="str">
        <x:v>OK</x:v>
      </x:c>
      <x:c r="C18" s="1071" t="str">
        <x:v>G34</x:v>
      </x:c>
    </x:row>
    <x:row r="19" ht="29" customHeight="1">
      <x:c r="A19" s="1071" t="str">
        <x:v>RF16 bloque futuro</x:v>
      </x:c>
      <x:c r="B19" s="1543" t="str">
        <x:v>OK</x:v>
      </x:c>
      <x:c r="C19" s="1071" t="str">
        <x:v>G39</x:v>
      </x:c>
    </x:row>
    <x:row r="20" ht="29" customHeight="1">
      <x:c r="A20" s="1071" t="str">
        <x:v>RF50 solo lectura</x:v>
      </x:c>
      <x:c r="B20" s="1543" t="str">
        <x:v>OK</x:v>
      </x:c>
      <x:c r="C20" s="1071" t="str">
        <x:v>F32</x:v>
      </x:c>
    </x:row>
    <x:row r="21" ht="29" customHeight="1">
      <x:c r="A21" s="1071" t="str">
        <x:v>RF65 índice 20 RN</x:v>
      </x:c>
      <x:c r="B21" s="1543" t="str">
        <x:v>OK</x:v>
      </x:c>
      <x:c r="C21" s="1071" t="str">
        <x:v>C9</x:v>
      </x:c>
    </x:row>
    <x:row r="22" ht="29" customHeight="1">
      <x:c r="A22" s="1071" t="str">
        <x:v>RF65 corrige RF16</x:v>
      </x:c>
      <x:c r="B22" s="1543" t="str">
        <x:v>OK</x:v>
      </x:c>
      <x:c r="C22" s="1071" t="str">
        <x:v>D11</x:v>
      </x:c>
    </x:row>
    <x:row r="23" ht="29" customHeight="1">
      <x:c r="A23" s="1071" t="str">
        <x:v>RF65 13 EA</x:v>
      </x:c>
      <x:c r="B23" s="1543" t="str">
        <x:v>OK</x:v>
      </x:c>
      <x:c r="C23" s="1071" t="str">
        <x:v>EA01-EA13</x:v>
      </x:c>
    </x:row>
    <x:row r="24" ht="29" customHeight="1">
      <x:c r="A24" s="1071" t="str">
        <x:v>Impacto 34 RF</x:v>
      </x:c>
      <x:c r="B24" s="1543" t="str">
        <x:v>OK</x:v>
      </x:c>
      <x:c r="C24" s="1071" t="str">
        <x:v>34 notas</x:v>
      </x:c>
    </x:row>
    <x:row r="25" ht="29" customHeight="1">
      <x:c r="A25" s="1071" t="str">
        <x:v>37 anexos</x:v>
      </x:c>
      <x:c r="B25" s="1543" t="str">
        <x:v>OK</x:v>
      </x:c>
      <x:c r="C25" s="1071" t="str">
        <x:v>2+7+5+23</x:v>
      </x:c>
    </x:row>
    <x:row r="26" ht="29" customHeight="1">
      <x:c r="A26" s="1071" t="str">
        <x:v>RF65 contiene RN65-01–20</x:v>
      </x:c>
      <x:c r="B26" s="1543" t="str">
        <x:v>OK</x:v>
      </x:c>
      <x:c r="C26" s="1071" t="str">
        <x:v>Hoja 02_REGLAS_NEGOCIO, A5:A24</x:v>
      </x:c>
    </x:row>
    <x:row r="27" ht="29" customHeight="1">
      <x:c r="A27" s="1071" t="str">
        <x:v>Fórmulas BCE de origen</x:v>
      </x:c>
      <x:c r="B27" s="1543" t="str">
        <x:v>OK</x:v>
      </x:c>
      <x:c r="C27" s="1071" t="str">
        <x:v>Muestras C6 en Elsa y Fran conservadas</x:v>
      </x:c>
    </x:row>
    <x:row r="28" ht="34" customHeight="1">
      <x:c r="A28" s="1071" t="str">
        <x:v>Comparación XML de 48 hojas fuente</x:v>
      </x:c>
      <x:c r="B28" s="1543" t="str">
        <x:v>OK</x:v>
      </x:c>
      <x:c r="C28" s="1071" t="str">
        <x:v>Conserva contenido, combinaciones y nombres; 2 correcciones RF65 documentadas y 13 referencias cacheadas de RF001 normalizadas.</x:v>
      </x:c>
    </x:row>
    <x:row r="29" ht="34" customHeight="1">
      <x:c r="A29" s="1071" t="str">
        <x:v>Fórmulas sin cuerpo tras exportación</x:v>
      </x:c>
      <x:c r="B29" s="1543" t="str">
        <x:v>OK</x:v>
      </x:c>
      <x:c r="C29" s="1071" t="str">
        <x:v>Sin fórmulas fantasma (=None) en el libro nuevo; el original de Elsa RF001 contenía 13 celdas auxiliares de fórmula compartida sin cuerpo.</x:v>
      </x:c>
    </x:row>
    <x:row r="30" ht="34" customHeight="1">
      <x:c r="A30" s="1071" t="str">
        <x:v>Cantidad de hojas del libro final</x:v>
      </x:c>
      <x:c r="B30" s="1543" t="str">
        <x:v>OK</x:v>
      </x:c>
      <x:c r="C30" s="1071" t="str">
        <x:v>165 hojas: 121 originales + 37 anexos + 7 hojas de control y auditoría.</x:v>
      </x:c>
    </x:row>
    <x:row r="31" ht="34" customHeight="1">
      <x:c r="A31" s="1071" t="str">
        <x:v>Escenarios alternativos RF65</x:v>
      </x:c>
      <x:c r="B31" s="1543" t="str">
        <x:v>OK</x:v>
      </x:c>
      <x:c r="C31" s="1071" t="str">
        <x:v>RF065_EA01–RF065_EA13 presentes y tablas de 20 reglas.</x:v>
      </x:c>
    </x:row>
  </x:sheetData>
  <x:mergeCells>
    <x:mergeCell ref="A1:C1"/>
    <x:mergeCell ref="A2:C2"/>
  </x:mergeCells>
  <x:pageMargins left="0.7" right="0.7" top="0.75" bottom="0.75" header="0.3" footer="0.3"/>
</x:worksheet>
</file>

<file path=xl/worksheets/sheet163.xml><?xml version="1.0" encoding="utf-8"?>
<x:worksheet xmlns:x="http://schemas.openxmlformats.org/spreadsheetml/2006/main">
  <x:sheetFormatPr defaultRowHeight="15"/>
  <x:cols>
    <x:col min="1" max="1" width="5" hidden="0" customWidth="1"/>
    <x:col min="2" max="2" width="8" hidden="0" customWidth="1"/>
    <x:col min="3" max="3" width="18.140625" hidden="0" customWidth="1"/>
    <x:col min="4" max="4" width="15" hidden="0" customWidth="1"/>
    <x:col min="5" max="5" width="17.85546875" hidden="0" customWidth="1"/>
    <x:col min="6" max="6" width="29.28515625" hidden="0" customWidth="1"/>
    <x:col min="7" max="7" width="52.7109375" hidden="0" customWidth="1"/>
  </x:cols>
  <x:sheetData>
    <x:row r="1" ht="27.950000762939453" customHeight="1">
      <x:c r="A1" t="str">
        <x:v>DIAGRAMA DE SECUENCIAS — RF-001-Registrar usuario en la aplicación | EVENTO EXITOSO</x:v>
      </x:c>
      <x:c r="B1"/>
      <x:c r="C1"/>
      <x:c r="D1"/>
      <x:c r="E1"/>
      <x:c r="F1"/>
      <x:c r="G1"/>
    </x:row>
    <x:row r="2" ht="15.949999809265137" customHeight="1">
      <x:c r="A2" t="str">
        <x:v>Patrón: Actor → Interfaz → Control → Entidad → Control → Interfaz → Actor | 43 mensajes vigentes | 8 bloques | P17 retirado (CC-RF01-01)</x:v>
      </x:c>
      <x:c r="B2"/>
      <x:c r="C2"/>
      <x:c r="D2"/>
      <x:c r="E2"/>
      <x:c r="F2"/>
      <x:c r="G2"/>
    </x:row>
    <x:row r="3" ht="20.100000381469727" customHeight="1">
      <x:c r="A3" t="str">
        <x:v>#</x:v>
      </x:c>
      <x:c r="B3" t="str">
        <x:v>Bloque</x:v>
      </x:c>
      <x:c r="C3" t="str">
        <x:v>Objeto Origen</x:v>
      </x:c>
      <x:c r="D3" t="str">
        <x:v>Flecha</x:v>
      </x:c>
      <x:c r="E3" t="str">
        <x:v>Objeto Destino</x:v>
      </x:c>
      <x:c r="F3" t="str">
        <x:v>Método / Mensaje</x:v>
      </x:c>
      <x:c r="G3" t="str">
        <x:v>Descripción / Nota</x:v>
      </x:c>
    </x:row>
    <x:row r="4" ht="17.100000381469727" customHeight="1">
      <x:c r="A4" t="str">
        <x:v>BLOQUE 1 · Ingreso al registro (Pasos 1–5)</x:v>
      </x:c>
      <x:c r="B4"/>
      <x:c r="C4"/>
      <x:c r="D4"/>
      <x:c r="E4"/>
      <x:c r="F4"/>
      <x:c r="G4"/>
    </x:row>
    <x:row r="5" ht="17.100000381469727" customHeight="1">
      <x:c r="A5" t="n">
        <x:v>1</x:v>
      </x:c>
      <x:c r="B5" t="str">
        <x:v>B1</x:v>
      </x:c>
      <x:c r="C5" t="str">
        <x:v>AS_Usuario</x:v>
      </x:c>
      <x:c r="D5" t="str">
        <x:v>───►  (llamada)</x:v>
      </x:c>
      <x:c r="E5" t="str">
        <x:v>I_Bienvenida</x:v>
      </x:c>
      <x:c r="F5" t="str">
        <x:v>seleccionarCrearCuenta()</x:v>
      </x:c>
      <x:c r="G5" t="str">
        <x:v>El usuario selecciona la opción Crear cuenta.</x:v>
      </x:c>
    </x:row>
    <x:row r="6" ht="17.100000381469727" customHeight="1">
      <x:c r="A6" t="n">
        <x:v>2</x:v>
      </x:c>
      <x:c r="B6" t="str">
        <x:v>B1</x:v>
      </x:c>
      <x:c r="C6" t="str">
        <x:f>E5</x:f>
        <x:v>I_Bienvenida</x:v>
      </x:c>
      <x:c r="D6" t="str">
        <x:v>───►  (llamada)</x:v>
      </x:c>
      <x:c r="E6" t="str">
        <x:v>C_RegistroUsuario</x:v>
      </x:c>
      <x:c r="F6" t="str">
        <x:v>solicitarRegistroUsuario()</x:v>
      </x:c>
      <x:c r="G6" t="str">
        <x:v>La interfaz solicita iniciar el proceso de registro.</x:v>
      </x:c>
    </x:row>
    <x:row r="7" ht="23.25" customHeight="1">
      <x:c r="A7" t="n">
        <x:v>3</x:v>
      </x:c>
      <x:c r="B7" t="str">
        <x:v>B1</x:v>
      </x:c>
      <x:c r="C7" t="str">
        <x:f>E6</x:f>
        <x:v>C_RegistroUsuario</x:v>
      </x:c>
      <x:c r="D7" t="str">
        <x:v>↩  (auto-msg)</x:v>
      </x:c>
      <x:c r="E7" t="str">
        <x:v>C_RegistroUsuario</x:v>
      </x:c>
      <x:c r="F7" t="str">
        <x:v>inicializarCamposContrasena(oculta)</x:v>
      </x:c>
      <x:c r="G7" t="str">
        <x:v>El controlador inicializa Contraseña y Confirmar contraseña con estado visual OCULTA.</x:v>
      </x:c>
    </x:row>
    <x:row r="8" ht="51" customHeight="1">
      <x:c r="A8" t="n">
        <x:v>4</x:v>
      </x:c>
      <x:c r="B8" t="str">
        <x:v>B1</x:v>
      </x:c>
      <x:c r="C8" t="str">
        <x:f>E6</x:f>
        <x:v>C_RegistroUsuario</x:v>
      </x:c>
      <x:c r="D8" t="str">
        <x:v>───►  (llamada)</x:v>
      </x:c>
      <x:c r="E8" t="str">
        <x:v>I_RegistroUsuario</x:v>
      </x:c>
      <x:c r="F8" t="str">
        <x:v>mostrarFormularioRegistro(oculta)</x:v>
      </x:c>
      <x:c r="G8" t="str">
        <x:v>El controlador llama al formulario estableciendo Contraseña y Confirmar contraseña en estado visual OCULTA. Mostrar sección «Privacidad y tratamiento de datos» antes de Crear cuenta, con aviso legal y consentimiento explícito separado; no preseleccionado.</x:v>
      </x:c>
    </x:row>
    <x:row r="9" ht="17.100000381469727" customHeight="1">
      <x:c r="A9" t="n">
        <x:v>5</x:v>
      </x:c>
      <x:c r="B9" t="str">
        <x:v>B1</x:v>
      </x:c>
      <x:c r="C9" t="str">
        <x:f>E8</x:f>
        <x:v>I_RegistroUsuario</x:v>
      </x:c>
      <x:c r="D9" t="str">
        <x:v>───►  (llamada)</x:v>
      </x:c>
      <x:c r="E9" t="str">
        <x:v>AS_Usuario</x:v>
      </x:c>
      <x:c r="F9" t="str">
        <x:v>visualizarFormularioRegistro()</x:v>
      </x:c>
      <x:c r="G9" t="str">
        <x:v>El usuario visualiza los campos del registro.</x:v>
      </x:c>
    </x:row>
    <x:row r="10" ht="17.100000381469727" customHeight="1">
      <x:c r="A10" t="str">
        <x:v>BLOQUE 2 · Ingreso de datos y visibilidad de contraseña (Pasos 6–12)</x:v>
      </x:c>
      <x:c r="B10"/>
      <x:c r="C10"/>
      <x:c r="D10"/>
      <x:c r="E10"/>
      <x:c r="F10"/>
      <x:c r="G10"/>
    </x:row>
    <x:row r="11" ht="70" customHeight="1">
      <x:c r="A11" t="n">
        <x:v>6</x:v>
      </x:c>
      <x:c r="B11" t="str">
        <x:v>B2</x:v>
      </x:c>
      <x:c r="C11" t="str">
        <x:f>E9</x:f>
        <x:v>AS_Usuario</x:v>
      </x:c>
      <x:c r="D11" t="str">
        <x:v>───►  (llamada)</x:v>
      </x:c>
      <x:c r="E11" t="str">
        <x:v>I_RegistroUsuario</x:v>
      </x:c>
      <x:c r="F11" t="str">
        <x:v>completarFormularioRegistro(nombre,apellido,correo,fechaNacimiento,contrasena,confirmacion)</x:v>
      </x:c>
      <x:c r="G11" t="str">
        <x:v>El usuario ingresa nombre y apellido separados, correo, fecha de nacimiento y contraseñas. La aceptación de privacidad comienza desmarcada.</x:v>
      </x:c>
    </x:row>
    <x:row r="12" ht="27.75" customHeight="1">
      <x:c r="A12" t="n">
        <x:v>7</x:v>
      </x:c>
      <x:c r="B12" t="str">
        <x:v>B2</x:v>
      </x:c>
      <x:c r="C12" t="str">
        <x:f>E11</x:f>
        <x:v>I_RegistroUsuario</x:v>
      </x:c>
      <x:c r="D12" t="str">
        <x:v>───►  (llamada)</x:v>
      </x:c>
      <x:c r="E12" t="str">
        <x:v>C_RegistroUsuario</x:v>
      </x:c>
      <x:c r="F12" t="str">
        <x:v>solicitarCambioVisibilidad(campo)</x:v>
      </x:c>
      <x:c r="G12" t="str">
        <x:v>Si el usuario seleccionó Mostrar/Ocultar, la interfaz comunica la acción al controlador.</x:v>
      </x:c>
    </x:row>
    <x:row r="13" ht="31.5" customHeight="1">
      <x:c r="A13" t="n">
        <x:v>8</x:v>
      </x:c>
      <x:c r="B13" t="str">
        <x:v>B2</x:v>
      </x:c>
      <x:c r="C13" t="str">
        <x:v>C_RegistroUsuario</x:v>
      </x:c>
      <x:c r="D13" t="str">
        <x:v>↩  (auto-msg)</x:v>
      </x:c>
      <x:c r="E13" t="str">
        <x:v>C_RegistroUsuario</x:v>
      </x:c>
      <x:c r="F13" t="str">
        <x:v>alternarVisibilidadContrasena(campo)</x:v>
      </x:c>
      <x:c r="G13" t="str">
        <x:v>El controlador alterna el estado OCULTA ↔ VISIBLE.</x:v>
      </x:c>
    </x:row>
    <x:row r="14" ht="33" customHeight="1">
      <x:c r="A14" t="n">
        <x:v>9</x:v>
      </x:c>
      <x:c r="B14" t="str">
        <x:v>B2</x:v>
      </x:c>
      <x:c r="C14" t="str">
        <x:v>C_RegistroUsuario</x:v>
      </x:c>
      <x:c r="D14" t="str">
        <x:v>───►  (llamada)</x:v>
      </x:c>
      <x:c r="E14" t="str">
        <x:v>I_RegistroUsuario</x:v>
      </x:c>
      <x:c r="F14" t="str">
        <x:v>actualizarVisibilidadContrasena(campo,estadoVisual)</x:v>
      </x:c>
      <x:c r="G14" t="str">
        <x:v>El controlador indica cómo debe presentarse el campo.</x:v>
      </x:c>
    </x:row>
    <x:row r="15">
      <x:c r="A15" t="n">
        <x:v>10</x:v>
      </x:c>
      <x:c r="B15" t="str">
        <x:v>B2</x:v>
      </x:c>
      <x:c r="C15" t="str">
        <x:v>I_RegistroUsuario</x:v>
      </x:c>
      <x:c r="D15" t="str">
        <x:v>───►  (llamada)</x:v>
      </x:c>
      <x:c r="E15" t="str">
        <x:v>AS_Usuario</x:v>
      </x:c>
      <x:c r="F15" t="str">
        <x:v>visualizarContrasena(estadoVisual)</x:v>
      </x:c>
      <x:c r="G15" t="str">
        <x:v>El usuario visualiza el campo según el estado seleccionado.</x:v>
      </x:c>
    </x:row>
    <x:row r="16">
      <x:c r="A16" t="n">
        <x:v>11</x:v>
      </x:c>
      <x:c r="B16" t="str">
        <x:v>B2</x:v>
      </x:c>
      <x:c r="C16" t="str">
        <x:v>AS_Usuario</x:v>
      </x:c>
      <x:c r="D16" t="str">
        <x:v>───►  (llamada)</x:v>
      </x:c>
      <x:c r="E16" t="str">
        <x:v>I_RegistroUsuario</x:v>
      </x:c>
      <x:c r="F16" t="str">
        <x:v>seleccionarCrearCuenta()</x:v>
      </x:c>
      <x:c r="G16" t="str">
        <x:v>El usuario solicita crear la cuenta tras marcar expresamente la aceptación de la política de privacidad (casilla inicialmente desmarcada). Si no acepta, se bloquea el registro. La fecha y la versión aceptadas se persisten durante registrarUsuario(...), no en esta interacción.</x:v>
      </x:c>
    </x:row>
    <x:row r="17">
      <x:c r="A17" t="n">
        <x:v>12</x:v>
      </x:c>
      <x:c r="B17" t="str">
        <x:v>B2</x:v>
      </x:c>
      <x:c r="C17" t="str">
        <x:v>I_RegistroUsuario</x:v>
      </x:c>
      <x:c r="D17" t="str">
        <x:v>───►  (llamada)</x:v>
      </x:c>
      <x:c r="E17" t="str">
        <x:v>C_RegistroUsuario</x:v>
      </x:c>
      <x:c r="F17" t="str">
        <x:v>enviarDatosRegistro(datosRegistro)</x:v>
      </x:c>
      <x:c r="G17" t="str">
        <x:v>La interfaz envía los datos ingresados al controlador.</x:v>
      </x:c>
    </x:row>
    <x:row r="18">
      <x:c r="A18" t="str">
        <x:v>BLOQUE 3 · Validación de información ingresada (identificadores históricos 13–24; P17 retirado por CC-RF01-01)</x:v>
      </x:c>
      <x:c r="B18"/>
      <x:c r="C18"/>
      <x:c r="D18"/>
      <x:c r="E18"/>
      <x:c r="F18"/>
      <x:c r="G18"/>
    </x:row>
    <x:row r="19">
      <x:c r="A19" t="n">
        <x:v>13</x:v>
      </x:c>
      <x:c r="B19" t="str">
        <x:v>B3</x:v>
      </x:c>
      <x:c r="C19" t="str">
        <x:f>E17</x:f>
        <x:v>C_RegistroUsuario</x:v>
      </x:c>
      <x:c r="D19" t="str">
        <x:v>───►  (llamada)</x:v>
      </x:c>
      <x:c r="E19" t="str">
        <x:v>C_ValidacionRegistroUsuarios</x:v>
      </x:c>
      <x:c r="F19" t="str">
        <x:v>validarRegistroUsuario(datosUsuario)</x:v>
      </x:c>
      <x:c r="G19" t="str">
        <x:v>Solicita validar nombre, apellido, correo, fecha de nacimiento, contraseña, confirmación y consentimiento expreso.</x:v>
      </x:c>
    </x:row>
    <x:row r="20">
      <x:c r="A20" t="n">
        <x:v>14</x:v>
      </x:c>
      <x:c r="B20" t="str">
        <x:v>B3</x:v>
      </x:c>
      <x:c r="C20" t="str">
        <x:f>E19</x:f>
        <x:v>C_ValidacionRegistroUsuarios</x:v>
      </x:c>
      <x:c r="D20" t="str">
        <x:v>↩  (auto-msg)</x:v>
      </x:c>
      <x:c r="E20" t="str">
        <x:v>C_ValidacionRegistroUsuarios</x:v>
      </x:c>
      <x:c r="F20" t="str">
        <x:v>validarCamposObligatorios(datosUsuario)</x:v>
      </x:c>
      <x:c r="G20" t="str">
        <x:v>Comprueba todos los campos obligatorios, incluido apellido, y que la política de privacidad haya sido aceptada expresamente.</x:v>
      </x:c>
    </x:row>
    <x:row r="21">
      <x:c r="A21" t="n">
        <x:v>15</x:v>
      </x:c>
      <x:c r="B21" t="str">
        <x:v>B3</x:v>
      </x:c>
      <x:c r="C21" t="str">
        <x:v>C_ValidacionRegistroUsuarios</x:v>
      </x:c>
      <x:c r="D21" t="str">
        <x:v>↩  (auto-msg)</x:v>
      </x:c>
      <x:c r="E21" t="str">
        <x:v>C_ValidacionRegistroUsuarios</x:v>
      </x:c>
      <x:c r="F21" t="str">
        <x:v>validarFormatoNombre(nombre)</x:v>
      </x:c>
      <x:c r="G21" t="str">
        <x:v>Valida nombre: 2–100 caracteres tras normalizar espacios; letras (incluidos acentos y ñ), guion y apóstrofo solo entre letras.</x:v>
      </x:c>
    </x:row>
    <x:row r="22">
      <x:c r="A22" t="n">
        <x:v>16</x:v>
      </x:c>
      <x:c r="B22" t="str">
        <x:v>B3</x:v>
      </x:c>
      <x:c r="C22" t="str">
        <x:v>C_ValidacionRegistroUsuarios</x:v>
      </x:c>
      <x:c r="D22" t="str">
        <x:v>↩  (auto-msg)</x:v>
      </x:c>
      <x:c r="E22" t="str">
        <x:v>C_ValidacionRegistroUsuarios</x:v>
      </x:c>
      <x:c r="F22" t="str">
        <x:v>validarFormatoNombre(apellido)</x:v>
      </x:c>
      <x:c r="G22" t="str">
        <x:v>Valida apellido por separado: 2–100 caracteres tras normalizar espacios; letras (incluidos acentos y ñ), guion y apóstrofo solo entre letras.</x:v>
      </x:c>
    </x:row>
    <x:row r="23">
      <x:c r="A23" t="n">
        <x:v>17</x:v>
      </x:c>
      <x:c r="B23" t="str">
        <x:v>B3</x:v>
      </x:c>
      <x:c r="C23" t="str">
        <x:v>C_ValidacionRegistroUsuarios</x:v>
      </x:c>
      <x:c r="D23"/>
      <x:c r="E23" t="str">
        <x:v>C_ValidacionRegistroUsuarios</x:v>
      </x:c>
      <x:c r="F23" t="str">
        <x:v>RETIRADO — CC-RF01-01</x:v>
      </x:c>
      <x:c r="G23" t="str">
        <x:v>Referencia histórica P17 retirada; sin llamada BCE ejecutable.</x:v>
      </x:c>
    </x:row>
    <x:row r="24">
      <x:c r="A24" t="n">
        <x:v>18</x:v>
      </x:c>
      <x:c r="B24" t="str">
        <x:v>B3</x:v>
      </x:c>
      <x:c r="C24" t="str">
        <x:v>C_ValidacionRegistroUsuarios</x:v>
      </x:c>
      <x:c r="D24" t="str">
        <x:v>↩  (auto-msg)</x:v>
      </x:c>
      <x:c r="E24" t="str">
        <x:v>C_ValidacionRegistroUsuarios</x:v>
      </x:c>
      <x:c r="F24" t="str">
        <x:v>normalizarCorreo(correo)</x:v>
      </x:c>
      <x:c r="G24" t="str">
        <x:v>Elimina solo espacios exteriores y convierte a minúsculas; produce correoNormalizado para formato, consulta de unicidad y persistencia. No aplica reglas específicas de proveedores.</x:v>
      </x:c>
    </x:row>
    <x:row r="25">
      <x:c r="A25" t="n">
        <x:v>19</x:v>
      </x:c>
      <x:c r="B25" t="str">
        <x:v>B3</x:v>
      </x:c>
      <x:c r="C25" t="str">
        <x:v>C_ValidacionRegistroUsuarios</x:v>
      </x:c>
      <x:c r="D25" t="str">
        <x:v>↩  (auto-msg)</x:v>
      </x:c>
      <x:c r="E25" t="str">
        <x:v>C_ValidacionRegistroUsuarios</x:v>
      </x:c>
      <x:c r="F25" t="str">
        <x:v>validarFormatoCorreo(correoNormalizado)</x:v>
      </x:c>
      <x:c r="G25" t="str">
        <x:v>Valida el formato sobre el correo normalizado: espacios exteriores eliminados y minúsculas, sin normalizaciones particulares por proveedor.</x:v>
      </x:c>
    </x:row>
    <x:row r="26">
      <x:c r="A26" t="n">
        <x:v>20</x:v>
      </x:c>
      <x:c r="B26" t="str">
        <x:v>B3</x:v>
      </x:c>
      <x:c r="C26" t="str">
        <x:v>C_ValidacionRegistroUsuarios</x:v>
      </x:c>
      <x:c r="D26" t="str">
        <x:v>↩  (auto-msg)</x:v>
      </x:c>
      <x:c r="E26" t="str">
        <x:v>C_ValidacionRegistroUsuarios</x:v>
      </x:c>
      <x:c r="F26" t="str">
        <x:v>validarFechaNacimiento(fechaNacimiento)</x:v>
      </x:c>
      <x:c r="G26" t="str">
        <x:v>Comprueba que la fecha sea válida y no futura.</x:v>
      </x:c>
    </x:row>
    <x:row r="27">
      <x:c r="A27" t="n">
        <x:v>21</x:v>
      </x:c>
      <x:c r="B27" t="str">
        <x:v>B3</x:v>
      </x:c>
      <x:c r="C27" t="str">
        <x:v>C_ValidacionRegistroUsuarios</x:v>
      </x:c>
      <x:c r="D27" t="str">
        <x:v>↩  (auto-msg)</x:v>
      </x:c>
      <x:c r="E27" t="str">
        <x:v>C_ValidacionRegistroUsuarios</x:v>
      </x:c>
      <x:c r="F27" t="str">
        <x:v>calcularEdad(fechaNacimiento,fechaActual)</x:v>
      </x:c>
      <x:c r="G27" t="str">
        <x:v>Calcula la edad actual a partir de la fecha de nacimiento.</x:v>
      </x:c>
    </x:row>
    <x:row r="28">
      <x:c r="A28" t="n">
        <x:v>22</x:v>
      </x:c>
      <x:c r="B28" t="str">
        <x:v>B3</x:v>
      </x:c>
      <x:c r="C28" t="str">
        <x:v>C_ValidacionRegistroUsuarios</x:v>
      </x:c>
      <x:c r="D28" t="str">
        <x:v>↩  (auto-msg)</x:v>
      </x:c>
      <x:c r="E28" t="str">
        <x:v>C_ValidacionRegistroUsuarios</x:v>
      </x:c>
      <x:c r="F28" t="str">
        <x:v>validarRangoEdad(edad,18,85)</x:v>
      </x:c>
      <x:c r="G28" t="str">
        <x:v>Confirma que el usuario tenga entre 18 y 85 años inclusive.</x:v>
      </x:c>
    </x:row>
    <x:row r="29">
      <x:c r="A29" t="n">
        <x:v>23</x:v>
      </x:c>
      <x:c r="B29" t="str">
        <x:v>B3</x:v>
      </x:c>
      <x:c r="C29" t="str">
        <x:v>C_ValidacionRegistroUsuarios</x:v>
      </x:c>
      <x:c r="D29" t="str">
        <x:v>↩  (auto-msg)</x:v>
      </x:c>
      <x:c r="E29" t="str">
        <x:v>C_ValidacionRegistroUsuarios</x:v>
      </x:c>
      <x:c r="F29" t="str">
        <x:v>validarComplejidadContrasena(contrasena)</x:v>
      </x:c>
      <x:c r="G29" t="str">
        <x:v>Comprueba 8–64 caracteres, al menos una mayúscula, una minúscula, un dígito y un carácter especial; no permite espacios.</x:v>
      </x:c>
    </x:row>
    <x:row r="30">
      <x:c r="A30" t="n">
        <x:v>24</x:v>
      </x:c>
      <x:c r="B30" t="str">
        <x:v>B3</x:v>
      </x:c>
      <x:c r="C30" t="str">
        <x:v>C_ValidacionRegistroUsuarios</x:v>
      </x:c>
      <x:c r="D30" t="str">
        <x:v>↩  (auto-msg)</x:v>
      </x:c>
      <x:c r="E30" t="str">
        <x:v>C_ValidacionRegistroUsuarios</x:v>
      </x:c>
      <x:c r="F30" t="str">
        <x:v>validarCoincidenciaContrasenas(contrasena,confirmacion)</x:v>
      </x:c>
      <x:c r="G30" t="str">
        <x:v>Comprueba igualdad exacta entre contraseña y confirmación, sin transformar los valores.</x:v>
      </x:c>
    </x:row>
    <x:row r="31">
      <x:c r="A31" t="str">
        <x:v>BLOQUE 4 · Verificación de correo existente (Pasos 25–27)</x:v>
      </x:c>
      <x:c r="B31"/>
      <x:c r="C31"/>
      <x:c r="D31"/>
      <x:c r="E31"/>
      <x:c r="F31"/>
      <x:c r="G31"/>
    </x:row>
    <x:row r="32">
      <x:c r="A32" t="n">
        <x:v>25</x:v>
      </x:c>
      <x:c r="B32" t="str">
        <x:v>B4</x:v>
      </x:c>
      <x:c r="C32" t="str">
        <x:f>E30</x:f>
        <x:v>C_ValidacionRegistroUsuarios</x:v>
      </x:c>
      <x:c r="D32" t="str">
        <x:v>───►  (llamada)</x:v>
      </x:c>
      <x:c r="E32" t="str">
        <x:v>E_Usuario</x:v>
      </x:c>
      <x:c r="F32" t="str">
        <x:v>consultarCorreoExistente(correoNormalizado)</x:v>
      </x:c>
      <x:c r="G32" t="str">
        <x:v>Consulta correo normalizado entre cuentas existentes ACTIVA, SUSPENDIDA y PENDIENTE_ELIMINACION; las eliminadas definitivamente ya borradas no bloquean el registro.</x:v>
      </x:c>
    </x:row>
    <x:row r="33">
      <x:c r="A33" t="n">
        <x:v>26</x:v>
      </x:c>
      <x:c r="B33" t="str">
        <x:v>B4</x:v>
      </x:c>
      <x:c r="C33" t="str">
        <x:f>E32</x:f>
        <x:v>E_Usuario</x:v>
      </x:c>
      <x:c r="D33" t="str">
        <x:v>◄ ─ ─  (return)</x:v>
      </x:c>
      <x:c r="E33" t="str">
        <x:v>C_ValidacionRegistroUsuarios</x:v>
      </x:c>
      <x:c r="F33" t="str">
        <x:v>retornarDisponibilidadCorreo(disponible)</x:v>
      </x:c>
      <x:c r="G33" t="str">
        <x:v>Confirma disponibilidad del correo normalizado entre las cuentas conservadas, independientemente del estado.</x:v>
      </x:c>
    </x:row>
    <x:row r="34">
      <x:c r="A34" t="n">
        <x:v>27</x:v>
      </x:c>
      <x:c r="B34" t="str">
        <x:v>B4</x:v>
      </x:c>
      <x:c r="C34" t="str">
        <x:f>E33</x:f>
        <x:v>C_ValidacionRegistroUsuarios</x:v>
      </x:c>
      <x:c r="D34" t="str">
        <x:v>◄ ─ ─  (return)</x:v>
      </x:c>
      <x:c r="E34" t="str">
        <x:v>C_RegistroUsuario</x:v>
      </x:c>
      <x:c r="F34" t="str">
        <x:v>retornarResultadoValidacion(datosValidados)</x:v>
      </x:c>
      <x:c r="G34" t="str">
        <x:v>El controlador devuelve que las validaciones, incluida la disponibilidad global del correo, fueron satisfactorias.</x:v>
      </x:c>
    </x:row>
    <x:row r="35">
      <x:c r="A35" t="str">
        <x:v>BLOQUE 5 · Protección de contraseña y registro (Pasos 28–30)</x:v>
      </x:c>
      <x:c r="B35"/>
      <x:c r="C35"/>
      <x:c r="D35"/>
      <x:c r="E35"/>
      <x:c r="F35"/>
      <x:c r="G35"/>
    </x:row>
    <x:row r="36">
      <x:c r="A36" t="n">
        <x:v>28</x:v>
      </x:c>
      <x:c r="B36" t="str">
        <x:v>B5</x:v>
      </x:c>
      <x:c r="C36" t="str">
        <x:f>E34</x:f>
        <x:v>C_RegistroUsuario</x:v>
      </x:c>
      <x:c r="D36" t="str">
        <x:v>↩  (auto-msg)</x:v>
      </x:c>
      <x:c r="E36" t="str">
        <x:v>C_RegistroUsuario</x:v>
      </x:c>
      <x:c r="F36" t="str">
        <x:v>generarHashContrasena(contrasena)</x:v>
      </x:c>
      <x:c r="G36" t="str">
        <x:v>Genera un hash seguro de contraseña con sal criptográficamente segura gestionada internamente; nunca se almacena la contraseña en texto plano.</x:v>
      </x:c>
    </x:row>
    <x:row r="37">
      <x:c r="A37" t="n">
        <x:v>29</x:v>
      </x:c>
      <x:c r="B37" t="str">
        <x:v>B5</x:v>
      </x:c>
      <x:c r="C37" t="str">
        <x:f>E36</x:f>
        <x:v>C_RegistroUsuario</x:v>
      </x:c>
      <x:c r="D37" t="str">
        <x:v>───►  (llamada)</x:v>
      </x:c>
      <x:c r="E37" t="str">
        <x:v>E_Usuario</x:v>
      </x:c>
      <x:c r="F37" t="str">
        <x:v>registrarUsuario(nombre,apellido,correoNormalizado,fechaNacimiento,hashContrasena,aceptacionPrivacidad,fechaAceptacion,versionPolitica,ACTIVA,USUARIO)</x:v>
      </x:c>
      <x:c r="G37" t="str">
        <x:v>Crea la cuenta ACTIVA con rol USUARIO, nombre y apellido separados, correo normalizado y evidencia de aceptación de privacidad (fecha y versión). Se registra sin foto personalizada y se utiliza un avatar predeterminado basado en las iniciales, según el diseño original. Forma parte de la única transacción lógica de alta junto con el plan Free y las configuraciones iniciales.</x:v>
      </x:c>
    </x:row>
    <x:row r="38">
      <x:c r="A38" t="n">
        <x:v>30</x:v>
      </x:c>
      <x:c r="B38" t="str">
        <x:v>B5</x:v>
      </x:c>
      <x:c r="C38" t="str">
        <x:f>E37</x:f>
        <x:v>E_Usuario</x:v>
      </x:c>
      <x:c r="D38" t="str">
        <x:v>◄ ─ ─  (return)</x:v>
      </x:c>
      <x:c r="E38" t="str">
        <x:v>C_RegistroUsuario</x:v>
      </x:c>
      <x:c r="F38" t="str">
        <x:v>retornarUsuarioRegistrado(idUsuario,datosUsuario)</x:v>
      </x:c>
      <x:c r="G38" t="str">
        <x:v>Devuelve el usuario creado; el éxito global no se confirma hasta completar todas las operaciones obligatorias de la misma transacción lógica.</x:v>
      </x:c>
    </x:row>
    <x:row r="39">
      <x:c r="A39" t="str">
        <x:v>BLOQUE 6 · Asignación de suscripción inicial Free (Pasos 31–34)</x:v>
      </x:c>
      <x:c r="B39"/>
      <x:c r="C39"/>
      <x:c r="D39"/>
      <x:c r="E39"/>
      <x:c r="F39"/>
      <x:c r="G39"/>
    </x:row>
    <x:row r="40">
      <x:c r="A40" t="n">
        <x:v>31</x:v>
      </x:c>
      <x:c r="B40" t="str">
        <x:v>B6</x:v>
      </x:c>
      <x:c r="C40" t="str">
        <x:f>E38</x:f>
        <x:v>C_RegistroUsuario</x:v>
      </x:c>
      <x:c r="D40" t="str">
        <x:v>───►  (llamada)</x:v>
      </x:c>
      <x:c r="E40" t="str">
        <x:v>C_ControlSuscripcion</x:v>
      </x:c>
      <x:c r="F40" t="str">
        <x:v>asignarPlanInicial(idUsuario,FREE)</x:v>
      </x:c>
      <x:c r="G40" t="str">
        <x:v>RF01 delega a C_ControlSuscripcion la asignación del plan técnico FREE, visible como Gratis. La cuenta, UNA suscripción ACTIVA sin vencimiento y las preferencias se crean en UNA transacción Spring Boot, sin trigger. El registro completo revierte si falla cualquiera.</x:v>
      </x:c>
    </x:row>
    <x:row r="41">
      <x:c r="A41" t="n">
        <x:v>32</x:v>
      </x:c>
      <x:c r="B41" t="str">
        <x:v>B6</x:v>
      </x:c>
      <x:c r="C41" t="str">
        <x:f>E40</x:f>
        <x:v>C_ControlSuscripcion</x:v>
      </x:c>
      <x:c r="D41" t="str">
        <x:v>───►  (llamada)</x:v>
      </x:c>
      <x:c r="E41" t="str">
        <x:v>E_Suscripcion</x:v>
      </x:c>
      <x:c r="F41" t="str">
        <x:v>crearSuscripcionInicial(idUsuario,FREE,ACTIVA,fechaInicio)</x:v>
      </x:c>
      <x:c r="G41" t="str">
        <x:v>Registra en E_Suscripcion la única suscripción ACTIVA del usuario (id_usuario único parcial WHERE estado=ACTIVA), enlazada al plan FREE. No insertar una segunda asignación desde RF08 ni usar E_AsignacionPlan como fuente distinta. Sin proveedor/token en MVP.</x:v>
      </x:c>
    </x:row>
    <x:row r="42">
      <x:c r="A42" t="n">
        <x:v>33</x:v>
      </x:c>
      <x:c r="B42" t="str">
        <x:v>B6</x:v>
      </x:c>
      <x:c r="C42" t="str">
        <x:f>E41</x:f>
        <x:v>E_Suscripcion</x:v>
      </x:c>
      <x:c r="D42" t="str">
        <x:v>◄ ─ ─  (return)</x:v>
      </x:c>
      <x:c r="E42" t="str">
        <x:v>C_ControlSuscripcion</x:v>
      </x:c>
      <x:c r="F42" t="str">
        <x:v>retornarSuscripcionInicial(datosSuscripcion)</x:v>
      </x:c>
      <x:c r="G42" t="str">
        <x:v>La entidad confirma que la suscripción Free quedó asociada al usuario. Operación integrada en la única transacción lógica del registro; un fallo obligatorio revierte la creación completa.</x:v>
      </x:c>
    </x:row>
    <x:row r="43">
      <x:c r="A43" t="n">
        <x:v>34</x:v>
      </x:c>
      <x:c r="B43" t="str">
        <x:v>B6</x:v>
      </x:c>
      <x:c r="C43" t="str">
        <x:f>E42</x:f>
        <x:v>C_ControlSuscripcion</x:v>
      </x:c>
      <x:c r="D43" t="str">
        <x:v>◄ ─ ─  (return)</x:v>
      </x:c>
      <x:c r="E43" t="str">
        <x:v>C_RegistroUsuario</x:v>
      </x:c>
      <x:c r="F43" t="str">
        <x:v>retornarPlanInicialAsignado(datosSuscripcion)</x:v>
      </x:c>
      <x:c r="G43" t="str">
        <x:v>Confirma al proceso de registro que la cuenta quedó configurada con el plan Free. Operación integrada en la única transacción lógica del registro; un fallo obligatorio revierte la creación completa.</x:v>
      </x:c>
    </x:row>
    <x:row r="44">
      <x:c r="A44" t="str">
        <x:v>BLOQUE 7 · Inicialización de configuraciones predeterminadas (Pasos 35–38)</x:v>
      </x:c>
      <x:c r="B44"/>
      <x:c r="C44"/>
      <x:c r="D44"/>
      <x:c r="E44"/>
      <x:c r="F44"/>
      <x:c r="G44"/>
    </x:row>
    <x:row r="45">
      <x:c r="A45" t="n">
        <x:v>35</x:v>
      </x:c>
      <x:c r="B45" t="str">
        <x:v>B7</x:v>
      </x:c>
      <x:c r="C45" t="str">
        <x:v>C_RegistroUsuario</x:v>
      </x:c>
      <x:c r="D45" t="str">
        <x:v>───►  (llamada)</x:v>
      </x:c>
      <x:c r="E45" t="str">
        <x:v>E_ConfigRecordatorioKmUsuario</x:v>
      </x:c>
      <x:c r="F45" t="str">
        <x:v>crearConfiguracionGlobalInicial(idUsuario,PAUSADO)</x:v>
      </x:c>
      <x:c r="G45" t="str">
        <x:v>Registra la configuración global inicial de recordatorios por kilometraje en PAUSADO, como valor predeterminado de la cuenta. Forma parte del registro atómico descrito en el bloque 5; no ejecuta la gestión de kilometraje.</x:v>
      </x:c>
    </x:row>
    <x:row r="46">
      <x:c r="A46" t="n">
        <x:v>36</x:v>
      </x:c>
      <x:c r="B46" t="str">
        <x:v>B7</x:v>
      </x:c>
      <x:c r="C46" t="str">
        <x:v>E_ConfigRecordatorioKmUsuario</x:v>
      </x:c>
      <x:c r="D46" t="str">
        <x:v>◄ ─ ─  (return)</x:v>
      </x:c>
      <x:c r="E46" t="str">
        <x:v>C_RegistroUsuario</x:v>
      </x:c>
      <x:c r="F46" t="str">
        <x:v>retornarConfiguracionGlobalInicial(PAUSADO)</x:v>
      </x:c>
      <x:c r="G46" t="str">
        <x:v>La entidad devuelve la confirmación de creación de la configuración global inicial en PAUSADO. No constituye por sí sola la confirmación de toda la transacción.</x:v>
      </x:c>
    </x:row>
    <x:row r="47">
      <x:c r="A47" t="n">
        <x:v>37</x:v>
      </x:c>
      <x:c r="B47" t="str">
        <x:v>B7</x:v>
      </x:c>
      <x:c r="C47" t="str">
        <x:v>C_RegistroUsuario</x:v>
      </x:c>
      <x:c r="D47" t="str">
        <x:v>───►  (llamada)</x:v>
      </x:c>
      <x:c r="E47" t="str">
        <x:v>E_PreferenciaNotificacion</x:v>
      </x:c>
      <x:c r="F47" t="str">
        <x:v>crearPreferenciasIniciales(idUsuario,mantenimiento=ON,soat=ON,kilometraje=ON,permisoDispositivo=NO_SOLICITADO)</x:v>
      </x:c>
      <x:c r="G47" t="str">
        <x:v>Crea las preferencias iniciales existentes: mantenimiento=ON, soat=ON, kilometraje=ON y permisoDispositivo=NO_SOLICITADO. Son valores predeterminados, no una activación de los recordatorios KM ni una concesión del permiso del dispositivo.</x:v>
      </x:c>
    </x:row>
    <x:row r="48">
      <x:c r="A48" t="n">
        <x:v>38</x:v>
      </x:c>
      <x:c r="B48" t="str">
        <x:v>B7</x:v>
      </x:c>
      <x:c r="C48" t="str">
        <x:v>E_PreferenciaNotificacion</x:v>
      </x:c>
      <x:c r="D48" t="str">
        <x:v>◄ ─ ─  (return)</x:v>
      </x:c>
      <x:c r="E48" t="str">
        <x:v>C_RegistroUsuario</x:v>
      </x:c>
      <x:c r="F48" t="str">
        <x:v>retornarPreferenciasIniciales(ON,ON,ON,NO_SOLICITADO)</x:v>
      </x:c>
      <x:c r="G48" t="str">
        <x:v>La entidad devuelve las preferencias iniciales creadas. La confirmación global del registro se realiza solo después de completar correctamente todas las operaciones obligatorias.</x:v>
      </x:c>
    </x:row>
    <x:row r="49">
      <x:c r="A49" t="str">
        <x:v>BLOQUE 8 · Confirmación y redirección (Pasos 39–44)</x:v>
      </x:c>
      <x:c r="B49"/>
      <x:c r="C49"/>
      <x:c r="D49"/>
      <x:c r="E49"/>
      <x:c r="F49"/>
      <x:c r="G49"/>
    </x:row>
    <x:row r="50">
      <x:c r="A50" t="n">
        <x:v>39</x:v>
      </x:c>
      <x:c r="B50" t="str">
        <x:v>B8</x:v>
      </x:c>
      <x:c r="C50" t="str">
        <x:v>C_RegistroUsuario</x:v>
      </x:c>
      <x:c r="D50" t="str">
        <x:v>───►  (llamada)</x:v>
      </x:c>
      <x:c r="E50" t="str">
        <x:v>I_ConfirmacionOperacion</x:v>
      </x:c>
      <x:c r="F50" t="str">
        <x:v>mostrarRegistroExitoso()</x:v>
      </x:c>
      <x:c r="G50" t="str">
        <x:v>Solo muestra éxito cuando cuenta, plan Free, preferencias y configuración inicial obligatoria quedaron confirmados atómicamente; no inicia sesión automáticamente.</x:v>
      </x:c>
    </x:row>
    <x:row r="51">
      <x:c r="A51" t="n">
        <x:v>40</x:v>
      </x:c>
      <x:c r="B51" t="str">
        <x:v>B8</x:v>
      </x:c>
      <x:c r="C51" t="str">
        <x:v>I_ConfirmacionOperacion</x:v>
      </x:c>
      <x:c r="D51" t="str">
        <x:v>───►  (llamada)</x:v>
      </x:c>
      <x:c r="E51" t="str">
        <x:v>AS_Usuario</x:v>
      </x:c>
      <x:c r="F51" t="str">
        <x:v>visualizarRegistroExitoso()</x:v>
      </x:c>
      <x:c r="G51" t="str">
        <x:v>El usuario visualiza que su cuenta fue creada correctamente.</x:v>
      </x:c>
    </x:row>
    <x:row r="52">
      <x:c r="A52" t="n">
        <x:v>41</x:v>
      </x:c>
      <x:c r="B52" t="str">
        <x:v>B8</x:v>
      </x:c>
      <x:c r="C52" t="str">
        <x:v>AS_Usuario</x:v>
      </x:c>
      <x:c r="D52" t="str">
        <x:v>───►  (llamada)</x:v>
      </x:c>
      <x:c r="E52" t="str">
        <x:v>I_ConfirmacionOperacion</x:v>
      </x:c>
      <x:c r="F52" t="str">
        <x:v>seleccionarContinuar()</x:v>
      </x:c>
      <x:c r="G52" t="str">
        <x:v>El usuario continúa después de leer la confirmación.</x:v>
      </x:c>
    </x:row>
    <x:row r="53">
      <x:c r="A53" t="n">
        <x:v>42</x:v>
      </x:c>
      <x:c r="B53" t="str">
        <x:v>B8</x:v>
      </x:c>
      <x:c r="C53" t="str">
        <x:v>I_ConfirmacionOperacion</x:v>
      </x:c>
      <x:c r="D53" t="str">
        <x:v>───►  (llamada)</x:v>
      </x:c>
      <x:c r="E53" t="str">
        <x:v>C_RegistroUsuario</x:v>
      </x:c>
      <x:c r="F53" t="str">
        <x:v>solicitarRedireccionInicioSesion()</x:v>
      </x:c>
      <x:c r="G53" t="str">
        <x:v>La interfaz solicita continuar hacia Inicio de sesión.</x:v>
      </x:c>
    </x:row>
    <x:row r="54">
      <x:c r="A54" t="n">
        <x:v>43</x:v>
      </x:c>
      <x:c r="B54" t="str">
        <x:v>B8</x:v>
      </x:c>
      <x:c r="C54" t="str">
        <x:v>C_RegistroUsuario</x:v>
      </x:c>
      <x:c r="D54" t="str">
        <x:v>───►  (llamada)</x:v>
      </x:c>
      <x:c r="E54" t="str">
        <x:v>I_InicioSesion</x:v>
      </x:c>
      <x:c r="F54" t="str">
        <x:v>mostrarFormularioLogin()</x:v>
      </x:c>
      <x:c r="G54" t="str">
        <x:v>El controlador solicita mostrar la pantalla de Inicio de sesión.</x:v>
      </x:c>
    </x:row>
    <x:row r="55">
      <x:c r="A55" t="n">
        <x:v>44</x:v>
      </x:c>
      <x:c r="B55" t="str">
        <x:v>B8</x:v>
      </x:c>
      <x:c r="C55" t="str">
        <x:v>I_InicioSesion</x:v>
      </x:c>
      <x:c r="D55" t="str">
        <x:v>───►  (llamada)</x:v>
      </x:c>
      <x:c r="E55" t="str">
        <x:v>AS_Usuario</x:v>
      </x:c>
      <x:c r="F55" t="str">
        <x:v>visualizarInicioSesion()</x:v>
      </x:c>
      <x:c r="G55" t="str">
        <x:v>El usuario queda en Inicio de sesión, sin sesión automática; la carga de la pantalla principal corresponde al flujo RF02.</x:v>
      </x:c>
    </x:row>
  </x:sheetData>
  <x:mergeCells>
    <x:mergeCell ref="A44:G44"/>
    <x:mergeCell ref="A1:G1"/>
    <x:mergeCell ref="A18:G18"/>
    <x:mergeCell ref="A31:G31"/>
    <x:mergeCell ref="A39:G39"/>
    <x:mergeCell ref="A35:G35"/>
    <x:mergeCell ref="A4:G4"/>
    <x:mergeCell ref="A2:G2"/>
    <x:mergeCell ref="A10:G10"/>
  </x:mergeCells>
  <x:pageMargins left="0.7" right="0.7" top="0.75" bottom="0.75" header="0.3" footer="0.3"/>
</x:worksheet>
</file>

<file path=xl/worksheets/sheet164.xml><?xml version="1.0" encoding="utf-8"?>
<x:worksheet xmlns:x="http://schemas.openxmlformats.org/spreadsheetml/2006/main">
  <x:sheetFormatPr defaultRowHeight="15"/>
  <x:cols>
    <x:col min="1" max="1" width="5" hidden="0" customWidth="1"/>
    <x:col min="2" max="2" width="8" hidden="0" customWidth="1"/>
    <x:col min="3" max="3" width="17.42578125" hidden="0" customWidth="1"/>
    <x:col min="4" max="4" width="21.42578125" hidden="0" customWidth="1"/>
    <x:col min="5" max="5" width="28.85546875" hidden="0" customWidth="1"/>
    <x:col min="6" max="6" width="38.42578125" hidden="0" customWidth="1"/>
    <x:col min="7" max="7" width="90" hidden="0" customWidth="1"/>
  </x:cols>
  <x:sheetData>
    <x:row r="1" ht="27.950000762939453" customHeight="1">
      <x:c r="A1" t="str">
        <x:v>DIAGRAMA DE SECUENCIAS — RF-002-Iniciar sesión en la aplicación  |  EVENTO EXITOSO</x:v>
      </x:c>
      <x:c r="B1"/>
      <x:c r="C1"/>
      <x:c r="D1"/>
      <x:c r="E1"/>
      <x:c r="F1"/>
      <x:c r="G1"/>
    </x:row>
    <x:row r="2" ht="18.75" customHeight="1">
      <x:c r="A2" t="str">
        <x:v>Patrón: Actor → Interfaz → Control → Entidad → Control → Interfaz → Actor  |  38 pasos  |  7 bloques</x:v>
      </x:c>
      <x:c r="B2"/>
      <x:c r="C2"/>
      <x:c r="D2"/>
      <x:c r="E2"/>
      <x:c r="F2"/>
      <x:c r="G2"/>
    </x:row>
    <x:row r="3" ht="20.100000381469727" customHeight="1">
      <x:c r="A3" t="str">
        <x:v>#</x:v>
      </x:c>
      <x:c r="B3" t="str">
        <x:v>Bloque</x:v>
      </x:c>
      <x:c r="C3" t="str">
        <x:v>Objeto Origen</x:v>
      </x:c>
      <x:c r="D3" t="str">
        <x:v>Flecha</x:v>
      </x:c>
      <x:c r="E3" t="str">
        <x:v>Objeto Destino</x:v>
      </x:c>
      <x:c r="F3" t="str">
        <x:v>Método / Mensaje</x:v>
      </x:c>
      <x:c r="G3" t="str">
        <x:v>Descripción / Nota</x:v>
      </x:c>
    </x:row>
    <x:row r="4" ht="17.100000381469727" customHeight="1">
      <x:c r="A4" t="str">
        <x:v>  BLOQUE 1 · Acceso a la opción de inicio de sesión  (Pasos 1–2)</x:v>
      </x:c>
      <x:c r="B4"/>
      <x:c r="C4"/>
      <x:c r="D4"/>
      <x:c r="E4"/>
      <x:c r="F4"/>
      <x:c r="G4"/>
    </x:row>
    <x:row r="5" ht="17.100000381469727" customHeight="1">
      <x:c r="A5" t="n">
        <x:v>1</x:v>
      </x:c>
      <x:c r="B5" t="str">
        <x:v>B1</x:v>
      </x:c>
      <x:c r="C5" t="str">
        <x:v>AS_Usuario</x:v>
      </x:c>
      <x:c r="D5" t="str">
        <x:v>───►  (llamada)</x:v>
      </x:c>
      <x:c r="E5" t="str">
        <x:v>I_Bienvenida</x:v>
      </x:c>
      <x:c r="F5" t="str">
        <x:v>seleccionarInicioSesion()</x:v>
      </x:c>
      <x:c r="G5" t="str">
        <x:v>El usuario selecciona la opción iniciar sesión.</x:v>
      </x:c>
    </x:row>
    <x:row r="6" ht="17.100000381469727" customHeight="1">
      <x:c r="A6" t="n">
        <x:v>2</x:v>
      </x:c>
      <x:c r="B6" t="str">
        <x:v>B1</x:v>
      </x:c>
      <x:c r="C6" t="str">
        <x:f>E5</x:f>
        <x:v>I_Bienvenida</x:v>
      </x:c>
      <x:c r="D6" t="str">
        <x:v>───►  (llamada)</x:v>
      </x:c>
      <x:c r="E6" t="str">
        <x:v>C_InicioSesion</x:v>
      </x:c>
      <x:c r="F6" t="str">
        <x:v>solicitarInicioSesion()</x:v>
      </x:c>
      <x:c r="G6" t="str">
        <x:v>La interfaz comunica al controlador la solicitud de acceso.</x:v>
      </x:c>
    </x:row>
    <x:row r="7" ht="17.100000381469727" customHeight="1">
      <x:c r="A7" t="str">
        <x:v>  BLOQUE 2 · Presentación del formulario de login  (Pasos 3–5)</x:v>
      </x:c>
      <x:c r="B7"/>
      <x:c r="C7"/>
      <x:c r="D7"/>
      <x:c r="E7"/>
      <x:c r="F7"/>
      <x:c r="G7"/>
    </x:row>
    <x:row r="8" ht="27" customHeight="1">
      <x:c r="A8" t="n">
        <x:v>3</x:v>
      </x:c>
      <x:c r="B8" t="str">
        <x:v>B2</x:v>
      </x:c>
      <x:c r="C8" t="str">
        <x:f>E6</x:f>
        <x:v>C_InicioSesion</x:v>
      </x:c>
      <x:c r="D8" t="str">
        <x:v>↩  (auto-msg)</x:v>
      </x:c>
      <x:c r="E8" t="str">
        <x:v>C_InicioSesion</x:v>
      </x:c>
      <x:c r="F8" t="str">
        <x:v>inicializarCampoContrasena(OCULTA)</x:v>
      </x:c>
      <x:c r="G8" t="str">
        <x:v>El controlador establece que el campo Contraseña inicia en estado visual OCULTA.</x:v>
      </x:c>
    </x:row>
    <x:row r="9" ht="25.5" customHeight="1">
      <x:c r="A9" t="n">
        <x:v>4</x:v>
      </x:c>
      <x:c r="B9" t="str">
        <x:v>B2</x:v>
      </x:c>
      <x:c r="C9" t="str">
        <x:f>E8</x:f>
        <x:v>C_InicioSesion</x:v>
      </x:c>
      <x:c r="D9" t="str">
        <x:v>───►  (llamada)</x:v>
      </x:c>
      <x:c r="E9" t="str">
        <x:v>I_InicioSesion</x:v>
      </x:c>
      <x:c r="F9" t="str">
        <x:v>mostrarFormularioLogin(OCULTA)</x:v>
      </x:c>
      <x:c r="G9" t="str">
        <x:v>Se solicita mostrar correo, contraseña, opción Mostrar/Ocultar y “Olvidé mi contraseña”.</x:v>
      </x:c>
    </x:row>
    <x:row r="10" ht="29.25" customHeight="1">
      <x:c r="A10" t="n">
        <x:v>5</x:v>
      </x:c>
      <x:c r="B10" t="str">
        <x:v>B2</x:v>
      </x:c>
      <x:c r="C10" t="str">
        <x:f>E9</x:f>
        <x:v>I_InicioSesion</x:v>
      </x:c>
      <x:c r="D10" t="str">
        <x:v>───►  (llamada)</x:v>
      </x:c>
      <x:c r="E10" t="str">
        <x:v>AS_Usuario</x:v>
      </x:c>
      <x:c r="F10" t="str">
        <x:v>visualizarFormularioLogin()</x:v>
      </x:c>
      <x:c r="G10" t="str">
        <x:v>El usuario visualiza el formulario de inicio de sesión.(correo, contraseña, y la opción olvide mi contraseña)</x:v>
      </x:c>
    </x:row>
    <x:row r="11" ht="17.100000381469727" customHeight="1">
      <x:c r="A11" t="str">
        <x:v>  BLOQUE 3 · Ingreso de credenciales y visibilidad de contraseña  (Pasos 6–12)</x:v>
      </x:c>
      <x:c r="B11"/>
      <x:c r="C11"/>
      <x:c r="D11"/>
      <x:c r="E11"/>
      <x:c r="F11"/>
      <x:c r="G11"/>
    </x:row>
    <x:row r="12" ht="26.25" customHeight="1">
      <x:c r="A12" t="n">
        <x:v>6</x:v>
      </x:c>
      <x:c r="B12" t="str">
        <x:v>B3</x:v>
      </x:c>
      <x:c r="C12" t="str">
        <x:f>E10</x:f>
        <x:v>AS_Usuario</x:v>
      </x:c>
      <x:c r="D12" t="str">
        <x:v>───►  (llamada)</x:v>
      </x:c>
      <x:c r="E12" t="str">
        <x:v>I_InicioSesion</x:v>
      </x:c>
      <x:c r="F12" t="str">
        <x:v>completarFormularioLogin(correo,contrasena)</x:v>
      </x:c>
      <x:c r="G12" t="str">
        <x:v>El usuario ingresa correo y contraseña. La contraseña permanece oculta inicialmente y, opcionalmente, puede seleccionar el icono Mostrar/Ocultar.</x:v>
      </x:c>
    </x:row>
    <x:row r="13" ht="23.25" customHeight="1">
      <x:c r="A13" t="n">
        <x:v>7</x:v>
      </x:c>
      <x:c r="B13" t="str">
        <x:v>B3</x:v>
      </x:c>
      <x:c r="C13" t="str">
        <x:f>E12</x:f>
        <x:v>I_InicioSesion</x:v>
      </x:c>
      <x:c r="D13" t="str">
        <x:v>───►  (llamada)</x:v>
      </x:c>
      <x:c r="E13" t="str">
        <x:v>C_InicioSesion</x:v>
      </x:c>
      <x:c r="F13" t="str">
        <x:v>solicitarCambioVisibilidad(campo)</x:v>
      </x:c>
      <x:c r="G13" t="str">
        <x:v>Si se seleccionó Mostrar/Ocultar, la interfaz comunica la acción al controlador. (opcional)</x:v>
      </x:c>
    </x:row>
    <x:row r="14" ht="24" customHeight="1">
      <x:c r="A14" t="n">
        <x:v>8</x:v>
      </x:c>
      <x:c r="B14" t="str">
        <x:v>B3</x:v>
      </x:c>
      <x:c r="C14" t="str">
        <x:v>C_InicioSesion</x:v>
      </x:c>
      <x:c r="D14" t="str">
        <x:v>↩  (auto-msg)</x:v>
      </x:c>
      <x:c r="E14" t="str">
        <x:v>C_InicioSesion</x:v>
      </x:c>
      <x:c r="F14" t="str">
        <x:v>alternarVisibilidadContrasena(campo)</x:v>
      </x:c>
      <x:c r="G14" t="str">
        <x:v>El controlador alterna el estado OCULTA ↔ VISIBLE. (opcional)</x:v>
      </x:c>
    </x:row>
    <x:row r="15">
      <x:c r="A15" t="n">
        <x:v>9</x:v>
      </x:c>
      <x:c r="B15" t="str">
        <x:v>B3</x:v>
      </x:c>
      <x:c r="C15" t="str">
        <x:v>C_InicioSesion</x:v>
      </x:c>
      <x:c r="D15" t="str">
        <x:v>───►  (llamada)</x:v>
      </x:c>
      <x:c r="E15" t="str">
        <x:v>I_InicioSesion</x:v>
      </x:c>
      <x:c r="F15" t="str">
        <x:v>actualizarVisibilidadContrasena(campo,estadoVisual)</x:v>
      </x:c>
      <x:c r="G15" t="str">
        <x:v>El controlador indica cómo presentar el campo contraseña. (opcional)</x:v>
      </x:c>
    </x:row>
    <x:row r="16">
      <x:c r="A16" t="n">
        <x:v>10</x:v>
      </x:c>
      <x:c r="B16" t="str">
        <x:v>B3</x:v>
      </x:c>
      <x:c r="C16" t="str">
        <x:v>I_InicioSesion</x:v>
      </x:c>
      <x:c r="D16" t="str">
        <x:v>───►  (llamada)</x:v>
      </x:c>
      <x:c r="E16" t="str">
        <x:v>AS_Usuario</x:v>
      </x:c>
      <x:c r="F16" t="str">
        <x:v>visualizarContrasena(estadoVisual)</x:v>
      </x:c>
      <x:c r="G16" t="str">
        <x:v>El usuario visualiza puntos o texto según el estado seleccionado. (opcional)</x:v>
      </x:c>
    </x:row>
    <x:row r="17">
      <x:c r="A17" t="n">
        <x:v>11</x:v>
      </x:c>
      <x:c r="B17" t="str">
        <x:v>B3</x:v>
      </x:c>
      <x:c r="C17" t="str">
        <x:v>AS_Usuario</x:v>
      </x:c>
      <x:c r="D17" t="str">
        <x:v>───►  (llamada)</x:v>
      </x:c>
      <x:c r="E17" t="str">
        <x:v>I_InicioSesion</x:v>
      </x:c>
      <x:c r="F17" t="str">
        <x:v>seleccionarIniciarSesion()</x:v>
      </x:c>
      <x:c r="G17" t="str">
        <x:v>El usuario solicita la opción ingresar.</x:v>
      </x:c>
    </x:row>
    <x:row r="18">
      <x:c r="A18" t="n">
        <x:v>12</x:v>
      </x:c>
      <x:c r="B18" t="str">
        <x:v>B3</x:v>
      </x:c>
      <x:c r="C18" t="str">
        <x:v>I_InicioSesion</x:v>
      </x:c>
      <x:c r="D18" t="str">
        <x:v>───►  (llamada)</x:v>
      </x:c>
      <x:c r="E18" t="str">
        <x:v>C_InicioSesion</x:v>
      </x:c>
      <x:c r="F18" t="str">
        <x:v>enviarCredenciales(correo,contrasena)</x:v>
      </x:c>
      <x:c r="G18" t="str">
        <x:v>La interfaz envía las credenciales al controlador.</x:v>
      </x:c>
    </x:row>
    <x:row r="19">
      <x:c r="A19" t="str">
        <x:v>BLOQUE 4 · Validación inicial de credenciales  (Pasos 13–16)</x:v>
      </x:c>
      <x:c r="B19"/>
      <x:c r="C19"/>
      <x:c r="D19"/>
      <x:c r="E19"/>
      <x:c r="F19"/>
      <x:c r="G19"/>
    </x:row>
    <x:row r="20">
      <x:c r="A20" t="n">
        <x:v>13</x:v>
      </x:c>
      <x:c r="B20" t="str">
        <x:v>B4</x:v>
      </x:c>
      <x:c r="C20" t="str">
        <x:f>E18</x:f>
        <x:v>C_InicioSesion</x:v>
      </x:c>
      <x:c r="D20" t="str">
        <x:v>───►  (llamada)</x:v>
      </x:c>
      <x:c r="E20" t="str">
        <x:v>C_ValidacionInicioSesion</x:v>
      </x:c>
      <x:c r="F20" t="str">
        <x:v>validarCredenciales(correo, contraseña)</x:v>
      </x:c>
      <x:c r="G20" t="str">
        <x:v>El controlador solicita validar la información ingresada.</x:v>
      </x:c>
    </x:row>
    <x:row r="21">
      <x:c r="A21" t="n">
        <x:v>14</x:v>
      </x:c>
      <x:c r="B21" t="str">
        <x:v>B4</x:v>
      </x:c>
      <x:c r="C21" t="str">
        <x:f>E20</x:f>
        <x:v>C_ValidacionInicioSesion</x:v>
      </x:c>
      <x:c r="D21" t="str">
        <x:v>↩  (auto-msg)</x:v>
      </x:c>
      <x:c r="E21" t="str">
        <x:f>E20</x:f>
        <x:v>C_ValidacionInicioSesion</x:v>
      </x:c>
      <x:c r="F21" t="str">
        <x:v>validarCamposObligatorios(correo, contraseña)</x:v>
      </x:c>
      <x:c r="G21" t="str">
        <x:v>Comprueba que correo y contraseña no estén vacíos.</x:v>
      </x:c>
    </x:row>
    <x:row r="22">
      <x:c r="A22" t="n">
        <x:v>15</x:v>
      </x:c>
      <x:c r="B22" t="str">
        <x:v>B4</x:v>
      </x:c>
      <x:c r="C22" t="str">
        <x:v>C_ValidacionInicioSesion</x:v>
      </x:c>
      <x:c r="D22" t="str">
        <x:v>↩  (auto-msg)</x:v>
      </x:c>
      <x:c r="E22" t="str">
        <x:v>C_ValidacionInicioSesion</x:v>
      </x:c>
      <x:c r="F22" t="str">
        <x:v>normalizarCorreo(correo)</x:v>
      </x:c>
      <x:c r="G22" t="str">
        <x:v>Normaliza el correo antes de validar su formato y consultar la cuenta: elimina espacios exteriores y convierte a minúsculas; no aplica reglas especiales de proveedores.</x:v>
      </x:c>
    </x:row>
    <x:row r="23">
      <x:c r="A23" t="n">
        <x:v>16</x:v>
      </x:c>
      <x:c r="B23" t="str">
        <x:v>B4</x:v>
      </x:c>
      <x:c r="C23" t="str">
        <x:f>E22</x:f>
        <x:v>C_ValidacionInicioSesion</x:v>
      </x:c>
      <x:c r="D23" t="str">
        <x:v>↩  (auto-msg)</x:v>
      </x:c>
      <x:c r="E23" t="str">
        <x:f>E22</x:f>
        <x:v>C_ValidacionInicioSesion</x:v>
      </x:c>
      <x:c r="F23" t="str">
        <x:v>validarFormatoCorreo(correoNormalizado)</x:v>
      </x:c>
      <x:c r="G23" t="str">
        <x:v>Verifica la estructura del correo normalizado.</x:v>
      </x:c>
    </x:row>
    <x:row r="24">
      <x:c r="A24" t="str">
        <x:v>BLOQUE 5 · Verificación de cuenta, contraseña y estado  (Pasos 17–23)</x:v>
      </x:c>
      <x:c r="B24"/>
      <x:c r="C24"/>
      <x:c r="D24"/>
      <x:c r="E24"/>
      <x:c r="F24"/>
      <x:c r="G24"/>
    </x:row>
    <x:row r="25">
      <x:c r="A25" t="n">
        <x:v>17</x:v>
      </x:c>
      <x:c r="B25" t="str">
        <x:v>B5</x:v>
      </x:c>
      <x:c r="C25" t="str">
        <x:f>E23</x:f>
        <x:v>C_ValidacionInicioSesion</x:v>
      </x:c>
      <x:c r="D25" t="str">
        <x:v>───►  (llamada)</x:v>
      </x:c>
      <x:c r="E25" t="str">
        <x:v>E_Usuario</x:v>
      </x:c>
      <x:c r="F25" t="str">
        <x:v>consultarUsuarioPorCorreo(correoNormalizado)</x:v>
      </x:c>
      <x:c r="G25" t="str">
        <x:v>Busca la cuenta por correo normalizado. Las cuentas eliminadas definitivamente no tienen registro; no revelar existencia ante un error de autenticación.</x:v>
      </x:c>
    </x:row>
    <x:row r="26">
      <x:c r="A26" t="n">
        <x:v>18</x:v>
      </x:c>
      <x:c r="B26" t="str">
        <x:v>B5</x:v>
      </x:c>
      <x:c r="C26" t="str">
        <x:f>E25</x:f>
        <x:v>E_Usuario</x:v>
      </x:c>
      <x:c r="D26" t="str">
        <x:v>◄ ─ ─  (return)</x:v>
      </x:c>
      <x:c r="E26" t="str">
        <x:v>C_ValidacionInicioSesion</x:v>
      </x:c>
      <x:c r="F26" t="str">
        <x:v>retornarDatosAutenticacion(existeUsuario,idUsuario,hashContrasena,estadoUsuario)</x:v>
      </x:c>
      <x:c r="G26" t="str">
        <x:v>Devuelve los datos necesarios para autenticar. El estado no se comunica al usuario antes de comprobar correctamente la contraseña.</x:v>
      </x:c>
    </x:row>
    <x:row r="27">
      <x:c r="A27" t="n">
        <x:v>19</x:v>
      </x:c>
      <x:c r="B27" t="str">
        <x:v>B5</x:v>
      </x:c>
      <x:c r="C27" t="str">
        <x:f>E26</x:f>
        <x:v>C_ValidacionInicioSesion</x:v>
      </x:c>
      <x:c r="D27" t="str">
        <x:v>↩  (auto-msg)</x:v>
      </x:c>
      <x:c r="E27" t="str">
        <x:v>C_ValidacionInicioSesion</x:v>
      </x:c>
      <x:c r="F27" t="str">
        <x:v>validarExistenciaUsuario(existeUsuario)</x:v>
      </x:c>
      <x:c r="G27" t="str">
        <x:v>Verifica que exista una cuenta asociada al correo ingresado.</x:v>
      </x:c>
    </x:row>
    <x:row r="28">
      <x:c r="A28" t="n">
        <x:v>20</x:v>
      </x:c>
      <x:c r="B28" t="str">
        <x:v>B5</x:v>
      </x:c>
      <x:c r="C28" t="str">
        <x:v>C_ValidacionInicioSesion</x:v>
      </x:c>
      <x:c r="D28" t="str">
        <x:v>↩  (auto-msg)</x:v>
      </x:c>
      <x:c r="E28" t="str">
        <x:v>C_ValidacionInicioSesion</x:v>
      </x:c>
      <x:c r="F28" t="str">
        <x:v>comprobarRestriccionTemporalAutenticacion(idUsuario)</x:v>
      </x:c>
      <x:c r="G28" t="str">
        <x:v>Bloqueo de nuevos intentos de login al acumular 3 contraseñas incorrectas en 10 minutos; durante 10 minutos no verificar más contraseñas ni incrementar el contador. La cuenta sigue ACTIVA y las sesiones ya abiertas funcionan. Error documentado en ANEXO_ERRORES_RF02_MVP.</x:v>
      </x:c>
    </x:row>
    <x:row r="29">
      <x:c r="A29" t="n">
        <x:v>21</x:v>
      </x:c>
      <x:c r="B29" t="str">
        <x:v>B5</x:v>
      </x:c>
      <x:c r="C29" t="str">
        <x:f>E28</x:f>
        <x:v>C_ValidacionInicioSesion</x:v>
      </x:c>
      <x:c r="D29" t="str">
        <x:v>↩  (auto-msg)</x:v>
      </x:c>
      <x:c r="E29" t="str">
        <x:v>C_ValidacionInicioSesion</x:v>
      </x:c>
      <x:c r="F29" t="str">
        <x:v>verificarContrasena(contrasenaIngresada,hashContrasena)</x:v>
      </x:c>
      <x:c r="G29" t="str">
        <x:v>Contraseña errónea con usuario existente y sin bloqueo: mensaje genérico «Correo o contraseña incorrectos», incrementar solo contador de RF02; tercer error dentro de 10 minutos activa bloqueo de nuevos inicios durante 10 minutos. No crear sesión, no SUSPENDER cuenta. Consultar anexo.</x:v>
      </x:c>
    </x:row>
    <x:row r="30">
      <x:c r="A30" t="n">
        <x:v>22</x:v>
      </x:c>
      <x:c r="B30" t="str">
        <x:v>B5</x:v>
      </x:c>
      <x:c r="C30" t="str">
        <x:f>E29</x:f>
        <x:v>C_ValidacionInicioSesion</x:v>
      </x:c>
      <x:c r="D30" t="str">
        <x:v>↩  (auto-msg)</x:v>
      </x:c>
      <x:c r="E30" t="str">
        <x:v>C_ValidacionInicioSesion</x:v>
      </x:c>
      <x:c r="F30" t="str">
        <x:v>validarEstadoUsuario(estadoUsuario)</x:v>
      </x:c>
      <x:c r="G30" t="str">
        <x:v>Tras contraseña correcta, comprobar que la cuenta está ACTIVA; si realmente SUSPENDIDA, no iniciar sesión. La restricción por tres intentos NO es suspensión. La revocación masiva por suspensión real continúa pendiente del RF que la gobierna.</x:v>
      </x:c>
    </x:row>
    <x:row r="31">
      <x:c r="A31" t="n">
        <x:v>23</x:v>
      </x:c>
      <x:c r="B31" t="str">
        <x:v>B5</x:v>
      </x:c>
      <x:c r="C31" t="str">
        <x:f>E30</x:f>
        <x:v>C_ValidacionInicioSesion</x:v>
      </x:c>
      <x:c r="D31" t="str">
        <x:v>◄ ─ ─  (return)</x:v>
      </x:c>
      <x:c r="E31" t="str">
        <x:v>C_InicioSesion</x:v>
      </x:c>
      <x:c r="F31" t="str">
        <x:v>retornarAutenticacionValida(idUsuario)</x:v>
      </x:c>
      <x:c r="G31" t="str">
        <x:v>Devuelve autenticación válida únicamente tras confirmar contraseña correcta, ausencia de restricción y cuenta ACTIVA.</x:v>
      </x:c>
    </x:row>
    <x:row r="32">
      <x:c r="A32" t="str">
        <x:v>BLOQUE 6 · Creación y validación de sesión  (Pasos 24–27)</x:v>
      </x:c>
      <x:c r="B32"/>
      <x:c r="C32"/>
      <x:c r="D32"/>
      <x:c r="E32"/>
      <x:c r="F32"/>
      <x:c r="G32"/>
    </x:row>
    <x:row r="33">
      <x:c r="A33" t="n">
        <x:v>24</x:v>
      </x:c>
      <x:c r="B33" t="str">
        <x:v>B6</x:v>
      </x:c>
      <x:c r="C33" t="str">
        <x:v>C_InicioSesion</x:v>
      </x:c>
      <x:c r="D33" t="str">
        <x:v>↩  (auto-msg)</x:v>
      </x:c>
      <x:c r="E33" t="str">
        <x:v>C_InicioSesion</x:v>
      </x:c>
      <x:c r="F33" t="str">
        <x:v>reiniciarIntentosFallidos(idUsuario)</x:v>
      </x:c>
      <x:c r="G33" t="str">
        <x:v>Tras confirmar contraseña correcta, ausencia de restricción y cuenta ACTIVA, se reinician exclusivamente los intentos fallidos de contraseña de RF02, sin alterar contadores OTP de RF03 o RF53. El automensaje expresa la responsabilidad de coordinación del controlador, NO acredita por sí mismo la actualización persistente. PENDIENTE TÉCNICO: verificar dónde se conserva y actualiza el contador usando los componentes existentes; no se autoriza añadir entidad, tabla ni mensaje BCE nuevo.</x:v>
      </x:c>
    </x:row>
    <x:row r="34">
      <x:c r="A34" t="n">
        <x:v>25</x:v>
      </x:c>
      <x:c r="B34" t="str">
        <x:v>B6</x:v>
      </x:c>
      <x:c r="C34" t="str">
        <x:f>E33</x:f>
        <x:v>C_InicioSesion</x:v>
      </x:c>
      <x:c r="D34" t="str">
        <x:v>───►  (llamada)</x:v>
      </x:c>
      <x:c r="E34" t="str">
        <x:v>E_Sesion</x:v>
      </x:c>
      <x:c r="F34" t="str">
        <x:v>crearSesionUsuario(idUsuario,contextoDispositivo)</x:v>
      </x:c>
      <x:c r="G34" t="str">
        <x:v>La operación se dirige a E_Sesion y debe crear o reemplazar la sesión del dispositivo actual sin afectar sesiones válidas de otros dispositivos. PENDIENTE TÉCNICO: verificar cómo se identifica de forma segura el contextoDispositivo y cómo se efectúa la sustitución persistente con la arquitectura existente. No se introduce un mecanismo de revocación no aprobado.</x:v>
      </x:c>
    </x:row>
    <x:row r="35">
      <x:c r="A35" t="n">
        <x:v>26</x:v>
      </x:c>
      <x:c r="B35" t="str">
        <x:v>B6</x:v>
      </x:c>
      <x:c r="C35" t="str">
        <x:f>E34</x:f>
        <x:v>E_Sesion</x:v>
      </x:c>
      <x:c r="D35" t="str">
        <x:v>◄ ─ ─  (return)</x:v>
      </x:c>
      <x:c r="E35" t="str">
        <x:v>C_InicioSesion</x:v>
      </x:c>
      <x:c r="F35" t="str">
        <x:v>retornarSesionCreada(datosSesion)</x:v>
      </x:c>
      <x:c r="G35" t="str">
        <x:v>La entidad confirma que la sesión fue creada correctamente.</x:v>
      </x:c>
    </x:row>
    <x:row r="36">
      <x:c r="A36" t="n">
        <x:v>27</x:v>
      </x:c>
      <x:c r="B36" t="str">
        <x:v>B6</x:v>
      </x:c>
      <x:c r="C36" t="str">
        <x:f>E35</x:f>
        <x:v>C_InicioSesion</x:v>
      </x:c>
      <x:c r="D36" t="str">
        <x:v>↩  (auto-msg)</x:v>
      </x:c>
      <x:c r="E36" t="str">
        <x:v>C_InicioSesion</x:v>
      </x:c>
      <x:c r="F36" t="str">
        <x:v>validarSesionActiva(datosSesion)</x:v>
      </x:c>
      <x:c r="G36" t="str">
        <x:v>Confirma que la sesión recién creada está activa. Al cerrar y reabrir MyCar, una sesión válida o renovable puede conservar el acceso; la renovación no forma parte de este flujo de autenticación nueva.</x:v>
      </x:c>
    </x:row>
    <x:row r="37">
      <x:c r="A37" t="str">
        <x:v>BLOQUE 7 · Preparación y carga de Inicio  (Pasos 28–38)</x:v>
      </x:c>
      <x:c r="B37"/>
      <x:c r="C37" t="str">
        <x:v>C_InicioSesion</x:v>
      </x:c>
      <x:c r="D37"/>
      <x:c r="E37"/>
      <x:c r="F37"/>
      <x:c r="G37"/>
    </x:row>
    <x:row r="38">
      <x:c r="A38" t="n">
        <x:v>28</x:v>
      </x:c>
      <x:c r="B38" t="str">
        <x:v>B7</x:v>
      </x:c>
      <x:c r="C38" t="str">
        <x:f>E36</x:f>
        <x:v>C_InicioSesion</x:v>
      </x:c>
      <x:c r="D38" t="str">
        <x:v>───►  (llamada)</x:v>
      </x:c>
      <x:c r="E38" t="str">
        <x:v>C_PerfilUsuario</x:v>
      </x:c>
      <x:c r="F38" t="str">
        <x:v>solicitarDatosPresentacionUsuario(idUsuario)</x:v>
      </x:c>
      <x:c r="G38" t="str">
        <x:v>Solicita los datos del usuario que deben mostrarse en Inicio.</x:v>
      </x:c>
    </x:row>
    <x:row r="39">
      <x:c r="A39" t="n">
        <x:v>29</x:v>
      </x:c>
      <x:c r="B39" t="str">
        <x:v>B7</x:v>
      </x:c>
      <x:c r="C39" t="str">
        <x:v>C_PerfilUsuario</x:v>
      </x:c>
      <x:c r="D39" t="str">
        <x:v>───►  (llamada)</x:v>
      </x:c>
      <x:c r="E39" t="str">
        <x:v>E_Usuario</x:v>
      </x:c>
      <x:c r="F39" t="str">
        <x:v>consultarDatosPresentacionUsuario(idUsuario)</x:v>
      </x:c>
      <x:c r="G39" t="str">
        <x:v>Consulta el nombre y la foto personalizada del usuario autenticado.</x:v>
      </x:c>
    </x:row>
    <x:row r="40">
      <x:c r="A40" t="n">
        <x:v>30</x:v>
      </x:c>
      <x:c r="B40" t="str">
        <x:v>B7</x:v>
      </x:c>
      <x:c r="C40" t="str">
        <x:v>E_Usuario</x:v>
      </x:c>
      <x:c r="D40" t="str">
        <x:v>◄ ─ ─  (return)</x:v>
      </x:c>
      <x:c r="E40" t="str">
        <x:v>C_PerfilUsuario</x:v>
      </x:c>
      <x:c r="F40" t="str">
        <x:v>retornarDatosPresentacionUsuario(nombre,fotoPerfil)</x:v>
      </x:c>
      <x:c r="G40" t="str">
        <x:v>Devuelve el nombre y la foto personalizada, si existe.</x:v>
      </x:c>
    </x:row>
    <x:row r="41">
      <x:c r="A41" t="n">
        <x:v>31</x:v>
      </x:c>
      <x:c r="B41" t="str">
        <x:v>B7</x:v>
      </x:c>
      <x:c r="C41" t="str">
        <x:v>C_PerfilUsuario</x:v>
      </x:c>
      <x:c r="D41" t="str">
        <x:v>↩  (auto-msg)</x:v>
      </x:c>
      <x:c r="E41" t="str">
        <x:v>C_PerfilUsuario</x:v>
      </x:c>
      <x:c r="F41" t="str">
        <x:v>determinarAvatarUsuario(nombre,fotoPerfil)</x:v>
      </x:c>
      <x:c r="G41" t="str">
        <x:v>Si existe foto personalizada, la utiliza; si no existe, genera automáticamente el avatar con las iniciales del nombre.</x:v>
      </x:c>
    </x:row>
    <x:row r="42">
      <x:c r="A42" t="n">
        <x:v>32</x:v>
      </x:c>
      <x:c r="B42" t="str">
        <x:v>B7</x:v>
      </x:c>
      <x:c r="C42" t="str">
        <x:v>C_PerfilUsuario</x:v>
      </x:c>
      <x:c r="D42" t="str">
        <x:v>◄ ─ ─  (return)</x:v>
      </x:c>
      <x:c r="E42" t="str">
        <x:v>C_InicioSesion</x:v>
      </x:c>
      <x:c r="F42" t="str">
        <x:v>retornarDatosPresentacionUsuario(nombre,avatarUsuario)</x:v>
      </x:c>
      <x:c r="G42" t="str">
        <x:v>Devuelve el nombre y el avatar ya resuelto para mostrarlos en Inicio.</x:v>
      </x:c>
    </x:row>
    <x:row r="43">
      <x:c r="A43" t="n">
        <x:v>33</x:v>
      </x:c>
      <x:c r="B43" t="str">
        <x:v>B7</x:v>
      </x:c>
      <x:c r="C43" t="str">
        <x:v>C_InicioSesion</x:v>
      </x:c>
      <x:c r="D43" t="str">
        <x:v>───►  (llamada)</x:v>
      </x:c>
      <x:c r="E43" t="str">
        <x:v>C_ControlListadoVehiculos</x:v>
      </x:c>
      <x:c r="F43" t="str">
        <x:v>solicitarVehiculoPrincipal(idUsuario)</x:v>
      </x:c>
      <x:c r="G43" t="str">
        <x:v>Para preparar Inicio, solicita el vehículo principal al servicio de listado/consulta de vehículos de Francesca (C_ControlListadoVehiculos). Solo se consulta el principal del usuario identificado mediante sesión; no crear control/tabla de vehículo principal duplicado.</x:v>
      </x:c>
    </x:row>
    <x:row r="44">
      <x:c r="A44" t="n">
        <x:v>34</x:v>
      </x:c>
      <x:c r="B44" t="str">
        <x:v>B7</x:v>
      </x:c>
      <x:c r="C44" t="str">
        <x:v>C_ControlListadoVehiculos</x:v>
      </x:c>
      <x:c r="D44" t="str">
        <x:v>───►  (llamada)</x:v>
      </x:c>
      <x:c r="E44" t="str">
        <x:v>E_Vehiculo</x:v>
      </x:c>
      <x:c r="F44" t="str">
        <x:v>consultarVehiculoPrincipal(idUsuario)</x:v>
      </x:c>
      <x:c r="G44" t="str">
        <x:v>C_ControlListadoVehiculos consulta E_Vehiculo reutilizando la lógica de RF09/RF10, filtrando por propietario autenticado; devuelve vehículo principal si existe. La identidad procede de sesión validada por Spring Boot.</x:v>
      </x:c>
    </x:row>
    <x:row r="45">
      <x:c r="A45" t="n">
        <x:v>35</x:v>
      </x:c>
      <x:c r="B45" t="str">
        <x:v>B7</x:v>
      </x:c>
      <x:c r="C45" t="str">
        <x:v>E_Vehiculo</x:v>
      </x:c>
      <x:c r="D45" t="str">
        <x:v>◄ ─ ─  (return)</x:v>
      </x:c>
      <x:c r="E45" t="str">
        <x:v>C_ControlListadoVehiculos</x:v>
      </x:c>
      <x:c r="F45" t="str">
        <x:v>retornarVehiculoPrincipal(datosVehiculoPrincipal)</x:v>
      </x:c>
      <x:c r="G45" t="str">
        <x:v>Devuelve el vehículo principal; si el usuario aún no tiene vehículos, devuelve esa condición.</x:v>
      </x:c>
    </x:row>
    <x:row r="46">
      <x:c r="A46" t="n">
        <x:v>36</x:v>
      </x:c>
      <x:c r="B46" t="str">
        <x:v>B7</x:v>
      </x:c>
      <x:c r="C46" t="str">
        <x:v>C_ControlListadoVehiculos</x:v>
      </x:c>
      <x:c r="D46" t="str">
        <x:v>◄ ─ ─  (return)</x:v>
      </x:c>
      <x:c r="E46" t="str">
        <x:v>C_InicioSesion</x:v>
      </x:c>
      <x:c r="F46" t="str">
        <x:v>retornarVehiculoPrincipal(datosVehiculoPrincipal)</x:v>
      </x:c>
      <x:c r="G46" t="str">
        <x:v>Devuelve el resultado necesario para preparar Inicio.</x:v>
      </x:c>
    </x:row>
    <x:row r="47">
      <x:c r="A47" t="n">
        <x:v>37</x:v>
      </x:c>
      <x:c r="B47" t="str">
        <x:v>B7</x:v>
      </x:c>
      <x:c r="C47" t="str">
        <x:v>C_InicioSesion</x:v>
      </x:c>
      <x:c r="D47" t="str">
        <x:v>───►  (llamada)</x:v>
      </x:c>
      <x:c r="E47" t="str">
        <x:v>I_Inicio</x:v>
      </x:c>
      <x:c r="F47" t="str">
        <x:v>mostrarPantallaPrincipal(nombre,avatarUsuario,datosVehiculoPrincipal)</x:v>
      </x:c>
      <x:c r="G47" t="str">
        <x:v>Solicita cargar Inicio con el saludo, avatar y vehículo principal; si no existe vehículo, se muestra la opción para registrar uno.</x:v>
      </x:c>
    </x:row>
    <x:row r="48">
      <x:c r="A48" t="n">
        <x:v>38</x:v>
      </x:c>
      <x:c r="B48" t="str">
        <x:v>B7</x:v>
      </x:c>
      <x:c r="C48" t="str">
        <x:v>I_Inicio</x:v>
      </x:c>
      <x:c r="D48" t="str">
        <x:v>───►  (llamada)</x:v>
      </x:c>
      <x:c r="E48" t="str">
        <x:v>AS_Usuario</x:v>
      </x:c>
      <x:c r="F48" t="str">
        <x:v>visualizarInicioUsuario()</x:v>
      </x:c>
      <x:c r="G48" t="str">
        <x:v>El usuario accede correctamente a MyCar y visualiza la interfaz Inicio.</x:v>
      </x:c>
    </x:row>
  </x:sheetData>
  <x:mergeCells>
    <x:mergeCell ref="A1:G1"/>
    <x:mergeCell ref="A37:G37"/>
    <x:mergeCell ref="A4:G4"/>
    <x:mergeCell ref="A32:G32"/>
    <x:mergeCell ref="A2:G2"/>
    <x:mergeCell ref="A7:G7"/>
    <x:mergeCell ref="A19:G19"/>
    <x:mergeCell ref="A11:G11"/>
    <x:mergeCell ref="A24:G24"/>
  </x:mergeCells>
  <x:pageMargins left="0.7" right="0.7" top="0.75" bottom="0.75" header="0.3" footer="0.3"/>
</x:worksheet>
</file>

<file path=xl/worksheets/sheet165.xml><?xml version="1.0" encoding="utf-8"?>
<x:worksheet xmlns:x="http://schemas.openxmlformats.org/spreadsheetml/2006/main">
  <x:sheetFormatPr defaultRowHeight="15"/>
  <x:cols>
    <x:col min="1" max="1" width="5" hidden="0" customWidth="1"/>
    <x:col min="2" max="2" width="8" hidden="0" customWidth="1"/>
    <x:col min="3" max="3" width="17.44140625" hidden="0" customWidth="1"/>
    <x:col min="4" max="4" width="17.88671875" hidden="0" customWidth="1"/>
    <x:col min="5" max="5" width="25" hidden="0" customWidth="1"/>
    <x:col min="6" max="6" width="28" hidden="0" customWidth="1"/>
    <x:col min="7" max="7" width="52.6640625" hidden="0" customWidth="1"/>
  </x:cols>
  <x:sheetData>
    <x:row r="1" ht="27.899999618530273" customHeight="1">
      <x:c r="A1" t="str">
        <x:v>DIAGRAMA DE SECUENCIAS — RF-006-Cerrar sesión  |  EVENTO EXITOSO</x:v>
      </x:c>
      <x:c r="B1"/>
      <x:c r="C1"/>
      <x:c r="D1"/>
      <x:c r="E1"/>
      <x:c r="F1"/>
      <x:c r="G1"/>
    </x:row>
    <x:row r="2" ht="15.899999618530273" customHeight="1">
      <x:c r="A2" t="str">
        <x:v>Patrón: Actor → Interfaz → Control → Entidad  |  21 pasos  |  4 bloques</x:v>
      </x:c>
      <x:c r="B2"/>
      <x:c r="C2"/>
      <x:c r="D2"/>
      <x:c r="E2"/>
      <x:c r="F2"/>
      <x:c r="G2"/>
    </x:row>
    <x:row r="3" ht="20.100000381469727" customHeight="1">
      <x:c r="A3" t="str">
        <x:v>#</x:v>
      </x:c>
      <x:c r="B3" t="str">
        <x:v>Bloque</x:v>
      </x:c>
      <x:c r="C3" t="str">
        <x:v>Objeto Origen</x:v>
      </x:c>
      <x:c r="D3" t="str">
        <x:v>Flecha</x:v>
      </x:c>
      <x:c r="E3" t="str">
        <x:v>Objeto Destino</x:v>
      </x:c>
      <x:c r="F3" t="str">
        <x:v>Método / Mensaje</x:v>
      </x:c>
      <x:c r="G3" t="str">
        <x:v>Descripción / Nota</x:v>
      </x:c>
    </x:row>
    <x:row r="4" ht="17.100000381469727" customHeight="1">
      <x:c r="A4" t="str">
        <x:v>  BLOQUE 1 · Navegación hacia perfil  (Pasos 1–8)</x:v>
      </x:c>
      <x:c r="B4"/>
      <x:c r="C4"/>
      <x:c r="D4"/>
      <x:c r="E4"/>
      <x:c r="F4"/>
      <x:c r="G4"/>
    </x:row>
    <x:row r="5" ht="27" customHeight="1">
      <x:c r="A5" t="n">
        <x:v>1</x:v>
      </x:c>
      <x:c r="B5" t="str">
        <x:v>B1</x:v>
      </x:c>
      <x:c r="C5" t="str">
        <x:v>AS_Usuario</x:v>
      </x:c>
      <x:c r="D5" t="str">
        <x:v>───►  (llamada)</x:v>
      </x:c>
      <x:c r="E5" t="str">
        <x:v>I_Inicio</x:v>
      </x:c>
      <x:c r="F5" t="str">
        <x:v>ingresarSeccionPerfil()</x:v>
      </x:c>
      <x:c r="G5" t="str">
        <x:v>El usuario selecciona la sección Perfil desde la pantalla Inicio.</x:v>
      </x:c>
    </x:row>
    <x:row r="6" ht="17.100000381469727" customHeight="1">
      <x:c r="A6" t="n">
        <x:v>2</x:v>
      </x:c>
      <x:c r="B6" t="str">
        <x:v>B1</x:v>
      </x:c>
      <x:c r="C6" t="str">
        <x:f>E5</x:f>
        <x:v>I_Inicio</x:v>
      </x:c>
      <x:c r="D6" t="str">
        <x:v>───►  (llamada)</x:v>
      </x:c>
      <x:c r="E6" t="str">
        <x:v>C_Navegacion</x:v>
      </x:c>
      <x:c r="F6" t="str">
        <x:v>solicitarVistaPerfil()</x:v>
      </x:c>
      <x:c r="G6" t="str">
        <x:v>La interfaz solicita al controlador navegar hacia la sección Perfil.</x:v>
      </x:c>
    </x:row>
    <x:row r="7" ht="29.25" customHeight="1">
      <x:c r="A7" t="n">
        <x:v>3</x:v>
      </x:c>
      <x:c r="B7" t="str">
        <x:v>B1</x:v>
      </x:c>
      <x:c r="C7" t="str">
        <x:v>C_Navegacion</x:v>
      </x:c>
      <x:c r="D7" t="str">
        <x:v>───►  (llamada)</x:v>
      </x:c>
      <x:c r="E7" t="str">
        <x:v>C_PerfilUsuario</x:v>
      </x:c>
      <x:c r="F7" t="str">
        <x:v>solicitarDatosPresentacionPerfil(idUsuario)</x:v>
      </x:c>
      <x:c r="G7" t="str">
        <x:v>El controlador de navegación solicita obtener los datos necesarios para presentar el Perfil del usuario autenticado.</x:v>
      </x:c>
    </x:row>
    <x:row r="8" ht="33.75" customHeight="1">
      <x:c r="A8" t="n">
        <x:v>4</x:v>
      </x:c>
      <x:c r="B8" t="str">
        <x:v>B1</x:v>
      </x:c>
      <x:c r="C8" t="str">
        <x:v>C_PerfilUsuario</x:v>
      </x:c>
      <x:c r="D8" t="str">
        <x:v>───►  (llamada)</x:v>
      </x:c>
      <x:c r="E8" t="str">
        <x:v>E_Usuario</x:v>
      </x:c>
      <x:c r="F8" t="str">
        <x:v>consultarDatosPresentacionPerfil(idUsuario)</x:v>
      </x:c>
      <x:c r="G8" t="str">
        <x:v>Solicita consultar el nombre, correo electrónico y foto personalizada del usuario.</x:v>
      </x:c>
    </x:row>
    <x:row r="9" ht="33.75" customHeight="1">
      <x:c r="A9" t="n">
        <x:v>5</x:v>
      </x:c>
      <x:c r="B9" t="str">
        <x:v>B1</x:v>
      </x:c>
      <x:c r="C9" t="str">
        <x:v>E_Usuario</x:v>
      </x:c>
      <x:c r="D9" t="str">
        <x:v>◄ ─ ─  (return)</x:v>
      </x:c>
      <x:c r="E9" t="str">
        <x:v>C_PerfilUsuario</x:v>
      </x:c>
      <x:c r="F9" t="str">
        <x:v>retornarDatosPresentacionPerfil(nombre,correo,fotoPerfil)</x:v>
      </x:c>
      <x:c r="G9" t="str">
        <x:v>La entidad devuelve el nombre, correo electrónico y la foto personalizada, si existe.</x:v>
      </x:c>
    </x:row>
    <x:row r="10" ht="33.75" customHeight="1">
      <x:c r="A10" t="n">
        <x:v>6</x:v>
      </x:c>
      <x:c r="B10" t="str">
        <x:v>B1</x:v>
      </x:c>
      <x:c r="C10" t="str">
        <x:v>C_PerfilUsuario</x:v>
      </x:c>
      <x:c r="D10" t="str">
        <x:v>↩  (auto-msg)</x:v>
      </x:c>
      <x:c r="E10" t="str">
        <x:v>C_PerfilUsuario</x:v>
      </x:c>
      <x:c r="F10" t="str">
        <x:v>determinarAvatarUsuario(nombre,fotoPerfil)</x:v>
      </x:c>
      <x:c r="G10" t="str">
        <x:v>Si existe una foto personalizada, se utiliza como avatar; si no existe, se genera automáticamente el avatar con las iniciales del nombre.</x:v>
      </x:c>
    </x:row>
    <x:row r="11" ht="33.75" customHeight="1">
      <x:c r="A11" t="n">
        <x:v>7</x:v>
      </x:c>
      <x:c r="B11" t="str">
        <x:v>B1</x:v>
      </x:c>
      <x:c r="C11" t="str">
        <x:v>C_PerfilUsuario</x:v>
      </x:c>
      <x:c r="D11" t="str">
        <x:v>───►  (llamada)</x:v>
      </x:c>
      <x:c r="E11" t="str">
        <x:v>I_Perfil</x:v>
      </x:c>
      <x:c r="F11" t="str">
        <x:v>mostrarVistaPerfil(nombre,correo,avatarUsuario)</x:v>
      </x:c>
      <x:c r="G11" t="str">
        <x:v>El controlador solicita cargar la interfaz Perfil con los datos de presentación del usuario y las opciones propias de la sección.</x:v>
      </x:c>
    </x:row>
    <x:row r="12" ht="52.5" customHeight="1">
      <x:c r="A12" t="n">
        <x:v>8</x:v>
      </x:c>
      <x:c r="B12" t="str">
        <x:v>B1</x:v>
      </x:c>
      <x:c r="C12" t="str">
        <x:v>I_Perfil</x:v>
      </x:c>
      <x:c r="D12" t="str">
        <x:v>───►  (llamada)</x:v>
      </x:c>
      <x:c r="E12" t="str">
        <x:v>AS_Usuario</x:v>
      </x:c>
      <x:c r="F12" t="str">
        <x:v>visualizarVistaPerfil()</x:v>
      </x:c>
      <x:c r="G12" t="str">
        <x:v>El usuario visualiza su Perfil con su avatar, nombre y correo electrónico, además de las opciones disponibles (Datos personales, Cambiar contraseña, Licencia de conducir, Planes y suscripción, Notificaciones externas, Recordatorios de km, Modo claro, Cerrar sesión y Eliminar cuenta).</x:v>
      </x:c>
    </x:row>
    <x:row r="13" ht="17.100000381469727" customHeight="1">
      <x:c r="A13" t="str">
        <x:v>  BLOQUE 2 · Selección de cerrar sesión  (Pasos 9–12)</x:v>
      </x:c>
      <x:c r="B13"/>
      <x:c r="C13"/>
      <x:c r="D13"/>
      <x:c r="E13"/>
      <x:c r="F13"/>
      <x:c r="G13"/>
    </x:row>
    <x:row r="14" ht="17.100000381469727" customHeight="1">
      <x:c r="A14" t="n">
        <x:v>9</x:v>
      </x:c>
      <x:c r="B14" t="str">
        <x:v>B2</x:v>
      </x:c>
      <x:c r="C14" t="str">
        <x:v>AS_Usuario</x:v>
      </x:c>
      <x:c r="D14" t="str">
        <x:v>───►  (llamada)</x:v>
      </x:c>
      <x:c r="E14" t="str">
        <x:v>I_Perfil</x:v>
      </x:c>
      <x:c r="F14" t="str">
        <x:v>seleccionarCerrarSesion()</x:v>
      </x:c>
      <x:c r="G14" t="str">
        <x:v>El usuario selecciona la opción cerrar sesión dentro del perfil.</x:v>
      </x:c>
    </x:row>
    <x:row r="15">
      <x:c r="A15" t="n">
        <x:v>10</x:v>
      </x:c>
      <x:c r="B15" t="str">
        <x:v>B2</x:v>
      </x:c>
      <x:c r="C15" t="str">
        <x:f>E14</x:f>
        <x:v>I_Perfil</x:v>
      </x:c>
      <x:c r="D15" t="str">
        <x:v>───►  (llamada)</x:v>
      </x:c>
      <x:c r="E15" t="str">
        <x:v>C_PerfilUsuario</x:v>
      </x:c>
      <x:c r="F15" t="str">
        <x:v>solicitarCerrarSesion()</x:v>
      </x:c>
      <x:c r="G15" t="str">
        <x:v>La interfaz comunica al controlador la solicitud de cierre de sesión.</x:v>
      </x:c>
    </x:row>
    <x:row r="16">
      <x:c r="A16" t="n">
        <x:v>11</x:v>
      </x:c>
      <x:c r="B16" t="str">
        <x:v>B2</x:v>
      </x:c>
      <x:c r="C16" t="str">
        <x:f>E15</x:f>
        <x:v>C_PerfilUsuario</x:v>
      </x:c>
      <x:c r="D16" t="str">
        <x:v>───►  (llamada)</x:v>
      </x:c>
      <x:c r="E16" t="str">
        <x:v>C_CerrarSesion</x:v>
      </x:c>
      <x:c r="F16" t="str">
        <x:v>iniciarCerrarSesion()</x:v>
      </x:c>
      <x:c r="G16" t="str">
        <x:v>El controlador de perfil solicita iniciar el proceso de cierre de sesión.</x:v>
      </x:c>
    </x:row>
    <x:row r="17">
      <x:c r="A17" t="n">
        <x:v>12</x:v>
      </x:c>
      <x:c r="B17" t="str">
        <x:v>B2</x:v>
      </x:c>
      <x:c r="C17" t="str">
        <x:f>E16</x:f>
        <x:v>C_CerrarSesion</x:v>
      </x:c>
      <x:c r="D17" t="str">
        <x:v>───►  (llamada)</x:v>
      </x:c>
      <x:c r="E17" t="str">
        <x:v>I_ConfirmacionOperacion</x:v>
      </x:c>
      <x:c r="F17" t="str">
        <x:v>mostrarConfirmacionCerrarSesion()</x:v>
      </x:c>
      <x:c r="G17" t="str">
        <x:v>El controlador solicita mostrar la confirmación de cierre de sesión.</x:v>
      </x:c>
    </x:row>
    <x:row r="18">
      <x:c r="A18" t="str">
        <x:v>  BLOQUE 3 · Confirmación del usuario  (Pasos 13–15)</x:v>
      </x:c>
      <x:c r="B18"/>
      <x:c r="C18"/>
      <x:c r="D18"/>
      <x:c r="E18"/>
      <x:c r="F18"/>
      <x:c r="G18"/>
    </x:row>
    <x:row r="19">
      <x:c r="A19" t="n">
        <x:v>13</x:v>
      </x:c>
      <x:c r="B19" t="str">
        <x:v>B3</x:v>
      </x:c>
      <x:c r="C19" t="str">
        <x:f>E17</x:f>
        <x:v>I_ConfirmacionOperacion</x:v>
      </x:c>
      <x:c r="D19" t="str">
        <x:v>───►  (llamada)</x:v>
      </x:c>
      <x:c r="E19" t="str">
        <x:v>AS_Usuario</x:v>
      </x:c>
      <x:c r="F19" t="str">
        <x:v>visualizarConfirmacionCerrarSesion()</x:v>
      </x:c>
      <x:c r="G19" t="str">
        <x:v>La interfaz muestra la confirmación de cierre de sesión (mensaje de confirmación y opciones cancelar o cerrar sesión).</x:v>
      </x:c>
    </x:row>
    <x:row r="20">
      <x:c r="A20" t="n">
        <x:v>14</x:v>
      </x:c>
      <x:c r="B20" t="str">
        <x:v>B3</x:v>
      </x:c>
      <x:c r="C20" t="str">
        <x:f>E19</x:f>
        <x:v>AS_Usuario</x:v>
      </x:c>
      <x:c r="D20" t="str">
        <x:v>───►  (llamada)</x:v>
      </x:c>
      <x:c r="E20" t="str">
        <x:v>I_ConfirmacionOperacion</x:v>
      </x:c>
      <x:c r="F20" t="str">
        <x:v>confirmarCerrarSesion()</x:v>
      </x:c>
      <x:c r="G20" t="str">
        <x:v>El usuario confirma la acción de cerrar sesión.</x:v>
      </x:c>
    </x:row>
    <x:row r="21">
      <x:c r="A21" t="n">
        <x:v>15</x:v>
      </x:c>
      <x:c r="B21" t="str">
        <x:v>B3</x:v>
      </x:c>
      <x:c r="C21" t="str">
        <x:f>E20</x:f>
        <x:v>I_ConfirmacionOperacion</x:v>
      </x:c>
      <x:c r="D21" t="str">
        <x:v>───►  (llamada)</x:v>
      </x:c>
      <x:c r="E21" t="str">
        <x:v>C_CerrarSesion</x:v>
      </x:c>
      <x:c r="F21" t="str">
        <x:v>enviarConfirmacionCerrarSesion()</x:v>
      </x:c>
      <x:c r="G21" t="str">
        <x:v>La interfaz comunica al controlador que el usuario confirmó la acción.</x:v>
      </x:c>
    </x:row>
    <x:row r="22">
      <x:c r="A22" t="str">
        <x:v>  BLOQUE 4 · Identificación local, cierre inmediato y revocación remota no bloqueante  (Pasos 16–21)</x:v>
      </x:c>
      <x:c r="B22"/>
      <x:c r="C22"/>
      <x:c r="D22"/>
      <x:c r="E22"/>
      <x:c r="F22"/>
      <x:c r="G22"/>
    </x:row>
    <x:row r="23">
      <x:c r="A23" t="n">
        <x:v>16</x:v>
      </x:c>
      <x:c r="B23" t="str">
        <x:v>B4</x:v>
      </x:c>
      <x:c r="C23" t="str">
        <x:f>E21</x:f>
        <x:v>C_CerrarSesion</x:v>
      </x:c>
      <x:c r="D23" t="str">
        <x:v>↩  (auto-msg)</x:v>
      </x:c>
      <x:c r="E23" t="str">
        <x:v>C_CerrarSesion</x:v>
      </x:c>
      <x:c r="F23" t="str">
        <x:v>obtenerIdentificacionSesionLocal()</x:v>
      </x:c>
      <x:c r="G23" t="str">
        <x:v>El controlador obtiene del contexto local la identificación de la sesión actual y prepara temporalmente la información mínima necesaria para solicitar la revocación remota. No consulta al backend. La disponibilidad y autorización temporal de esta información después de la limpieza deben verificarse en diseño técnico (RF06-02, RF06-15, RF06-18 y RF06-21).</x:v>
      </x:c>
    </x:row>
    <x:row r="24">
      <x:c r="A24" t="n">
        <x:v>17</x:v>
      </x:c>
      <x:c r="B24" t="str">
        <x:v>B4</x:v>
      </x:c>
      <x:c r="C24" t="str">
        <x:f>E23</x:f>
        <x:v>C_CerrarSesion</x:v>
      </x:c>
      <x:c r="D24" t="str">
        <x:v>↩  (auto-msg)</x:v>
      </x:c>
      <x:c r="E24" t="str">
        <x:v>C_CerrarSesion</x:v>
      </x:c>
      <x:c r="F24" t="str">
        <x:v>limpiarContextoSesion()</x:v>
      </x:c>
      <x:c r="G24" t="str">
        <x:v>Tras la confirmación del usuario y la preparación local de identificación, el controlador elimina inmediatamente las credenciales y datos locales sensibles, conservando solo ajustes generales no sensibles. La limpieza no depende de la revocación remota.</x:v>
      </x:c>
    </x:row>
    <x:row r="25">
      <x:c r="A25" t="n">
        <x:v>18</x:v>
      </x:c>
      <x:c r="B25" t="str">
        <x:v>B4</x:v>
      </x:c>
      <x:c r="C25" t="str">
        <x:f>E24</x:f>
        <x:v>C_CerrarSesion</x:v>
      </x:c>
      <x:c r="D25" t="str">
        <x:v>───►  (llamada)</x:v>
      </x:c>
      <x:c r="E25" t="str">
        <x:v>I_Bienvenida</x:v>
      </x:c>
      <x:c r="F25" t="str">
        <x:v>mostrarPantallaBienvenida()</x:v>
      </x:c>
      <x:c r="G25" t="str">
        <x:v>El controlador navega inmediatamente a Bienvenida después de la limpieza local, sin esperar respuesta del backend (RF06-12).</x:v>
      </x:c>
    </x:row>
    <x:row r="26">
      <x:c r="A26" t="n">
        <x:v>19</x:v>
      </x:c>
      <x:c r="B26" t="str">
        <x:v>B4</x:v>
      </x:c>
      <x:c r="C26" t="str">
        <x:f>E25</x:f>
        <x:v>I_Bienvenida</x:v>
      </x:c>
      <x:c r="D26" t="str">
        <x:v>───►  (llamada)</x:v>
      </x:c>
      <x:c r="E26" t="str">
        <x:v>AS_Usuario</x:v>
      </x:c>
      <x:c r="F26" t="str">
        <x:v>visualizarAccesoSistema()</x:v>
      </x:c>
      <x:c r="G26" t="str">
        <x:v>El usuario visualiza el acceso al sistema sin sesión local activa. La revocación remota posterior no bloquea ni revierte esta navegación.</x:v>
      </x:c>
    </x:row>
    <x:row r="27">
      <x:c r="A27" t="n">
        <x:v>20</x:v>
      </x:c>
      <x:c r="B27" t="str">
        <x:v>B4</x:v>
      </x:c>
      <x:c r="C27" t="str">
        <x:f>E24</x:f>
        <x:v>C_CerrarSesion</x:v>
      </x:c>
      <x:c r="D27" t="str">
        <x:v>───►  (llamada)</x:v>
      </x:c>
      <x:c r="E27" t="str">
        <x:v>E_Sesion</x:v>
      </x:c>
      <x:c r="F27" t="str">
        <x:v>finalizarSesion(idSesion)</x:v>
      </x:c>
      <x:c r="G27" t="str">
        <x:v>El controlador solicita la revocación remota utilizando la identificación y la información de autorización temporal preparadas antes de limpiar el contexto local. El backend debe validar que la solicitud está autorizada para revocar la sesión identificada antes de ejecutar la revocación; conocer únicamente idSesion no es suficiente. Esta operación no bloquea el cierre local ni la navegación a Bienvenida. confirmarCierreSesion() solo corresponde a una revocación remota confirmada. El mecanismo técnico para disponer temporalmente de la autorización queda pendiente de definición y verificación, sin presuponer persistencia, colas ni reintentos (RF06-20 y RF06-21).</x:v>
      </x:c>
    </x:row>
    <x:row r="28">
      <x:c r="A28" t="n">
        <x:v>21</x:v>
      </x:c>
      <x:c r="B28" t="str">
        <x:v>B4</x:v>
      </x:c>
      <x:c r="C28" t="str">
        <x:f>E27</x:f>
        <x:v>E_Sesion</x:v>
      </x:c>
      <x:c r="D28" t="str">
        <x:v>◄ ─ ─  (return)</x:v>
      </x:c>
      <x:c r="E28" t="str">
        <x:v>C_CerrarSesion</x:v>
      </x:c>
      <x:c r="F28" t="str">
        <x:v>confirmarCierreSesion()</x:v>
      </x:c>
      <x:c r="G28" t="str">
        <x:v>La entidad confirma que la revocación remota se completó exitosamente. La confirmación no condiciona el cierre local ni reactiva la sesión.</x:v>
      </x:c>
    </x:row>
  </x:sheetData>
  <x:mergeCells>
    <x:mergeCell ref="A13:G13"/>
    <x:mergeCell ref="A1:G1"/>
    <x:mergeCell ref="A18:G18"/>
    <x:mergeCell ref="A22:G22"/>
    <x:mergeCell ref="A4:G4"/>
    <x:mergeCell ref="A2:G2"/>
  </x:mergeCells>
  <x:pageMargins left="0.7" right="0.7" top="0.75" bottom="0.75" header="0.3" footer="0.3"/>
</x:worksheet>
</file>